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REMUNERACION QUINCENAL\2026\2026092\"/>
    </mc:Choice>
  </mc:AlternateContent>
  <xr:revisionPtr revIDLastSave="0" documentId="13_ncr:1_{C4F6807B-F588-45DF-894E-77E760CBDB30}" xr6:coauthVersionLast="47" xr6:coauthVersionMax="47" xr10:uidLastSave="{00000000-0000-0000-0000-000000000000}"/>
  <bookViews>
    <workbookView xWindow="28680" yWindow="-120" windowWidth="29040" windowHeight="15720" tabRatio="780" firstSheet="17" activeTab="17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9-2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92" sheetId="93" r:id="rId36"/>
    <sheet name="DetValiRetri2026092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R1'!$A$5:$X$27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68" l="1"/>
  <c r="D34" i="68"/>
  <c r="C34" i="68"/>
  <c r="D346" i="61"/>
  <c r="R345" i="61"/>
  <c r="Q345" i="61"/>
  <c r="P345" i="61"/>
  <c r="O345" i="61"/>
  <c r="N345" i="61"/>
  <c r="M345" i="61"/>
  <c r="L345" i="61"/>
  <c r="K345" i="61"/>
  <c r="J345" i="61"/>
  <c r="I345" i="61"/>
  <c r="H345" i="61"/>
  <c r="G345" i="61"/>
  <c r="F345" i="61"/>
  <c r="E345" i="61"/>
  <c r="D345" i="61"/>
  <c r="D329" i="61"/>
  <c r="E328" i="61"/>
  <c r="D328" i="61"/>
  <c r="E322" i="61"/>
  <c r="D323" i="61"/>
  <c r="D322" i="61"/>
  <c r="E319" i="61"/>
  <c r="D320" i="61"/>
  <c r="D319" i="61"/>
  <c r="E316" i="61"/>
  <c r="D317" i="61"/>
  <c r="D316" i="61"/>
  <c r="E182" i="61"/>
  <c r="D183" i="61"/>
  <c r="D182" i="61"/>
  <c r="E176" i="61"/>
  <c r="D177" i="61"/>
  <c r="D176" i="61"/>
  <c r="R173" i="61"/>
  <c r="Q173" i="61"/>
  <c r="P173" i="61"/>
  <c r="O173" i="61"/>
  <c r="N173" i="61"/>
  <c r="M173" i="61"/>
  <c r="L173" i="61"/>
  <c r="K173" i="61"/>
  <c r="J173" i="61"/>
  <c r="I173" i="61"/>
  <c r="H173" i="61"/>
  <c r="G173" i="61"/>
  <c r="F173" i="61"/>
  <c r="E173" i="61"/>
  <c r="D174" i="61"/>
  <c r="D173" i="61"/>
  <c r="R170" i="61"/>
  <c r="Q170" i="61"/>
  <c r="P170" i="61"/>
  <c r="O170" i="61"/>
  <c r="N170" i="61"/>
  <c r="M170" i="61"/>
  <c r="L170" i="61"/>
  <c r="K170" i="61"/>
  <c r="J170" i="61"/>
  <c r="I170" i="61"/>
  <c r="H170" i="61"/>
  <c r="G170" i="61"/>
  <c r="F170" i="61"/>
  <c r="E170" i="61"/>
  <c r="D171" i="61"/>
  <c r="D170" i="61"/>
  <c r="R82" i="61"/>
  <c r="Q82" i="61"/>
  <c r="P82" i="61"/>
  <c r="O82" i="61"/>
  <c r="N82" i="61"/>
  <c r="M82" i="61"/>
  <c r="L82" i="61"/>
  <c r="K82" i="61"/>
  <c r="J82" i="61"/>
  <c r="I82" i="61"/>
  <c r="H82" i="61"/>
  <c r="G82" i="61"/>
  <c r="F82" i="61"/>
  <c r="E82" i="61"/>
  <c r="D82" i="61"/>
  <c r="E76" i="61"/>
  <c r="D77" i="61"/>
  <c r="D76" i="61"/>
  <c r="R70" i="61"/>
  <c r="Q70" i="61"/>
  <c r="P70" i="61"/>
  <c r="O70" i="61"/>
  <c r="N70" i="61"/>
  <c r="M70" i="61"/>
  <c r="L70" i="61"/>
  <c r="K70" i="61"/>
  <c r="J70" i="61"/>
  <c r="I70" i="61"/>
  <c r="H70" i="61"/>
  <c r="G70" i="61"/>
  <c r="F70" i="61"/>
  <c r="E70" i="61"/>
  <c r="D71" i="61"/>
  <c r="D70" i="61"/>
  <c r="E364" i="59"/>
  <c r="F355" i="59"/>
  <c r="E355" i="59"/>
  <c r="E356" i="59"/>
  <c r="E353" i="59"/>
  <c r="F352" i="59"/>
  <c r="E352" i="59"/>
  <c r="F494" i="55"/>
  <c r="G492" i="55"/>
  <c r="F493" i="55"/>
  <c r="F492" i="55"/>
  <c r="G484" i="55"/>
  <c r="F485" i="55"/>
  <c r="F484" i="55"/>
  <c r="G482" i="55"/>
  <c r="F483" i="55"/>
  <c r="F482" i="55"/>
  <c r="G479" i="55"/>
  <c r="F479" i="55"/>
  <c r="G477" i="55"/>
  <c r="F478" i="55"/>
  <c r="F477" i="55"/>
  <c r="G474" i="55"/>
  <c r="F474" i="55"/>
  <c r="G472" i="55"/>
  <c r="F472" i="55"/>
  <c r="G359" i="55"/>
  <c r="F359" i="55"/>
  <c r="AO351" i="55"/>
  <c r="AN351" i="55"/>
  <c r="AM351" i="55"/>
  <c r="AL351" i="55"/>
  <c r="AK351" i="55"/>
  <c r="AJ351" i="55"/>
  <c r="AI351" i="55"/>
  <c r="AH351" i="55"/>
  <c r="AG351" i="55"/>
  <c r="AF351" i="55"/>
  <c r="AE351" i="55"/>
  <c r="AD351" i="55"/>
  <c r="AC351" i="55"/>
  <c r="AB351" i="55"/>
  <c r="AA351" i="55"/>
  <c r="Z351" i="55"/>
  <c r="Y351" i="55"/>
  <c r="X351" i="55"/>
  <c r="W351" i="55"/>
  <c r="V351" i="55"/>
  <c r="U351" i="55"/>
  <c r="T351" i="55"/>
  <c r="S351" i="55"/>
  <c r="R351" i="55"/>
  <c r="Q351" i="55"/>
  <c r="P351" i="55"/>
  <c r="O351" i="55"/>
  <c r="N351" i="55"/>
  <c r="M351" i="55"/>
  <c r="L351" i="55"/>
  <c r="K351" i="55"/>
  <c r="J351" i="55"/>
  <c r="I351" i="55"/>
  <c r="H351" i="55"/>
  <c r="G351" i="55"/>
  <c r="F352" i="55"/>
  <c r="F351" i="55"/>
  <c r="G349" i="55"/>
  <c r="F350" i="55"/>
  <c r="F349" i="55"/>
  <c r="AO341" i="55"/>
  <c r="AN341" i="55"/>
  <c r="AM341" i="55"/>
  <c r="AL341" i="55"/>
  <c r="AK341" i="55"/>
  <c r="AJ341" i="55"/>
  <c r="AI341" i="55"/>
  <c r="AH341" i="55"/>
  <c r="AG341" i="55"/>
  <c r="AF341" i="55"/>
  <c r="AE341" i="55"/>
  <c r="AD341" i="55"/>
  <c r="AC341" i="55"/>
  <c r="AB341" i="55"/>
  <c r="AA341" i="55"/>
  <c r="Z341" i="55"/>
  <c r="Y341" i="55"/>
  <c r="X341" i="55"/>
  <c r="W341" i="55"/>
  <c r="V341" i="55"/>
  <c r="U341" i="55"/>
  <c r="T341" i="55"/>
  <c r="S341" i="55"/>
  <c r="R341" i="55"/>
  <c r="Q341" i="55"/>
  <c r="P341" i="55"/>
  <c r="O341" i="55"/>
  <c r="N341" i="55"/>
  <c r="M341" i="55"/>
  <c r="L341" i="55"/>
  <c r="K341" i="55"/>
  <c r="J341" i="55"/>
  <c r="I341" i="55"/>
  <c r="H341" i="55"/>
  <c r="G341" i="55"/>
  <c r="F342" i="55"/>
  <c r="F341" i="55"/>
  <c r="G339" i="55"/>
  <c r="F340" i="55"/>
  <c r="F339" i="55"/>
  <c r="AP222" i="55"/>
  <c r="AO222" i="55"/>
  <c r="AN222" i="55"/>
  <c r="AM222" i="55"/>
  <c r="AL222" i="55"/>
  <c r="AK222" i="55"/>
  <c r="AJ222" i="55"/>
  <c r="AI222" i="55"/>
  <c r="AH222" i="55"/>
  <c r="AG222" i="55"/>
  <c r="AF222" i="55"/>
  <c r="AE222" i="55"/>
  <c r="AD222" i="55"/>
  <c r="AC222" i="55"/>
  <c r="AB222" i="55"/>
  <c r="AA222" i="55"/>
  <c r="Z222" i="55"/>
  <c r="Y222" i="55"/>
  <c r="X222" i="55"/>
  <c r="W222" i="55"/>
  <c r="V222" i="55"/>
  <c r="U222" i="55"/>
  <c r="T222" i="55"/>
  <c r="S222" i="55"/>
  <c r="R222" i="55"/>
  <c r="Q222" i="55"/>
  <c r="P222" i="55"/>
  <c r="O222" i="55"/>
  <c r="N222" i="55"/>
  <c r="M222" i="55"/>
  <c r="L222" i="55"/>
  <c r="K222" i="55"/>
  <c r="J222" i="55"/>
  <c r="I222" i="55"/>
  <c r="H222" i="55"/>
  <c r="G222" i="55"/>
  <c r="F223" i="55"/>
  <c r="F222" i="55"/>
  <c r="G220" i="55"/>
  <c r="F221" i="55"/>
  <c r="F210" i="55"/>
  <c r="F220" i="55"/>
  <c r="AA212" i="55"/>
  <c r="Z212" i="55"/>
  <c r="Y212" i="55"/>
  <c r="X212" i="55"/>
  <c r="W212" i="55"/>
  <c r="V212" i="55"/>
  <c r="U212" i="55"/>
  <c r="T212" i="55"/>
  <c r="S212" i="55"/>
  <c r="R212" i="55"/>
  <c r="Q212" i="55"/>
  <c r="P212" i="55"/>
  <c r="O212" i="55"/>
  <c r="N212" i="55"/>
  <c r="M212" i="55"/>
  <c r="L212" i="55"/>
  <c r="K212" i="55"/>
  <c r="J212" i="55"/>
  <c r="I212" i="55"/>
  <c r="H212" i="55"/>
  <c r="G212" i="55"/>
  <c r="F213" i="55"/>
  <c r="F212" i="55"/>
  <c r="G210" i="55"/>
  <c r="F211" i="55"/>
  <c r="G205" i="55"/>
  <c r="F205" i="55"/>
  <c r="G202" i="55"/>
  <c r="F203" i="55"/>
  <c r="F202" i="55"/>
  <c r="G200" i="55"/>
  <c r="F201" i="55"/>
  <c r="F200" i="55"/>
  <c r="AP68" i="55"/>
  <c r="AO68" i="55"/>
  <c r="AN68" i="55"/>
  <c r="AM68" i="55"/>
  <c r="AL68" i="55"/>
  <c r="AK68" i="55"/>
  <c r="AJ68" i="55"/>
  <c r="AI68" i="55"/>
  <c r="AH68" i="55"/>
  <c r="AG68" i="55"/>
  <c r="AF68" i="55"/>
  <c r="AE68" i="55"/>
  <c r="AD68" i="55"/>
  <c r="AC68" i="55"/>
  <c r="AB68" i="55"/>
  <c r="AA68" i="55"/>
  <c r="Z68" i="55"/>
  <c r="Y68" i="55"/>
  <c r="X68" i="55"/>
  <c r="W68" i="55"/>
  <c r="V68" i="55"/>
  <c r="U68" i="55"/>
  <c r="T68" i="55"/>
  <c r="S68" i="55"/>
  <c r="R68" i="55"/>
  <c r="Q68" i="55"/>
  <c r="P68" i="55"/>
  <c r="O68" i="55"/>
  <c r="N68" i="55"/>
  <c r="M68" i="55"/>
  <c r="L68" i="55"/>
  <c r="K68" i="55"/>
  <c r="J68" i="55"/>
  <c r="I68" i="55"/>
  <c r="H68" i="55"/>
  <c r="G68" i="55"/>
  <c r="F68" i="55"/>
  <c r="F46" i="55"/>
  <c r="F48" i="55"/>
  <c r="E72" i="62"/>
  <c r="H17" i="62"/>
  <c r="L13" i="22"/>
  <c r="L12" i="22"/>
  <c r="L11" i="22"/>
  <c r="L10" i="22"/>
  <c r="L9" i="22"/>
  <c r="R31" i="95"/>
  <c r="R30" i="95"/>
  <c r="R29" i="95"/>
  <c r="R28" i="95"/>
  <c r="R27" i="95"/>
  <c r="R26" i="95"/>
  <c r="O47" i="68"/>
  <c r="O60" i="68"/>
  <c r="P432" i="59"/>
  <c r="Z494" i="55"/>
  <c r="Y494" i="55"/>
  <c r="X494" i="55"/>
  <c r="W494" i="55"/>
  <c r="V494" i="55"/>
  <c r="U494" i="55"/>
  <c r="T494" i="55"/>
  <c r="S494" i="55"/>
  <c r="R494" i="55"/>
  <c r="Q494" i="55"/>
  <c r="P494" i="55"/>
  <c r="O494" i="55"/>
  <c r="N494" i="55"/>
  <c r="M494" i="55"/>
  <c r="L494" i="55"/>
  <c r="K494" i="55"/>
  <c r="J494" i="55"/>
  <c r="I494" i="55"/>
  <c r="H494" i="55"/>
  <c r="G494" i="55"/>
  <c r="F495" i="55"/>
  <c r="AO492" i="55"/>
  <c r="AN492" i="55"/>
  <c r="AM492" i="55"/>
  <c r="AL492" i="55"/>
  <c r="AK492" i="55"/>
  <c r="AJ492" i="55"/>
  <c r="AI492" i="55"/>
  <c r="AH492" i="55"/>
  <c r="AG492" i="55"/>
  <c r="AF492" i="55"/>
  <c r="AE492" i="55"/>
  <c r="AD492" i="55"/>
  <c r="AC492" i="55"/>
  <c r="AB492" i="55"/>
  <c r="AA492" i="55"/>
  <c r="Z492" i="55"/>
  <c r="Y492" i="55"/>
  <c r="X492" i="55"/>
  <c r="W492" i="55"/>
  <c r="V492" i="55"/>
  <c r="U492" i="55"/>
  <c r="T492" i="55"/>
  <c r="S492" i="55"/>
  <c r="R492" i="55"/>
  <c r="Q492" i="55"/>
  <c r="P492" i="55"/>
  <c r="O492" i="55"/>
  <c r="N492" i="55"/>
  <c r="M492" i="55"/>
  <c r="L492" i="55"/>
  <c r="K492" i="55"/>
  <c r="J492" i="55"/>
  <c r="I492" i="55"/>
  <c r="H492" i="55"/>
  <c r="Z484" i="55"/>
  <c r="Y484" i="55"/>
  <c r="X484" i="55"/>
  <c r="W484" i="55"/>
  <c r="V484" i="55"/>
  <c r="U484" i="55"/>
  <c r="T484" i="55"/>
  <c r="S484" i="55"/>
  <c r="R484" i="55"/>
  <c r="Q484" i="55"/>
  <c r="P484" i="55"/>
  <c r="O484" i="55"/>
  <c r="N484" i="55"/>
  <c r="M484" i="55"/>
  <c r="L484" i="55"/>
  <c r="K484" i="55"/>
  <c r="J484" i="55"/>
  <c r="I484" i="55"/>
  <c r="H484" i="55"/>
  <c r="Z479" i="55"/>
  <c r="Y479" i="55"/>
  <c r="X479" i="55"/>
  <c r="W479" i="55"/>
  <c r="V479" i="55"/>
  <c r="U479" i="55"/>
  <c r="T479" i="55"/>
  <c r="S479" i="55"/>
  <c r="R479" i="55"/>
  <c r="Q479" i="55"/>
  <c r="P479" i="55"/>
  <c r="O479" i="55"/>
  <c r="N479" i="55"/>
  <c r="M479" i="55"/>
  <c r="L479" i="55"/>
  <c r="K479" i="55"/>
  <c r="J479" i="55"/>
  <c r="I479" i="55"/>
  <c r="H479" i="55"/>
  <c r="F480" i="55"/>
  <c r="AO477" i="55"/>
  <c r="AN477" i="55"/>
  <c r="AM477" i="55"/>
  <c r="AL477" i="55"/>
  <c r="AK477" i="55"/>
  <c r="AJ477" i="55"/>
  <c r="AI477" i="55"/>
  <c r="AH477" i="55"/>
  <c r="AG477" i="55"/>
  <c r="AF477" i="55"/>
  <c r="AE477" i="55"/>
  <c r="AD477" i="55"/>
  <c r="AC477" i="55"/>
  <c r="AB477" i="55"/>
  <c r="AA477" i="55"/>
  <c r="Z477" i="55"/>
  <c r="Y477" i="55"/>
  <c r="X477" i="55"/>
  <c r="W477" i="55"/>
  <c r="V477" i="55"/>
  <c r="U477" i="55"/>
  <c r="T477" i="55"/>
  <c r="S477" i="55"/>
  <c r="R477" i="55"/>
  <c r="Q477" i="55"/>
  <c r="P477" i="55"/>
  <c r="O477" i="55"/>
  <c r="N477" i="55"/>
  <c r="M477" i="55"/>
  <c r="L477" i="55"/>
  <c r="K477" i="55"/>
  <c r="J477" i="55"/>
  <c r="I477" i="55"/>
  <c r="H477" i="55"/>
  <c r="AA474" i="55"/>
  <c r="Z474" i="55"/>
  <c r="Y474" i="55"/>
  <c r="X474" i="55"/>
  <c r="W474" i="55"/>
  <c r="V474" i="55"/>
  <c r="U474" i="55"/>
  <c r="T474" i="55"/>
  <c r="S474" i="55"/>
  <c r="R474" i="55"/>
  <c r="Q474" i="55"/>
  <c r="P474" i="55"/>
  <c r="O474" i="55"/>
  <c r="N474" i="55"/>
  <c r="M474" i="55"/>
  <c r="L474" i="55"/>
  <c r="K474" i="55"/>
  <c r="J474" i="55"/>
  <c r="I474" i="55"/>
  <c r="H474" i="55"/>
  <c r="F473" i="55"/>
  <c r="R364" i="59"/>
  <c r="Q364" i="59"/>
  <c r="P364" i="59"/>
  <c r="O364" i="59"/>
  <c r="N364" i="59"/>
  <c r="M364" i="59"/>
  <c r="L364" i="59"/>
  <c r="K364" i="59"/>
  <c r="J364" i="59"/>
  <c r="I364" i="59"/>
  <c r="H364" i="59"/>
  <c r="G364" i="59"/>
  <c r="F364" i="59"/>
  <c r="E365" i="59"/>
  <c r="R358" i="59"/>
  <c r="Q358" i="59"/>
  <c r="P358" i="59"/>
  <c r="O358" i="59"/>
  <c r="N358" i="59"/>
  <c r="M358" i="59"/>
  <c r="L358" i="59"/>
  <c r="K358" i="59"/>
  <c r="J358" i="59"/>
  <c r="I358" i="59"/>
  <c r="H358" i="59"/>
  <c r="G358" i="59"/>
  <c r="F358" i="59"/>
  <c r="E359" i="59"/>
  <c r="E358" i="59"/>
  <c r="R355" i="59"/>
  <c r="Q355" i="59"/>
  <c r="P355" i="59"/>
  <c r="O355" i="59"/>
  <c r="N355" i="59"/>
  <c r="M355" i="59"/>
  <c r="L355" i="59"/>
  <c r="K355" i="59"/>
  <c r="J355" i="59"/>
  <c r="I355" i="59"/>
  <c r="H355" i="59"/>
  <c r="G355" i="59"/>
  <c r="R328" i="61"/>
  <c r="Q328" i="61"/>
  <c r="P328" i="61"/>
  <c r="O328" i="61"/>
  <c r="N328" i="61"/>
  <c r="M328" i="61"/>
  <c r="L328" i="61"/>
  <c r="K328" i="61"/>
  <c r="J328" i="61"/>
  <c r="I328" i="61"/>
  <c r="H328" i="61"/>
  <c r="G328" i="61"/>
  <c r="F328" i="61"/>
  <c r="R322" i="61"/>
  <c r="Q322" i="61"/>
  <c r="P322" i="61"/>
  <c r="O322" i="61"/>
  <c r="N322" i="61"/>
  <c r="M322" i="61"/>
  <c r="L322" i="61"/>
  <c r="K322" i="61"/>
  <c r="J322" i="61"/>
  <c r="I322" i="61"/>
  <c r="H322" i="61"/>
  <c r="G322" i="61"/>
  <c r="F322" i="61"/>
  <c r="P47" i="68"/>
  <c r="N47" i="68"/>
  <c r="M47" i="68"/>
  <c r="L47" i="68"/>
  <c r="K47" i="68"/>
  <c r="J47" i="68"/>
  <c r="I47" i="68"/>
  <c r="H47" i="68"/>
  <c r="G47" i="68"/>
  <c r="F47" i="68"/>
  <c r="E47" i="68"/>
  <c r="D47" i="68"/>
  <c r="C48" i="68"/>
  <c r="C47" i="68"/>
  <c r="AO571" i="55"/>
  <c r="AN571" i="55"/>
  <c r="AM571" i="55"/>
  <c r="AL571" i="55"/>
  <c r="AK571" i="55"/>
  <c r="AJ571" i="55"/>
  <c r="AI571" i="55"/>
  <c r="AH571" i="55"/>
  <c r="AG571" i="55"/>
  <c r="AF571" i="55"/>
  <c r="AE571" i="55"/>
  <c r="AD571" i="55"/>
  <c r="AC571" i="55"/>
  <c r="AB571" i="55"/>
  <c r="AA571" i="55"/>
  <c r="Z571" i="55"/>
  <c r="Y571" i="55"/>
  <c r="X571" i="55"/>
  <c r="W571" i="55"/>
  <c r="V571" i="55"/>
  <c r="U571" i="55"/>
  <c r="T571" i="55"/>
  <c r="S571" i="55"/>
  <c r="R571" i="55"/>
  <c r="Q571" i="55"/>
  <c r="P571" i="55"/>
  <c r="O571" i="55"/>
  <c r="N571" i="55"/>
  <c r="M571" i="55"/>
  <c r="L571" i="55"/>
  <c r="K571" i="55"/>
  <c r="J571" i="55"/>
  <c r="I571" i="55"/>
  <c r="H571" i="55"/>
  <c r="G571" i="55"/>
  <c r="F571" i="55"/>
  <c r="F581" i="55"/>
  <c r="R201" i="61"/>
  <c r="Q201" i="61"/>
  <c r="P201" i="61"/>
  <c r="O201" i="61"/>
  <c r="N201" i="61"/>
  <c r="M201" i="61"/>
  <c r="L201" i="61"/>
  <c r="K201" i="61"/>
  <c r="J201" i="61"/>
  <c r="I201" i="61"/>
  <c r="H201" i="61"/>
  <c r="G201" i="61"/>
  <c r="F201" i="61"/>
  <c r="E201" i="61"/>
  <c r="D202" i="61"/>
  <c r="E259" i="59"/>
  <c r="F253" i="59"/>
  <c r="E254" i="59"/>
  <c r="E253" i="59"/>
  <c r="E136" i="59"/>
  <c r="AA581" i="55"/>
  <c r="Z581" i="55"/>
  <c r="Y581" i="55"/>
  <c r="X581" i="55"/>
  <c r="W581" i="55"/>
  <c r="V581" i="55"/>
  <c r="U581" i="55"/>
  <c r="T581" i="55"/>
  <c r="S581" i="55"/>
  <c r="R581" i="55"/>
  <c r="Q581" i="55"/>
  <c r="P581" i="55"/>
  <c r="O581" i="55"/>
  <c r="N581" i="55"/>
  <c r="M581" i="55"/>
  <c r="L581" i="55"/>
  <c r="K581" i="55"/>
  <c r="J581" i="55"/>
  <c r="I581" i="55"/>
  <c r="H581" i="55"/>
  <c r="G581" i="55"/>
  <c r="F572" i="55"/>
  <c r="G566" i="55"/>
  <c r="F566" i="55"/>
  <c r="G561" i="55"/>
  <c r="F561" i="55"/>
  <c r="AO551" i="55"/>
  <c r="AN551" i="55"/>
  <c r="AM551" i="55"/>
  <c r="AL551" i="55"/>
  <c r="AK551" i="55"/>
  <c r="AJ551" i="55"/>
  <c r="AI551" i="55"/>
  <c r="AH551" i="55"/>
  <c r="AG551" i="55"/>
  <c r="AF551" i="55"/>
  <c r="AE551" i="55"/>
  <c r="AD551" i="55"/>
  <c r="AC551" i="55"/>
  <c r="AB551" i="55"/>
  <c r="AA551" i="55"/>
  <c r="Z551" i="55"/>
  <c r="Y551" i="55"/>
  <c r="X551" i="55"/>
  <c r="W551" i="55"/>
  <c r="V551" i="55"/>
  <c r="U551" i="55"/>
  <c r="T551" i="55"/>
  <c r="S551" i="55"/>
  <c r="R551" i="55"/>
  <c r="Q551" i="55"/>
  <c r="P551" i="55"/>
  <c r="O551" i="55"/>
  <c r="N551" i="55"/>
  <c r="M551" i="55"/>
  <c r="L551" i="55"/>
  <c r="K551" i="55"/>
  <c r="J551" i="55"/>
  <c r="I551" i="55"/>
  <c r="H551" i="55"/>
  <c r="G551" i="55"/>
  <c r="F551" i="55"/>
  <c r="F475" i="55"/>
  <c r="F369" i="55"/>
  <c r="AO349" i="55"/>
  <c r="AN349" i="55"/>
  <c r="AM349" i="55"/>
  <c r="AL349" i="55"/>
  <c r="AK349" i="55"/>
  <c r="AJ349" i="55"/>
  <c r="AI349" i="55"/>
  <c r="AH349" i="55"/>
  <c r="AG349" i="55"/>
  <c r="AF349" i="55"/>
  <c r="AE349" i="55"/>
  <c r="AD349" i="55"/>
  <c r="AC349" i="55"/>
  <c r="AB349" i="55"/>
  <c r="AA349" i="55"/>
  <c r="Z349" i="55"/>
  <c r="Y349" i="55"/>
  <c r="X349" i="55"/>
  <c r="W349" i="55"/>
  <c r="V349" i="55"/>
  <c r="U349" i="55"/>
  <c r="T349" i="55"/>
  <c r="S349" i="55"/>
  <c r="R349" i="55"/>
  <c r="Q349" i="55"/>
  <c r="P349" i="55"/>
  <c r="O349" i="55"/>
  <c r="N349" i="55"/>
  <c r="M349" i="55"/>
  <c r="L349" i="55"/>
  <c r="K349" i="55"/>
  <c r="J349" i="55"/>
  <c r="I349" i="55"/>
  <c r="H349" i="55"/>
  <c r="F66" i="55"/>
  <c r="AP56" i="55"/>
  <c r="AO56" i="55"/>
  <c r="AN56" i="55"/>
  <c r="AM56" i="55"/>
  <c r="AL56" i="55"/>
  <c r="AK56" i="55"/>
  <c r="AJ56" i="55"/>
  <c r="AI56" i="55"/>
  <c r="AH56" i="55"/>
  <c r="AG56" i="55"/>
  <c r="AF56" i="55"/>
  <c r="AE56" i="55"/>
  <c r="AD56" i="55"/>
  <c r="AC56" i="55"/>
  <c r="AB56" i="55"/>
  <c r="AA56" i="55"/>
  <c r="Z56" i="55"/>
  <c r="Y56" i="55"/>
  <c r="X56" i="55"/>
  <c r="W56" i="55"/>
  <c r="V56" i="55"/>
  <c r="U56" i="55"/>
  <c r="T56" i="55"/>
  <c r="S56" i="55"/>
  <c r="R56" i="55"/>
  <c r="Q56" i="55"/>
  <c r="P56" i="55"/>
  <c r="O56" i="55"/>
  <c r="N56" i="55"/>
  <c r="M56" i="55"/>
  <c r="L56" i="55"/>
  <c r="K56" i="55"/>
  <c r="J56" i="55"/>
  <c r="I56" i="55"/>
  <c r="H56" i="55"/>
  <c r="G56" i="55"/>
  <c r="F57" i="55"/>
  <c r="F56" i="55"/>
  <c r="G48" i="55"/>
  <c r="G46" i="55"/>
  <c r="F47" i="55"/>
  <c r="U369" i="55"/>
  <c r="V369" i="55"/>
  <c r="W369" i="55"/>
  <c r="X369" i="55"/>
  <c r="Y369" i="55"/>
  <c r="Z369" i="55"/>
  <c r="D22" i="68"/>
  <c r="C23" i="68"/>
  <c r="C22" i="68"/>
  <c r="AP48" i="55"/>
  <c r="AO48" i="55"/>
  <c r="AN48" i="55"/>
  <c r="AM48" i="55"/>
  <c r="AL48" i="55"/>
  <c r="AK48" i="55"/>
  <c r="AJ48" i="55"/>
  <c r="AI48" i="55"/>
  <c r="AH48" i="55"/>
  <c r="AG48" i="55"/>
  <c r="AF48" i="55"/>
  <c r="AE48" i="55"/>
  <c r="AD48" i="55"/>
  <c r="AC48" i="55"/>
  <c r="AB48" i="55"/>
  <c r="AA48" i="55"/>
  <c r="Z48" i="55"/>
  <c r="Y48" i="55"/>
  <c r="X48" i="55"/>
  <c r="W48" i="55"/>
  <c r="V48" i="55"/>
  <c r="U48" i="55"/>
  <c r="T48" i="55"/>
  <c r="S48" i="55"/>
  <c r="R48" i="55"/>
  <c r="Q48" i="55"/>
  <c r="P48" i="55"/>
  <c r="O48" i="55"/>
  <c r="N48" i="55"/>
  <c r="M48" i="55"/>
  <c r="L48" i="55"/>
  <c r="K48" i="55"/>
  <c r="J48" i="55"/>
  <c r="I48" i="55"/>
  <c r="H48" i="55"/>
  <c r="D9" i="68"/>
  <c r="C10" i="68"/>
  <c r="C9" i="68"/>
  <c r="E351" i="61"/>
  <c r="D352" i="61"/>
  <c r="D351" i="61"/>
  <c r="E207" i="61"/>
  <c r="D208" i="61"/>
  <c r="D207" i="61"/>
  <c r="D201" i="61"/>
  <c r="E148" i="59"/>
  <c r="E142" i="59"/>
  <c r="F139" i="59"/>
  <c r="E140" i="59"/>
  <c r="E139" i="59"/>
  <c r="E55" i="59"/>
  <c r="E49" i="59"/>
  <c r="E43" i="59"/>
  <c r="F562" i="55"/>
  <c r="F552" i="55"/>
  <c r="AP205" i="55"/>
  <c r="AO205" i="55"/>
  <c r="AN205" i="55"/>
  <c r="AM205" i="55"/>
  <c r="AL205" i="55"/>
  <c r="AK205" i="55"/>
  <c r="AJ205" i="55"/>
  <c r="AI205" i="55"/>
  <c r="AH205" i="55"/>
  <c r="AG205" i="55"/>
  <c r="AF205" i="55"/>
  <c r="AE205" i="55"/>
  <c r="AD205" i="55"/>
  <c r="AC205" i="55"/>
  <c r="AB205" i="55"/>
  <c r="AA205" i="55"/>
  <c r="Z205" i="55"/>
  <c r="Y205" i="55"/>
  <c r="X205" i="55"/>
  <c r="W205" i="55"/>
  <c r="V205" i="55"/>
  <c r="U205" i="55"/>
  <c r="T205" i="55"/>
  <c r="S205" i="55"/>
  <c r="R205" i="55"/>
  <c r="Q205" i="55"/>
  <c r="P205" i="55"/>
  <c r="O205" i="55"/>
  <c r="N205" i="55"/>
  <c r="M205" i="55"/>
  <c r="L205" i="55"/>
  <c r="K205" i="55"/>
  <c r="J205" i="55"/>
  <c r="I205" i="55"/>
  <c r="H205" i="55"/>
  <c r="F206" i="55"/>
  <c r="F76" i="55"/>
  <c r="G66" i="55"/>
  <c r="L14" i="22" l="1"/>
  <c r="AC50" i="79"/>
  <c r="F3" i="64"/>
  <c r="R319" i="61"/>
  <c r="Q319" i="61"/>
  <c r="P319" i="61"/>
  <c r="O319" i="61"/>
  <c r="N319" i="61"/>
  <c r="M319" i="61"/>
  <c r="L319" i="61"/>
  <c r="K319" i="61"/>
  <c r="J319" i="61"/>
  <c r="I319" i="61"/>
  <c r="H319" i="61"/>
  <c r="G319" i="61"/>
  <c r="F319" i="61"/>
  <c r="R316" i="61"/>
  <c r="Q316" i="61"/>
  <c r="P316" i="61"/>
  <c r="O316" i="61"/>
  <c r="N316" i="61"/>
  <c r="M316" i="61"/>
  <c r="L316" i="61"/>
  <c r="K316" i="61"/>
  <c r="J316" i="61"/>
  <c r="I316" i="61"/>
  <c r="H316" i="61"/>
  <c r="G316" i="61"/>
  <c r="F316" i="61"/>
  <c r="E441" i="59" l="1"/>
  <c r="F438" i="59"/>
  <c r="E439" i="59"/>
  <c r="E438" i="59"/>
  <c r="F432" i="59"/>
  <c r="E433" i="59"/>
  <c r="E432" i="59"/>
  <c r="F265" i="59"/>
  <c r="E266" i="59"/>
  <c r="E265" i="59"/>
  <c r="F259" i="59"/>
  <c r="E260" i="59"/>
  <c r="F148" i="59"/>
  <c r="E149" i="59"/>
  <c r="F142" i="59"/>
  <c r="E143" i="59"/>
  <c r="F136" i="59"/>
  <c r="E137" i="59"/>
  <c r="E56" i="59"/>
  <c r="F55" i="59"/>
  <c r="F49" i="59"/>
  <c r="E50" i="59"/>
  <c r="F43" i="59"/>
  <c r="E44" i="59"/>
  <c r="F567" i="55"/>
  <c r="AO561" i="55"/>
  <c r="AN561" i="55"/>
  <c r="AM561" i="55"/>
  <c r="AL561" i="55"/>
  <c r="AK561" i="55"/>
  <c r="AJ561" i="55"/>
  <c r="AI561" i="55"/>
  <c r="AH561" i="55"/>
  <c r="AG561" i="55"/>
  <c r="AF561" i="55"/>
  <c r="AE561" i="55"/>
  <c r="AD561" i="55"/>
  <c r="AC561" i="55"/>
  <c r="AB561" i="55"/>
  <c r="AA561" i="55"/>
  <c r="Z561" i="55"/>
  <c r="Y561" i="55"/>
  <c r="X561" i="55"/>
  <c r="W561" i="55"/>
  <c r="V561" i="55"/>
  <c r="U561" i="55"/>
  <c r="T561" i="55"/>
  <c r="S561" i="55"/>
  <c r="R561" i="55"/>
  <c r="Q561" i="55"/>
  <c r="P561" i="55"/>
  <c r="O561" i="55"/>
  <c r="N561" i="55"/>
  <c r="M561" i="55"/>
  <c r="L561" i="55"/>
  <c r="K561" i="55"/>
  <c r="J561" i="55"/>
  <c r="I561" i="55"/>
  <c r="H561" i="55"/>
  <c r="F230" i="55"/>
  <c r="AP66" i="55"/>
  <c r="AO66" i="55"/>
  <c r="AN66" i="55"/>
  <c r="AM66" i="55"/>
  <c r="AL66" i="55"/>
  <c r="AK66" i="55"/>
  <c r="AJ66" i="55"/>
  <c r="AI66" i="55"/>
  <c r="AH66" i="55"/>
  <c r="AG66" i="55"/>
  <c r="AF66" i="55"/>
  <c r="AE66" i="55"/>
  <c r="AD66" i="55"/>
  <c r="AC66" i="55"/>
  <c r="AB66" i="55"/>
  <c r="AA66" i="55"/>
  <c r="Z66" i="55"/>
  <c r="Y66" i="55"/>
  <c r="X66" i="55"/>
  <c r="W66" i="55"/>
  <c r="V66" i="55"/>
  <c r="U66" i="55"/>
  <c r="T66" i="55"/>
  <c r="S66" i="55"/>
  <c r="R66" i="55"/>
  <c r="Q66" i="55"/>
  <c r="P66" i="55"/>
  <c r="O66" i="55"/>
  <c r="N66" i="55"/>
  <c r="M66" i="55"/>
  <c r="L66" i="55"/>
  <c r="K66" i="55"/>
  <c r="J66" i="55"/>
  <c r="I66" i="55"/>
  <c r="H66" i="55"/>
  <c r="F67" i="55"/>
  <c r="F3" i="70"/>
  <c r="D31" i="66"/>
  <c r="D33" i="71" l="1"/>
  <c r="R182" i="61" l="1"/>
  <c r="Q182" i="61"/>
  <c r="P182" i="61"/>
  <c r="O182" i="61"/>
  <c r="N182" i="61"/>
  <c r="M182" i="61"/>
  <c r="L182" i="61"/>
  <c r="K182" i="61"/>
  <c r="J182" i="61"/>
  <c r="I182" i="61"/>
  <c r="H182" i="61"/>
  <c r="G182" i="61"/>
  <c r="F182" i="61"/>
  <c r="AP202" i="55"/>
  <c r="AO202" i="55"/>
  <c r="AN202" i="55"/>
  <c r="AM202" i="55"/>
  <c r="AL202" i="55"/>
  <c r="AK202" i="55"/>
  <c r="AJ202" i="55"/>
  <c r="AI202" i="55"/>
  <c r="AH202" i="55"/>
  <c r="AG202" i="55"/>
  <c r="AF202" i="55"/>
  <c r="AE202" i="55"/>
  <c r="AD202" i="55"/>
  <c r="AC202" i="55"/>
  <c r="AB202" i="55"/>
  <c r="AA202" i="55"/>
  <c r="Z202" i="55"/>
  <c r="Y202" i="55"/>
  <c r="X202" i="55"/>
  <c r="W202" i="55"/>
  <c r="V202" i="55"/>
  <c r="U202" i="55"/>
  <c r="T202" i="55"/>
  <c r="S202" i="55"/>
  <c r="R202" i="55"/>
  <c r="Q202" i="55"/>
  <c r="P202" i="55"/>
  <c r="O202" i="55"/>
  <c r="N202" i="55"/>
  <c r="M202" i="55"/>
  <c r="L202" i="55"/>
  <c r="K202" i="55"/>
  <c r="J202" i="55"/>
  <c r="I202" i="55"/>
  <c r="H202" i="55"/>
  <c r="C67" i="62"/>
  <c r="AC50" i="22" l="1"/>
  <c r="L13" i="79"/>
  <c r="L10" i="79"/>
  <c r="L11" i="79"/>
  <c r="L12" i="79"/>
  <c r="O34" i="68"/>
  <c r="O22" i="68"/>
  <c r="O9" i="68"/>
  <c r="L566" i="55"/>
  <c r="E130" i="85" l="1"/>
  <c r="C8" i="87"/>
  <c r="C8" i="98"/>
  <c r="C8" i="77"/>
  <c r="AE29" i="97"/>
  <c r="AD29" i="97" s="1"/>
  <c r="AC29" i="97"/>
  <c r="AA29" i="97"/>
  <c r="Y29" i="97"/>
  <c r="X29" i="97"/>
  <c r="W29" i="97"/>
  <c r="V29" i="97"/>
  <c r="U29" i="97"/>
  <c r="N29" i="97"/>
  <c r="I29" i="97"/>
  <c r="H29" i="97"/>
  <c r="G29" i="97"/>
  <c r="F29" i="97"/>
  <c r="E29" i="97"/>
  <c r="D29" i="97"/>
  <c r="K29" i="97" l="1"/>
  <c r="C14" i="83"/>
  <c r="E146" i="97"/>
  <c r="C7" i="98"/>
  <c r="C14" i="98"/>
  <c r="C14" i="77"/>
  <c r="C14" i="36"/>
  <c r="R176" i="61" l="1"/>
  <c r="Q176" i="61"/>
  <c r="P176" i="61"/>
  <c r="O176" i="61"/>
  <c r="N176" i="61"/>
  <c r="M176" i="61"/>
  <c r="L176" i="61"/>
  <c r="K176" i="61"/>
  <c r="J176" i="61"/>
  <c r="I176" i="61"/>
  <c r="H176" i="61"/>
  <c r="G176" i="61"/>
  <c r="F176" i="61"/>
  <c r="R441" i="59"/>
  <c r="Q441" i="59"/>
  <c r="P441" i="59"/>
  <c r="O441" i="59"/>
  <c r="N441" i="59"/>
  <c r="M441" i="59"/>
  <c r="L441" i="59"/>
  <c r="K441" i="59"/>
  <c r="J441" i="59"/>
  <c r="I441" i="59"/>
  <c r="H441" i="59"/>
  <c r="G441" i="59"/>
  <c r="F441" i="59"/>
  <c r="E442" i="59"/>
  <c r="R142" i="59"/>
  <c r="Q142" i="59"/>
  <c r="P142" i="59"/>
  <c r="O142" i="59"/>
  <c r="N142" i="59"/>
  <c r="M142" i="59"/>
  <c r="L142" i="59"/>
  <c r="K142" i="59"/>
  <c r="J142" i="59"/>
  <c r="I142" i="59"/>
  <c r="H142" i="59"/>
  <c r="G142" i="59"/>
  <c r="AO566" i="55"/>
  <c r="AN566" i="55"/>
  <c r="AM566" i="55"/>
  <c r="AL566" i="55"/>
  <c r="AK566" i="55"/>
  <c r="AJ566" i="55"/>
  <c r="AI566" i="55"/>
  <c r="AH566" i="55"/>
  <c r="AG566" i="55"/>
  <c r="AF566" i="55"/>
  <c r="AE566" i="55"/>
  <c r="AD566" i="55"/>
  <c r="AC566" i="55"/>
  <c r="AB566" i="55"/>
  <c r="AA566" i="55"/>
  <c r="Z566" i="55"/>
  <c r="Y566" i="55"/>
  <c r="X566" i="55"/>
  <c r="W566" i="55"/>
  <c r="V566" i="55"/>
  <c r="U566" i="55"/>
  <c r="T566" i="55"/>
  <c r="S566" i="55"/>
  <c r="R566" i="55"/>
  <c r="Q566" i="55"/>
  <c r="P566" i="55"/>
  <c r="O566" i="55"/>
  <c r="N566" i="55"/>
  <c r="M566" i="55"/>
  <c r="K566" i="55"/>
  <c r="J566" i="55"/>
  <c r="I566" i="55"/>
  <c r="H566" i="55"/>
  <c r="Z482" i="55"/>
  <c r="Y482" i="55"/>
  <c r="X482" i="55"/>
  <c r="W482" i="55"/>
  <c r="V482" i="55"/>
  <c r="U482" i="55"/>
  <c r="T482" i="55"/>
  <c r="S482" i="55"/>
  <c r="R482" i="55"/>
  <c r="Q482" i="55"/>
  <c r="P482" i="55"/>
  <c r="O482" i="55"/>
  <c r="N482" i="55"/>
  <c r="M482" i="55"/>
  <c r="L482" i="55"/>
  <c r="K482" i="55"/>
  <c r="J482" i="55"/>
  <c r="I482" i="55"/>
  <c r="H482" i="55"/>
  <c r="L12" i="56"/>
  <c r="L16" i="56"/>
  <c r="L4" i="70"/>
  <c r="L3" i="70"/>
  <c r="E3" i="70"/>
  <c r="G3" i="70"/>
  <c r="H3" i="70"/>
  <c r="I3" i="70"/>
  <c r="J3" i="70"/>
  <c r="K3" i="70"/>
  <c r="D4" i="70"/>
  <c r="D3" i="70"/>
  <c r="C4" i="70"/>
  <c r="C3" i="70"/>
  <c r="C79" i="62"/>
  <c r="C78" i="62"/>
  <c r="C77" i="62"/>
  <c r="C76" i="62"/>
  <c r="C75" i="62"/>
  <c r="C73" i="62"/>
  <c r="C72" i="62"/>
  <c r="C71" i="62"/>
  <c r="C70" i="62"/>
  <c r="C69" i="62"/>
  <c r="C68" i="62"/>
  <c r="C66" i="62"/>
  <c r="C65" i="62"/>
  <c r="C64" i="62"/>
  <c r="C63" i="62"/>
  <c r="C62" i="62"/>
  <c r="C5" i="70" l="1"/>
  <c r="M3" i="70"/>
  <c r="D31" i="58" l="1"/>
  <c r="D31" i="57" l="1"/>
  <c r="C8" i="83" l="1"/>
  <c r="C7" i="83"/>
  <c r="C6" i="83"/>
  <c r="C5" i="83"/>
  <c r="C4" i="83"/>
  <c r="C3" i="83"/>
  <c r="E146" i="85"/>
  <c r="E145" i="85"/>
  <c r="E144" i="85"/>
  <c r="E143" i="85"/>
  <c r="E142" i="85"/>
  <c r="AC10" i="97"/>
  <c r="C8" i="80"/>
  <c r="C7" i="80"/>
  <c r="C6" i="80"/>
  <c r="C5" i="80"/>
  <c r="C4" i="80"/>
  <c r="C3" i="80"/>
  <c r="E146" i="79"/>
  <c r="E145" i="79"/>
  <c r="E144" i="79"/>
  <c r="E143" i="79"/>
  <c r="E142" i="79"/>
  <c r="E130" i="79"/>
  <c r="C6" i="77"/>
  <c r="C4" i="77"/>
  <c r="C3" i="77"/>
  <c r="E146" i="75"/>
  <c r="E145" i="75"/>
  <c r="E144" i="75"/>
  <c r="E143" i="75"/>
  <c r="E142" i="75"/>
  <c r="E130" i="22"/>
  <c r="E130" i="75"/>
  <c r="C8" i="36"/>
  <c r="C4" i="36"/>
  <c r="C5" i="36"/>
  <c r="C6" i="36"/>
  <c r="C7" i="36"/>
  <c r="C3" i="36"/>
  <c r="D10" i="67"/>
  <c r="C11" i="67"/>
  <c r="C10" i="67"/>
  <c r="C9" i="80" l="1"/>
  <c r="R259" i="59"/>
  <c r="Q259" i="59"/>
  <c r="P259" i="59"/>
  <c r="O259" i="59"/>
  <c r="N259" i="59"/>
  <c r="M259" i="59"/>
  <c r="L259" i="59"/>
  <c r="K259" i="59"/>
  <c r="J259" i="59"/>
  <c r="I259" i="59"/>
  <c r="H259" i="59"/>
  <c r="G259" i="59"/>
  <c r="R148" i="59"/>
  <c r="Q148" i="59"/>
  <c r="P148" i="59"/>
  <c r="O148" i="59"/>
  <c r="N148" i="59"/>
  <c r="M148" i="59"/>
  <c r="L148" i="59"/>
  <c r="K148" i="59"/>
  <c r="J148" i="59"/>
  <c r="I148" i="59"/>
  <c r="H148" i="59"/>
  <c r="G148" i="59"/>
  <c r="I136" i="59"/>
  <c r="R136" i="59"/>
  <c r="Q136" i="59"/>
  <c r="P136" i="59"/>
  <c r="O136" i="59"/>
  <c r="N136" i="59"/>
  <c r="M136" i="59"/>
  <c r="L136" i="59"/>
  <c r="K136" i="59"/>
  <c r="J136" i="59"/>
  <c r="H136" i="59"/>
  <c r="G136" i="59"/>
  <c r="T369" i="55"/>
  <c r="S369" i="55"/>
  <c r="R369" i="55"/>
  <c r="Q369" i="55"/>
  <c r="P369" i="55"/>
  <c r="O369" i="55"/>
  <c r="N369" i="55"/>
  <c r="M369" i="55"/>
  <c r="L369" i="55"/>
  <c r="K369" i="55"/>
  <c r="J369" i="55"/>
  <c r="I369" i="55"/>
  <c r="H369" i="55"/>
  <c r="G369" i="55"/>
  <c r="AA210" i="55"/>
  <c r="Z210" i="55"/>
  <c r="Y210" i="55"/>
  <c r="X210" i="55"/>
  <c r="W210" i="55"/>
  <c r="V210" i="55"/>
  <c r="U210" i="55"/>
  <c r="T210" i="55"/>
  <c r="S210" i="55"/>
  <c r="R210" i="55"/>
  <c r="Q210" i="55"/>
  <c r="P210" i="55"/>
  <c r="O210" i="55"/>
  <c r="N210" i="55"/>
  <c r="M210" i="55"/>
  <c r="L210" i="55"/>
  <c r="K210" i="55"/>
  <c r="J210" i="55"/>
  <c r="I210" i="55"/>
  <c r="H210" i="55"/>
  <c r="E4" i="70"/>
  <c r="F4" i="70"/>
  <c r="G4" i="70"/>
  <c r="H4" i="70"/>
  <c r="I4" i="70"/>
  <c r="J4" i="70"/>
  <c r="K4" i="70"/>
  <c r="O27" i="95"/>
  <c r="O28" i="95"/>
  <c r="O29" i="95"/>
  <c r="O30" i="95"/>
  <c r="O26" i="95"/>
  <c r="N4" i="70" l="1"/>
  <c r="M4" i="70"/>
  <c r="E143" i="22"/>
  <c r="E144" i="22"/>
  <c r="E145" i="22"/>
  <c r="E146" i="22"/>
  <c r="E142" i="22"/>
  <c r="G31" i="66" l="1"/>
  <c r="H54" i="91" l="1"/>
  <c r="I54" i="91"/>
  <c r="J54" i="91"/>
  <c r="K54" i="91"/>
  <c r="L54" i="91"/>
  <c r="G54" i="91"/>
  <c r="E49" i="91"/>
  <c r="E50" i="91"/>
  <c r="E51" i="91"/>
  <c r="E52" i="91"/>
  <c r="E53" i="91"/>
  <c r="D54" i="91"/>
  <c r="AG65" i="90"/>
  <c r="AG64" i="90"/>
  <c r="AG63" i="90"/>
  <c r="AG62" i="90"/>
  <c r="AG61" i="90"/>
  <c r="AG60" i="90"/>
  <c r="I35" i="96" l="1"/>
  <c r="AC11" i="97" l="1"/>
  <c r="O46" i="99"/>
  <c r="N46" i="99"/>
  <c r="M46" i="99"/>
  <c r="F46" i="99"/>
  <c r="E34" i="99"/>
  <c r="E33" i="99"/>
  <c r="E32" i="99"/>
  <c r="E31" i="99"/>
  <c r="E30" i="99"/>
  <c r="U6" i="99"/>
  <c r="F6" i="99"/>
  <c r="L4" i="98"/>
  <c r="L5" i="98"/>
  <c r="L6" i="98"/>
  <c r="L7" i="98"/>
  <c r="L3" i="98"/>
  <c r="C4" i="98"/>
  <c r="C5" i="98"/>
  <c r="C6" i="98"/>
  <c r="C3" i="98"/>
  <c r="E143" i="97"/>
  <c r="E144" i="97"/>
  <c r="E145" i="97"/>
  <c r="E142" i="97"/>
  <c r="K129" i="97"/>
  <c r="K53" i="91" s="1"/>
  <c r="K125" i="97"/>
  <c r="K49" i="91" s="1"/>
  <c r="D128" i="97"/>
  <c r="D52" i="91" s="1"/>
  <c r="L25" i="56"/>
  <c r="L129" i="97" s="1"/>
  <c r="L24" i="56"/>
  <c r="L128" i="97" s="1"/>
  <c r="L23" i="56"/>
  <c r="L127" i="97" s="1"/>
  <c r="L22" i="56"/>
  <c r="L126" i="97" s="1"/>
  <c r="L21" i="56"/>
  <c r="L125" i="97" s="1"/>
  <c r="L49" i="91" s="1"/>
  <c r="L15" i="56"/>
  <c r="K128" i="97" s="1"/>
  <c r="K52" i="91" s="1"/>
  <c r="L14" i="56"/>
  <c r="K127" i="97" s="1"/>
  <c r="K51" i="91" s="1"/>
  <c r="L13" i="56"/>
  <c r="K126" i="97" s="1"/>
  <c r="L7" i="56"/>
  <c r="D129" i="97" s="1"/>
  <c r="L6" i="56"/>
  <c r="L5" i="56"/>
  <c r="D127" i="97" s="1"/>
  <c r="L4" i="56"/>
  <c r="D126" i="97" s="1"/>
  <c r="L3" i="56"/>
  <c r="D125" i="97" s="1"/>
  <c r="AC70" i="97"/>
  <c r="AA70" i="97"/>
  <c r="V70" i="97"/>
  <c r="W70" i="97"/>
  <c r="X70" i="97"/>
  <c r="Y70" i="97"/>
  <c r="U70" i="97"/>
  <c r="AE70" i="97"/>
  <c r="N70" i="97"/>
  <c r="E70" i="97"/>
  <c r="F70" i="97"/>
  <c r="G70" i="97"/>
  <c r="H70" i="97"/>
  <c r="I70" i="97"/>
  <c r="D70" i="97"/>
  <c r="AE69" i="97"/>
  <c r="AD69" i="97" s="1"/>
  <c r="AC69" i="97"/>
  <c r="AA69" i="97"/>
  <c r="V69" i="97"/>
  <c r="W69" i="97"/>
  <c r="X69" i="97"/>
  <c r="Y69" i="97"/>
  <c r="U69" i="97"/>
  <c r="N69" i="97"/>
  <c r="AB69" i="97" s="1"/>
  <c r="E69" i="97"/>
  <c r="F69" i="97"/>
  <c r="G69" i="97"/>
  <c r="H69" i="97"/>
  <c r="I69" i="97"/>
  <c r="D69" i="97"/>
  <c r="AE68" i="97"/>
  <c r="AC68" i="97"/>
  <c r="AA68" i="97"/>
  <c r="V68" i="97"/>
  <c r="W68" i="97"/>
  <c r="X68" i="97"/>
  <c r="Y68" i="97"/>
  <c r="U68" i="97"/>
  <c r="N68" i="97"/>
  <c r="E68" i="97"/>
  <c r="F68" i="97"/>
  <c r="G68" i="97"/>
  <c r="H68" i="97"/>
  <c r="I68" i="97"/>
  <c r="D68" i="97"/>
  <c r="AE67" i="97"/>
  <c r="AD67" i="97" s="1"/>
  <c r="AC67" i="97"/>
  <c r="AA67" i="97"/>
  <c r="V67" i="97"/>
  <c r="W67" i="97"/>
  <c r="X67" i="97"/>
  <c r="Y67" i="97"/>
  <c r="U67" i="97"/>
  <c r="N67" i="97"/>
  <c r="AB67" i="97" s="1"/>
  <c r="J71" i="97"/>
  <c r="E67" i="97"/>
  <c r="F67" i="97"/>
  <c r="G67" i="97"/>
  <c r="H67" i="97"/>
  <c r="I67" i="97"/>
  <c r="D67" i="97"/>
  <c r="AE66" i="97"/>
  <c r="AC66" i="97"/>
  <c r="AA66" i="97"/>
  <c r="V66" i="97"/>
  <c r="W66" i="97"/>
  <c r="X66" i="97"/>
  <c r="Y66" i="97"/>
  <c r="U66" i="97"/>
  <c r="N66" i="97"/>
  <c r="E66" i="97"/>
  <c r="F66" i="97"/>
  <c r="G66" i="97"/>
  <c r="H66" i="97"/>
  <c r="I66" i="97"/>
  <c r="D66" i="97"/>
  <c r="AE51" i="97"/>
  <c r="AD51" i="97" s="1"/>
  <c r="AC51" i="97"/>
  <c r="AA51" i="97"/>
  <c r="Y51" i="97"/>
  <c r="V51" i="97"/>
  <c r="W51" i="97"/>
  <c r="X51" i="97"/>
  <c r="U51" i="97"/>
  <c r="N51" i="97"/>
  <c r="AB51" i="97" s="1"/>
  <c r="E51" i="97"/>
  <c r="F51" i="97"/>
  <c r="G51" i="97"/>
  <c r="H51" i="97"/>
  <c r="I51" i="97"/>
  <c r="D51" i="97"/>
  <c r="AE50" i="97"/>
  <c r="AD50" i="97" s="1"/>
  <c r="AC50" i="97"/>
  <c r="AA50" i="97"/>
  <c r="V50" i="97"/>
  <c r="W50" i="97"/>
  <c r="X50" i="97"/>
  <c r="Y50" i="97"/>
  <c r="U50" i="97"/>
  <c r="N50" i="97"/>
  <c r="AB50" i="97" s="1"/>
  <c r="E50" i="97"/>
  <c r="F50" i="97"/>
  <c r="G50" i="97"/>
  <c r="H50" i="97"/>
  <c r="I50" i="97"/>
  <c r="D50" i="97"/>
  <c r="AC49" i="97"/>
  <c r="AA49" i="97"/>
  <c r="V49" i="97"/>
  <c r="W49" i="97"/>
  <c r="X49" i="97"/>
  <c r="Y49" i="97"/>
  <c r="U49" i="97"/>
  <c r="AE49" i="97"/>
  <c r="AD49" i="97" s="1"/>
  <c r="N49" i="97"/>
  <c r="AB49" i="97" s="1"/>
  <c r="E49" i="97"/>
  <c r="F49" i="97"/>
  <c r="G49" i="97"/>
  <c r="H49" i="97"/>
  <c r="I49" i="97"/>
  <c r="D49" i="97"/>
  <c r="AC48" i="97"/>
  <c r="AA48" i="97"/>
  <c r="V48" i="97"/>
  <c r="W48" i="97"/>
  <c r="X48" i="97"/>
  <c r="Y48" i="97"/>
  <c r="U48" i="97"/>
  <c r="AE48" i="97"/>
  <c r="AD48" i="97" s="1"/>
  <c r="N48" i="97"/>
  <c r="AB48" i="97" s="1"/>
  <c r="E48" i="97"/>
  <c r="F48" i="97"/>
  <c r="G48" i="97"/>
  <c r="H48" i="97"/>
  <c r="I48" i="97"/>
  <c r="D48" i="97"/>
  <c r="AE47" i="97"/>
  <c r="AD47" i="97" s="1"/>
  <c r="AC47" i="97"/>
  <c r="AA47" i="97"/>
  <c r="V47" i="97"/>
  <c r="W47" i="97"/>
  <c r="X47" i="97"/>
  <c r="Y47" i="97"/>
  <c r="U47" i="97"/>
  <c r="N47" i="97"/>
  <c r="E47" i="97"/>
  <c r="F47" i="97"/>
  <c r="G47" i="97"/>
  <c r="H47" i="97"/>
  <c r="I47" i="97"/>
  <c r="D47" i="97"/>
  <c r="AC31" i="97"/>
  <c r="AC30" i="97"/>
  <c r="AC28" i="97"/>
  <c r="AA31" i="97"/>
  <c r="V31" i="97"/>
  <c r="W31" i="97"/>
  <c r="X31" i="97"/>
  <c r="Y31" i="97"/>
  <c r="U31" i="97"/>
  <c r="AE31" i="97"/>
  <c r="AD31" i="97" s="1"/>
  <c r="N31" i="97"/>
  <c r="AB31" i="97" s="1"/>
  <c r="E31" i="97"/>
  <c r="F31" i="97"/>
  <c r="G31" i="97"/>
  <c r="H31" i="97"/>
  <c r="I31" i="97"/>
  <c r="D31" i="97"/>
  <c r="AA30" i="97"/>
  <c r="V30" i="97"/>
  <c r="W30" i="97"/>
  <c r="X30" i="97"/>
  <c r="Y30" i="97"/>
  <c r="U30" i="97"/>
  <c r="AE30" i="97"/>
  <c r="N30" i="97"/>
  <c r="E30" i="97"/>
  <c r="F30" i="97"/>
  <c r="G30" i="97"/>
  <c r="H30" i="97"/>
  <c r="I30" i="97"/>
  <c r="D30" i="97"/>
  <c r="AA28" i="97"/>
  <c r="V28" i="97"/>
  <c r="W28" i="97"/>
  <c r="X28" i="97"/>
  <c r="Y28" i="97"/>
  <c r="U28" i="97"/>
  <c r="AE28" i="97"/>
  <c r="N28" i="97"/>
  <c r="E28" i="97"/>
  <c r="F28" i="97"/>
  <c r="G28" i="97"/>
  <c r="H28" i="97"/>
  <c r="I28" i="97"/>
  <c r="D28" i="97"/>
  <c r="AE32" i="97"/>
  <c r="AC32" i="97"/>
  <c r="AA32" i="97"/>
  <c r="Y32" i="97"/>
  <c r="X32" i="97"/>
  <c r="W32" i="97"/>
  <c r="V32" i="97"/>
  <c r="U32" i="97"/>
  <c r="N32" i="97"/>
  <c r="AB32" i="97" s="1"/>
  <c r="E32" i="97"/>
  <c r="F32" i="97"/>
  <c r="G32" i="97"/>
  <c r="H32" i="97"/>
  <c r="I32" i="97"/>
  <c r="D32" i="97"/>
  <c r="AC13" i="97"/>
  <c r="AA13" i="97"/>
  <c r="AE13" i="97"/>
  <c r="V13" i="97"/>
  <c r="W13" i="97"/>
  <c r="X13" i="97"/>
  <c r="Y13" i="97"/>
  <c r="U13" i="97"/>
  <c r="N13" i="97"/>
  <c r="E13" i="97"/>
  <c r="F13" i="97"/>
  <c r="G13" i="97"/>
  <c r="H13" i="97"/>
  <c r="I13" i="97"/>
  <c r="D13" i="97"/>
  <c r="AE12" i="97"/>
  <c r="AC12" i="97"/>
  <c r="AA12" i="97"/>
  <c r="V12" i="97"/>
  <c r="W12" i="97"/>
  <c r="X12" i="97"/>
  <c r="Y12" i="97"/>
  <c r="U12" i="97"/>
  <c r="N12" i="97"/>
  <c r="E12" i="97"/>
  <c r="F12" i="97"/>
  <c r="G12" i="97"/>
  <c r="H12" i="97"/>
  <c r="I12" i="97"/>
  <c r="J107" i="97"/>
  <c r="J63" i="90" s="1"/>
  <c r="D12" i="97"/>
  <c r="AE11" i="97"/>
  <c r="AA11" i="97"/>
  <c r="V11" i="97"/>
  <c r="W11" i="97"/>
  <c r="X11" i="97"/>
  <c r="Y11" i="97"/>
  <c r="U11" i="97"/>
  <c r="N11" i="97"/>
  <c r="E11" i="97"/>
  <c r="F11" i="97"/>
  <c r="G11" i="97"/>
  <c r="H11" i="97"/>
  <c r="I11" i="97"/>
  <c r="D11" i="97"/>
  <c r="AE10" i="97"/>
  <c r="AC9" i="97"/>
  <c r="AA10" i="97"/>
  <c r="AA9" i="97"/>
  <c r="Z9" i="97"/>
  <c r="V10" i="97"/>
  <c r="W10" i="97"/>
  <c r="X10" i="97"/>
  <c r="Y10" i="97"/>
  <c r="U10" i="97"/>
  <c r="N10" i="97"/>
  <c r="E10" i="97"/>
  <c r="F10" i="97"/>
  <c r="G10" i="97"/>
  <c r="H10" i="97"/>
  <c r="I10" i="97"/>
  <c r="J105" i="97"/>
  <c r="J61" i="90" s="1"/>
  <c r="D10" i="97"/>
  <c r="AE9" i="97"/>
  <c r="V9" i="97"/>
  <c r="W9" i="97"/>
  <c r="X9" i="97"/>
  <c r="Y9" i="97"/>
  <c r="U9" i="97"/>
  <c r="N9" i="97"/>
  <c r="AB9" i="97" s="1"/>
  <c r="E9" i="97"/>
  <c r="F9" i="97"/>
  <c r="G9" i="97"/>
  <c r="H9" i="97"/>
  <c r="I9" i="97"/>
  <c r="D9" i="97"/>
  <c r="X7" i="99"/>
  <c r="U7" i="99"/>
  <c r="H145" i="97"/>
  <c r="G6" i="98" s="1"/>
  <c r="H143" i="97"/>
  <c r="G4" i="98" s="1"/>
  <c r="E130" i="97"/>
  <c r="L8" i="98" s="1"/>
  <c r="I128" i="97"/>
  <c r="I52" i="91" s="1"/>
  <c r="I126" i="97"/>
  <c r="I50" i="91" s="1"/>
  <c r="AG107" i="97"/>
  <c r="AH107" i="97" s="1"/>
  <c r="AF107" i="97"/>
  <c r="AF63" i="90" s="1"/>
  <c r="AD107" i="97"/>
  <c r="AD63" i="90" s="1"/>
  <c r="L107" i="97"/>
  <c r="L63" i="90" s="1"/>
  <c r="L105" i="97"/>
  <c r="L61" i="90" s="1"/>
  <c r="L104" i="97"/>
  <c r="L60" i="90" s="1"/>
  <c r="X102" i="97"/>
  <c r="U102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L71" i="97"/>
  <c r="Z70" i="97"/>
  <c r="Z69" i="97"/>
  <c r="Z68" i="97"/>
  <c r="Z67" i="97"/>
  <c r="Z66" i="97"/>
  <c r="X64" i="97"/>
  <c r="U64" i="97"/>
  <c r="L52" i="97"/>
  <c r="J52" i="97"/>
  <c r="Z51" i="97"/>
  <c r="Z50" i="97"/>
  <c r="Z49" i="97"/>
  <c r="Z48" i="97"/>
  <c r="Z47" i="97"/>
  <c r="X45" i="97"/>
  <c r="U45" i="97"/>
  <c r="L33" i="97"/>
  <c r="J33" i="97"/>
  <c r="Z32" i="97"/>
  <c r="Z31" i="97"/>
  <c r="Z30" i="97"/>
  <c r="Z29" i="97"/>
  <c r="AB29" i="97"/>
  <c r="Z28" i="97"/>
  <c r="X26" i="97"/>
  <c r="U26" i="97"/>
  <c r="L108" i="97"/>
  <c r="Z12" i="97"/>
  <c r="Z11" i="97"/>
  <c r="L106" i="97"/>
  <c r="L62" i="90" s="1"/>
  <c r="Z10" i="97"/>
  <c r="X7" i="97"/>
  <c r="U7" i="97"/>
  <c r="K7" i="97"/>
  <c r="Y7" i="97" s="1"/>
  <c r="G7" i="97"/>
  <c r="G102" i="97" s="1"/>
  <c r="V102" i="97" s="1"/>
  <c r="D7" i="97"/>
  <c r="D102" i="97" s="1"/>
  <c r="D7" i="99" s="1"/>
  <c r="D6" i="97"/>
  <c r="D25" i="97" s="1"/>
  <c r="N3" i="97"/>
  <c r="N60" i="97" s="1"/>
  <c r="AD60" i="97" s="1"/>
  <c r="L45" i="70"/>
  <c r="K45" i="70"/>
  <c r="N3" i="70"/>
  <c r="K5" i="70"/>
  <c r="J45" i="70"/>
  <c r="I45" i="70"/>
  <c r="H45" i="70"/>
  <c r="G45" i="70"/>
  <c r="F45" i="70"/>
  <c r="E45" i="70"/>
  <c r="D45" i="70"/>
  <c r="C45" i="70"/>
  <c r="N44" i="70"/>
  <c r="M44" i="70"/>
  <c r="N43" i="70"/>
  <c r="M43" i="70"/>
  <c r="M45" i="70" s="1"/>
  <c r="G55" i="62"/>
  <c r="G45" i="62"/>
  <c r="G36" i="62"/>
  <c r="G27" i="62"/>
  <c r="I13" i="62"/>
  <c r="G17" i="62"/>
  <c r="G3" i="62"/>
  <c r="G4" i="62"/>
  <c r="G5" i="62"/>
  <c r="G2" i="62"/>
  <c r="D31" i="96"/>
  <c r="E69" i="96"/>
  <c r="J35" i="96"/>
  <c r="G35" i="96"/>
  <c r="F35" i="96"/>
  <c r="E35" i="96"/>
  <c r="D35" i="96"/>
  <c r="G33" i="96"/>
  <c r="F33" i="96"/>
  <c r="E33" i="96"/>
  <c r="D33" i="96"/>
  <c r="G31" i="96"/>
  <c r="F31" i="96"/>
  <c r="E31" i="96"/>
  <c r="AG88" i="97" l="1"/>
  <c r="AH88" i="97" s="1"/>
  <c r="L64" i="90"/>
  <c r="L13" i="99"/>
  <c r="K6" i="98"/>
  <c r="D51" i="91"/>
  <c r="K5" i="98"/>
  <c r="D32" i="99"/>
  <c r="D49" i="91"/>
  <c r="K3" i="98"/>
  <c r="D30" i="99"/>
  <c r="I31" i="99"/>
  <c r="L12" i="99"/>
  <c r="Z71" i="97"/>
  <c r="L9" i="99"/>
  <c r="D33" i="99"/>
  <c r="L10" i="99"/>
  <c r="E68" i="62"/>
  <c r="I144" i="97" s="1"/>
  <c r="F5" i="98" s="1"/>
  <c r="D68" i="62"/>
  <c r="L11" i="99"/>
  <c r="I33" i="99"/>
  <c r="E63" i="62"/>
  <c r="I142" i="97" s="1"/>
  <c r="D63" i="62"/>
  <c r="AD12" i="99"/>
  <c r="E71" i="62"/>
  <c r="I145" i="97" s="1"/>
  <c r="F6" i="98" s="1"/>
  <c r="D71" i="62"/>
  <c r="G6" i="62"/>
  <c r="E73" i="62"/>
  <c r="I146" i="97" s="1"/>
  <c r="F7" i="98" s="1"/>
  <c r="D73" i="62"/>
  <c r="D50" i="91"/>
  <c r="D31" i="99"/>
  <c r="K4" i="98"/>
  <c r="E66" i="62"/>
  <c r="I143" i="97" s="1"/>
  <c r="F4" i="98" s="1"/>
  <c r="D66" i="62"/>
  <c r="D45" i="97"/>
  <c r="M5" i="98"/>
  <c r="M3" i="98"/>
  <c r="K30" i="99"/>
  <c r="D53" i="91"/>
  <c r="K7" i="98"/>
  <c r="D34" i="99"/>
  <c r="G26" i="97"/>
  <c r="V26" i="97" s="1"/>
  <c r="G7" i="99"/>
  <c r="V7" i="99" s="1"/>
  <c r="D63" i="97"/>
  <c r="L52" i="91"/>
  <c r="L33" i="99"/>
  <c r="K50" i="91"/>
  <c r="K31" i="99"/>
  <c r="L50" i="91"/>
  <c r="L31" i="99"/>
  <c r="L51" i="91"/>
  <c r="L32" i="99"/>
  <c r="K33" i="99"/>
  <c r="K34" i="99"/>
  <c r="M7" i="98"/>
  <c r="M6" i="98"/>
  <c r="M4" i="98"/>
  <c r="E3" i="98"/>
  <c r="E4" i="98"/>
  <c r="E5" i="98"/>
  <c r="E6" i="98"/>
  <c r="E7" i="98"/>
  <c r="AD10" i="97"/>
  <c r="AC106" i="97"/>
  <c r="AC62" i="90" s="1"/>
  <c r="J12" i="99"/>
  <c r="J10" i="99"/>
  <c r="L53" i="91"/>
  <c r="L34" i="99"/>
  <c r="N45" i="70"/>
  <c r="K32" i="99"/>
  <c r="L30" i="99"/>
  <c r="L9" i="98"/>
  <c r="M22" i="36" s="1"/>
  <c r="E35" i="99"/>
  <c r="E131" i="97"/>
  <c r="E54" i="91"/>
  <c r="E147" i="97"/>
  <c r="L26" i="56"/>
  <c r="L27" i="56" s="1"/>
  <c r="L17" i="56"/>
  <c r="L18" i="56" s="1"/>
  <c r="L8" i="56"/>
  <c r="L9" i="56" s="1"/>
  <c r="G143" i="97"/>
  <c r="AF69" i="97"/>
  <c r="G145" i="97"/>
  <c r="K67" i="97"/>
  <c r="M67" i="97" s="1"/>
  <c r="O67" i="97" s="1"/>
  <c r="K69" i="97"/>
  <c r="M69" i="97" s="1"/>
  <c r="O69" i="97" s="1"/>
  <c r="J126" i="97"/>
  <c r="K31" i="97"/>
  <c r="M31" i="97" s="1"/>
  <c r="O31" i="97" s="1"/>
  <c r="H126" i="97"/>
  <c r="M29" i="97"/>
  <c r="O29" i="97" s="1"/>
  <c r="Z33" i="97"/>
  <c r="AF29" i="97"/>
  <c r="F145" i="97"/>
  <c r="K32" i="97"/>
  <c r="M32" i="97" s="1"/>
  <c r="O32" i="97" s="1"/>
  <c r="F146" i="97"/>
  <c r="AD32" i="97"/>
  <c r="AF32" i="97" s="1"/>
  <c r="AD12" i="97"/>
  <c r="W105" i="97"/>
  <c r="X105" i="97"/>
  <c r="G129" i="97"/>
  <c r="Z107" i="97"/>
  <c r="D107" i="97"/>
  <c r="N52" i="97"/>
  <c r="G107" i="97"/>
  <c r="D105" i="97"/>
  <c r="Z105" i="97"/>
  <c r="E107" i="97"/>
  <c r="AA107" i="97"/>
  <c r="U52" i="97"/>
  <c r="Y105" i="97"/>
  <c r="W52" i="97"/>
  <c r="I107" i="97"/>
  <c r="Y52" i="97"/>
  <c r="N107" i="97"/>
  <c r="G125" i="97"/>
  <c r="U107" i="97"/>
  <c r="G105" i="97"/>
  <c r="F52" i="97"/>
  <c r="AB47" i="97"/>
  <c r="AF47" i="97" s="1"/>
  <c r="E105" i="97"/>
  <c r="AC105" i="97"/>
  <c r="X107" i="97"/>
  <c r="H52" i="97"/>
  <c r="K12" i="97"/>
  <c r="M12" i="97" s="1"/>
  <c r="O12" i="97" s="1"/>
  <c r="H107" i="97"/>
  <c r="X52" i="97"/>
  <c r="Z52" i="97"/>
  <c r="F105" i="97"/>
  <c r="AA52" i="97"/>
  <c r="H105" i="97"/>
  <c r="N105" i="97"/>
  <c r="Y107" i="97"/>
  <c r="I52" i="97"/>
  <c r="AD52" i="97"/>
  <c r="V105" i="97"/>
  <c r="AC107" i="97"/>
  <c r="AA105" i="97"/>
  <c r="K49" i="97"/>
  <c r="M49" i="97" s="1"/>
  <c r="O49" i="97" s="1"/>
  <c r="AE52" i="97"/>
  <c r="F107" i="97"/>
  <c r="E52" i="97"/>
  <c r="AF48" i="97"/>
  <c r="AF50" i="97"/>
  <c r="AB10" i="97"/>
  <c r="AB105" i="97" s="1"/>
  <c r="G52" i="97"/>
  <c r="AC52" i="97"/>
  <c r="W107" i="97"/>
  <c r="U105" i="97"/>
  <c r="K10" i="97"/>
  <c r="M10" i="97" s="1"/>
  <c r="O10" i="97" s="1"/>
  <c r="G126" i="97"/>
  <c r="G128" i="97"/>
  <c r="AF49" i="97"/>
  <c r="AF51" i="97"/>
  <c r="V107" i="97"/>
  <c r="V52" i="97"/>
  <c r="C9" i="98"/>
  <c r="AG86" i="97"/>
  <c r="AH86" i="97" s="1"/>
  <c r="L109" i="97"/>
  <c r="L65" i="90" s="1"/>
  <c r="AF31" i="97"/>
  <c r="D52" i="97"/>
  <c r="J14" i="97"/>
  <c r="D26" i="97"/>
  <c r="D44" i="97"/>
  <c r="N79" i="97"/>
  <c r="AD79" i="97" s="1"/>
  <c r="K102" i="97"/>
  <c r="I105" i="97"/>
  <c r="G127" i="97"/>
  <c r="L14" i="97"/>
  <c r="K26" i="97"/>
  <c r="Y26" i="97" s="1"/>
  <c r="G45" i="97"/>
  <c r="V45" i="97" s="1"/>
  <c r="K47" i="97"/>
  <c r="K48" i="97"/>
  <c r="M48" i="97" s="1"/>
  <c r="O48" i="97" s="1"/>
  <c r="K50" i="97"/>
  <c r="M50" i="97" s="1"/>
  <c r="O50" i="97" s="1"/>
  <c r="K51" i="97"/>
  <c r="M51" i="97" s="1"/>
  <c r="O51" i="97" s="1"/>
  <c r="D64" i="97"/>
  <c r="D82" i="97"/>
  <c r="K45" i="97"/>
  <c r="Y45" i="97" s="1"/>
  <c r="G64" i="97"/>
  <c r="V64" i="97" s="1"/>
  <c r="D83" i="97"/>
  <c r="H129" i="97"/>
  <c r="K64" i="97"/>
  <c r="Y64" i="97" s="1"/>
  <c r="G83" i="97"/>
  <c r="V83" i="97" s="1"/>
  <c r="F143" i="97"/>
  <c r="AD3" i="97"/>
  <c r="K83" i="97"/>
  <c r="Y83" i="97" s="1"/>
  <c r="AE105" i="97"/>
  <c r="AF67" i="97"/>
  <c r="M117" i="97"/>
  <c r="N22" i="99" s="1"/>
  <c r="N98" i="97"/>
  <c r="G122" i="97"/>
  <c r="H27" i="99" s="1"/>
  <c r="K122" i="97"/>
  <c r="K27" i="99" s="1"/>
  <c r="H128" i="97"/>
  <c r="V7" i="97"/>
  <c r="AB12" i="97"/>
  <c r="Z13" i="97"/>
  <c r="N22" i="97"/>
  <c r="AD22" i="97" s="1"/>
  <c r="D101" i="97"/>
  <c r="D6" i="99" s="1"/>
  <c r="AE107" i="97"/>
  <c r="N41" i="97"/>
  <c r="AD41" i="97" s="1"/>
  <c r="J128" i="97"/>
  <c r="AD30" i="97"/>
  <c r="AD28" i="97"/>
  <c r="F502" i="55"/>
  <c r="AO359" i="55"/>
  <c r="AN359" i="55"/>
  <c r="AM359" i="55"/>
  <c r="AL359" i="55"/>
  <c r="AK359" i="55"/>
  <c r="AJ359" i="55"/>
  <c r="AI359" i="55"/>
  <c r="AH359" i="55"/>
  <c r="AG359" i="55"/>
  <c r="AF359" i="55"/>
  <c r="AE359" i="55"/>
  <c r="AD359" i="55"/>
  <c r="AC359" i="55"/>
  <c r="AB359" i="55"/>
  <c r="AA359" i="55"/>
  <c r="Z359" i="55"/>
  <c r="Y359" i="55"/>
  <c r="X359" i="55"/>
  <c r="W359" i="55"/>
  <c r="V359" i="55"/>
  <c r="U359" i="55"/>
  <c r="T359" i="55"/>
  <c r="S359" i="55"/>
  <c r="R359" i="55"/>
  <c r="Q359" i="55"/>
  <c r="P359" i="55"/>
  <c r="O359" i="55"/>
  <c r="N359" i="55"/>
  <c r="M359" i="55"/>
  <c r="L359" i="55"/>
  <c r="K359" i="55"/>
  <c r="J359" i="55"/>
  <c r="I359" i="55"/>
  <c r="H359" i="55"/>
  <c r="AB11" i="97"/>
  <c r="AD11" i="97"/>
  <c r="AO339" i="55"/>
  <c r="AN339" i="55"/>
  <c r="AM339" i="55"/>
  <c r="AL339" i="55"/>
  <c r="AK339" i="55"/>
  <c r="AJ339" i="55"/>
  <c r="AI339" i="55"/>
  <c r="AH339" i="55"/>
  <c r="AG339" i="55"/>
  <c r="AF339" i="55"/>
  <c r="AE339" i="55"/>
  <c r="AD339" i="55"/>
  <c r="AC339" i="55"/>
  <c r="AB339" i="55"/>
  <c r="AA339" i="55"/>
  <c r="Z339" i="55"/>
  <c r="Y339" i="55"/>
  <c r="X339" i="55"/>
  <c r="W339" i="55"/>
  <c r="V339" i="55"/>
  <c r="U339" i="55"/>
  <c r="T339" i="55"/>
  <c r="S339" i="55"/>
  <c r="R339" i="55"/>
  <c r="Q339" i="55"/>
  <c r="P339" i="55"/>
  <c r="O339" i="55"/>
  <c r="N339" i="55"/>
  <c r="M339" i="55"/>
  <c r="L339" i="55"/>
  <c r="K339" i="55"/>
  <c r="J339" i="55"/>
  <c r="I339" i="55"/>
  <c r="H339" i="55"/>
  <c r="AP76" i="55"/>
  <c r="AO76" i="55"/>
  <c r="AN76" i="55"/>
  <c r="AM76" i="55"/>
  <c r="AL76" i="55"/>
  <c r="AK76" i="55"/>
  <c r="AJ76" i="55"/>
  <c r="AI76" i="55"/>
  <c r="AH76" i="55"/>
  <c r="AG76" i="55"/>
  <c r="AF76" i="55"/>
  <c r="AE76" i="55"/>
  <c r="AD76" i="55"/>
  <c r="AC76" i="55"/>
  <c r="AB76" i="55"/>
  <c r="AA76" i="55"/>
  <c r="Z76" i="55"/>
  <c r="Y76" i="55"/>
  <c r="X76" i="55"/>
  <c r="W76" i="55"/>
  <c r="V76" i="55"/>
  <c r="U76" i="55"/>
  <c r="T76" i="55"/>
  <c r="S76" i="55"/>
  <c r="R76" i="55"/>
  <c r="Q76" i="55"/>
  <c r="P76" i="55"/>
  <c r="O76" i="55"/>
  <c r="N76" i="55"/>
  <c r="M76" i="55"/>
  <c r="L76" i="55"/>
  <c r="K76" i="55"/>
  <c r="J76" i="55"/>
  <c r="I76" i="55"/>
  <c r="H76" i="55"/>
  <c r="G76" i="55"/>
  <c r="AP46" i="55"/>
  <c r="AO46" i="55"/>
  <c r="AN46" i="55"/>
  <c r="AM46" i="55"/>
  <c r="AL46" i="55"/>
  <c r="AK46" i="55"/>
  <c r="AJ46" i="55"/>
  <c r="AI46" i="55"/>
  <c r="AH46" i="55"/>
  <c r="AG46" i="55"/>
  <c r="AF46" i="55"/>
  <c r="AE46" i="55"/>
  <c r="AD46" i="55"/>
  <c r="AC46" i="55"/>
  <c r="AB46" i="55"/>
  <c r="AA46" i="55"/>
  <c r="Z46" i="55"/>
  <c r="Y46" i="55"/>
  <c r="X46" i="55"/>
  <c r="W46" i="55"/>
  <c r="V46" i="55"/>
  <c r="U46" i="55"/>
  <c r="T46" i="55"/>
  <c r="S46" i="55"/>
  <c r="R46" i="55"/>
  <c r="Q46" i="55"/>
  <c r="P46" i="55"/>
  <c r="O46" i="55"/>
  <c r="N46" i="55"/>
  <c r="M46" i="55"/>
  <c r="L46" i="55"/>
  <c r="K46" i="55"/>
  <c r="J46" i="55"/>
  <c r="I46" i="55"/>
  <c r="H46" i="55"/>
  <c r="L14" i="99" l="1"/>
  <c r="F3" i="98"/>
  <c r="F9" i="98" s="1"/>
  <c r="G22" i="36" s="1"/>
  <c r="I147" i="97"/>
  <c r="L45" i="99"/>
  <c r="C15" i="98"/>
  <c r="D22" i="36"/>
  <c r="Y102" i="97"/>
  <c r="K7" i="99"/>
  <c r="Y7" i="99" s="1"/>
  <c r="AD98" i="97"/>
  <c r="N3" i="99"/>
  <c r="AD3" i="99" s="1"/>
  <c r="J50" i="91"/>
  <c r="J31" i="99"/>
  <c r="J52" i="91"/>
  <c r="J33" i="99"/>
  <c r="K146" i="97"/>
  <c r="H53" i="91"/>
  <c r="H34" i="99"/>
  <c r="K143" i="97"/>
  <c r="H50" i="91"/>
  <c r="H31" i="99"/>
  <c r="K145" i="97"/>
  <c r="H52" i="91"/>
  <c r="H33" i="99"/>
  <c r="AC11" i="99"/>
  <c r="I63" i="90"/>
  <c r="I12" i="99"/>
  <c r="AB61" i="90"/>
  <c r="AB10" i="99"/>
  <c r="Y63" i="90"/>
  <c r="Y12" i="99"/>
  <c r="AC61" i="90"/>
  <c r="AC10" i="99"/>
  <c r="E61" i="90"/>
  <c r="E10" i="99"/>
  <c r="AA63" i="90"/>
  <c r="AA12" i="99"/>
  <c r="W63" i="90"/>
  <c r="W12" i="99"/>
  <c r="V61" i="90"/>
  <c r="V10" i="99"/>
  <c r="V63" i="90"/>
  <c r="V12" i="99"/>
  <c r="H61" i="90"/>
  <c r="H10" i="99"/>
  <c r="Z61" i="90"/>
  <c r="Z10" i="99"/>
  <c r="F63" i="90"/>
  <c r="F12" i="99"/>
  <c r="G61" i="90"/>
  <c r="G10" i="99"/>
  <c r="D61" i="90"/>
  <c r="D10" i="99"/>
  <c r="I4" i="98"/>
  <c r="J146" i="97"/>
  <c r="G53" i="91"/>
  <c r="D7" i="98"/>
  <c r="G34" i="99"/>
  <c r="E63" i="90"/>
  <c r="E12" i="99"/>
  <c r="J145" i="97"/>
  <c r="G52" i="91"/>
  <c r="G33" i="99"/>
  <c r="D6" i="98"/>
  <c r="F61" i="90"/>
  <c r="F10" i="99"/>
  <c r="U63" i="90"/>
  <c r="U12" i="99"/>
  <c r="G63" i="90"/>
  <c r="G12" i="99"/>
  <c r="I61" i="90"/>
  <c r="I10" i="99"/>
  <c r="N61" i="90"/>
  <c r="J4" i="98"/>
  <c r="N10" i="99"/>
  <c r="AE63" i="90"/>
  <c r="AE12" i="99"/>
  <c r="AD105" i="97"/>
  <c r="AF105" i="97" s="1"/>
  <c r="AF61" i="90" s="1"/>
  <c r="AE61" i="90"/>
  <c r="AE10" i="99"/>
  <c r="J143" i="97"/>
  <c r="G50" i="91"/>
  <c r="G31" i="99"/>
  <c r="D4" i="98"/>
  <c r="J142" i="97"/>
  <c r="G49" i="91"/>
  <c r="D3" i="98"/>
  <c r="G30" i="99"/>
  <c r="J144" i="97"/>
  <c r="G51" i="91"/>
  <c r="D5" i="98"/>
  <c r="G32" i="99"/>
  <c r="AA61" i="90"/>
  <c r="AA10" i="99"/>
  <c r="N63" i="90"/>
  <c r="J6" i="98"/>
  <c r="N12" i="99"/>
  <c r="D63" i="90"/>
  <c r="I6" i="98"/>
  <c r="D12" i="99"/>
  <c r="U61" i="90"/>
  <c r="U10" i="99"/>
  <c r="AC63" i="90"/>
  <c r="AC12" i="99"/>
  <c r="H63" i="90"/>
  <c r="H12" i="99"/>
  <c r="Z63" i="90"/>
  <c r="Z12" i="99"/>
  <c r="X61" i="90"/>
  <c r="X10" i="99"/>
  <c r="X63" i="90"/>
  <c r="X12" i="99"/>
  <c r="Y61" i="90"/>
  <c r="Y10" i="99"/>
  <c r="W61" i="90"/>
  <c r="W10" i="99"/>
  <c r="E55" i="91"/>
  <c r="E36" i="99"/>
  <c r="E46" i="99" s="1"/>
  <c r="AG69" i="97"/>
  <c r="AH69" i="97" s="1"/>
  <c r="AG67" i="97"/>
  <c r="AH67" i="97" s="1"/>
  <c r="AG31" i="97"/>
  <c r="AH31" i="97" s="1"/>
  <c r="D33" i="97"/>
  <c r="AE33" i="97"/>
  <c r="E33" i="97"/>
  <c r="AG29" i="97"/>
  <c r="AH29" i="97" s="1"/>
  <c r="AG32" i="97"/>
  <c r="AH32" i="97" s="1"/>
  <c r="Y54" i="97"/>
  <c r="AB52" i="97"/>
  <c r="AG51" i="97"/>
  <c r="AH51" i="97" s="1"/>
  <c r="AG50" i="97"/>
  <c r="AH50" i="97" s="1"/>
  <c r="AG48" i="97"/>
  <c r="AH48" i="97" s="1"/>
  <c r="AG49" i="97"/>
  <c r="AH49" i="97" s="1"/>
  <c r="K105" i="97"/>
  <c r="K107" i="97"/>
  <c r="E14" i="97"/>
  <c r="AF10" i="97"/>
  <c r="AG10" i="97" s="1"/>
  <c r="AH10" i="97" s="1"/>
  <c r="K11" i="97"/>
  <c r="M11" i="97" s="1"/>
  <c r="O11" i="97" s="1"/>
  <c r="AF52" i="97"/>
  <c r="D14" i="97"/>
  <c r="AB107" i="97"/>
  <c r="AF12" i="97"/>
  <c r="AG12" i="97" s="1"/>
  <c r="AH12" i="97" s="1"/>
  <c r="K52" i="97"/>
  <c r="M47" i="97"/>
  <c r="G131" i="97"/>
  <c r="Z14" i="97"/>
  <c r="AD33" i="97"/>
  <c r="G55" i="91" l="1"/>
  <c r="K31" i="36"/>
  <c r="J147" i="97"/>
  <c r="M105" i="97"/>
  <c r="K61" i="90"/>
  <c r="AB63" i="90"/>
  <c r="AB12" i="99"/>
  <c r="M107" i="97"/>
  <c r="K63" i="90"/>
  <c r="AD61" i="90"/>
  <c r="AD10" i="99"/>
  <c r="AF11" i="97"/>
  <c r="AG11" i="97" s="1"/>
  <c r="AH11" i="97" s="1"/>
  <c r="K13" i="97"/>
  <c r="M13" i="97" s="1"/>
  <c r="O13" i="97" s="1"/>
  <c r="AB13" i="97"/>
  <c r="M52" i="97"/>
  <c r="O47" i="97"/>
  <c r="O107" i="97" l="1"/>
  <c r="O63" i="90" s="1"/>
  <c r="M63" i="90"/>
  <c r="O105" i="97"/>
  <c r="M61" i="90"/>
  <c r="AD68" i="97"/>
  <c r="O52" i="97"/>
  <c r="AG47" i="97"/>
  <c r="AD70" i="97"/>
  <c r="O61" i="90" l="1"/>
  <c r="AG105" i="97"/>
  <c r="AH105" i="97" s="1"/>
  <c r="AG52" i="97"/>
  <c r="AH52" i="97" s="1"/>
  <c r="AH47" i="97"/>
  <c r="Z502" i="55"/>
  <c r="Y502" i="55"/>
  <c r="X502" i="55"/>
  <c r="W502" i="55"/>
  <c r="V502" i="55"/>
  <c r="U502" i="55"/>
  <c r="T502" i="55"/>
  <c r="S502" i="55"/>
  <c r="R502" i="55"/>
  <c r="Q502" i="55"/>
  <c r="P502" i="55"/>
  <c r="O502" i="55"/>
  <c r="N502" i="55"/>
  <c r="M502" i="55"/>
  <c r="L502" i="55"/>
  <c r="K502" i="55"/>
  <c r="J502" i="55"/>
  <c r="I502" i="55"/>
  <c r="H502" i="55"/>
  <c r="G502" i="55"/>
  <c r="AO472" i="55"/>
  <c r="AN472" i="55"/>
  <c r="AM472" i="55"/>
  <c r="AL472" i="55"/>
  <c r="AK472" i="55"/>
  <c r="AJ472" i="55"/>
  <c r="AI472" i="55"/>
  <c r="AH472" i="55"/>
  <c r="AG472" i="55"/>
  <c r="AF472" i="55"/>
  <c r="AE472" i="55"/>
  <c r="AD472" i="55"/>
  <c r="AC472" i="55"/>
  <c r="AB472" i="55"/>
  <c r="AA472" i="55"/>
  <c r="Z472" i="55"/>
  <c r="Y472" i="55"/>
  <c r="X472" i="55"/>
  <c r="W472" i="55"/>
  <c r="V472" i="55"/>
  <c r="U472" i="55"/>
  <c r="T472" i="55"/>
  <c r="S472" i="55"/>
  <c r="R472" i="55"/>
  <c r="Q472" i="55"/>
  <c r="P472" i="55"/>
  <c r="O472" i="55"/>
  <c r="N472" i="55"/>
  <c r="M472" i="55"/>
  <c r="L472" i="55"/>
  <c r="K472" i="55"/>
  <c r="J472" i="55"/>
  <c r="I472" i="55"/>
  <c r="H472" i="55"/>
  <c r="AP200" i="55"/>
  <c r="AO200" i="55"/>
  <c r="AN200" i="55"/>
  <c r="AM200" i="55"/>
  <c r="AL200" i="55"/>
  <c r="AK200" i="55"/>
  <c r="AJ200" i="55"/>
  <c r="AI200" i="55"/>
  <c r="AH200" i="55"/>
  <c r="AG200" i="55"/>
  <c r="AF200" i="55"/>
  <c r="AE200" i="55"/>
  <c r="AD200" i="55"/>
  <c r="AC200" i="55"/>
  <c r="AB200" i="55"/>
  <c r="AA200" i="55"/>
  <c r="Z200" i="55"/>
  <c r="Y200" i="55"/>
  <c r="X200" i="55"/>
  <c r="W200" i="55"/>
  <c r="V200" i="55"/>
  <c r="U200" i="55"/>
  <c r="T200" i="55"/>
  <c r="S200" i="55"/>
  <c r="R200" i="55"/>
  <c r="Q200" i="55"/>
  <c r="P200" i="55"/>
  <c r="O200" i="55"/>
  <c r="N200" i="55"/>
  <c r="M200" i="55"/>
  <c r="L200" i="55"/>
  <c r="K200" i="55"/>
  <c r="J200" i="55"/>
  <c r="I200" i="55"/>
  <c r="H200" i="55"/>
  <c r="N14" i="97" l="1"/>
  <c r="U14" i="97"/>
  <c r="H14" i="97"/>
  <c r="V14" i="97"/>
  <c r="I14" i="97"/>
  <c r="W14" i="97"/>
  <c r="X14" i="97"/>
  <c r="Y14" i="97"/>
  <c r="F14" i="97"/>
  <c r="K9" i="97"/>
  <c r="G14" i="97"/>
  <c r="N31" i="95"/>
  <c r="M31" i="95"/>
  <c r="K31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O31" i="95" l="1"/>
  <c r="K32" i="95"/>
  <c r="K14" i="97"/>
  <c r="M9" i="97"/>
  <c r="AC14" i="97"/>
  <c r="AA14" i="97"/>
  <c r="Y16" i="97"/>
  <c r="AB14" i="97"/>
  <c r="F360" i="55"/>
  <c r="AD13" i="97" l="1"/>
  <c r="AF13" i="97" s="1"/>
  <c r="AG13" i="97" s="1"/>
  <c r="AH13" i="97" s="1"/>
  <c r="AE14" i="97"/>
  <c r="AD9" i="97"/>
  <c r="M14" i="97"/>
  <c r="O9" i="97"/>
  <c r="O14" i="97" s="1"/>
  <c r="AD66" i="97" l="1"/>
  <c r="AD71" i="97" s="1"/>
  <c r="AE71" i="97"/>
  <c r="E71" i="97"/>
  <c r="D71" i="97"/>
  <c r="AD14" i="97"/>
  <c r="AF9" i="97"/>
  <c r="R444" i="59"/>
  <c r="Q444" i="59"/>
  <c r="P444" i="59"/>
  <c r="O444" i="59"/>
  <c r="N444" i="59"/>
  <c r="M444" i="59"/>
  <c r="L444" i="59"/>
  <c r="K444" i="59"/>
  <c r="J444" i="59"/>
  <c r="I444" i="59"/>
  <c r="H444" i="59"/>
  <c r="G444" i="59"/>
  <c r="F444" i="59"/>
  <c r="E445" i="59"/>
  <c r="E444" i="59"/>
  <c r="R432" i="59"/>
  <c r="Q432" i="59"/>
  <c r="O432" i="59"/>
  <c r="N432" i="59"/>
  <c r="M432" i="59"/>
  <c r="L432" i="59"/>
  <c r="K432" i="59"/>
  <c r="J432" i="59"/>
  <c r="I432" i="59"/>
  <c r="H432" i="59"/>
  <c r="G432" i="59"/>
  <c r="AF14" i="97" l="1"/>
  <c r="AG9" i="97"/>
  <c r="E365" i="61"/>
  <c r="AA230" i="55"/>
  <c r="Z230" i="55"/>
  <c r="Y230" i="55"/>
  <c r="X230" i="55"/>
  <c r="W230" i="55"/>
  <c r="V230" i="55"/>
  <c r="U230" i="55"/>
  <c r="T230" i="55"/>
  <c r="S230" i="55"/>
  <c r="R230" i="55"/>
  <c r="Q230" i="55"/>
  <c r="P230" i="55"/>
  <c r="O230" i="55"/>
  <c r="N230" i="55"/>
  <c r="M230" i="55"/>
  <c r="L230" i="55"/>
  <c r="K230" i="55"/>
  <c r="J230" i="55"/>
  <c r="I230" i="55"/>
  <c r="H230" i="55"/>
  <c r="G230" i="55"/>
  <c r="AH9" i="97" l="1"/>
  <c r="AG14" i="97"/>
  <c r="AH14" i="97" s="1"/>
  <c r="R139" i="59" l="1"/>
  <c r="Q139" i="59"/>
  <c r="P139" i="59"/>
  <c r="O139" i="59"/>
  <c r="N139" i="59"/>
  <c r="M139" i="59"/>
  <c r="L139" i="59"/>
  <c r="K139" i="59"/>
  <c r="J139" i="59"/>
  <c r="I139" i="59"/>
  <c r="H139" i="59"/>
  <c r="G139" i="59"/>
  <c r="S55" i="59"/>
  <c r="R55" i="59"/>
  <c r="Q55" i="59"/>
  <c r="P55" i="59"/>
  <c r="O55" i="59"/>
  <c r="N55" i="59"/>
  <c r="M55" i="59"/>
  <c r="L55" i="59"/>
  <c r="K55" i="59"/>
  <c r="J55" i="59"/>
  <c r="I55" i="59"/>
  <c r="H55" i="59"/>
  <c r="G55" i="59"/>
  <c r="S49" i="59"/>
  <c r="R49" i="59"/>
  <c r="Q49" i="59"/>
  <c r="P49" i="59"/>
  <c r="O49" i="59"/>
  <c r="N49" i="59"/>
  <c r="M49" i="59"/>
  <c r="L49" i="59"/>
  <c r="K49" i="59"/>
  <c r="J49" i="59"/>
  <c r="I49" i="59"/>
  <c r="H49" i="59"/>
  <c r="G49" i="59"/>
  <c r="S43" i="59"/>
  <c r="R43" i="59"/>
  <c r="Q43" i="59"/>
  <c r="P43" i="59"/>
  <c r="O43" i="59"/>
  <c r="N43" i="59"/>
  <c r="M43" i="59"/>
  <c r="L43" i="59"/>
  <c r="K43" i="59"/>
  <c r="J43" i="59"/>
  <c r="I43" i="59"/>
  <c r="H43" i="59"/>
  <c r="G43" i="59"/>
  <c r="AP220" i="55"/>
  <c r="AO220" i="55"/>
  <c r="AN220" i="55"/>
  <c r="AM220" i="55"/>
  <c r="AL220" i="55"/>
  <c r="AK220" i="55"/>
  <c r="AJ220" i="55"/>
  <c r="AI220" i="55"/>
  <c r="AH220" i="55"/>
  <c r="AG220" i="55"/>
  <c r="AF220" i="55"/>
  <c r="AE220" i="55"/>
  <c r="AD220" i="55"/>
  <c r="AC220" i="55"/>
  <c r="AB220" i="55"/>
  <c r="AA220" i="55"/>
  <c r="Z220" i="55"/>
  <c r="Y220" i="55"/>
  <c r="X220" i="55"/>
  <c r="W220" i="55"/>
  <c r="V220" i="55"/>
  <c r="U220" i="55"/>
  <c r="T220" i="55"/>
  <c r="S220" i="55"/>
  <c r="R220" i="55"/>
  <c r="Q220" i="55"/>
  <c r="P220" i="55"/>
  <c r="O220" i="55"/>
  <c r="N220" i="55"/>
  <c r="M220" i="55"/>
  <c r="L220" i="55"/>
  <c r="K220" i="55"/>
  <c r="J220" i="55"/>
  <c r="I220" i="55"/>
  <c r="H220" i="55"/>
  <c r="AB28" i="97" l="1"/>
  <c r="AF28" i="97" s="1"/>
  <c r="F142" i="97"/>
  <c r="H125" i="97"/>
  <c r="K28" i="97"/>
  <c r="AA13" i="22"/>
  <c r="AC13" i="22"/>
  <c r="AA50" i="85"/>
  <c r="AC50" i="85"/>
  <c r="AA51" i="79"/>
  <c r="AC51" i="79"/>
  <c r="AA50" i="79"/>
  <c r="AA49" i="79"/>
  <c r="AC49" i="79"/>
  <c r="AA48" i="79"/>
  <c r="AC48" i="79"/>
  <c r="AA12" i="79"/>
  <c r="AC12" i="79"/>
  <c r="AA10" i="79"/>
  <c r="AC10" i="79"/>
  <c r="AA51" i="75"/>
  <c r="AC51" i="75"/>
  <c r="AA49" i="75"/>
  <c r="AC49" i="75"/>
  <c r="AA48" i="75"/>
  <c r="AC48" i="75"/>
  <c r="AA47" i="75"/>
  <c r="AC47" i="75"/>
  <c r="AA13" i="75"/>
  <c r="AC13" i="75"/>
  <c r="AA11" i="75"/>
  <c r="AC11" i="75"/>
  <c r="AA9" i="75"/>
  <c r="AC9" i="75"/>
  <c r="H49" i="91" l="1"/>
  <c r="H30" i="99"/>
  <c r="M28" i="97"/>
  <c r="K142" i="97"/>
  <c r="D47" i="22"/>
  <c r="O28" i="97" l="1"/>
  <c r="AA9" i="22"/>
  <c r="AC9" i="85"/>
  <c r="AC11" i="79"/>
  <c r="AA51" i="85"/>
  <c r="AA11" i="79"/>
  <c r="AC50" i="75"/>
  <c r="AA47" i="79"/>
  <c r="AC9" i="79"/>
  <c r="AC48" i="22"/>
  <c r="AA11" i="85"/>
  <c r="AC47" i="79"/>
  <c r="AC9" i="22"/>
  <c r="AC11" i="85"/>
  <c r="AA11" i="22"/>
  <c r="AA47" i="85"/>
  <c r="AA9" i="85"/>
  <c r="AA10" i="22"/>
  <c r="AA49" i="85"/>
  <c r="AA12" i="75"/>
  <c r="AC11" i="22"/>
  <c r="AC10" i="22"/>
  <c r="AC49" i="85"/>
  <c r="AC12" i="75"/>
  <c r="AA50" i="75"/>
  <c r="AC47" i="85"/>
  <c r="AA48" i="85"/>
  <c r="AA51" i="22"/>
  <c r="AC51" i="85"/>
  <c r="AA9" i="79"/>
  <c r="AA48" i="22"/>
  <c r="AC48" i="85"/>
  <c r="AC51" i="22"/>
  <c r="AG28" i="97" l="1"/>
  <c r="AA47" i="22"/>
  <c r="AA49" i="22"/>
  <c r="AC47" i="22"/>
  <c r="AC49" i="22"/>
  <c r="AA50" i="22"/>
  <c r="AH28" i="97" l="1"/>
  <c r="AC13" i="85"/>
  <c r="AA13" i="85"/>
  <c r="AC12" i="85" l="1"/>
  <c r="AA13" i="79"/>
  <c r="AA12" i="85"/>
  <c r="AC13" i="79"/>
  <c r="R207" i="61"/>
  <c r="Q207" i="61"/>
  <c r="P207" i="61"/>
  <c r="O207" i="61"/>
  <c r="N207" i="61"/>
  <c r="M207" i="61"/>
  <c r="L207" i="61"/>
  <c r="K207" i="61"/>
  <c r="J207" i="61"/>
  <c r="I207" i="61"/>
  <c r="H207" i="61"/>
  <c r="G207" i="61"/>
  <c r="F207" i="61"/>
  <c r="AB68" i="97" l="1"/>
  <c r="J127" i="97"/>
  <c r="G144" i="97"/>
  <c r="K68" i="97"/>
  <c r="M68" i="97" s="1"/>
  <c r="O68" i="97" s="1"/>
  <c r="R265" i="59"/>
  <c r="Q265" i="59"/>
  <c r="P265" i="59"/>
  <c r="O265" i="59"/>
  <c r="N265" i="59"/>
  <c r="M265" i="59"/>
  <c r="L265" i="59"/>
  <c r="K265" i="59"/>
  <c r="J265" i="59"/>
  <c r="I265" i="59"/>
  <c r="H265" i="59"/>
  <c r="G265" i="59"/>
  <c r="R253" i="59"/>
  <c r="Q253" i="59"/>
  <c r="P253" i="59"/>
  <c r="O253" i="59"/>
  <c r="N253" i="59"/>
  <c r="M253" i="59"/>
  <c r="L253" i="59"/>
  <c r="K253" i="59"/>
  <c r="J253" i="59"/>
  <c r="I253" i="59"/>
  <c r="H253" i="59"/>
  <c r="G253" i="59"/>
  <c r="J51" i="91" l="1"/>
  <c r="J32" i="99"/>
  <c r="AF68" i="97"/>
  <c r="AG68" i="97" s="1"/>
  <c r="AH68" i="97" s="1"/>
  <c r="G33" i="97"/>
  <c r="K30" i="97"/>
  <c r="F33" i="97"/>
  <c r="H33" i="97"/>
  <c r="U33" i="97"/>
  <c r="X33" i="97"/>
  <c r="AB30" i="97"/>
  <c r="F144" i="97"/>
  <c r="F147" i="97" s="1"/>
  <c r="H127" i="97"/>
  <c r="N33" i="97"/>
  <c r="W33" i="97"/>
  <c r="AA33" i="97"/>
  <c r="I33" i="97"/>
  <c r="V33" i="97"/>
  <c r="Y33" i="97"/>
  <c r="AC33" i="97"/>
  <c r="AA10" i="75"/>
  <c r="H51" i="91" l="1"/>
  <c r="H32" i="99"/>
  <c r="Y35" i="97"/>
  <c r="AF30" i="97"/>
  <c r="AB33" i="97"/>
  <c r="M30" i="97"/>
  <c r="K33" i="97"/>
  <c r="K144" i="97"/>
  <c r="K147" i="97" s="1"/>
  <c r="H131" i="97"/>
  <c r="AC10" i="75"/>
  <c r="H55" i="91" l="1"/>
  <c r="L31" i="36"/>
  <c r="O30" i="97"/>
  <c r="O33" i="97" s="1"/>
  <c r="M33" i="97"/>
  <c r="AF33" i="97"/>
  <c r="H13" i="70"/>
  <c r="G13" i="70"/>
  <c r="E13" i="70"/>
  <c r="F13" i="70"/>
  <c r="I13" i="70"/>
  <c r="J13" i="70"/>
  <c r="K13" i="70"/>
  <c r="L13" i="70"/>
  <c r="AG30" i="97" l="1"/>
  <c r="AH30" i="97" s="1"/>
  <c r="AA12" i="22"/>
  <c r="AC12" i="22"/>
  <c r="R76" i="61"/>
  <c r="Q76" i="61"/>
  <c r="P76" i="61"/>
  <c r="O76" i="61"/>
  <c r="N76" i="61"/>
  <c r="M76" i="61"/>
  <c r="L76" i="61"/>
  <c r="K76" i="61"/>
  <c r="J76" i="61"/>
  <c r="I76" i="61"/>
  <c r="H76" i="61"/>
  <c r="G76" i="61"/>
  <c r="F76" i="61"/>
  <c r="AG33" i="97" l="1"/>
  <c r="AH33" i="97" s="1"/>
  <c r="AB66" i="97"/>
  <c r="G142" i="97"/>
  <c r="J125" i="97"/>
  <c r="K66" i="97"/>
  <c r="AA104" i="97"/>
  <c r="J49" i="91" l="1"/>
  <c r="J30" i="99"/>
  <c r="AA60" i="90"/>
  <c r="AA9" i="99"/>
  <c r="AF66" i="97"/>
  <c r="M66" i="97"/>
  <c r="R351" i="61"/>
  <c r="Q351" i="61"/>
  <c r="P351" i="61"/>
  <c r="O351" i="61"/>
  <c r="N351" i="61"/>
  <c r="M351" i="61"/>
  <c r="L351" i="61"/>
  <c r="K351" i="61"/>
  <c r="J351" i="61"/>
  <c r="I351" i="61"/>
  <c r="H351" i="61"/>
  <c r="G351" i="61"/>
  <c r="F351" i="61"/>
  <c r="AC108" i="97" l="1"/>
  <c r="K70" i="97"/>
  <c r="H71" i="97"/>
  <c r="G71" i="97"/>
  <c r="W71" i="97"/>
  <c r="Y71" i="97"/>
  <c r="V71" i="97"/>
  <c r="X71" i="97"/>
  <c r="AA71" i="97"/>
  <c r="AB70" i="97"/>
  <c r="J129" i="97"/>
  <c r="G146" i="97"/>
  <c r="G147" i="97" s="1"/>
  <c r="N71" i="97"/>
  <c r="U71" i="97"/>
  <c r="O66" i="97"/>
  <c r="I71" i="97"/>
  <c r="F71" i="97"/>
  <c r="AA10" i="85"/>
  <c r="J131" i="97" l="1"/>
  <c r="J53" i="91"/>
  <c r="J34" i="99"/>
  <c r="AC64" i="90"/>
  <c r="AC13" i="99"/>
  <c r="AC71" i="97"/>
  <c r="AB71" i="97"/>
  <c r="AG66" i="97"/>
  <c r="Y73" i="97"/>
  <c r="AF70" i="97"/>
  <c r="M70" i="97"/>
  <c r="K71" i="97"/>
  <c r="AC10" i="85"/>
  <c r="U82" i="22"/>
  <c r="J55" i="91" l="1"/>
  <c r="N31" i="36"/>
  <c r="AF71" i="97"/>
  <c r="O70" i="97"/>
  <c r="O71" i="97" s="1"/>
  <c r="M71" i="97"/>
  <c r="AH66" i="97"/>
  <c r="D365" i="61"/>
  <c r="R438" i="59"/>
  <c r="Q438" i="59"/>
  <c r="P438" i="59"/>
  <c r="O438" i="59"/>
  <c r="N438" i="59"/>
  <c r="M438" i="59"/>
  <c r="L438" i="59"/>
  <c r="K438" i="59"/>
  <c r="J438" i="59"/>
  <c r="I438" i="59"/>
  <c r="H438" i="59"/>
  <c r="G438" i="59"/>
  <c r="D33" i="58"/>
  <c r="AG70" i="97" l="1"/>
  <c r="C5" i="77"/>
  <c r="C7" i="77"/>
  <c r="AH70" i="97" l="1"/>
  <c r="AG71" i="97"/>
  <c r="AH71" i="97" s="1"/>
  <c r="U44" i="69" l="1"/>
  <c r="U25" i="69"/>
  <c r="U6" i="69"/>
  <c r="H7" i="64"/>
  <c r="H6" i="64"/>
  <c r="H5" i="64"/>
  <c r="H4" i="64"/>
  <c r="H3" i="64"/>
  <c r="D61" i="67"/>
  <c r="C62" i="67"/>
  <c r="C61" i="67"/>
  <c r="D49" i="67"/>
  <c r="C50" i="67"/>
  <c r="C49" i="67"/>
  <c r="D36" i="67"/>
  <c r="C37" i="67"/>
  <c r="AD30" i="69" s="1"/>
  <c r="C36" i="67"/>
  <c r="D23" i="67"/>
  <c r="C24" i="67"/>
  <c r="C23" i="67"/>
  <c r="D60" i="68"/>
  <c r="C61" i="68"/>
  <c r="C60" i="68"/>
  <c r="H9" i="64" l="1"/>
  <c r="H10" i="64" s="1"/>
  <c r="F45" i="62"/>
  <c r="D69" i="62" l="1"/>
  <c r="E69" i="62"/>
  <c r="AC32" i="22"/>
  <c r="D366" i="61"/>
  <c r="I145" i="75" l="1"/>
  <c r="AC66" i="22"/>
  <c r="F35" i="71"/>
  <c r="C17" i="62" l="1"/>
  <c r="E62" i="62" l="1"/>
  <c r="D62" i="62"/>
  <c r="D101" i="22"/>
  <c r="D13" i="70"/>
  <c r="C13" i="70"/>
  <c r="I142" i="79" l="1"/>
  <c r="D21" i="70"/>
  <c r="E21" i="70"/>
  <c r="F21" i="70"/>
  <c r="G21" i="70"/>
  <c r="H21" i="70"/>
  <c r="I21" i="70"/>
  <c r="J21" i="70"/>
  <c r="K21" i="70"/>
  <c r="L21" i="70"/>
  <c r="C21" i="70"/>
  <c r="D37" i="70"/>
  <c r="E37" i="70"/>
  <c r="F37" i="70"/>
  <c r="G37" i="70"/>
  <c r="H37" i="70"/>
  <c r="I37" i="70"/>
  <c r="J37" i="70"/>
  <c r="K37" i="70"/>
  <c r="L37" i="70"/>
  <c r="C37" i="70"/>
  <c r="M21" i="70" l="1"/>
  <c r="R365" i="61"/>
  <c r="Q365" i="61"/>
  <c r="P365" i="61"/>
  <c r="O365" i="61"/>
  <c r="N365" i="61"/>
  <c r="M365" i="61"/>
  <c r="L365" i="61"/>
  <c r="K365" i="61"/>
  <c r="J365" i="61"/>
  <c r="I365" i="61"/>
  <c r="H365" i="61"/>
  <c r="G365" i="61"/>
  <c r="F365" i="61"/>
  <c r="R352" i="59"/>
  <c r="Q352" i="59"/>
  <c r="P352" i="59"/>
  <c r="O352" i="59"/>
  <c r="N352" i="59"/>
  <c r="M352" i="59"/>
  <c r="L352" i="59"/>
  <c r="K352" i="59"/>
  <c r="J352" i="59"/>
  <c r="I352" i="59"/>
  <c r="H352" i="59"/>
  <c r="G352" i="59"/>
  <c r="G33" i="58" l="1"/>
  <c r="E69" i="66"/>
  <c r="E69" i="71"/>
  <c r="E69" i="58"/>
  <c r="E75" i="62" l="1"/>
  <c r="D75" i="62"/>
  <c r="F7" i="64"/>
  <c r="O61" i="67"/>
  <c r="N61" i="67"/>
  <c r="M61" i="67"/>
  <c r="L61" i="67"/>
  <c r="K61" i="67"/>
  <c r="J61" i="67"/>
  <c r="I61" i="67"/>
  <c r="N32" i="69" s="1"/>
  <c r="H61" i="67"/>
  <c r="G61" i="67"/>
  <c r="F61" i="67"/>
  <c r="E61" i="67"/>
  <c r="O49" i="67"/>
  <c r="N49" i="67"/>
  <c r="M49" i="67"/>
  <c r="L49" i="67"/>
  <c r="K49" i="67"/>
  <c r="J49" i="67"/>
  <c r="I49" i="67"/>
  <c r="H49" i="67"/>
  <c r="G49" i="67"/>
  <c r="F49" i="67"/>
  <c r="E49" i="67"/>
  <c r="I142" i="85" l="1"/>
  <c r="I142" i="22"/>
  <c r="F3" i="36" s="1"/>
  <c r="O36" i="67"/>
  <c r="N36" i="67"/>
  <c r="M36" i="67"/>
  <c r="L36" i="67"/>
  <c r="K36" i="67"/>
  <c r="J36" i="67"/>
  <c r="I36" i="67"/>
  <c r="N30" i="69" s="1"/>
  <c r="H36" i="67"/>
  <c r="G36" i="67"/>
  <c r="F36" i="67"/>
  <c r="E36" i="67"/>
  <c r="O23" i="67"/>
  <c r="N23" i="67"/>
  <c r="M23" i="67"/>
  <c r="L23" i="67"/>
  <c r="K23" i="67"/>
  <c r="J23" i="67"/>
  <c r="I23" i="67"/>
  <c r="H23" i="67"/>
  <c r="G23" i="67"/>
  <c r="F23" i="67"/>
  <c r="E23" i="67"/>
  <c r="O10" i="67"/>
  <c r="N10" i="67"/>
  <c r="M10" i="67"/>
  <c r="L10" i="67"/>
  <c r="K10" i="67"/>
  <c r="J10" i="67"/>
  <c r="I10" i="67"/>
  <c r="N28" i="69" s="1"/>
  <c r="H10" i="67"/>
  <c r="G10" i="67"/>
  <c r="F10" i="67"/>
  <c r="E10" i="67"/>
  <c r="P34" i="68"/>
  <c r="N34" i="68"/>
  <c r="M34" i="68"/>
  <c r="L34" i="68"/>
  <c r="K34" i="68"/>
  <c r="J34" i="68"/>
  <c r="I34" i="68"/>
  <c r="H34" i="68"/>
  <c r="G34" i="68"/>
  <c r="F34" i="68"/>
  <c r="E34" i="68"/>
  <c r="P22" i="68"/>
  <c r="N22" i="68"/>
  <c r="M22" i="68"/>
  <c r="L22" i="68"/>
  <c r="K22" i="68"/>
  <c r="J22" i="68"/>
  <c r="I22" i="68"/>
  <c r="H22" i="68"/>
  <c r="G22" i="68"/>
  <c r="F22" i="68"/>
  <c r="E22" i="68"/>
  <c r="P9" i="68"/>
  <c r="N9" i="68"/>
  <c r="M9" i="68"/>
  <c r="L9" i="68"/>
  <c r="K9" i="68"/>
  <c r="J9" i="68"/>
  <c r="I9" i="68"/>
  <c r="H9" i="68"/>
  <c r="G9" i="68"/>
  <c r="F9" i="68"/>
  <c r="E9" i="68"/>
  <c r="H45" i="62" l="1"/>
  <c r="D78" i="62" l="1"/>
  <c r="E78" i="62"/>
  <c r="I145" i="85" s="1"/>
  <c r="H27" i="62" l="1"/>
  <c r="E76" i="62" l="1"/>
  <c r="I143" i="85" s="1"/>
  <c r="D76" i="62"/>
  <c r="D9" i="22"/>
  <c r="C2" i="62"/>
  <c r="C3" i="62"/>
  <c r="C4" i="62"/>
  <c r="AC31" i="79" l="1"/>
  <c r="AC29" i="79"/>
  <c r="AC32" i="75"/>
  <c r="AC30" i="75"/>
  <c r="AC28" i="75"/>
  <c r="AC32" i="79" l="1"/>
  <c r="AC31" i="75"/>
  <c r="AC31" i="22"/>
  <c r="AC30" i="22"/>
  <c r="AC28" i="85"/>
  <c r="AA28" i="85"/>
  <c r="AC28" i="79"/>
  <c r="AA28" i="79"/>
  <c r="AC28" i="22"/>
  <c r="AC104" i="22" s="1"/>
  <c r="AA28" i="22"/>
  <c r="F11" i="64" l="1"/>
  <c r="AC31" i="85" l="1"/>
  <c r="AC30" i="85"/>
  <c r="AC30" i="79"/>
  <c r="AC29" i="85"/>
  <c r="AC29" i="75"/>
  <c r="AC29" i="22"/>
  <c r="AA66" i="85"/>
  <c r="AA66" i="79"/>
  <c r="AA66" i="22"/>
  <c r="F35" i="58"/>
  <c r="AC66" i="79" l="1"/>
  <c r="AC66" i="85"/>
  <c r="F6" i="64"/>
  <c r="F5" i="64"/>
  <c r="F4" i="64"/>
  <c r="F9" i="64" l="1"/>
  <c r="F13" i="64" s="1"/>
  <c r="F12" i="64" l="1"/>
  <c r="C7" i="87"/>
  <c r="C6" i="87"/>
  <c r="C5" i="87"/>
  <c r="C4" i="87"/>
  <c r="C3" i="87"/>
  <c r="E146" i="86"/>
  <c r="E145" i="86"/>
  <c r="E144" i="86"/>
  <c r="E143" i="86"/>
  <c r="E142" i="86"/>
  <c r="E130" i="86"/>
  <c r="D44" i="22" l="1"/>
  <c r="D45" i="22"/>
  <c r="G45" i="22"/>
  <c r="K45" i="22"/>
  <c r="D48" i="22"/>
  <c r="E48" i="22"/>
  <c r="F48" i="22"/>
  <c r="G48" i="22"/>
  <c r="H48" i="22"/>
  <c r="I48" i="22"/>
  <c r="N48" i="22"/>
  <c r="D50" i="22"/>
  <c r="E50" i="22"/>
  <c r="F50" i="22"/>
  <c r="G50" i="22"/>
  <c r="H50" i="22"/>
  <c r="I50" i="22"/>
  <c r="N50" i="22"/>
  <c r="J52" i="22"/>
  <c r="L52" i="22"/>
  <c r="G126" i="22" l="1"/>
  <c r="J143" i="22" s="1"/>
  <c r="K48" i="22"/>
  <c r="M48" i="22" s="1"/>
  <c r="O48" i="22" s="1"/>
  <c r="K50" i="22"/>
  <c r="M50" i="22" s="1"/>
  <c r="O50" i="22" s="1"/>
  <c r="E51" i="22" l="1"/>
  <c r="D51" i="22"/>
  <c r="E47" i="22"/>
  <c r="M35" i="70" l="1"/>
  <c r="C55" i="62" l="1"/>
  <c r="C36" i="62"/>
  <c r="I33" i="62"/>
  <c r="I32" i="62"/>
  <c r="D72" i="62" l="1"/>
  <c r="D67" i="62"/>
  <c r="E67" i="62"/>
  <c r="N47" i="22"/>
  <c r="G125" i="22" s="1"/>
  <c r="I47" i="22"/>
  <c r="H47" i="22"/>
  <c r="G47" i="22"/>
  <c r="F47" i="22"/>
  <c r="I146" i="79" l="1"/>
  <c r="I144" i="79"/>
  <c r="K47" i="22"/>
  <c r="M47" i="22" s="1"/>
  <c r="F27" i="62"/>
  <c r="E64" i="62" l="1"/>
  <c r="D64" i="62"/>
  <c r="O47" i="22"/>
  <c r="N51" i="22"/>
  <c r="I51" i="22"/>
  <c r="H51" i="22"/>
  <c r="G51" i="22"/>
  <c r="F51" i="22"/>
  <c r="E49" i="22"/>
  <c r="D49" i="22"/>
  <c r="D52" i="22" s="1"/>
  <c r="I143" i="75" l="1"/>
  <c r="K51" i="22"/>
  <c r="M51" i="22" s="1"/>
  <c r="O51" i="22" s="1"/>
  <c r="E52" i="22"/>
  <c r="M12" i="70" l="1"/>
  <c r="M11" i="70"/>
  <c r="M13" i="70" l="1"/>
  <c r="AE11" i="75"/>
  <c r="AE13" i="75"/>
  <c r="AE12" i="22"/>
  <c r="AE12" i="85" l="1"/>
  <c r="AE12" i="75"/>
  <c r="AE13" i="85"/>
  <c r="AE13" i="22"/>
  <c r="N49" i="22"/>
  <c r="N52" i="22" s="1"/>
  <c r="I49" i="22"/>
  <c r="I52" i="22" s="1"/>
  <c r="H49" i="22"/>
  <c r="H52" i="22" s="1"/>
  <c r="G49" i="22"/>
  <c r="G52" i="22" s="1"/>
  <c r="F49" i="22"/>
  <c r="AE11" i="22"/>
  <c r="AE10" i="85"/>
  <c r="AE10" i="75"/>
  <c r="AE10" i="22"/>
  <c r="F52" i="22" l="1"/>
  <c r="K49" i="22"/>
  <c r="AE11" i="85"/>
  <c r="M49" i="22" l="1"/>
  <c r="K52" i="22"/>
  <c r="O49" i="22" l="1"/>
  <c r="O52" i="22" s="1"/>
  <c r="M52" i="22"/>
  <c r="E147" i="22" l="1"/>
  <c r="P60" i="68" l="1"/>
  <c r="N60" i="68"/>
  <c r="M60" i="68"/>
  <c r="L60" i="68"/>
  <c r="K60" i="68"/>
  <c r="J60" i="68"/>
  <c r="I60" i="68"/>
  <c r="H60" i="68"/>
  <c r="G60" i="68"/>
  <c r="F60" i="68"/>
  <c r="E60" i="68"/>
  <c r="U6" i="88" l="1"/>
  <c r="U6" i="82"/>
  <c r="U6" i="81"/>
  <c r="U6" i="76"/>
  <c r="U6" i="39"/>
  <c r="F5" i="80" l="1"/>
  <c r="F7" i="80"/>
  <c r="F3" i="80"/>
  <c r="I23" i="62" l="1"/>
  <c r="K87" i="75" l="1"/>
  <c r="M87" i="75" s="1"/>
  <c r="H36" i="62" l="1"/>
  <c r="D77" i="62" l="1"/>
  <c r="E77" i="62"/>
  <c r="N36" i="70"/>
  <c r="M36" i="70"/>
  <c r="N35" i="70"/>
  <c r="N20" i="70"/>
  <c r="M20" i="70"/>
  <c r="N19" i="70"/>
  <c r="M19" i="70"/>
  <c r="N11" i="70"/>
  <c r="I144" i="85" l="1"/>
  <c r="I144" i="22"/>
  <c r="M37" i="70"/>
  <c r="I52" i="62" l="1"/>
  <c r="H55" i="62"/>
  <c r="D79" i="62" l="1"/>
  <c r="E79" i="62"/>
  <c r="I54" i="62"/>
  <c r="I53" i="62"/>
  <c r="I51" i="62"/>
  <c r="J51" i="62" s="1"/>
  <c r="I44" i="62"/>
  <c r="I43" i="62"/>
  <c r="I42" i="62"/>
  <c r="I41" i="62"/>
  <c r="I35" i="62"/>
  <c r="I34" i="62"/>
  <c r="I26" i="62"/>
  <c r="I25" i="62"/>
  <c r="I24" i="62"/>
  <c r="I16" i="62"/>
  <c r="I15" i="62"/>
  <c r="I14" i="62"/>
  <c r="C3" i="56" s="1"/>
  <c r="F55" i="62"/>
  <c r="E55" i="62"/>
  <c r="D55" i="62"/>
  <c r="E45" i="62"/>
  <c r="D45" i="62"/>
  <c r="C45" i="62"/>
  <c r="F36" i="62"/>
  <c r="E36" i="62"/>
  <c r="D36" i="62"/>
  <c r="E27" i="62"/>
  <c r="D27" i="62"/>
  <c r="C27" i="62"/>
  <c r="F17" i="62"/>
  <c r="E17" i="62"/>
  <c r="D17" i="62"/>
  <c r="I146" i="85" l="1"/>
  <c r="I146" i="22"/>
  <c r="E70" i="62"/>
  <c r="D70" i="62"/>
  <c r="D65" i="62"/>
  <c r="E65" i="62"/>
  <c r="I36" i="62"/>
  <c r="I45" i="62"/>
  <c r="I27" i="62"/>
  <c r="I17" i="62"/>
  <c r="I55" i="62"/>
  <c r="I145" i="79" l="1"/>
  <c r="F6" i="80" s="1"/>
  <c r="I145" i="22"/>
  <c r="I143" i="79"/>
  <c r="I143" i="22"/>
  <c r="E31" i="66"/>
  <c r="F31" i="66"/>
  <c r="D33" i="66"/>
  <c r="E33" i="66"/>
  <c r="F33" i="66"/>
  <c r="G33" i="66"/>
  <c r="D35" i="66"/>
  <c r="E35" i="66"/>
  <c r="F35" i="66"/>
  <c r="G35" i="66"/>
  <c r="I35" i="66"/>
  <c r="J35" i="66"/>
  <c r="I147" i="22" l="1"/>
  <c r="F4" i="80"/>
  <c r="I147" i="79"/>
  <c r="O30" i="36" s="1"/>
  <c r="X125" i="90"/>
  <c r="U125" i="90"/>
  <c r="L82" i="91"/>
  <c r="K82" i="91"/>
  <c r="J82" i="91"/>
  <c r="I82" i="91"/>
  <c r="H82" i="91"/>
  <c r="G82" i="91"/>
  <c r="E82" i="91"/>
  <c r="E81" i="91"/>
  <c r="E80" i="91"/>
  <c r="E79" i="91"/>
  <c r="E78" i="91"/>
  <c r="E77" i="91"/>
  <c r="D82" i="91"/>
  <c r="L68" i="91"/>
  <c r="K68" i="91"/>
  <c r="J68" i="91"/>
  <c r="I68" i="91"/>
  <c r="H68" i="91"/>
  <c r="G68" i="91"/>
  <c r="E68" i="91"/>
  <c r="E67" i="91"/>
  <c r="E66" i="91"/>
  <c r="E65" i="91"/>
  <c r="E64" i="91"/>
  <c r="E63" i="91"/>
  <c r="D68" i="91"/>
  <c r="L40" i="91"/>
  <c r="K40" i="91"/>
  <c r="J40" i="91"/>
  <c r="I40" i="91"/>
  <c r="H40" i="91"/>
  <c r="G40" i="91"/>
  <c r="E40" i="91"/>
  <c r="E39" i="91"/>
  <c r="E38" i="91"/>
  <c r="E37" i="91"/>
  <c r="E36" i="91"/>
  <c r="E35" i="91"/>
  <c r="D40" i="91"/>
  <c r="L26" i="91"/>
  <c r="K26" i="91"/>
  <c r="J26" i="91"/>
  <c r="I26" i="91"/>
  <c r="H26" i="91"/>
  <c r="G26" i="91"/>
  <c r="E26" i="91"/>
  <c r="E25" i="91"/>
  <c r="E24" i="91"/>
  <c r="E23" i="91"/>
  <c r="E22" i="91"/>
  <c r="E21" i="91"/>
  <c r="D26" i="91"/>
  <c r="L11" i="91"/>
  <c r="K11" i="91"/>
  <c r="J11" i="91"/>
  <c r="I11" i="91"/>
  <c r="H11" i="91"/>
  <c r="G11" i="91"/>
  <c r="E11" i="91"/>
  <c r="E10" i="91"/>
  <c r="E9" i="91"/>
  <c r="E8" i="91"/>
  <c r="E7" i="91"/>
  <c r="E6" i="91"/>
  <c r="D11" i="91"/>
  <c r="C14" i="87"/>
  <c r="C14" i="80"/>
  <c r="C9" i="36"/>
  <c r="L97" i="91" l="1"/>
  <c r="K97" i="91"/>
  <c r="J97" i="91"/>
  <c r="H97" i="91"/>
  <c r="G97" i="91"/>
  <c r="E93" i="91"/>
  <c r="E92" i="91"/>
  <c r="D97" i="91"/>
  <c r="I97" i="91"/>
  <c r="E95" i="91"/>
  <c r="E96" i="91"/>
  <c r="E94" i="91"/>
  <c r="E97" i="91"/>
  <c r="C15" i="36"/>
  <c r="J35" i="58"/>
  <c r="I35" i="58"/>
  <c r="G35" i="58"/>
  <c r="E35" i="58"/>
  <c r="D35" i="58"/>
  <c r="F33" i="58"/>
  <c r="E33" i="58"/>
  <c r="G31" i="58"/>
  <c r="F31" i="58"/>
  <c r="E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J35" i="71"/>
  <c r="I35" i="71"/>
  <c r="G35" i="71"/>
  <c r="E35" i="71"/>
  <c r="D35" i="71"/>
  <c r="G33" i="71"/>
  <c r="F33" i="71"/>
  <c r="E33" i="71"/>
  <c r="G31" i="71"/>
  <c r="F31" i="71"/>
  <c r="E31" i="71"/>
  <c r="D31" i="71"/>
  <c r="O45" i="39" l="1"/>
  <c r="N45" i="39"/>
  <c r="M45" i="39"/>
  <c r="AC69" i="85" l="1"/>
  <c r="AC67" i="85"/>
  <c r="AA67" i="85"/>
  <c r="AC69" i="79" l="1"/>
  <c r="AC68" i="79"/>
  <c r="AC67" i="79"/>
  <c r="AA67" i="79"/>
  <c r="AA68" i="79"/>
  <c r="AA69" i="79"/>
  <c r="AC70" i="75" l="1"/>
  <c r="AC66" i="75"/>
  <c r="AA66" i="75"/>
  <c r="AC68" i="22" l="1"/>
  <c r="AC106" i="22" s="1"/>
  <c r="AC68" i="85"/>
  <c r="F6" i="36" l="1"/>
  <c r="F4" i="36"/>
  <c r="AA70" i="79"/>
  <c r="AA70" i="22"/>
  <c r="AC14" i="22" l="1"/>
  <c r="AC70" i="22"/>
  <c r="AC108" i="22" s="1"/>
  <c r="AC70" i="79"/>
  <c r="AC68" i="75"/>
  <c r="AC67" i="22" l="1"/>
  <c r="AC105" i="22" s="1"/>
  <c r="J27" i="62"/>
  <c r="F7" i="77" l="1"/>
  <c r="F6" i="77"/>
  <c r="F4" i="77"/>
  <c r="F3" i="77"/>
  <c r="AA70" i="85" l="1"/>
  <c r="AC32" i="85"/>
  <c r="AC70" i="85" l="1"/>
  <c r="AC69" i="75"/>
  <c r="AC67" i="75"/>
  <c r="AA70" i="75" l="1"/>
  <c r="AC69" i="22" l="1"/>
  <c r="AC107" i="22" s="1"/>
  <c r="AC109" i="22" s="1"/>
  <c r="AA69" i="22"/>
  <c r="AA67" i="75"/>
  <c r="AA67" i="22"/>
  <c r="L29" i="70" l="1"/>
  <c r="K29" i="70"/>
  <c r="K6" i="70" s="1"/>
  <c r="J29" i="70"/>
  <c r="I29" i="70"/>
  <c r="H29" i="70"/>
  <c r="G29" i="70"/>
  <c r="AA68" i="75"/>
  <c r="AA68" i="22"/>
  <c r="AA69" i="75" l="1"/>
  <c r="T16" i="89" l="1"/>
  <c r="S16" i="89"/>
  <c r="R16" i="89"/>
  <c r="Q16" i="89"/>
  <c r="P16" i="89"/>
  <c r="I16" i="89"/>
  <c r="H16" i="89"/>
  <c r="G16" i="89"/>
  <c r="F16" i="89"/>
  <c r="E16" i="89"/>
  <c r="D16" i="89"/>
  <c r="T15" i="89"/>
  <c r="S15" i="89"/>
  <c r="R15" i="89"/>
  <c r="Q15" i="89"/>
  <c r="P15" i="89"/>
  <c r="I15" i="89"/>
  <c r="H15" i="89"/>
  <c r="G15" i="89"/>
  <c r="F15" i="89"/>
  <c r="E15" i="89"/>
  <c r="D15" i="89"/>
  <c r="T14" i="89"/>
  <c r="S14" i="89"/>
  <c r="R14" i="89"/>
  <c r="Q14" i="89"/>
  <c r="P14" i="89"/>
  <c r="I14" i="89"/>
  <c r="H14" i="89"/>
  <c r="G14" i="89"/>
  <c r="F14" i="89"/>
  <c r="E14" i="89"/>
  <c r="D14" i="89"/>
  <c r="T13" i="89"/>
  <c r="S13" i="89"/>
  <c r="R13" i="89"/>
  <c r="Q13" i="89"/>
  <c r="P13" i="89"/>
  <c r="I13" i="89"/>
  <c r="H13" i="89"/>
  <c r="G13" i="89"/>
  <c r="F13" i="89"/>
  <c r="E13" i="89"/>
  <c r="D13" i="89"/>
  <c r="T12" i="89"/>
  <c r="S12" i="89"/>
  <c r="R12" i="89"/>
  <c r="Q12" i="89"/>
  <c r="P12" i="89"/>
  <c r="I12" i="89"/>
  <c r="H12" i="89"/>
  <c r="G12" i="89"/>
  <c r="F12" i="89"/>
  <c r="E12" i="89"/>
  <c r="D12" i="89"/>
  <c r="J16" i="89" l="1"/>
  <c r="G102" i="22"/>
  <c r="F10" i="89" s="1"/>
  <c r="T17" i="89" l="1"/>
  <c r="S17" i="89"/>
  <c r="R17" i="89"/>
  <c r="Q17" i="89"/>
  <c r="P17" i="89"/>
  <c r="I17" i="89"/>
  <c r="H17" i="89"/>
  <c r="G17" i="89"/>
  <c r="F17" i="89"/>
  <c r="E17" i="89"/>
  <c r="D17" i="89"/>
  <c r="U16" i="89"/>
  <c r="U15" i="89"/>
  <c r="J15" i="89"/>
  <c r="U14" i="89"/>
  <c r="J14" i="89"/>
  <c r="U13" i="89"/>
  <c r="J13" i="89"/>
  <c r="U12" i="89"/>
  <c r="J12" i="89"/>
  <c r="V16" i="89" l="1"/>
  <c r="W16" i="89" s="1"/>
  <c r="V15" i="89"/>
  <c r="W15" i="89" s="1"/>
  <c r="V14" i="89"/>
  <c r="W14" i="89" s="1"/>
  <c r="U17" i="89"/>
  <c r="V13" i="89"/>
  <c r="W13" i="89" s="1"/>
  <c r="J17" i="89"/>
  <c r="J20" i="89" s="1"/>
  <c r="T19" i="89"/>
  <c r="V12" i="89"/>
  <c r="V17" i="89" l="1"/>
  <c r="W17" i="89" s="1"/>
  <c r="W12" i="89"/>
  <c r="J23" i="62" l="1"/>
  <c r="U7" i="22" l="1"/>
  <c r="J24" i="62" l="1"/>
  <c r="J25" i="62"/>
  <c r="Y10" i="22" l="1"/>
  <c r="X10" i="22"/>
  <c r="W10" i="22"/>
  <c r="V10" i="22"/>
  <c r="U10" i="22"/>
  <c r="N10" i="22"/>
  <c r="I10" i="22"/>
  <c r="H10" i="22"/>
  <c r="G10" i="22"/>
  <c r="F10" i="22"/>
  <c r="AE9" i="75"/>
  <c r="N70" i="86" l="1"/>
  <c r="N69" i="86"/>
  <c r="N68" i="86"/>
  <c r="N67" i="86"/>
  <c r="N66" i="86"/>
  <c r="N68" i="85"/>
  <c r="N69" i="79"/>
  <c r="N68" i="79"/>
  <c r="N67" i="79"/>
  <c r="N66" i="79"/>
  <c r="N66" i="75"/>
  <c r="J47" i="69" l="1"/>
  <c r="J85" i="97" s="1"/>
  <c r="J104" i="97" s="1"/>
  <c r="J9" i="99" l="1"/>
  <c r="J60" i="90"/>
  <c r="Z13" i="69"/>
  <c r="Z12" i="69"/>
  <c r="Z11" i="69"/>
  <c r="Z10" i="69"/>
  <c r="Z9" i="69"/>
  <c r="E13" i="69" l="1"/>
  <c r="AD13" i="69"/>
  <c r="AC13" i="69" s="1"/>
  <c r="D13" i="69"/>
  <c r="U10" i="69"/>
  <c r="F10" i="69"/>
  <c r="AA9" i="69"/>
  <c r="Y9" i="69"/>
  <c r="X9" i="69"/>
  <c r="W9" i="69"/>
  <c r="V9" i="69"/>
  <c r="U9" i="69"/>
  <c r="N9" i="69"/>
  <c r="AB9" i="69" s="1"/>
  <c r="I9" i="69"/>
  <c r="H9" i="69"/>
  <c r="G9" i="69"/>
  <c r="F9" i="69"/>
  <c r="E9" i="69"/>
  <c r="AD9" i="69"/>
  <c r="AC9" i="69" s="1"/>
  <c r="D9" i="69"/>
  <c r="K9" i="69" l="1"/>
  <c r="M9" i="69" s="1"/>
  <c r="O9" i="69" s="1"/>
  <c r="AE9" i="69"/>
  <c r="N68" i="22"/>
  <c r="AA13" i="69" l="1"/>
  <c r="Y13" i="69"/>
  <c r="X13" i="69"/>
  <c r="W13" i="69"/>
  <c r="V13" i="69"/>
  <c r="U13" i="69"/>
  <c r="N13" i="69"/>
  <c r="AB13" i="69" s="1"/>
  <c r="I13" i="69"/>
  <c r="H13" i="69"/>
  <c r="G13" i="69"/>
  <c r="F13" i="69"/>
  <c r="AA12" i="69"/>
  <c r="Y12" i="69"/>
  <c r="X12" i="69"/>
  <c r="W12" i="69"/>
  <c r="V12" i="69"/>
  <c r="U12" i="69"/>
  <c r="N12" i="69"/>
  <c r="AB12" i="69" s="1"/>
  <c r="I12" i="69"/>
  <c r="H12" i="69"/>
  <c r="G12" i="69"/>
  <c r="F12" i="69"/>
  <c r="D12" i="69"/>
  <c r="AA11" i="69"/>
  <c r="Y11" i="69"/>
  <c r="X11" i="69"/>
  <c r="W11" i="69"/>
  <c r="V11" i="69"/>
  <c r="U11" i="69"/>
  <c r="N11" i="69"/>
  <c r="AB11" i="69" s="1"/>
  <c r="I11" i="69"/>
  <c r="H11" i="69"/>
  <c r="G11" i="69"/>
  <c r="F11" i="69"/>
  <c r="D11" i="69"/>
  <c r="AA10" i="69"/>
  <c r="Y10" i="69"/>
  <c r="X10" i="69"/>
  <c r="W10" i="69"/>
  <c r="V10" i="69"/>
  <c r="N10" i="69"/>
  <c r="AB10" i="69" s="1"/>
  <c r="I10" i="69"/>
  <c r="H10" i="69"/>
  <c r="G10" i="69"/>
  <c r="N70" i="79"/>
  <c r="N70" i="75"/>
  <c r="N70" i="22"/>
  <c r="N68" i="75"/>
  <c r="N66" i="22"/>
  <c r="AA14" i="69" l="1"/>
  <c r="AE13" i="69"/>
  <c r="K13" i="69"/>
  <c r="M13" i="69" s="1"/>
  <c r="O13" i="69" s="1"/>
  <c r="E10" i="22"/>
  <c r="D10" i="22"/>
  <c r="E35" i="76" l="1"/>
  <c r="I129" i="86" l="1"/>
  <c r="I128" i="86"/>
  <c r="I127" i="86"/>
  <c r="I126" i="86"/>
  <c r="I125" i="86"/>
  <c r="I129" i="85"/>
  <c r="I128" i="85"/>
  <c r="I127" i="85"/>
  <c r="I126" i="85"/>
  <c r="I125" i="85"/>
  <c r="I128" i="79"/>
  <c r="I126" i="79"/>
  <c r="I129" i="75"/>
  <c r="I125" i="75"/>
  <c r="I34" i="82" l="1"/>
  <c r="I67" i="91"/>
  <c r="I30" i="88"/>
  <c r="I77" i="91"/>
  <c r="I32" i="82"/>
  <c r="I65" i="91"/>
  <c r="I31" i="88"/>
  <c r="I78" i="91"/>
  <c r="I30" i="76"/>
  <c r="I21" i="91"/>
  <c r="I31" i="81"/>
  <c r="I36" i="91"/>
  <c r="I32" i="88"/>
  <c r="I79" i="91"/>
  <c r="I33" i="82"/>
  <c r="I66" i="91"/>
  <c r="I33" i="81"/>
  <c r="I38" i="91"/>
  <c r="I30" i="82"/>
  <c r="I63" i="91"/>
  <c r="I33" i="88"/>
  <c r="I80" i="91"/>
  <c r="I34" i="76"/>
  <c r="I25" i="91"/>
  <c r="I31" i="82"/>
  <c r="I64" i="91"/>
  <c r="I34" i="88"/>
  <c r="I81" i="91"/>
  <c r="I131" i="86"/>
  <c r="I83" i="91" s="1"/>
  <c r="I131" i="85"/>
  <c r="I69" i="91" l="1"/>
  <c r="M32" i="36"/>
  <c r="AA29" i="69"/>
  <c r="N67" i="22"/>
  <c r="AA32" i="69"/>
  <c r="AA51" i="69" s="1"/>
  <c r="Y32" i="69"/>
  <c r="X32" i="69"/>
  <c r="W32" i="69"/>
  <c r="V32" i="69"/>
  <c r="U32" i="69"/>
  <c r="AB32" i="69"/>
  <c r="Y29" i="69"/>
  <c r="X29" i="69"/>
  <c r="W29" i="69"/>
  <c r="V29" i="69"/>
  <c r="U29" i="69"/>
  <c r="N29" i="69"/>
  <c r="AB29" i="69" s="1"/>
  <c r="AB48" i="69" s="1"/>
  <c r="E12" i="69"/>
  <c r="K12" i="69" s="1"/>
  <c r="M12" i="69" s="1"/>
  <c r="O12" i="69" s="1"/>
  <c r="AD12" i="69"/>
  <c r="AC12" i="69" s="1"/>
  <c r="AE12" i="69" s="1"/>
  <c r="E11" i="69"/>
  <c r="K11" i="69" s="1"/>
  <c r="M11" i="69" s="1"/>
  <c r="O11" i="69" s="1"/>
  <c r="AD11" i="69"/>
  <c r="AC11" i="69" s="1"/>
  <c r="AE11" i="69" s="1"/>
  <c r="E10" i="69"/>
  <c r="AD10" i="69"/>
  <c r="AC10" i="69" s="1"/>
  <c r="AE10" i="69" s="1"/>
  <c r="D10" i="69"/>
  <c r="N70" i="85"/>
  <c r="N67" i="85"/>
  <c r="N67" i="75"/>
  <c r="N66" i="85"/>
  <c r="AC10" i="86"/>
  <c r="AC9" i="86"/>
  <c r="AA89" i="97" l="1"/>
  <c r="AA108" i="97" s="1"/>
  <c r="AA89" i="22"/>
  <c r="AA89" i="79"/>
  <c r="K10" i="69"/>
  <c r="M10" i="69" s="1"/>
  <c r="O10" i="69" s="1"/>
  <c r="D14" i="69"/>
  <c r="J54" i="62"/>
  <c r="J44" i="62"/>
  <c r="J35" i="62"/>
  <c r="H5" i="62"/>
  <c r="F5" i="62"/>
  <c r="E5" i="62"/>
  <c r="D5" i="62"/>
  <c r="C5" i="62"/>
  <c r="J26" i="62"/>
  <c r="J16" i="62"/>
  <c r="AA64" i="90" l="1"/>
  <c r="AA13" i="99"/>
  <c r="I5" i="62"/>
  <c r="C15" i="80" l="1"/>
  <c r="D21" i="36"/>
  <c r="AG107" i="79"/>
  <c r="AG46" i="90" l="1"/>
  <c r="AH107" i="79"/>
  <c r="AC13" i="86"/>
  <c r="AC12" i="86"/>
  <c r="AC11" i="86" l="1"/>
  <c r="L9" i="79" l="1"/>
  <c r="N69" i="85" l="1"/>
  <c r="N69" i="75"/>
  <c r="N69" i="22"/>
  <c r="AE9" i="22"/>
  <c r="J55" i="62"/>
  <c r="J53" i="62"/>
  <c r="J52" i="62"/>
  <c r="J45" i="62"/>
  <c r="J43" i="62"/>
  <c r="J42" i="62"/>
  <c r="J41" i="62"/>
  <c r="J36" i="62"/>
  <c r="J34" i="62"/>
  <c r="J33" i="62"/>
  <c r="J32" i="62"/>
  <c r="J17" i="62"/>
  <c r="J15" i="62"/>
  <c r="J14" i="62"/>
  <c r="J13" i="62"/>
  <c r="AA66" i="86" l="1"/>
  <c r="F7" i="83" l="1"/>
  <c r="F6" i="83"/>
  <c r="F5" i="83"/>
  <c r="F4" i="83"/>
  <c r="F3" i="83"/>
  <c r="AC108" i="86" l="1"/>
  <c r="AC107" i="86"/>
  <c r="AC106" i="86"/>
  <c r="AC90" i="86"/>
  <c r="AC71" i="86"/>
  <c r="AC52" i="86"/>
  <c r="AC33" i="86"/>
  <c r="AC105" i="86"/>
  <c r="AC94" i="90" s="1"/>
  <c r="AC108" i="85"/>
  <c r="AC107" i="85"/>
  <c r="AC106" i="85"/>
  <c r="AC90" i="85"/>
  <c r="AC71" i="85"/>
  <c r="AC52" i="85"/>
  <c r="AC33" i="85"/>
  <c r="AC108" i="79"/>
  <c r="AC107" i="79"/>
  <c r="AC71" i="79"/>
  <c r="AC52" i="79"/>
  <c r="AC33" i="79"/>
  <c r="AC108" i="75"/>
  <c r="AC107" i="75"/>
  <c r="AC106" i="75"/>
  <c r="AC90" i="75"/>
  <c r="AC71" i="75"/>
  <c r="AC52" i="75"/>
  <c r="AC33" i="75"/>
  <c r="AC71" i="22"/>
  <c r="AC52" i="22"/>
  <c r="AC33" i="22"/>
  <c r="AC12" i="76" l="1"/>
  <c r="AC29" i="90"/>
  <c r="AC12" i="39"/>
  <c r="AC12" i="90"/>
  <c r="AC13" i="76"/>
  <c r="AC30" i="90"/>
  <c r="AC11" i="82"/>
  <c r="AC78" i="90"/>
  <c r="AC11" i="88"/>
  <c r="AC95" i="90"/>
  <c r="AC13" i="39"/>
  <c r="AC13" i="90"/>
  <c r="AC12" i="82"/>
  <c r="AC79" i="90"/>
  <c r="AC12" i="88"/>
  <c r="AC96" i="90"/>
  <c r="AC13" i="81"/>
  <c r="AC47" i="90"/>
  <c r="AC11" i="76"/>
  <c r="AC28" i="90"/>
  <c r="AC12" i="81"/>
  <c r="AC46" i="90"/>
  <c r="AC13" i="82"/>
  <c r="AC80" i="90"/>
  <c r="AC13" i="88"/>
  <c r="AC97" i="90"/>
  <c r="AC14" i="86"/>
  <c r="AC10" i="88"/>
  <c r="AC104" i="86"/>
  <c r="AC105" i="79"/>
  <c r="AC114" i="90" l="1"/>
  <c r="AC113" i="90"/>
  <c r="AC10" i="81"/>
  <c r="AC44" i="90"/>
  <c r="AC9" i="88"/>
  <c r="AC14" i="88" s="1"/>
  <c r="AC93" i="90"/>
  <c r="AC109" i="86"/>
  <c r="AC98" i="90" s="1"/>
  <c r="AC105" i="75" l="1"/>
  <c r="F5" i="36"/>
  <c r="AC10" i="76" l="1"/>
  <c r="AC27" i="90"/>
  <c r="AC105" i="85"/>
  <c r="AC10" i="82" l="1"/>
  <c r="AC77" i="90"/>
  <c r="AC10" i="39"/>
  <c r="AC10" i="90"/>
  <c r="AC14" i="79"/>
  <c r="AC111" i="90" l="1"/>
  <c r="AE70" i="86"/>
  <c r="F5" i="77"/>
  <c r="L5" i="77"/>
  <c r="F7" i="36" l="1"/>
  <c r="R12" i="56" l="1"/>
  <c r="K125" i="86" s="1"/>
  <c r="O12" i="56"/>
  <c r="K125" i="85" s="1"/>
  <c r="I12" i="56"/>
  <c r="F16" i="56"/>
  <c r="K129" i="75" s="1"/>
  <c r="F15" i="56"/>
  <c r="F14" i="56"/>
  <c r="K127" i="75" s="1"/>
  <c r="F13" i="56"/>
  <c r="K126" i="75" s="1"/>
  <c r="F12" i="56"/>
  <c r="K125" i="75" s="1"/>
  <c r="K128" i="75" l="1"/>
  <c r="F17" i="56"/>
  <c r="K125" i="79"/>
  <c r="K30" i="76"/>
  <c r="K21" i="91"/>
  <c r="K34" i="76"/>
  <c r="K25" i="91"/>
  <c r="K31" i="76"/>
  <c r="K22" i="91"/>
  <c r="K30" i="88"/>
  <c r="K77" i="91"/>
  <c r="K32" i="76"/>
  <c r="K23" i="91"/>
  <c r="K30" i="82"/>
  <c r="K63" i="91"/>
  <c r="R7" i="56"/>
  <c r="R6" i="56"/>
  <c r="R5" i="56"/>
  <c r="R4" i="56"/>
  <c r="R3" i="56"/>
  <c r="AB70" i="22"/>
  <c r="K33" i="76" l="1"/>
  <c r="K36" i="76" s="1"/>
  <c r="K24" i="91"/>
  <c r="K30" i="81"/>
  <c r="K35" i="91"/>
  <c r="O22" i="56"/>
  <c r="L126" i="85" s="1"/>
  <c r="O25" i="56"/>
  <c r="L129" i="85" s="1"/>
  <c r="L31" i="82" l="1"/>
  <c r="L64" i="91"/>
  <c r="L34" i="82"/>
  <c r="L67" i="91"/>
  <c r="C21" i="56"/>
  <c r="AC104" i="75" l="1"/>
  <c r="AC26" i="90" s="1"/>
  <c r="AC14" i="75"/>
  <c r="AC104" i="85"/>
  <c r="AC76" i="90" s="1"/>
  <c r="AC14" i="85"/>
  <c r="AC109" i="85" l="1"/>
  <c r="AC81" i="90" s="1"/>
  <c r="AC9" i="82"/>
  <c r="AC14" i="82" s="1"/>
  <c r="AC109" i="75"/>
  <c r="AC31" i="90" s="1"/>
  <c r="AC9" i="76"/>
  <c r="AC14" i="76" s="1"/>
  <c r="Y28" i="69"/>
  <c r="X28" i="69"/>
  <c r="W28" i="69"/>
  <c r="V28" i="69"/>
  <c r="U28" i="69"/>
  <c r="AA28" i="69" l="1"/>
  <c r="C6" i="62" l="1"/>
  <c r="C7" i="62" s="1"/>
  <c r="F28" i="69"/>
  <c r="C12" i="56" l="1"/>
  <c r="N3" i="69"/>
  <c r="K7" i="69"/>
  <c r="H7" i="69"/>
  <c r="D7" i="69"/>
  <c r="D6" i="69"/>
  <c r="L8" i="36" l="1"/>
  <c r="AB70" i="79"/>
  <c r="AE68" i="86"/>
  <c r="F6" i="88" l="1"/>
  <c r="O45" i="88" l="1"/>
  <c r="N45" i="88"/>
  <c r="M45" i="88"/>
  <c r="F45" i="88"/>
  <c r="O46" i="81"/>
  <c r="N46" i="81"/>
  <c r="M46" i="81"/>
  <c r="F46" i="81"/>
  <c r="O45" i="82"/>
  <c r="N45" i="82"/>
  <c r="M45" i="82"/>
  <c r="F45" i="82"/>
  <c r="O45" i="76"/>
  <c r="N45" i="76"/>
  <c r="M45" i="76"/>
  <c r="F45" i="76"/>
  <c r="F45" i="39"/>
  <c r="E11" i="64"/>
  <c r="D11" i="64"/>
  <c r="C16" i="56"/>
  <c r="C24" i="56"/>
  <c r="C15" i="56"/>
  <c r="C23" i="56"/>
  <c r="C14" i="56"/>
  <c r="C22" i="56"/>
  <c r="C13" i="56"/>
  <c r="H4" i="62"/>
  <c r="F4" i="62"/>
  <c r="E4" i="62"/>
  <c r="D4" i="62"/>
  <c r="H3" i="62"/>
  <c r="F3" i="62"/>
  <c r="E3" i="62"/>
  <c r="D3" i="62"/>
  <c r="H2" i="62"/>
  <c r="F2" i="62"/>
  <c r="E2" i="62"/>
  <c r="D2" i="62"/>
  <c r="I2" i="62" l="1"/>
  <c r="F6" i="62"/>
  <c r="F7" i="62" s="1"/>
  <c r="K131" i="75"/>
  <c r="K27" i="91" s="1"/>
  <c r="I4" i="62"/>
  <c r="I3" i="62"/>
  <c r="H6" i="62"/>
  <c r="H7" i="62" s="1"/>
  <c r="D6" i="62"/>
  <c r="D7" i="62" s="1"/>
  <c r="E6" i="62"/>
  <c r="E7" i="62" s="1"/>
  <c r="G5" i="70"/>
  <c r="G6" i="70" s="1"/>
  <c r="F5" i="70"/>
  <c r="J5" i="70"/>
  <c r="J6" i="70" s="1"/>
  <c r="E5" i="70"/>
  <c r="I5" i="70"/>
  <c r="I6" i="70" s="1"/>
  <c r="D5" i="70"/>
  <c r="H5" i="70"/>
  <c r="H6" i="70" s="1"/>
  <c r="I6" i="62" l="1"/>
  <c r="M5" i="70"/>
  <c r="I7" i="62" l="1"/>
  <c r="Y51" i="75"/>
  <c r="X51" i="75"/>
  <c r="W51" i="75"/>
  <c r="V51" i="75"/>
  <c r="U51" i="75"/>
  <c r="G51" i="75"/>
  <c r="U30" i="69" l="1"/>
  <c r="C25" i="56" l="1"/>
  <c r="L5" i="70"/>
  <c r="L6" i="70" s="1"/>
  <c r="N13" i="22"/>
  <c r="N12" i="22"/>
  <c r="N11" i="22"/>
  <c r="N9" i="22"/>
  <c r="N5" i="70" l="1"/>
  <c r="N3" i="79"/>
  <c r="N60" i="79" s="1"/>
  <c r="AD60" i="79" s="1"/>
  <c r="N3" i="85"/>
  <c r="N79" i="85" s="1"/>
  <c r="AD79" i="85" s="1"/>
  <c r="N3" i="86"/>
  <c r="N41" i="86" s="1"/>
  <c r="AD41" i="86" s="1"/>
  <c r="N3" i="75"/>
  <c r="N41" i="75" s="1"/>
  <c r="AD41" i="75" s="1"/>
  <c r="K7" i="79"/>
  <c r="K102" i="79" s="1"/>
  <c r="Y102" i="79" s="1"/>
  <c r="K7" i="85"/>
  <c r="K102" i="85" s="1"/>
  <c r="K7" i="86"/>
  <c r="K122" i="86" s="1"/>
  <c r="K7" i="75"/>
  <c r="K122" i="75" s="1"/>
  <c r="K27" i="76" s="1"/>
  <c r="G7" i="79"/>
  <c r="G102" i="79" s="1"/>
  <c r="V102" i="79" s="1"/>
  <c r="G7" i="85"/>
  <c r="G83" i="85" s="1"/>
  <c r="V83" i="85" s="1"/>
  <c r="G7" i="86"/>
  <c r="G45" i="86" s="1"/>
  <c r="V45" i="86" s="1"/>
  <c r="G7" i="75"/>
  <c r="G83" i="75" s="1"/>
  <c r="V83" i="75" s="1"/>
  <c r="D7" i="79"/>
  <c r="D26" i="79" s="1"/>
  <c r="D7" i="85"/>
  <c r="D83" i="85" s="1"/>
  <c r="D7" i="86"/>
  <c r="D45" i="86" s="1"/>
  <c r="D7" i="75"/>
  <c r="D83" i="75" s="1"/>
  <c r="D6" i="79"/>
  <c r="D63" i="79" s="1"/>
  <c r="D6" i="85"/>
  <c r="D101" i="85" s="1"/>
  <c r="D6" i="82" s="1"/>
  <c r="D6" i="86"/>
  <c r="D63" i="86" s="1"/>
  <c r="D6" i="75"/>
  <c r="D82" i="75" s="1"/>
  <c r="E34" i="88"/>
  <c r="E33" i="88"/>
  <c r="E32" i="88"/>
  <c r="E31" i="88"/>
  <c r="E30" i="88"/>
  <c r="D35" i="88"/>
  <c r="L7" i="87"/>
  <c r="L6" i="87"/>
  <c r="L5" i="87"/>
  <c r="L4" i="87"/>
  <c r="L3" i="87"/>
  <c r="H8" i="87"/>
  <c r="E35" i="88"/>
  <c r="R25" i="56"/>
  <c r="L129" i="86" s="1"/>
  <c r="R24" i="56"/>
  <c r="L128" i="86" s="1"/>
  <c r="R23" i="56"/>
  <c r="L127" i="86" s="1"/>
  <c r="R22" i="56"/>
  <c r="L126" i="86" s="1"/>
  <c r="R21" i="56"/>
  <c r="L125" i="86" s="1"/>
  <c r="L77" i="91" s="1"/>
  <c r="R16" i="56"/>
  <c r="K129" i="86" s="1"/>
  <c r="R15" i="56"/>
  <c r="K128" i="86" s="1"/>
  <c r="R14" i="56"/>
  <c r="K127" i="86" s="1"/>
  <c r="R13" i="56"/>
  <c r="K126" i="86" s="1"/>
  <c r="D129" i="86"/>
  <c r="D128" i="86"/>
  <c r="D80" i="91" s="1"/>
  <c r="D127" i="86"/>
  <c r="D79" i="91" s="1"/>
  <c r="D126" i="86"/>
  <c r="D78" i="91" s="1"/>
  <c r="AD70" i="86"/>
  <c r="AA70" i="86"/>
  <c r="Y70" i="86"/>
  <c r="X70" i="86"/>
  <c r="W70" i="86"/>
  <c r="V70" i="86"/>
  <c r="U70" i="86"/>
  <c r="I70" i="86"/>
  <c r="H70" i="86"/>
  <c r="G70" i="86"/>
  <c r="F70" i="86"/>
  <c r="E70" i="86"/>
  <c r="D70" i="86"/>
  <c r="J129" i="86" s="1"/>
  <c r="AE69" i="86"/>
  <c r="AD69" i="86" s="1"/>
  <c r="AA69" i="86"/>
  <c r="Y69" i="86"/>
  <c r="X69" i="86"/>
  <c r="W69" i="86"/>
  <c r="V69" i="86"/>
  <c r="U69" i="86"/>
  <c r="I69" i="86"/>
  <c r="H69" i="86"/>
  <c r="G69" i="86"/>
  <c r="F69" i="86"/>
  <c r="E69" i="86"/>
  <c r="D69" i="86"/>
  <c r="J128" i="86" s="1"/>
  <c r="AA68" i="86"/>
  <c r="Y68" i="86"/>
  <c r="X68" i="86"/>
  <c r="W68" i="86"/>
  <c r="V68" i="86"/>
  <c r="U68" i="86"/>
  <c r="I68" i="86"/>
  <c r="H68" i="86"/>
  <c r="G68" i="86"/>
  <c r="F68" i="86"/>
  <c r="E68" i="86"/>
  <c r="D68" i="86"/>
  <c r="AE67" i="86"/>
  <c r="AD67" i="86" s="1"/>
  <c r="AA67" i="86"/>
  <c r="Y67" i="86"/>
  <c r="X67" i="86"/>
  <c r="W67" i="86"/>
  <c r="V67" i="86"/>
  <c r="U67" i="86"/>
  <c r="I67" i="86"/>
  <c r="H67" i="86"/>
  <c r="G67" i="86"/>
  <c r="F67" i="86"/>
  <c r="E67" i="86"/>
  <c r="D67" i="86"/>
  <c r="J126" i="86" s="1"/>
  <c r="Y66" i="86"/>
  <c r="X66" i="86"/>
  <c r="W66" i="86"/>
  <c r="V66" i="86"/>
  <c r="U66" i="86"/>
  <c r="I66" i="86"/>
  <c r="H66" i="86"/>
  <c r="G66" i="86"/>
  <c r="F66" i="86"/>
  <c r="E66" i="86"/>
  <c r="D66" i="86"/>
  <c r="AE51" i="86"/>
  <c r="AD51" i="86" s="1"/>
  <c r="AA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 s="1"/>
  <c r="AA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AE48" i="86"/>
  <c r="AD48" i="86" s="1"/>
  <c r="AA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A47" i="86"/>
  <c r="Y47" i="86"/>
  <c r="X47" i="86"/>
  <c r="W47" i="86"/>
  <c r="V47" i="86"/>
  <c r="U47" i="86"/>
  <c r="N47" i="86"/>
  <c r="I47" i="86"/>
  <c r="H47" i="86"/>
  <c r="G47" i="86"/>
  <c r="F47" i="86"/>
  <c r="E47" i="86"/>
  <c r="D47" i="86"/>
  <c r="Y32" i="86"/>
  <c r="U32" i="86"/>
  <c r="Y31" i="86"/>
  <c r="X31" i="86"/>
  <c r="U31" i="86"/>
  <c r="N31" i="86"/>
  <c r="AB31" i="86" s="1"/>
  <c r="AE30" i="86"/>
  <c r="AD30" i="86" s="1"/>
  <c r="X30" i="86"/>
  <c r="W30" i="86"/>
  <c r="N30" i="86"/>
  <c r="AB30" i="86" s="1"/>
  <c r="I30" i="86"/>
  <c r="F30" i="86"/>
  <c r="E30" i="86"/>
  <c r="AE28" i="86"/>
  <c r="N28" i="86"/>
  <c r="AB28" i="86" s="1"/>
  <c r="I28" i="86"/>
  <c r="F28" i="86"/>
  <c r="E28" i="86"/>
  <c r="AE13" i="86"/>
  <c r="AA13" i="86"/>
  <c r="Y13" i="86"/>
  <c r="X13" i="86"/>
  <c r="W13" i="86"/>
  <c r="V13" i="86"/>
  <c r="U13" i="86"/>
  <c r="N13" i="86"/>
  <c r="AB13" i="86" s="1"/>
  <c r="I13" i="86"/>
  <c r="H13" i="86"/>
  <c r="G13" i="86"/>
  <c r="F13" i="86"/>
  <c r="E13" i="86"/>
  <c r="D13" i="86"/>
  <c r="AE12" i="86"/>
  <c r="AA12" i="86"/>
  <c r="Y12" i="86"/>
  <c r="X12" i="86"/>
  <c r="W12" i="86"/>
  <c r="V12" i="86"/>
  <c r="U12" i="86"/>
  <c r="N12" i="86"/>
  <c r="I12" i="86"/>
  <c r="H12" i="86"/>
  <c r="G12" i="86"/>
  <c r="F12" i="86"/>
  <c r="E12" i="86"/>
  <c r="D12" i="86"/>
  <c r="AE9" i="86"/>
  <c r="AA9" i="86"/>
  <c r="Y9" i="86"/>
  <c r="X9" i="86"/>
  <c r="W9" i="86"/>
  <c r="V9" i="86"/>
  <c r="U9" i="86"/>
  <c r="N9" i="86"/>
  <c r="AB9" i="86" s="1"/>
  <c r="I9" i="86"/>
  <c r="H9" i="86"/>
  <c r="G9" i="86"/>
  <c r="F9" i="86"/>
  <c r="E9" i="86"/>
  <c r="D9" i="86"/>
  <c r="X7" i="88"/>
  <c r="U7" i="88"/>
  <c r="F9" i="87"/>
  <c r="I147" i="86"/>
  <c r="X102" i="86"/>
  <c r="U102" i="86"/>
  <c r="L90" i="86"/>
  <c r="Z89" i="86"/>
  <c r="AB89" i="86"/>
  <c r="AD89" i="86"/>
  <c r="G7" i="87"/>
  <c r="Z88" i="86"/>
  <c r="AB88" i="86"/>
  <c r="I90" i="86"/>
  <c r="Z87" i="86"/>
  <c r="AB87" i="86"/>
  <c r="AD87" i="86"/>
  <c r="AB86" i="86"/>
  <c r="Z86" i="86"/>
  <c r="AD86" i="86"/>
  <c r="AB85" i="86"/>
  <c r="Z85" i="86"/>
  <c r="Y90" i="86"/>
  <c r="X90" i="86"/>
  <c r="V90" i="86"/>
  <c r="U90" i="86"/>
  <c r="H90" i="86"/>
  <c r="G90" i="86"/>
  <c r="G3" i="87"/>
  <c r="X83" i="86"/>
  <c r="U83" i="86"/>
  <c r="N71" i="86"/>
  <c r="L71" i="86"/>
  <c r="J71" i="86"/>
  <c r="AB70" i="86"/>
  <c r="Z70" i="86"/>
  <c r="AB69" i="86"/>
  <c r="Z69" i="86"/>
  <c r="AD68" i="86"/>
  <c r="AB68" i="86"/>
  <c r="Z68" i="86"/>
  <c r="AB67" i="86"/>
  <c r="Z67" i="86"/>
  <c r="AB66" i="86"/>
  <c r="Z66" i="86"/>
  <c r="X64" i="86"/>
  <c r="U64" i="86"/>
  <c r="L52" i="86"/>
  <c r="J52" i="86"/>
  <c r="Z51" i="86"/>
  <c r="Z50" i="86"/>
  <c r="Z49" i="86"/>
  <c r="Z48" i="86"/>
  <c r="Z47" i="86"/>
  <c r="X45" i="86"/>
  <c r="U45" i="86"/>
  <c r="L33" i="86"/>
  <c r="J33" i="86"/>
  <c r="Z32" i="86"/>
  <c r="Z31" i="86"/>
  <c r="Z30" i="86"/>
  <c r="Z29" i="86"/>
  <c r="Z28" i="86"/>
  <c r="X26" i="86"/>
  <c r="U26" i="86"/>
  <c r="Z13" i="86"/>
  <c r="L108" i="86"/>
  <c r="J108" i="86"/>
  <c r="L107" i="86"/>
  <c r="Z11" i="86"/>
  <c r="L106" i="86"/>
  <c r="J105" i="86"/>
  <c r="Z9" i="86"/>
  <c r="L104" i="86"/>
  <c r="J104" i="86"/>
  <c r="X7" i="86"/>
  <c r="U7" i="86"/>
  <c r="E35" i="82"/>
  <c r="E34" i="82"/>
  <c r="E33" i="82"/>
  <c r="E32" i="82"/>
  <c r="E31" i="82"/>
  <c r="E30" i="82"/>
  <c r="L8" i="83"/>
  <c r="L7" i="83"/>
  <c r="L6" i="83"/>
  <c r="L5" i="83"/>
  <c r="L4" i="83"/>
  <c r="L3" i="83"/>
  <c r="H8" i="83"/>
  <c r="C9" i="83"/>
  <c r="O24" i="56"/>
  <c r="L128" i="85" s="1"/>
  <c r="O23" i="56"/>
  <c r="L127" i="85" s="1"/>
  <c r="O21" i="56"/>
  <c r="L125" i="85" s="1"/>
  <c r="L63" i="91" s="1"/>
  <c r="O16" i="56"/>
  <c r="K129" i="85" s="1"/>
  <c r="O15" i="56"/>
  <c r="K128" i="85" s="1"/>
  <c r="O14" i="56"/>
  <c r="K127" i="85" s="1"/>
  <c r="O13" i="56"/>
  <c r="K126" i="85" s="1"/>
  <c r="K64" i="91" s="1"/>
  <c r="O7" i="56"/>
  <c r="D129" i="85" s="1"/>
  <c r="D67" i="91" s="1"/>
  <c r="O6" i="56"/>
  <c r="D128" i="85" s="1"/>
  <c r="D66" i="91" s="1"/>
  <c r="O5" i="56"/>
  <c r="D127" i="85" s="1"/>
  <c r="O4" i="56"/>
  <c r="D126" i="85" s="1"/>
  <c r="D64" i="91" s="1"/>
  <c r="O3" i="56"/>
  <c r="D125" i="85" s="1"/>
  <c r="D63" i="91" s="1"/>
  <c r="AE69" i="85"/>
  <c r="AD69" i="85" s="1"/>
  <c r="AA69" i="85"/>
  <c r="Y69" i="85"/>
  <c r="X69" i="85"/>
  <c r="W69" i="85"/>
  <c r="V69" i="85"/>
  <c r="U69" i="85"/>
  <c r="I69" i="85"/>
  <c r="H69" i="85"/>
  <c r="G69" i="85"/>
  <c r="F69" i="85"/>
  <c r="E69" i="85"/>
  <c r="D69" i="85"/>
  <c r="AE68" i="85"/>
  <c r="AD68" i="85" s="1"/>
  <c r="AA68" i="85"/>
  <c r="Y68" i="85"/>
  <c r="X68" i="85"/>
  <c r="W68" i="85"/>
  <c r="V68" i="85"/>
  <c r="U68" i="85"/>
  <c r="I68" i="85"/>
  <c r="H68" i="85"/>
  <c r="G68" i="85"/>
  <c r="F68" i="85"/>
  <c r="E68" i="85"/>
  <c r="D68" i="85"/>
  <c r="AE66" i="85"/>
  <c r="Y66" i="85"/>
  <c r="X66" i="85"/>
  <c r="W66" i="85"/>
  <c r="V66" i="85"/>
  <c r="U66" i="85"/>
  <c r="I66" i="85"/>
  <c r="H66" i="85"/>
  <c r="G66" i="85"/>
  <c r="F66" i="85"/>
  <c r="E66" i="85"/>
  <c r="D66" i="85"/>
  <c r="AE50" i="85"/>
  <c r="Y50" i="85"/>
  <c r="X50" i="85"/>
  <c r="W50" i="85"/>
  <c r="V50" i="85"/>
  <c r="U50" i="85"/>
  <c r="N50" i="85"/>
  <c r="I50" i="85"/>
  <c r="H50" i="85"/>
  <c r="G50" i="85"/>
  <c r="F50" i="85"/>
  <c r="E50" i="85"/>
  <c r="D50" i="85"/>
  <c r="AE49" i="85"/>
  <c r="AE48" i="85"/>
  <c r="AE47" i="85"/>
  <c r="Y47" i="85"/>
  <c r="X47" i="85"/>
  <c r="W47" i="85"/>
  <c r="V47" i="85"/>
  <c r="U47" i="85"/>
  <c r="N47" i="85"/>
  <c r="I47" i="85"/>
  <c r="H47" i="85"/>
  <c r="G47" i="85"/>
  <c r="F47" i="85"/>
  <c r="E47" i="85"/>
  <c r="D47" i="85"/>
  <c r="F6" i="82"/>
  <c r="I147" i="85"/>
  <c r="O32" i="36" s="1"/>
  <c r="E131" i="85"/>
  <c r="E69" i="91" s="1"/>
  <c r="X102" i="85"/>
  <c r="U102" i="85"/>
  <c r="L90" i="85"/>
  <c r="Z90" i="85"/>
  <c r="X83" i="85"/>
  <c r="U83" i="85"/>
  <c r="N71" i="85"/>
  <c r="L71" i="85"/>
  <c r="J71" i="85"/>
  <c r="AB70" i="85"/>
  <c r="Z70" i="85"/>
  <c r="AB69" i="85"/>
  <c r="Z69" i="85"/>
  <c r="AB68" i="85"/>
  <c r="Z68" i="85"/>
  <c r="AB67" i="85"/>
  <c r="Z67" i="85"/>
  <c r="AB66" i="85"/>
  <c r="Z66" i="85"/>
  <c r="X64" i="85"/>
  <c r="U64" i="85"/>
  <c r="L52" i="85"/>
  <c r="J52" i="85"/>
  <c r="Z51" i="85"/>
  <c r="Z50" i="85"/>
  <c r="Z49" i="85"/>
  <c r="Z48" i="85"/>
  <c r="Z47" i="85"/>
  <c r="X45" i="85"/>
  <c r="U45" i="85"/>
  <c r="L33" i="85"/>
  <c r="J33" i="85"/>
  <c r="Z32" i="85"/>
  <c r="Z31" i="85"/>
  <c r="Z30" i="85"/>
  <c r="Z29" i="85"/>
  <c r="Z28" i="85"/>
  <c r="X26" i="85"/>
  <c r="U26" i="85"/>
  <c r="L108" i="85"/>
  <c r="L107" i="85"/>
  <c r="L106" i="85"/>
  <c r="L105" i="85"/>
  <c r="L104" i="85"/>
  <c r="L76" i="90" s="1"/>
  <c r="X7" i="85"/>
  <c r="U7" i="85"/>
  <c r="F9" i="83"/>
  <c r="G23" i="36" s="1"/>
  <c r="X7" i="82"/>
  <c r="U7" i="82"/>
  <c r="L7" i="80"/>
  <c r="L6" i="80"/>
  <c r="L5" i="80"/>
  <c r="L4" i="80"/>
  <c r="L3" i="80"/>
  <c r="I25" i="56"/>
  <c r="I24" i="56"/>
  <c r="I23" i="56"/>
  <c r="I22" i="56"/>
  <c r="I21" i="56"/>
  <c r="I16" i="56"/>
  <c r="I15" i="56"/>
  <c r="I14" i="56"/>
  <c r="I13" i="56"/>
  <c r="L8" i="80"/>
  <c r="N8" i="80" s="1"/>
  <c r="I7" i="56"/>
  <c r="I6" i="56"/>
  <c r="D145" i="97" s="1"/>
  <c r="L145" i="97" s="1"/>
  <c r="M145" i="97" s="1"/>
  <c r="I5" i="56"/>
  <c r="I4" i="56"/>
  <c r="D143" i="97" s="1"/>
  <c r="L143" i="97" s="1"/>
  <c r="M143" i="97" s="1"/>
  <c r="I3" i="56"/>
  <c r="AE69" i="79"/>
  <c r="AD69" i="79" s="1"/>
  <c r="Y69" i="79"/>
  <c r="X69" i="79"/>
  <c r="W69" i="79"/>
  <c r="V69" i="79"/>
  <c r="U69" i="79"/>
  <c r="I69" i="79"/>
  <c r="H69" i="79"/>
  <c r="G69" i="79"/>
  <c r="F69" i="79"/>
  <c r="E69" i="79"/>
  <c r="D69" i="79"/>
  <c r="AE68" i="79"/>
  <c r="AD68" i="79" s="1"/>
  <c r="Y68" i="79"/>
  <c r="X68" i="79"/>
  <c r="W68" i="79"/>
  <c r="V68" i="79"/>
  <c r="U68" i="79"/>
  <c r="I68" i="79"/>
  <c r="H68" i="79"/>
  <c r="G68" i="79"/>
  <c r="F68" i="79"/>
  <c r="E68" i="79"/>
  <c r="D68" i="79"/>
  <c r="AE67" i="79"/>
  <c r="AD67" i="79" s="1"/>
  <c r="Y67" i="79"/>
  <c r="X67" i="79"/>
  <c r="W67" i="79"/>
  <c r="V67" i="79"/>
  <c r="U67" i="79"/>
  <c r="I67" i="79"/>
  <c r="H67" i="79"/>
  <c r="G67" i="79"/>
  <c r="F67" i="79"/>
  <c r="E67" i="79"/>
  <c r="D67" i="79"/>
  <c r="AE66" i="79"/>
  <c r="Y66" i="79"/>
  <c r="X66" i="79"/>
  <c r="W66" i="79"/>
  <c r="V66" i="79"/>
  <c r="U66" i="79"/>
  <c r="I66" i="79"/>
  <c r="H66" i="79"/>
  <c r="G66" i="79"/>
  <c r="F66" i="79"/>
  <c r="E66" i="79"/>
  <c r="D66" i="79"/>
  <c r="AE50" i="79"/>
  <c r="AD50" i="79" s="1"/>
  <c r="Y50" i="79"/>
  <c r="X50" i="79"/>
  <c r="W50" i="79"/>
  <c r="V50" i="79"/>
  <c r="U50" i="79"/>
  <c r="N50" i="79"/>
  <c r="AB50" i="79" s="1"/>
  <c r="I50" i="79"/>
  <c r="H50" i="79"/>
  <c r="G50" i="79"/>
  <c r="F50" i="79"/>
  <c r="E50" i="79"/>
  <c r="D50" i="79"/>
  <c r="AE49" i="79"/>
  <c r="AD49" i="79" s="1"/>
  <c r="Y49" i="79"/>
  <c r="X49" i="79"/>
  <c r="W49" i="79"/>
  <c r="V49" i="79"/>
  <c r="U49" i="79"/>
  <c r="N49" i="79"/>
  <c r="AB49" i="79" s="1"/>
  <c r="I49" i="79"/>
  <c r="H49" i="79"/>
  <c r="G49" i="79"/>
  <c r="F49" i="79"/>
  <c r="E49" i="79"/>
  <c r="D49" i="79"/>
  <c r="AE48" i="79"/>
  <c r="AD48" i="79" s="1"/>
  <c r="Y48" i="79"/>
  <c r="X48" i="79"/>
  <c r="W48" i="79"/>
  <c r="V48" i="79"/>
  <c r="U48" i="79"/>
  <c r="N48" i="79"/>
  <c r="AB48" i="79" s="1"/>
  <c r="I48" i="79"/>
  <c r="H48" i="79"/>
  <c r="G48" i="79"/>
  <c r="F48" i="79"/>
  <c r="E48" i="79"/>
  <c r="D48" i="79"/>
  <c r="AE47" i="79"/>
  <c r="Y47" i="79"/>
  <c r="X47" i="79"/>
  <c r="W47" i="79"/>
  <c r="V47" i="79"/>
  <c r="U47" i="79"/>
  <c r="N47" i="79"/>
  <c r="I47" i="79"/>
  <c r="H47" i="79"/>
  <c r="G47" i="79"/>
  <c r="F47" i="79"/>
  <c r="E47" i="79"/>
  <c r="D47" i="79"/>
  <c r="AE31" i="79"/>
  <c r="AD31" i="79" s="1"/>
  <c r="AA31" i="79"/>
  <c r="AA107" i="79" s="1"/>
  <c r="Y31" i="79"/>
  <c r="X31" i="79"/>
  <c r="W31" i="79"/>
  <c r="V31" i="79"/>
  <c r="U31" i="79"/>
  <c r="N31" i="79"/>
  <c r="AB31" i="79" s="1"/>
  <c r="I31" i="79"/>
  <c r="H31" i="79"/>
  <c r="G31" i="79"/>
  <c r="F31" i="79"/>
  <c r="E31" i="79"/>
  <c r="D31" i="79"/>
  <c r="AE30" i="79"/>
  <c r="AD30" i="79" s="1"/>
  <c r="AA30" i="79"/>
  <c r="Y30" i="79"/>
  <c r="X30" i="79"/>
  <c r="W30" i="79"/>
  <c r="V30" i="79"/>
  <c r="U30" i="79"/>
  <c r="N30" i="79"/>
  <c r="AB30" i="79" s="1"/>
  <c r="I30" i="79"/>
  <c r="H30" i="79"/>
  <c r="G30" i="79"/>
  <c r="F30" i="79"/>
  <c r="E30" i="79"/>
  <c r="D30" i="79"/>
  <c r="AE29" i="79"/>
  <c r="AD29" i="79" s="1"/>
  <c r="AA29" i="79"/>
  <c r="Y29" i="79"/>
  <c r="X29" i="79"/>
  <c r="W29" i="79"/>
  <c r="V29" i="79"/>
  <c r="U29" i="79"/>
  <c r="N29" i="79"/>
  <c r="AB29" i="79" s="1"/>
  <c r="I29" i="79"/>
  <c r="H29" i="79"/>
  <c r="G29" i="79"/>
  <c r="F29" i="79"/>
  <c r="E29" i="79"/>
  <c r="D29" i="79"/>
  <c r="AE28" i="79"/>
  <c r="AD28" i="79" s="1"/>
  <c r="Y28" i="79"/>
  <c r="X28" i="79"/>
  <c r="W28" i="79"/>
  <c r="V28" i="79"/>
  <c r="U28" i="79"/>
  <c r="N28" i="79"/>
  <c r="I28" i="79"/>
  <c r="H28" i="79"/>
  <c r="G28" i="79"/>
  <c r="F28" i="79"/>
  <c r="E28" i="79"/>
  <c r="D28" i="79"/>
  <c r="AA32" i="79"/>
  <c r="Y32" i="79"/>
  <c r="X32" i="79"/>
  <c r="W32" i="79"/>
  <c r="V32" i="79"/>
  <c r="U32" i="79"/>
  <c r="N32" i="79"/>
  <c r="AB32" i="79" s="1"/>
  <c r="I32" i="79"/>
  <c r="H32" i="79"/>
  <c r="G32" i="79"/>
  <c r="F32" i="79"/>
  <c r="E32" i="79"/>
  <c r="AE12" i="79"/>
  <c r="Y12" i="79"/>
  <c r="X12" i="79"/>
  <c r="W12" i="79"/>
  <c r="V12" i="79"/>
  <c r="U12" i="79"/>
  <c r="N12" i="79"/>
  <c r="I12" i="79"/>
  <c r="H12" i="79"/>
  <c r="G12" i="79"/>
  <c r="F12" i="79"/>
  <c r="E12" i="79"/>
  <c r="D12" i="79"/>
  <c r="AE11" i="79"/>
  <c r="Y11" i="79"/>
  <c r="X11" i="79"/>
  <c r="W11" i="79"/>
  <c r="V11" i="79"/>
  <c r="U11" i="79"/>
  <c r="N11" i="79"/>
  <c r="I11" i="79"/>
  <c r="H11" i="79"/>
  <c r="G11" i="79"/>
  <c r="F11" i="79"/>
  <c r="E11" i="79"/>
  <c r="D11" i="79"/>
  <c r="AE10" i="79"/>
  <c r="Y10" i="79"/>
  <c r="X10" i="79"/>
  <c r="W10" i="79"/>
  <c r="V10" i="79"/>
  <c r="U10" i="79"/>
  <c r="N10" i="79"/>
  <c r="I10" i="79"/>
  <c r="H10" i="79"/>
  <c r="G10" i="79"/>
  <c r="F10" i="79"/>
  <c r="E10" i="79"/>
  <c r="D10" i="79"/>
  <c r="AE9" i="79"/>
  <c r="Y9" i="79"/>
  <c r="X9" i="79"/>
  <c r="W9" i="79"/>
  <c r="V9" i="79"/>
  <c r="U9" i="79"/>
  <c r="N9" i="79"/>
  <c r="I9" i="79"/>
  <c r="H9" i="79"/>
  <c r="G9" i="79"/>
  <c r="F9" i="79"/>
  <c r="E9" i="79"/>
  <c r="D9" i="79"/>
  <c r="E34" i="81"/>
  <c r="E33" i="81"/>
  <c r="E32" i="81"/>
  <c r="E31" i="81"/>
  <c r="E30" i="81"/>
  <c r="F6" i="81"/>
  <c r="X7" i="81"/>
  <c r="U7" i="81"/>
  <c r="F9" i="80"/>
  <c r="G21" i="36" s="1"/>
  <c r="H8" i="80"/>
  <c r="X102" i="79"/>
  <c r="U102" i="79"/>
  <c r="AB88" i="79"/>
  <c r="Z88" i="79"/>
  <c r="AD88" i="79"/>
  <c r="H145" i="79"/>
  <c r="G6" i="80" s="1"/>
  <c r="AB86" i="79"/>
  <c r="Z86" i="79"/>
  <c r="AD86" i="79"/>
  <c r="H143" i="79"/>
  <c r="G4" i="80" s="1"/>
  <c r="X83" i="79"/>
  <c r="U83" i="79"/>
  <c r="N71" i="79"/>
  <c r="L71" i="79"/>
  <c r="J71" i="79"/>
  <c r="Z70" i="79"/>
  <c r="AB69" i="79"/>
  <c r="Z69" i="79"/>
  <c r="AB68" i="79"/>
  <c r="Z68" i="79"/>
  <c r="AB67" i="79"/>
  <c r="Z67" i="79"/>
  <c r="AB66" i="79"/>
  <c r="Z66" i="79"/>
  <c r="X64" i="79"/>
  <c r="U64" i="79"/>
  <c r="L52" i="79"/>
  <c r="J52" i="79"/>
  <c r="Z51" i="79"/>
  <c r="Z50" i="79"/>
  <c r="Z49" i="79"/>
  <c r="Z48" i="79"/>
  <c r="Z47" i="79"/>
  <c r="X45" i="79"/>
  <c r="U45" i="79"/>
  <c r="L33" i="79"/>
  <c r="J33" i="79"/>
  <c r="Z32" i="79"/>
  <c r="Z31" i="79"/>
  <c r="Z30" i="79"/>
  <c r="Z29" i="79"/>
  <c r="Z28" i="79"/>
  <c r="X26" i="79"/>
  <c r="U26" i="79"/>
  <c r="L107" i="79"/>
  <c r="L106" i="79"/>
  <c r="L105" i="79"/>
  <c r="L104" i="79"/>
  <c r="L43" i="90" s="1"/>
  <c r="X7" i="79"/>
  <c r="U7" i="79"/>
  <c r="F25" i="56"/>
  <c r="L129" i="75" s="1"/>
  <c r="F24" i="56"/>
  <c r="L128" i="75" s="1"/>
  <c r="F23" i="56"/>
  <c r="L127" i="75" s="1"/>
  <c r="F22" i="56"/>
  <c r="L126" i="75" s="1"/>
  <c r="F21" i="56"/>
  <c r="L125" i="75" s="1"/>
  <c r="L21" i="91" s="1"/>
  <c r="F7" i="56"/>
  <c r="D129" i="75" s="1"/>
  <c r="F6" i="56"/>
  <c r="D128" i="75" s="1"/>
  <c r="F5" i="56"/>
  <c r="D127" i="75" s="1"/>
  <c r="F4" i="56"/>
  <c r="F3" i="56"/>
  <c r="D125" i="75" s="1"/>
  <c r="L8" i="77"/>
  <c r="L7" i="77"/>
  <c r="L6" i="77"/>
  <c r="L4" i="77"/>
  <c r="L3" i="77"/>
  <c r="H8" i="77"/>
  <c r="C9" i="77"/>
  <c r="AE70" i="75"/>
  <c r="AD70" i="75" s="1"/>
  <c r="Y70" i="75"/>
  <c r="X70" i="75"/>
  <c r="W70" i="75"/>
  <c r="V70" i="75"/>
  <c r="U70" i="75"/>
  <c r="I70" i="75"/>
  <c r="H70" i="75"/>
  <c r="G70" i="75"/>
  <c r="F70" i="75"/>
  <c r="E70" i="75"/>
  <c r="D70" i="75"/>
  <c r="AE69" i="75"/>
  <c r="AD69" i="75" s="1"/>
  <c r="Y69" i="75"/>
  <c r="X69" i="75"/>
  <c r="W69" i="75"/>
  <c r="V69" i="75"/>
  <c r="U69" i="75"/>
  <c r="I69" i="75"/>
  <c r="H69" i="75"/>
  <c r="G69" i="75"/>
  <c r="F69" i="75"/>
  <c r="E69" i="75"/>
  <c r="D69" i="75"/>
  <c r="AE68" i="75"/>
  <c r="AD68" i="75" s="1"/>
  <c r="Y68" i="75"/>
  <c r="X68" i="75"/>
  <c r="W68" i="75"/>
  <c r="V68" i="75"/>
  <c r="U68" i="75"/>
  <c r="I68" i="75"/>
  <c r="H68" i="75"/>
  <c r="G68" i="75"/>
  <c r="F68" i="75"/>
  <c r="E68" i="75"/>
  <c r="D68" i="75"/>
  <c r="AE67" i="75"/>
  <c r="AD67" i="75" s="1"/>
  <c r="Y67" i="75"/>
  <c r="X67" i="75"/>
  <c r="W67" i="75"/>
  <c r="V67" i="75"/>
  <c r="U67" i="75"/>
  <c r="I67" i="75"/>
  <c r="H67" i="75"/>
  <c r="G67" i="75"/>
  <c r="F67" i="75"/>
  <c r="E67" i="75"/>
  <c r="D67" i="75"/>
  <c r="AE51" i="75"/>
  <c r="AD51" i="75" s="1"/>
  <c r="N51" i="75"/>
  <c r="AB51" i="75" s="1"/>
  <c r="I51" i="75"/>
  <c r="H51" i="75"/>
  <c r="F51" i="75"/>
  <c r="E51" i="75"/>
  <c r="D51" i="75"/>
  <c r="AE50" i="75"/>
  <c r="AD50" i="75" s="1"/>
  <c r="Y50" i="75"/>
  <c r="X50" i="75"/>
  <c r="W50" i="75"/>
  <c r="V50" i="75"/>
  <c r="U50" i="75"/>
  <c r="N50" i="75"/>
  <c r="I50" i="75"/>
  <c r="H50" i="75"/>
  <c r="G50" i="75"/>
  <c r="F50" i="75"/>
  <c r="E50" i="75"/>
  <c r="D50" i="75"/>
  <c r="AE49" i="75"/>
  <c r="AD49" i="75" s="1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AE48" i="75"/>
  <c r="AD48" i="75" s="1"/>
  <c r="Y48" i="75"/>
  <c r="X48" i="75"/>
  <c r="W48" i="75"/>
  <c r="V48" i="75"/>
  <c r="U48" i="75"/>
  <c r="N48" i="75"/>
  <c r="I48" i="75"/>
  <c r="H48" i="75"/>
  <c r="G48" i="75"/>
  <c r="F48" i="75"/>
  <c r="E48" i="75"/>
  <c r="D48" i="75"/>
  <c r="AE47" i="75"/>
  <c r="Y47" i="75"/>
  <c r="X47" i="75"/>
  <c r="W47" i="75"/>
  <c r="V47" i="75"/>
  <c r="U47" i="75"/>
  <c r="N47" i="75"/>
  <c r="I47" i="75"/>
  <c r="H47" i="75"/>
  <c r="G47" i="75"/>
  <c r="F47" i="75"/>
  <c r="E47" i="75"/>
  <c r="D47" i="75"/>
  <c r="F9" i="77"/>
  <c r="G20" i="36" s="1"/>
  <c r="E34" i="76"/>
  <c r="E33" i="76"/>
  <c r="E32" i="76"/>
  <c r="E31" i="76"/>
  <c r="E30" i="76"/>
  <c r="X7" i="76"/>
  <c r="U7" i="76"/>
  <c r="F6" i="76"/>
  <c r="I147" i="75"/>
  <c r="O29" i="36" s="1"/>
  <c r="X102" i="75"/>
  <c r="U102" i="75"/>
  <c r="L90" i="75"/>
  <c r="K89" i="75"/>
  <c r="M89" i="75" s="1"/>
  <c r="O89" i="75" s="1"/>
  <c r="Z88" i="75"/>
  <c r="Z86" i="75"/>
  <c r="Z85" i="75"/>
  <c r="X83" i="75"/>
  <c r="U83" i="75"/>
  <c r="N71" i="75"/>
  <c r="L71" i="75"/>
  <c r="J71" i="75"/>
  <c r="AB70" i="75"/>
  <c r="Z70" i="75"/>
  <c r="AB69" i="75"/>
  <c r="Z69" i="75"/>
  <c r="AB68" i="75"/>
  <c r="Z68" i="75"/>
  <c r="AB67" i="75"/>
  <c r="Z67" i="75"/>
  <c r="AB66" i="75"/>
  <c r="Z66" i="75"/>
  <c r="X64" i="75"/>
  <c r="U64" i="75"/>
  <c r="L52" i="75"/>
  <c r="J52" i="75"/>
  <c r="Z51" i="75"/>
  <c r="Z50" i="75"/>
  <c r="Z49" i="75"/>
  <c r="Z48" i="75"/>
  <c r="Z47" i="75"/>
  <c r="X45" i="75"/>
  <c r="U45" i="75"/>
  <c r="L33" i="75"/>
  <c r="J33" i="75"/>
  <c r="Z32" i="75"/>
  <c r="Z31" i="75"/>
  <c r="Z30" i="75"/>
  <c r="Z29" i="75"/>
  <c r="Z28" i="75"/>
  <c r="X26" i="75"/>
  <c r="U26" i="75"/>
  <c r="L108" i="75"/>
  <c r="Z12" i="75"/>
  <c r="L107" i="75"/>
  <c r="L106" i="75"/>
  <c r="L105" i="75"/>
  <c r="L104" i="75"/>
  <c r="L26" i="90" s="1"/>
  <c r="X7" i="75"/>
  <c r="U7" i="75"/>
  <c r="AE69" i="22"/>
  <c r="AD69" i="22" s="1"/>
  <c r="Y69" i="22"/>
  <c r="X69" i="22"/>
  <c r="W69" i="22"/>
  <c r="V69" i="22"/>
  <c r="U69" i="22"/>
  <c r="I69" i="22"/>
  <c r="H69" i="22"/>
  <c r="G69" i="22"/>
  <c r="F69" i="22"/>
  <c r="E69" i="22"/>
  <c r="D69" i="22"/>
  <c r="AE68" i="22"/>
  <c r="AD68" i="22" s="1"/>
  <c r="Y68" i="22"/>
  <c r="X68" i="22"/>
  <c r="W68" i="22"/>
  <c r="V68" i="22"/>
  <c r="U68" i="22"/>
  <c r="I68" i="22"/>
  <c r="H68" i="22"/>
  <c r="G68" i="22"/>
  <c r="F68" i="22"/>
  <c r="E68" i="22"/>
  <c r="D68" i="22"/>
  <c r="Z70" i="22"/>
  <c r="AB69" i="22"/>
  <c r="Z69" i="22"/>
  <c r="AB68" i="22"/>
  <c r="Z68" i="22"/>
  <c r="AB67" i="22"/>
  <c r="Z67" i="22"/>
  <c r="E28" i="75"/>
  <c r="AE28" i="22"/>
  <c r="Y28" i="22"/>
  <c r="X28" i="22"/>
  <c r="W28" i="22"/>
  <c r="V28" i="22"/>
  <c r="U28" i="22"/>
  <c r="N28" i="22"/>
  <c r="I28" i="22"/>
  <c r="H28" i="22"/>
  <c r="G28" i="22"/>
  <c r="F28" i="22"/>
  <c r="E28" i="22"/>
  <c r="D70" i="85"/>
  <c r="Y70" i="85"/>
  <c r="X70" i="85"/>
  <c r="W70" i="85"/>
  <c r="V70" i="85"/>
  <c r="U70" i="85"/>
  <c r="I70" i="85"/>
  <c r="H70" i="85"/>
  <c r="G70" i="85"/>
  <c r="F70" i="85"/>
  <c r="E70" i="85"/>
  <c r="AE70" i="85"/>
  <c r="Y70" i="79"/>
  <c r="X70" i="79"/>
  <c r="W70" i="79"/>
  <c r="V70" i="79"/>
  <c r="U70" i="79"/>
  <c r="I70" i="79"/>
  <c r="H70" i="79"/>
  <c r="G70" i="79"/>
  <c r="F70" i="79"/>
  <c r="E70" i="79"/>
  <c r="AE70" i="79"/>
  <c r="D70" i="79"/>
  <c r="Y67" i="85"/>
  <c r="X67" i="85"/>
  <c r="W67" i="85"/>
  <c r="V67" i="85"/>
  <c r="U67" i="85"/>
  <c r="I67" i="85"/>
  <c r="H67" i="85"/>
  <c r="G67" i="85"/>
  <c r="F67" i="85"/>
  <c r="E67" i="85"/>
  <c r="AE67" i="85"/>
  <c r="D67" i="85"/>
  <c r="Y66" i="75"/>
  <c r="X66" i="75"/>
  <c r="W66" i="75"/>
  <c r="V66" i="75"/>
  <c r="U66" i="75"/>
  <c r="I66" i="75"/>
  <c r="H66" i="75"/>
  <c r="G66" i="75"/>
  <c r="F66" i="75"/>
  <c r="E66" i="75"/>
  <c r="AE66" i="75"/>
  <c r="D66" i="75"/>
  <c r="AE66" i="86"/>
  <c r="AA32" i="86"/>
  <c r="X32" i="86"/>
  <c r="W32" i="86"/>
  <c r="V32" i="86"/>
  <c r="N32" i="86"/>
  <c r="AB32" i="86" s="1"/>
  <c r="I32" i="86"/>
  <c r="H32" i="86"/>
  <c r="G32" i="86"/>
  <c r="F32" i="86"/>
  <c r="E32" i="86"/>
  <c r="AE32" i="86"/>
  <c r="AD32" i="86" s="1"/>
  <c r="D32" i="86"/>
  <c r="AA32" i="85"/>
  <c r="Y32" i="85"/>
  <c r="X32" i="85"/>
  <c r="W32" i="85"/>
  <c r="V32" i="85"/>
  <c r="U32" i="85"/>
  <c r="N32" i="85"/>
  <c r="I32" i="85"/>
  <c r="H32" i="85"/>
  <c r="G32" i="85"/>
  <c r="F32" i="85"/>
  <c r="E32" i="85"/>
  <c r="AE32" i="85"/>
  <c r="D32" i="85"/>
  <c r="AE32" i="79"/>
  <c r="D32" i="79"/>
  <c r="AA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AE32" i="75"/>
  <c r="AD32" i="75" s="1"/>
  <c r="D32" i="75"/>
  <c r="AA31" i="86"/>
  <c r="W31" i="86"/>
  <c r="V31" i="86"/>
  <c r="I31" i="86"/>
  <c r="H31" i="86"/>
  <c r="G31" i="86"/>
  <c r="F31" i="86"/>
  <c r="E31" i="86"/>
  <c r="AE31" i="86"/>
  <c r="AD31" i="86" s="1"/>
  <c r="D31" i="86"/>
  <c r="AA31" i="85"/>
  <c r="Y31" i="85"/>
  <c r="X31" i="85"/>
  <c r="W31" i="85"/>
  <c r="V31" i="85"/>
  <c r="U31" i="85"/>
  <c r="N31" i="85"/>
  <c r="I31" i="85"/>
  <c r="H31" i="85"/>
  <c r="G31" i="85"/>
  <c r="F31" i="85"/>
  <c r="E31" i="85"/>
  <c r="AE31" i="85"/>
  <c r="D31" i="85"/>
  <c r="AA31" i="75"/>
  <c r="Y31" i="75"/>
  <c r="X31" i="75"/>
  <c r="W31" i="75"/>
  <c r="V31" i="75"/>
  <c r="U31" i="75"/>
  <c r="N31" i="75"/>
  <c r="AB31" i="75" s="1"/>
  <c r="I31" i="75"/>
  <c r="H31" i="75"/>
  <c r="G31" i="75"/>
  <c r="F31" i="75"/>
  <c r="E31" i="75"/>
  <c r="AE31" i="75"/>
  <c r="AD31" i="75" s="1"/>
  <c r="D31" i="75"/>
  <c r="AA30" i="86"/>
  <c r="Y30" i="86"/>
  <c r="V30" i="86"/>
  <c r="U30" i="86"/>
  <c r="H30" i="86"/>
  <c r="G30" i="86"/>
  <c r="D30" i="86"/>
  <c r="AA30" i="85"/>
  <c r="Y30" i="85"/>
  <c r="X30" i="85"/>
  <c r="W30" i="85"/>
  <c r="V30" i="85"/>
  <c r="U30" i="85"/>
  <c r="N30" i="85"/>
  <c r="AB30" i="85" s="1"/>
  <c r="I30" i="85"/>
  <c r="H30" i="85"/>
  <c r="G30" i="85"/>
  <c r="F30" i="85"/>
  <c r="E30" i="85"/>
  <c r="AE30" i="85"/>
  <c r="AD30" i="85" s="1"/>
  <c r="D30" i="85"/>
  <c r="AA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AE30" i="75"/>
  <c r="AD30" i="75" s="1"/>
  <c r="D30" i="75"/>
  <c r="AA30" i="22"/>
  <c r="Y30" i="22"/>
  <c r="X30" i="22"/>
  <c r="W30" i="22"/>
  <c r="V30" i="22"/>
  <c r="U30" i="22"/>
  <c r="N30" i="22"/>
  <c r="I30" i="22"/>
  <c r="H30" i="22"/>
  <c r="G30" i="22"/>
  <c r="F30" i="22"/>
  <c r="E30" i="22"/>
  <c r="AE30" i="22"/>
  <c r="D30" i="22"/>
  <c r="AA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AE29" i="86"/>
  <c r="AD29" i="86" s="1"/>
  <c r="D29" i="86"/>
  <c r="AA29" i="85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AE29" i="85"/>
  <c r="AD29" i="85" s="1"/>
  <c r="D29" i="85"/>
  <c r="AA29" i="75"/>
  <c r="Y29" i="75"/>
  <c r="X29" i="75"/>
  <c r="W29" i="75"/>
  <c r="V29" i="75"/>
  <c r="U29" i="75"/>
  <c r="N29" i="75"/>
  <c r="AB29" i="75" s="1"/>
  <c r="I29" i="75"/>
  <c r="H29" i="75"/>
  <c r="G29" i="75"/>
  <c r="F29" i="75"/>
  <c r="E29" i="75"/>
  <c r="AE29" i="75"/>
  <c r="AD29" i="75" s="1"/>
  <c r="D29" i="75"/>
  <c r="AA29" i="22"/>
  <c r="Y29" i="22"/>
  <c r="X29" i="22"/>
  <c r="W29" i="22"/>
  <c r="V29" i="22"/>
  <c r="U29" i="22"/>
  <c r="N29" i="22"/>
  <c r="I29" i="22"/>
  <c r="H29" i="22"/>
  <c r="G29" i="22"/>
  <c r="F29" i="22"/>
  <c r="E29" i="22"/>
  <c r="AE29" i="22"/>
  <c r="D29" i="22"/>
  <c r="H126" i="22" s="1"/>
  <c r="AA28" i="86"/>
  <c r="Y28" i="86"/>
  <c r="X28" i="86"/>
  <c r="W28" i="86"/>
  <c r="V28" i="86"/>
  <c r="U28" i="86"/>
  <c r="H28" i="86"/>
  <c r="G28" i="86"/>
  <c r="D28" i="86"/>
  <c r="Y28" i="85"/>
  <c r="X28" i="85"/>
  <c r="W28" i="85"/>
  <c r="V28" i="85"/>
  <c r="U28" i="85"/>
  <c r="N28" i="85"/>
  <c r="I28" i="85"/>
  <c r="H28" i="85"/>
  <c r="G28" i="85"/>
  <c r="F28" i="85"/>
  <c r="E28" i="85"/>
  <c r="AE28" i="85"/>
  <c r="D28" i="85"/>
  <c r="AA28" i="75"/>
  <c r="Y28" i="75"/>
  <c r="X28" i="75"/>
  <c r="W28" i="75"/>
  <c r="V28" i="75"/>
  <c r="U28" i="75"/>
  <c r="N28" i="75"/>
  <c r="I28" i="75"/>
  <c r="H28" i="75"/>
  <c r="G28" i="75"/>
  <c r="F28" i="75"/>
  <c r="AE28" i="75"/>
  <c r="D28" i="75"/>
  <c r="D28" i="22"/>
  <c r="Y51" i="85"/>
  <c r="X51" i="85"/>
  <c r="W51" i="85"/>
  <c r="V51" i="85"/>
  <c r="U51" i="85"/>
  <c r="N51" i="85"/>
  <c r="I51" i="85"/>
  <c r="H51" i="85"/>
  <c r="G51" i="85"/>
  <c r="F51" i="85"/>
  <c r="E51" i="85"/>
  <c r="AE51" i="85"/>
  <c r="D51" i="85"/>
  <c r="Y13" i="85"/>
  <c r="X13" i="85"/>
  <c r="W13" i="85"/>
  <c r="V13" i="85"/>
  <c r="U13" i="85"/>
  <c r="N13" i="85"/>
  <c r="I13" i="85"/>
  <c r="H13" i="85"/>
  <c r="G13" i="85"/>
  <c r="F13" i="85"/>
  <c r="E13" i="85"/>
  <c r="D13" i="85"/>
  <c r="AE51" i="79"/>
  <c r="Y51" i="79"/>
  <c r="X51" i="79"/>
  <c r="W51" i="79"/>
  <c r="V51" i="79"/>
  <c r="U51" i="79"/>
  <c r="N51" i="79"/>
  <c r="I51" i="79"/>
  <c r="H51" i="79"/>
  <c r="G51" i="79"/>
  <c r="F51" i="79"/>
  <c r="E51" i="79"/>
  <c r="D51" i="79"/>
  <c r="Y13" i="79"/>
  <c r="X13" i="79"/>
  <c r="W13" i="79"/>
  <c r="V13" i="79"/>
  <c r="U13" i="79"/>
  <c r="N13" i="79"/>
  <c r="I13" i="79"/>
  <c r="H13" i="79"/>
  <c r="G13" i="79"/>
  <c r="F13" i="79"/>
  <c r="E13" i="79"/>
  <c r="AE13" i="79"/>
  <c r="D13" i="79"/>
  <c r="Y13" i="75"/>
  <c r="X13" i="75"/>
  <c r="W13" i="75"/>
  <c r="V13" i="75"/>
  <c r="U13" i="75"/>
  <c r="N13" i="75"/>
  <c r="I13" i="75"/>
  <c r="H13" i="75"/>
  <c r="G13" i="75"/>
  <c r="F13" i="75"/>
  <c r="E13" i="75"/>
  <c r="D13" i="75"/>
  <c r="Y13" i="22"/>
  <c r="X13" i="22"/>
  <c r="W13" i="22"/>
  <c r="V13" i="22"/>
  <c r="U13" i="22"/>
  <c r="I13" i="22"/>
  <c r="H13" i="22"/>
  <c r="G13" i="22"/>
  <c r="F13" i="22"/>
  <c r="E13" i="22"/>
  <c r="D13" i="22"/>
  <c r="Y12" i="85"/>
  <c r="X12" i="85"/>
  <c r="W12" i="85"/>
  <c r="V12" i="85"/>
  <c r="U12" i="85"/>
  <c r="N12" i="85"/>
  <c r="I12" i="85"/>
  <c r="H12" i="85"/>
  <c r="G12" i="85"/>
  <c r="F12" i="85"/>
  <c r="E12" i="85"/>
  <c r="D12" i="85"/>
  <c r="E12" i="75"/>
  <c r="D12" i="75"/>
  <c r="E12" i="22"/>
  <c r="D12" i="22"/>
  <c r="H125" i="22" l="1"/>
  <c r="K142" i="22" s="1"/>
  <c r="G24" i="36"/>
  <c r="AE107" i="79"/>
  <c r="I17" i="56"/>
  <c r="I18" i="56" s="1"/>
  <c r="D131" i="97"/>
  <c r="L127" i="79"/>
  <c r="L37" i="91" s="1"/>
  <c r="L128" i="79"/>
  <c r="L38" i="91" s="1"/>
  <c r="L129" i="79"/>
  <c r="L34" i="81" s="1"/>
  <c r="K127" i="79"/>
  <c r="K32" i="81" s="1"/>
  <c r="K128" i="79"/>
  <c r="K129" i="79"/>
  <c r="K34" i="81" s="1"/>
  <c r="L125" i="79"/>
  <c r="K126" i="79"/>
  <c r="K31" i="81" s="1"/>
  <c r="L126" i="79"/>
  <c r="J125" i="79"/>
  <c r="J30" i="81" s="1"/>
  <c r="J129" i="79"/>
  <c r="J34" i="81" s="1"/>
  <c r="E3" i="36"/>
  <c r="C15" i="83"/>
  <c r="D23" i="36"/>
  <c r="C15" i="77"/>
  <c r="D20" i="36"/>
  <c r="K29" i="22"/>
  <c r="K28" i="22"/>
  <c r="F143" i="22"/>
  <c r="D104" i="86"/>
  <c r="D93" i="90" s="1"/>
  <c r="D101" i="79"/>
  <c r="D6" i="81" s="1"/>
  <c r="D25" i="79"/>
  <c r="F142" i="22"/>
  <c r="F144" i="22"/>
  <c r="F145" i="85"/>
  <c r="J127" i="22"/>
  <c r="J8" i="91" s="1"/>
  <c r="G144" i="22"/>
  <c r="J128" i="22"/>
  <c r="J9" i="91" s="1"/>
  <c r="G145" i="22"/>
  <c r="D44" i="79"/>
  <c r="D82" i="79"/>
  <c r="L34" i="76"/>
  <c r="L25" i="91"/>
  <c r="L13" i="76"/>
  <c r="L30" i="90"/>
  <c r="K3" i="77"/>
  <c r="D21" i="91"/>
  <c r="L11" i="81"/>
  <c r="L45" i="90"/>
  <c r="L9" i="88"/>
  <c r="L93" i="90"/>
  <c r="K33" i="88"/>
  <c r="K80" i="91"/>
  <c r="L12" i="81"/>
  <c r="L46" i="90"/>
  <c r="L11" i="82"/>
  <c r="L78" i="90"/>
  <c r="J10" i="88"/>
  <c r="J94" i="90"/>
  <c r="K32" i="82"/>
  <c r="K65" i="91"/>
  <c r="L12" i="82"/>
  <c r="L79" i="90"/>
  <c r="L11" i="88"/>
  <c r="L95" i="90"/>
  <c r="L31" i="88"/>
  <c r="L78" i="91"/>
  <c r="L10" i="82"/>
  <c r="L77" i="90"/>
  <c r="K7" i="77"/>
  <c r="D25" i="91"/>
  <c r="L13" i="82"/>
  <c r="L80" i="90"/>
  <c r="L32" i="88"/>
  <c r="L79" i="91"/>
  <c r="L32" i="82"/>
  <c r="L65" i="91"/>
  <c r="L12" i="88"/>
  <c r="L96" i="90"/>
  <c r="K7" i="87"/>
  <c r="D81" i="91"/>
  <c r="L33" i="88"/>
  <c r="L80" i="91"/>
  <c r="K34" i="88"/>
  <c r="K81" i="91"/>
  <c r="L10" i="81"/>
  <c r="L44" i="90"/>
  <c r="J13" i="88"/>
  <c r="J97" i="90"/>
  <c r="K31" i="88"/>
  <c r="K78" i="91"/>
  <c r="L34" i="88"/>
  <c r="L81" i="91"/>
  <c r="J9" i="88"/>
  <c r="J93" i="90"/>
  <c r="L13" i="88"/>
  <c r="L97" i="90"/>
  <c r="K32" i="88"/>
  <c r="K79" i="91"/>
  <c r="K34" i="82"/>
  <c r="K67" i="91"/>
  <c r="K33" i="82"/>
  <c r="K66" i="91"/>
  <c r="L33" i="82"/>
  <c r="L66" i="91"/>
  <c r="L33" i="76"/>
  <c r="L24" i="91"/>
  <c r="L32" i="76"/>
  <c r="L23" i="91"/>
  <c r="L31" i="76"/>
  <c r="L22" i="91"/>
  <c r="J33" i="88"/>
  <c r="J80" i="91"/>
  <c r="J34" i="88"/>
  <c r="J81" i="91"/>
  <c r="J31" i="88"/>
  <c r="J78" i="91"/>
  <c r="K6" i="77"/>
  <c r="D24" i="91"/>
  <c r="D32" i="82"/>
  <c r="D65" i="91"/>
  <c r="K5" i="77"/>
  <c r="D23" i="91"/>
  <c r="L12" i="76"/>
  <c r="L29" i="90"/>
  <c r="L11" i="76"/>
  <c r="L28" i="90"/>
  <c r="L10" i="76"/>
  <c r="L27" i="90"/>
  <c r="H125" i="86"/>
  <c r="K26" i="79"/>
  <c r="Y26" i="79" s="1"/>
  <c r="K131" i="85"/>
  <c r="K69" i="91" s="1"/>
  <c r="K31" i="82"/>
  <c r="L131" i="86"/>
  <c r="L83" i="91" s="1"/>
  <c r="L30" i="88"/>
  <c r="H125" i="79"/>
  <c r="H128" i="85"/>
  <c r="H129" i="75"/>
  <c r="H129" i="85"/>
  <c r="G128" i="86"/>
  <c r="L131" i="75"/>
  <c r="L27" i="91" s="1"/>
  <c r="L30" i="76"/>
  <c r="L131" i="85"/>
  <c r="L69" i="91" s="1"/>
  <c r="L30" i="82"/>
  <c r="G126" i="86"/>
  <c r="K131" i="86"/>
  <c r="K83" i="91" s="1"/>
  <c r="H127" i="79"/>
  <c r="H129" i="79"/>
  <c r="M6" i="77"/>
  <c r="J128" i="75"/>
  <c r="M5" i="77"/>
  <c r="J127" i="75"/>
  <c r="M4" i="80"/>
  <c r="J126" i="79"/>
  <c r="M3" i="87"/>
  <c r="J125" i="86"/>
  <c r="M5" i="87"/>
  <c r="J127" i="86"/>
  <c r="M5" i="80"/>
  <c r="J127" i="79"/>
  <c r="G144" i="85"/>
  <c r="J127" i="85"/>
  <c r="M7" i="77"/>
  <c r="J129" i="75"/>
  <c r="M6" i="80"/>
  <c r="J128" i="79"/>
  <c r="G145" i="85"/>
  <c r="J128" i="85"/>
  <c r="M7" i="83"/>
  <c r="J129" i="85"/>
  <c r="M4" i="77"/>
  <c r="J126" i="75"/>
  <c r="M4" i="83"/>
  <c r="J126" i="85"/>
  <c r="M3" i="83"/>
  <c r="J125" i="85"/>
  <c r="M3" i="77"/>
  <c r="J125" i="75"/>
  <c r="M3" i="80"/>
  <c r="H125" i="75"/>
  <c r="H127" i="85"/>
  <c r="H126" i="85"/>
  <c r="H128" i="86"/>
  <c r="H129" i="86"/>
  <c r="H128" i="75"/>
  <c r="H126" i="75"/>
  <c r="H126" i="86"/>
  <c r="H127" i="75"/>
  <c r="H127" i="86"/>
  <c r="H126" i="79"/>
  <c r="H128" i="79"/>
  <c r="H125" i="85"/>
  <c r="G126" i="75"/>
  <c r="G128" i="75"/>
  <c r="G24" i="91" s="1"/>
  <c r="G126" i="79"/>
  <c r="G128" i="79"/>
  <c r="G128" i="85"/>
  <c r="G125" i="86"/>
  <c r="G127" i="86"/>
  <c r="G129" i="86"/>
  <c r="G129" i="85"/>
  <c r="G129" i="79"/>
  <c r="G127" i="75"/>
  <c r="G129" i="75"/>
  <c r="G25" i="91" s="1"/>
  <c r="G127" i="79"/>
  <c r="G125" i="85"/>
  <c r="G125" i="75"/>
  <c r="G125" i="79"/>
  <c r="G26" i="85"/>
  <c r="V26" i="85" s="1"/>
  <c r="V7" i="85"/>
  <c r="N60" i="85"/>
  <c r="AD60" i="85" s="1"/>
  <c r="G102" i="85"/>
  <c r="V102" i="85" s="1"/>
  <c r="E36" i="82"/>
  <c r="E45" i="82" s="1"/>
  <c r="Y107" i="79"/>
  <c r="G122" i="85"/>
  <c r="N79" i="79"/>
  <c r="AD79" i="79" s="1"/>
  <c r="N98" i="79"/>
  <c r="AD98" i="79" s="1"/>
  <c r="G143" i="79"/>
  <c r="N107" i="79"/>
  <c r="V7" i="86"/>
  <c r="D63" i="85"/>
  <c r="AD3" i="85"/>
  <c r="G45" i="85"/>
  <c r="V45" i="85" s="1"/>
  <c r="G64" i="85"/>
  <c r="V64" i="85" s="1"/>
  <c r="N41" i="79"/>
  <c r="AD41" i="79" s="1"/>
  <c r="D64" i="79"/>
  <c r="D25" i="85"/>
  <c r="N98" i="85"/>
  <c r="AD98" i="85" s="1"/>
  <c r="M117" i="85"/>
  <c r="N22" i="82" s="1"/>
  <c r="G143" i="86"/>
  <c r="M4" i="87"/>
  <c r="G145" i="86"/>
  <c r="M6" i="87"/>
  <c r="G146" i="86"/>
  <c r="M7" i="87"/>
  <c r="V7" i="79"/>
  <c r="G26" i="79"/>
  <c r="V26" i="79" s="1"/>
  <c r="G83" i="79"/>
  <c r="V83" i="79" s="1"/>
  <c r="G122" i="79"/>
  <c r="H27" i="81" s="1"/>
  <c r="G45" i="79"/>
  <c r="V45" i="79" s="1"/>
  <c r="G64" i="79"/>
  <c r="V64" i="79" s="1"/>
  <c r="K122" i="79"/>
  <c r="K27" i="81" s="1"/>
  <c r="K64" i="79"/>
  <c r="Y64" i="79" s="1"/>
  <c r="D45" i="79"/>
  <c r="D102" i="79"/>
  <c r="D7" i="81" s="1"/>
  <c r="Y7" i="79"/>
  <c r="D83" i="79"/>
  <c r="K83" i="79"/>
  <c r="Y83" i="79" s="1"/>
  <c r="V107" i="79"/>
  <c r="H105" i="79"/>
  <c r="N22" i="85"/>
  <c r="AD22" i="85" s="1"/>
  <c r="N41" i="85"/>
  <c r="AD41" i="85" s="1"/>
  <c r="M117" i="79"/>
  <c r="AD3" i="79"/>
  <c r="N22" i="79"/>
  <c r="AD22" i="79" s="1"/>
  <c r="K122" i="85"/>
  <c r="K27" i="82" s="1"/>
  <c r="K45" i="79"/>
  <c r="Y45" i="79" s="1"/>
  <c r="D44" i="86"/>
  <c r="K45" i="85"/>
  <c r="Y45" i="85" s="1"/>
  <c r="Y7" i="85"/>
  <c r="D102" i="85"/>
  <c r="D7" i="82" s="1"/>
  <c r="K64" i="85"/>
  <c r="Y64" i="85" s="1"/>
  <c r="AA105" i="79"/>
  <c r="E131" i="79"/>
  <c r="AD3" i="86"/>
  <c r="D105" i="79"/>
  <c r="W105" i="79"/>
  <c r="W71" i="79"/>
  <c r="U107" i="79"/>
  <c r="E105" i="79"/>
  <c r="X105" i="79"/>
  <c r="AE71" i="75"/>
  <c r="G144" i="79"/>
  <c r="AE52" i="86"/>
  <c r="D25" i="86"/>
  <c r="D101" i="86"/>
  <c r="D124" i="90" s="1"/>
  <c r="G64" i="86"/>
  <c r="V64" i="86" s="1"/>
  <c r="G83" i="86"/>
  <c r="V83" i="86" s="1"/>
  <c r="N79" i="86"/>
  <c r="AD79" i="86" s="1"/>
  <c r="Z90" i="86"/>
  <c r="G145" i="75"/>
  <c r="I105" i="79"/>
  <c r="AE105" i="79"/>
  <c r="E107" i="79"/>
  <c r="W107" i="79"/>
  <c r="G144" i="75"/>
  <c r="L109" i="85"/>
  <c r="L81" i="90" s="1"/>
  <c r="D83" i="86"/>
  <c r="R26" i="56"/>
  <c r="AF68" i="75"/>
  <c r="AB71" i="75"/>
  <c r="K70" i="86"/>
  <c r="M70" i="86" s="1"/>
  <c r="O70" i="86" s="1"/>
  <c r="E36" i="88"/>
  <c r="M117" i="75"/>
  <c r="N22" i="76" s="1"/>
  <c r="N60" i="86"/>
  <c r="AD60" i="86" s="1"/>
  <c r="N98" i="86"/>
  <c r="M117" i="86"/>
  <c r="N22" i="86"/>
  <c r="AD22" i="86" s="1"/>
  <c r="K45" i="86"/>
  <c r="Y45" i="86" s="1"/>
  <c r="K26" i="86"/>
  <c r="Y26" i="86" s="1"/>
  <c r="G102" i="86"/>
  <c r="G122" i="86"/>
  <c r="G26" i="86"/>
  <c r="V26" i="86" s="1"/>
  <c r="D82" i="86"/>
  <c r="D127" i="79"/>
  <c r="D125" i="86"/>
  <c r="R8" i="56"/>
  <c r="R9" i="56" s="1"/>
  <c r="G143" i="75"/>
  <c r="E131" i="86"/>
  <c r="E83" i="91" s="1"/>
  <c r="AF67" i="75"/>
  <c r="Z71" i="86"/>
  <c r="E71" i="86"/>
  <c r="H71" i="79"/>
  <c r="I26" i="56"/>
  <c r="N105" i="79"/>
  <c r="F107" i="79"/>
  <c r="X107" i="79"/>
  <c r="AB71" i="85"/>
  <c r="G4" i="87"/>
  <c r="Z90" i="75"/>
  <c r="L9" i="82"/>
  <c r="G5" i="87"/>
  <c r="V105" i="79"/>
  <c r="I107" i="79"/>
  <c r="I71" i="86"/>
  <c r="AB71" i="79"/>
  <c r="Z71" i="79"/>
  <c r="D64" i="86"/>
  <c r="F26" i="56"/>
  <c r="AE33" i="75"/>
  <c r="H71" i="75"/>
  <c r="W71" i="75"/>
  <c r="G146" i="75"/>
  <c r="G71" i="85"/>
  <c r="V71" i="85"/>
  <c r="AA71" i="85"/>
  <c r="E71" i="75"/>
  <c r="I71" i="75"/>
  <c r="X71" i="75"/>
  <c r="E71" i="79"/>
  <c r="I71" i="79"/>
  <c r="X71" i="79"/>
  <c r="AF69" i="75"/>
  <c r="G145" i="79"/>
  <c r="F105" i="79"/>
  <c r="M6" i="83"/>
  <c r="K68" i="86"/>
  <c r="M68" i="86" s="1"/>
  <c r="O68" i="86" s="1"/>
  <c r="G71" i="86"/>
  <c r="AD70" i="85"/>
  <c r="AF70" i="85" s="1"/>
  <c r="F71" i="75"/>
  <c r="U71" i="75"/>
  <c r="Y71" i="75"/>
  <c r="F71" i="79"/>
  <c r="Y71" i="79"/>
  <c r="AF70" i="75"/>
  <c r="G142" i="79"/>
  <c r="AF67" i="79"/>
  <c r="AF68" i="79"/>
  <c r="AF69" i="79"/>
  <c r="G105" i="79"/>
  <c r="U105" i="79"/>
  <c r="Y105" i="79"/>
  <c r="G107" i="79"/>
  <c r="M5" i="83"/>
  <c r="G142" i="86"/>
  <c r="W71" i="86"/>
  <c r="G71" i="75"/>
  <c r="V71" i="75"/>
  <c r="AA71" i="75"/>
  <c r="G71" i="79"/>
  <c r="V71" i="79"/>
  <c r="AA71" i="79"/>
  <c r="D107" i="79"/>
  <c r="H107" i="79"/>
  <c r="AE71" i="85"/>
  <c r="AD67" i="85"/>
  <c r="AF67" i="85" s="1"/>
  <c r="AB31" i="85"/>
  <c r="AD31" i="85"/>
  <c r="V33" i="79"/>
  <c r="F33" i="75"/>
  <c r="N33" i="75"/>
  <c r="X33" i="75"/>
  <c r="V33" i="86"/>
  <c r="E4" i="77"/>
  <c r="E6" i="77"/>
  <c r="E3" i="77"/>
  <c r="E5" i="77"/>
  <c r="E7" i="77"/>
  <c r="I33" i="75"/>
  <c r="W33" i="75"/>
  <c r="H33" i="79"/>
  <c r="E4" i="83"/>
  <c r="E5" i="83"/>
  <c r="E33" i="75"/>
  <c r="E7" i="83"/>
  <c r="H33" i="75"/>
  <c r="V33" i="75"/>
  <c r="AA33" i="75"/>
  <c r="F33" i="85"/>
  <c r="N33" i="85"/>
  <c r="X33" i="85"/>
  <c r="AB32" i="85"/>
  <c r="F33" i="79"/>
  <c r="N33" i="79"/>
  <c r="X33" i="79"/>
  <c r="E6" i="83"/>
  <c r="E3" i="83"/>
  <c r="Z33" i="79"/>
  <c r="E4" i="80"/>
  <c r="E6" i="80"/>
  <c r="K32" i="86"/>
  <c r="M32" i="86" s="1"/>
  <c r="O32" i="86" s="1"/>
  <c r="AE33" i="85"/>
  <c r="AD32" i="85"/>
  <c r="AA33" i="79"/>
  <c r="G33" i="79"/>
  <c r="U33" i="79"/>
  <c r="Y33" i="79"/>
  <c r="E33" i="79"/>
  <c r="I33" i="79"/>
  <c r="W33" i="79"/>
  <c r="AF31" i="86"/>
  <c r="Z33" i="75"/>
  <c r="E3" i="80"/>
  <c r="E5" i="80"/>
  <c r="H33" i="86"/>
  <c r="G33" i="75"/>
  <c r="Y33" i="75"/>
  <c r="G33" i="85"/>
  <c r="U33" i="85"/>
  <c r="Y33" i="85"/>
  <c r="AF30" i="79"/>
  <c r="Z33" i="86"/>
  <c r="AA33" i="86"/>
  <c r="F33" i="86"/>
  <c r="X33" i="86"/>
  <c r="F52" i="86"/>
  <c r="X52" i="86"/>
  <c r="N52" i="75"/>
  <c r="AE108" i="75"/>
  <c r="U52" i="75"/>
  <c r="Y52" i="75"/>
  <c r="E52" i="75"/>
  <c r="F107" i="86"/>
  <c r="F96" i="90" s="1"/>
  <c r="K50" i="86"/>
  <c r="M50" i="86" s="1"/>
  <c r="O50" i="86" s="1"/>
  <c r="F108" i="75"/>
  <c r="F30" i="90" s="1"/>
  <c r="N108" i="75"/>
  <c r="X108" i="75"/>
  <c r="K12" i="86"/>
  <c r="M12" i="86" s="1"/>
  <c r="O12" i="86" s="1"/>
  <c r="AA107" i="86"/>
  <c r="G108" i="75"/>
  <c r="U108" i="75"/>
  <c r="Y108" i="75"/>
  <c r="U107" i="86"/>
  <c r="Y107" i="86"/>
  <c r="H52" i="79"/>
  <c r="V52" i="79"/>
  <c r="Y52" i="86"/>
  <c r="H52" i="75"/>
  <c r="V52" i="75"/>
  <c r="AD51" i="85"/>
  <c r="AA52" i="75"/>
  <c r="F52" i="75"/>
  <c r="X52" i="75"/>
  <c r="I52" i="75"/>
  <c r="W52" i="75"/>
  <c r="AE52" i="75"/>
  <c r="G52" i="75"/>
  <c r="E108" i="75"/>
  <c r="E30" i="90" s="1"/>
  <c r="I108" i="75"/>
  <c r="W108" i="75"/>
  <c r="F52" i="79"/>
  <c r="V108" i="86"/>
  <c r="AB48" i="75"/>
  <c r="AF48" i="75" s="1"/>
  <c r="AB50" i="75"/>
  <c r="AF50" i="75" s="1"/>
  <c r="AB47" i="86"/>
  <c r="AB52" i="86" s="1"/>
  <c r="AF50" i="86"/>
  <c r="V107" i="86"/>
  <c r="AB51" i="85"/>
  <c r="G52" i="79"/>
  <c r="Y52" i="79"/>
  <c r="AF49" i="79"/>
  <c r="Z108" i="86"/>
  <c r="Z52" i="86"/>
  <c r="K48" i="86"/>
  <c r="M48" i="86" s="1"/>
  <c r="O48" i="86" s="1"/>
  <c r="G52" i="86"/>
  <c r="D108" i="75"/>
  <c r="AF50" i="79"/>
  <c r="Y104" i="86"/>
  <c r="K51" i="86"/>
  <c r="M51" i="86" s="1"/>
  <c r="O51" i="86" s="1"/>
  <c r="H108" i="75"/>
  <c r="V108" i="75"/>
  <c r="E52" i="79"/>
  <c r="I52" i="79"/>
  <c r="W52" i="79"/>
  <c r="G108" i="86"/>
  <c r="I8" i="56"/>
  <c r="I9" i="56" s="1"/>
  <c r="F8" i="56"/>
  <c r="F9" i="56" s="1"/>
  <c r="D32" i="88"/>
  <c r="K5" i="87"/>
  <c r="K6" i="87"/>
  <c r="D33" i="88"/>
  <c r="D30" i="82"/>
  <c r="K3" i="83"/>
  <c r="D34" i="82"/>
  <c r="K7" i="83"/>
  <c r="D33" i="82"/>
  <c r="K6" i="83"/>
  <c r="D31" i="82"/>
  <c r="K4" i="83"/>
  <c r="D31" i="88"/>
  <c r="K4" i="87"/>
  <c r="D126" i="75"/>
  <c r="K5" i="83"/>
  <c r="D34" i="88"/>
  <c r="L8" i="87"/>
  <c r="E35" i="81"/>
  <c r="K64" i="75"/>
  <c r="Y64" i="75" s="1"/>
  <c r="Y7" i="86"/>
  <c r="K64" i="86"/>
  <c r="Y64" i="86" s="1"/>
  <c r="K83" i="86"/>
  <c r="Y83" i="86" s="1"/>
  <c r="K102" i="86"/>
  <c r="G102" i="75"/>
  <c r="G7" i="76" s="1"/>
  <c r="V7" i="76" s="1"/>
  <c r="G64" i="75"/>
  <c r="V64" i="75" s="1"/>
  <c r="D26" i="85"/>
  <c r="D45" i="85"/>
  <c r="D64" i="85"/>
  <c r="D102" i="75"/>
  <c r="D7" i="76" s="1"/>
  <c r="D45" i="75"/>
  <c r="D82" i="85"/>
  <c r="D101" i="75"/>
  <c r="D6" i="76" s="1"/>
  <c r="D25" i="75"/>
  <c r="AD3" i="75"/>
  <c r="N79" i="75"/>
  <c r="AD79" i="75" s="1"/>
  <c r="N22" i="75"/>
  <c r="AD22" i="75" s="1"/>
  <c r="N60" i="75"/>
  <c r="AD60" i="75" s="1"/>
  <c r="N98" i="75"/>
  <c r="N3" i="76" s="1"/>
  <c r="AD3" i="76" s="1"/>
  <c r="Y102" i="85"/>
  <c r="K7" i="82"/>
  <c r="Y7" i="75"/>
  <c r="K26" i="85"/>
  <c r="Y26" i="85" s="1"/>
  <c r="K83" i="85"/>
  <c r="Y83" i="85" s="1"/>
  <c r="K26" i="75"/>
  <c r="Y26" i="75" s="1"/>
  <c r="K45" i="75"/>
  <c r="Y45" i="75" s="1"/>
  <c r="K83" i="75"/>
  <c r="Y83" i="75" s="1"/>
  <c r="K102" i="75"/>
  <c r="K7" i="76" s="1"/>
  <c r="Y7" i="76" s="1"/>
  <c r="G26" i="75"/>
  <c r="V26" i="75" s="1"/>
  <c r="G122" i="75"/>
  <c r="H27" i="76" s="1"/>
  <c r="V7" i="75"/>
  <c r="G45" i="75"/>
  <c r="V45" i="75" s="1"/>
  <c r="D102" i="86"/>
  <c r="D125" i="90" s="1"/>
  <c r="D26" i="75"/>
  <c r="D64" i="75"/>
  <c r="D26" i="86"/>
  <c r="D44" i="85"/>
  <c r="D44" i="75"/>
  <c r="D63" i="75"/>
  <c r="AB90" i="86"/>
  <c r="AA71" i="86"/>
  <c r="H108" i="86"/>
  <c r="G144" i="86"/>
  <c r="F71" i="86"/>
  <c r="U71" i="86"/>
  <c r="Y71" i="86"/>
  <c r="H71" i="86"/>
  <c r="K66" i="86"/>
  <c r="M66" i="86" s="1"/>
  <c r="U104" i="86"/>
  <c r="D108" i="86"/>
  <c r="D97" i="90" s="1"/>
  <c r="H52" i="86"/>
  <c r="V52" i="86"/>
  <c r="AA52" i="86"/>
  <c r="W107" i="86"/>
  <c r="AF48" i="86"/>
  <c r="E52" i="86"/>
  <c r="I52" i="86"/>
  <c r="W52" i="86"/>
  <c r="I108" i="86"/>
  <c r="G33" i="86"/>
  <c r="AF30" i="86"/>
  <c r="AE33" i="86"/>
  <c r="I33" i="86"/>
  <c r="E33" i="86"/>
  <c r="W33" i="86"/>
  <c r="G104" i="86"/>
  <c r="C9" i="87"/>
  <c r="C15" i="87" s="1"/>
  <c r="J107" i="86"/>
  <c r="AD12" i="86"/>
  <c r="K13" i="86"/>
  <c r="M13" i="86" s="1"/>
  <c r="O13" i="86" s="1"/>
  <c r="E108" i="86"/>
  <c r="E97" i="90" s="1"/>
  <c r="AF29" i="86"/>
  <c r="AF49" i="86"/>
  <c r="E104" i="86"/>
  <c r="K9" i="86"/>
  <c r="I104" i="86"/>
  <c r="AE108" i="86"/>
  <c r="AE97" i="90" s="1"/>
  <c r="AD13" i="86"/>
  <c r="AF13" i="86" s="1"/>
  <c r="AF32" i="86"/>
  <c r="AE104" i="86"/>
  <c r="AE93" i="90" s="1"/>
  <c r="AD9" i="86"/>
  <c r="L105" i="86"/>
  <c r="L14" i="86"/>
  <c r="Z10" i="86"/>
  <c r="Z105" i="86" s="1"/>
  <c r="N107" i="86"/>
  <c r="N96" i="90" s="1"/>
  <c r="AB12" i="86"/>
  <c r="AB107" i="86" s="1"/>
  <c r="V104" i="86"/>
  <c r="Z104" i="86"/>
  <c r="AB33" i="86"/>
  <c r="F142" i="86"/>
  <c r="D33" i="86"/>
  <c r="N52" i="86"/>
  <c r="AF67" i="86"/>
  <c r="F104" i="86"/>
  <c r="N104" i="86"/>
  <c r="N93" i="90" s="1"/>
  <c r="W104" i="86"/>
  <c r="AA104" i="86"/>
  <c r="G107" i="86"/>
  <c r="X107" i="86"/>
  <c r="F108" i="86"/>
  <c r="F97" i="90" s="1"/>
  <c r="N108" i="86"/>
  <c r="N97" i="90" s="1"/>
  <c r="W108" i="86"/>
  <c r="AA108" i="86"/>
  <c r="AD28" i="86"/>
  <c r="AD33" i="86" s="1"/>
  <c r="F143" i="86"/>
  <c r="K29" i="86"/>
  <c r="M29" i="86" s="1"/>
  <c r="O29" i="86" s="1"/>
  <c r="N33" i="86"/>
  <c r="K47" i="86"/>
  <c r="AD47" i="86"/>
  <c r="AD52" i="86" s="1"/>
  <c r="K49" i="86"/>
  <c r="M49" i="86" s="1"/>
  <c r="O49" i="86" s="1"/>
  <c r="AF51" i="86"/>
  <c r="D52" i="86"/>
  <c r="X71" i="86"/>
  <c r="AB71" i="86"/>
  <c r="E90" i="86"/>
  <c r="AE90" i="86"/>
  <c r="AF86" i="86"/>
  <c r="AF89" i="86"/>
  <c r="X104" i="86"/>
  <c r="Z106" i="86"/>
  <c r="D107" i="86"/>
  <c r="D96" i="90" s="1"/>
  <c r="H107" i="86"/>
  <c r="X108" i="86"/>
  <c r="AB108" i="86"/>
  <c r="J14" i="86"/>
  <c r="K28" i="86"/>
  <c r="U33" i="86"/>
  <c r="Y33" i="86"/>
  <c r="F144" i="86"/>
  <c r="K30" i="86"/>
  <c r="M30" i="86" s="1"/>
  <c r="O30" i="86" s="1"/>
  <c r="U52" i="86"/>
  <c r="AE71" i="86"/>
  <c r="AD66" i="86"/>
  <c r="AD71" i="86" s="1"/>
  <c r="K67" i="86"/>
  <c r="M67" i="86" s="1"/>
  <c r="O67" i="86" s="1"/>
  <c r="K69" i="86"/>
  <c r="M69" i="86" s="1"/>
  <c r="O69" i="86" s="1"/>
  <c r="F90" i="86"/>
  <c r="J90" i="86"/>
  <c r="AD85" i="86"/>
  <c r="AF85" i="86" s="1"/>
  <c r="AF69" i="86"/>
  <c r="D71" i="86"/>
  <c r="H104" i="86"/>
  <c r="J106" i="86"/>
  <c r="E107" i="86"/>
  <c r="E96" i="90" s="1"/>
  <c r="I107" i="86"/>
  <c r="Z12" i="86"/>
  <c r="AE107" i="86"/>
  <c r="U108" i="86"/>
  <c r="Y108" i="86"/>
  <c r="F145" i="86"/>
  <c r="K31" i="86"/>
  <c r="M31" i="86" s="1"/>
  <c r="O31" i="86" s="1"/>
  <c r="F146" i="86"/>
  <c r="V71" i="86"/>
  <c r="AF68" i="86"/>
  <c r="AF70" i="86"/>
  <c r="AF87" i="86"/>
  <c r="K85" i="86"/>
  <c r="K86" i="86"/>
  <c r="M86" i="86" s="1"/>
  <c r="O86" i="86" s="1"/>
  <c r="AD88" i="86"/>
  <c r="AF88" i="86" s="1"/>
  <c r="H142" i="86"/>
  <c r="D90" i="86"/>
  <c r="K87" i="86"/>
  <c r="M87" i="86" s="1"/>
  <c r="O87" i="86" s="1"/>
  <c r="H144" i="86"/>
  <c r="H146" i="86"/>
  <c r="K89" i="86"/>
  <c r="M89" i="86" s="1"/>
  <c r="O89" i="86" s="1"/>
  <c r="N90" i="86"/>
  <c r="W90" i="86"/>
  <c r="Y92" i="86" s="1"/>
  <c r="AA90" i="86"/>
  <c r="H145" i="86"/>
  <c r="K88" i="86"/>
  <c r="M88" i="86" s="1"/>
  <c r="O88" i="86" s="1"/>
  <c r="E147" i="86"/>
  <c r="H143" i="86"/>
  <c r="G146" i="85"/>
  <c r="G143" i="85"/>
  <c r="G142" i="85"/>
  <c r="H71" i="85"/>
  <c r="W71" i="85"/>
  <c r="H33" i="85"/>
  <c r="AA33" i="85"/>
  <c r="E33" i="85"/>
  <c r="I33" i="85"/>
  <c r="W33" i="85"/>
  <c r="V33" i="85"/>
  <c r="AF30" i="75"/>
  <c r="AD51" i="79"/>
  <c r="AE52" i="79"/>
  <c r="F31" i="22"/>
  <c r="N31" i="22"/>
  <c r="X31" i="22"/>
  <c r="D32" i="22"/>
  <c r="H32" i="22"/>
  <c r="V32" i="22"/>
  <c r="AA32" i="22"/>
  <c r="AA108" i="22" s="1"/>
  <c r="X51" i="22"/>
  <c r="D66" i="22"/>
  <c r="H66" i="22"/>
  <c r="W66" i="22"/>
  <c r="AE66" i="22"/>
  <c r="G67" i="22"/>
  <c r="V67" i="22"/>
  <c r="D70" i="22"/>
  <c r="H70" i="22"/>
  <c r="W70" i="22"/>
  <c r="AE70" i="22"/>
  <c r="AD70" i="22" s="1"/>
  <c r="D33" i="75"/>
  <c r="Z52" i="75"/>
  <c r="AA52" i="79"/>
  <c r="AF29" i="85"/>
  <c r="E7" i="80"/>
  <c r="F146" i="79"/>
  <c r="E71" i="85"/>
  <c r="I71" i="85"/>
  <c r="X71" i="85"/>
  <c r="M7" i="80"/>
  <c r="G146" i="79"/>
  <c r="G31" i="22"/>
  <c r="U31" i="22"/>
  <c r="Y31" i="22"/>
  <c r="E32" i="22"/>
  <c r="I32" i="22"/>
  <c r="W32" i="22"/>
  <c r="AE32" i="22"/>
  <c r="U51" i="22"/>
  <c r="Y51" i="22"/>
  <c r="E66" i="22"/>
  <c r="I66" i="22"/>
  <c r="X66" i="22"/>
  <c r="D67" i="22"/>
  <c r="H67" i="22"/>
  <c r="W67" i="22"/>
  <c r="AE67" i="22"/>
  <c r="AD67" i="22" s="1"/>
  <c r="E70" i="22"/>
  <c r="I70" i="22"/>
  <c r="X70" i="22"/>
  <c r="Z107" i="75"/>
  <c r="Z71" i="75"/>
  <c r="AA108" i="75"/>
  <c r="AA14" i="79"/>
  <c r="AE33" i="79"/>
  <c r="AD32" i="79"/>
  <c r="AF32" i="79" s="1"/>
  <c r="F71" i="85"/>
  <c r="Y71" i="85"/>
  <c r="AD70" i="79"/>
  <c r="AF70" i="79" s="1"/>
  <c r="AE71" i="79"/>
  <c r="D31" i="22"/>
  <c r="H31" i="22"/>
  <c r="V31" i="22"/>
  <c r="AA31" i="22"/>
  <c r="F32" i="22"/>
  <c r="N32" i="22"/>
  <c r="X32" i="22"/>
  <c r="V51" i="22"/>
  <c r="F66" i="22"/>
  <c r="U66" i="22"/>
  <c r="Y66" i="22"/>
  <c r="E67" i="22"/>
  <c r="I67" i="22"/>
  <c r="X67" i="22"/>
  <c r="F70" i="22"/>
  <c r="U70" i="22"/>
  <c r="Y70" i="22"/>
  <c r="G142" i="75"/>
  <c r="N52" i="79"/>
  <c r="AB51" i="79"/>
  <c r="X52" i="79"/>
  <c r="E31" i="22"/>
  <c r="I31" i="22"/>
  <c r="W31" i="22"/>
  <c r="AE31" i="22"/>
  <c r="G32" i="22"/>
  <c r="U32" i="22"/>
  <c r="Y32" i="22"/>
  <c r="W51" i="22"/>
  <c r="AE51" i="22"/>
  <c r="G66" i="22"/>
  <c r="V66" i="22"/>
  <c r="F67" i="22"/>
  <c r="U67" i="22"/>
  <c r="Y67" i="22"/>
  <c r="G70" i="22"/>
  <c r="V70" i="22"/>
  <c r="O8" i="56"/>
  <c r="O9" i="56" s="1"/>
  <c r="Z52" i="79"/>
  <c r="R17" i="56"/>
  <c r="G7" i="81"/>
  <c r="V7" i="81" s="1"/>
  <c r="D128" i="79"/>
  <c r="K7" i="81"/>
  <c r="Y7" i="81" s="1"/>
  <c r="D125" i="79"/>
  <c r="D129" i="79"/>
  <c r="D126" i="79"/>
  <c r="L9" i="80"/>
  <c r="M21" i="36" s="1"/>
  <c r="Z33" i="85"/>
  <c r="Z52" i="85"/>
  <c r="Z71" i="85"/>
  <c r="AF69" i="85"/>
  <c r="AF68" i="85"/>
  <c r="AF30" i="85"/>
  <c r="D33" i="85"/>
  <c r="F142" i="85"/>
  <c r="F146" i="85"/>
  <c r="Z9" i="85"/>
  <c r="Z11" i="85"/>
  <c r="Z106" i="85" s="1"/>
  <c r="AD12" i="85"/>
  <c r="K13" i="85"/>
  <c r="M13" i="85" s="1"/>
  <c r="O13" i="85" s="1"/>
  <c r="Z13" i="85"/>
  <c r="Z108" i="85" s="1"/>
  <c r="AB13" i="85"/>
  <c r="J14" i="85"/>
  <c r="L14" i="85"/>
  <c r="K28" i="85"/>
  <c r="AD28" i="85"/>
  <c r="K32" i="85"/>
  <c r="M32" i="85" s="1"/>
  <c r="O32" i="85" s="1"/>
  <c r="F143" i="85"/>
  <c r="F144" i="85"/>
  <c r="Z10" i="85"/>
  <c r="Z105" i="85" s="1"/>
  <c r="K12" i="85"/>
  <c r="M12" i="85" s="1"/>
  <c r="O12" i="85" s="1"/>
  <c r="Z12" i="85"/>
  <c r="Z107" i="85" s="1"/>
  <c r="AB12" i="85"/>
  <c r="AD13" i="85"/>
  <c r="AB28" i="85"/>
  <c r="K29" i="85"/>
  <c r="M29" i="85" s="1"/>
  <c r="O29" i="85" s="1"/>
  <c r="K30" i="85"/>
  <c r="M30" i="85" s="1"/>
  <c r="O30" i="85" s="1"/>
  <c r="K31" i="85"/>
  <c r="M31" i="85" s="1"/>
  <c r="O31" i="85" s="1"/>
  <c r="K66" i="85"/>
  <c r="K67" i="85"/>
  <c r="M67" i="85" s="1"/>
  <c r="O67" i="85" s="1"/>
  <c r="K68" i="85"/>
  <c r="M68" i="85" s="1"/>
  <c r="O68" i="85" s="1"/>
  <c r="K69" i="85"/>
  <c r="M69" i="85" s="1"/>
  <c r="O69" i="85" s="1"/>
  <c r="K70" i="85"/>
  <c r="M70" i="85" s="1"/>
  <c r="O70" i="85" s="1"/>
  <c r="D71" i="85"/>
  <c r="U71" i="85"/>
  <c r="E147" i="85"/>
  <c r="K51" i="85"/>
  <c r="M51" i="85" s="1"/>
  <c r="O51" i="85" s="1"/>
  <c r="AD66" i="85"/>
  <c r="L9" i="81"/>
  <c r="O8" i="80"/>
  <c r="P8" i="80" s="1"/>
  <c r="AF29" i="79"/>
  <c r="AF31" i="79"/>
  <c r="F143" i="79"/>
  <c r="F144" i="79"/>
  <c r="F145" i="79"/>
  <c r="Z10" i="79"/>
  <c r="Z105" i="79" s="1"/>
  <c r="AB10" i="79"/>
  <c r="AB105" i="79" s="1"/>
  <c r="Z12" i="79"/>
  <c r="Z107" i="79" s="1"/>
  <c r="AB12" i="79"/>
  <c r="AB107" i="79" s="1"/>
  <c r="E14" i="79"/>
  <c r="G14" i="79"/>
  <c r="I14" i="79"/>
  <c r="V14" i="79"/>
  <c r="X14" i="79"/>
  <c r="AE14" i="79"/>
  <c r="AB28" i="79"/>
  <c r="AB33" i="79" s="1"/>
  <c r="K29" i="79"/>
  <c r="M29" i="79" s="1"/>
  <c r="O29" i="79" s="1"/>
  <c r="K30" i="79"/>
  <c r="M30" i="79" s="1"/>
  <c r="O30" i="79" s="1"/>
  <c r="K31" i="79"/>
  <c r="M31" i="79" s="1"/>
  <c r="O31" i="79" s="1"/>
  <c r="D33" i="79"/>
  <c r="F142" i="79"/>
  <c r="Z9" i="79"/>
  <c r="AB9" i="79"/>
  <c r="Z11" i="79"/>
  <c r="AB11" i="79"/>
  <c r="Z13" i="79"/>
  <c r="AB13" i="79"/>
  <c r="D14" i="79"/>
  <c r="F14" i="79"/>
  <c r="H14" i="79"/>
  <c r="L14" i="79"/>
  <c r="N14" i="79"/>
  <c r="U14" i="79"/>
  <c r="W14" i="79"/>
  <c r="Y14" i="79"/>
  <c r="K28" i="79"/>
  <c r="AF48" i="79"/>
  <c r="AF86" i="79"/>
  <c r="AF88" i="79"/>
  <c r="K32" i="79"/>
  <c r="M32" i="79" s="1"/>
  <c r="O32" i="79" s="1"/>
  <c r="AB47" i="79"/>
  <c r="K48" i="79"/>
  <c r="M48" i="79" s="1"/>
  <c r="O48" i="79" s="1"/>
  <c r="K50" i="79"/>
  <c r="M50" i="79" s="1"/>
  <c r="O50" i="79" s="1"/>
  <c r="D52" i="79"/>
  <c r="U52" i="79"/>
  <c r="K66" i="79"/>
  <c r="K67" i="79"/>
  <c r="M67" i="79" s="1"/>
  <c r="O67" i="79" s="1"/>
  <c r="K68" i="79"/>
  <c r="M68" i="79" s="1"/>
  <c r="O68" i="79" s="1"/>
  <c r="K69" i="79"/>
  <c r="M69" i="79" s="1"/>
  <c r="O69" i="79" s="1"/>
  <c r="K70" i="79"/>
  <c r="M70" i="79" s="1"/>
  <c r="O70" i="79" s="1"/>
  <c r="D71" i="79"/>
  <c r="U71" i="79"/>
  <c r="E147" i="79"/>
  <c r="K47" i="79"/>
  <c r="AD47" i="79"/>
  <c r="K49" i="79"/>
  <c r="M49" i="79" s="1"/>
  <c r="O49" i="79" s="1"/>
  <c r="K51" i="79"/>
  <c r="M51" i="79" s="1"/>
  <c r="O51" i="79" s="1"/>
  <c r="AD66" i="79"/>
  <c r="K86" i="79"/>
  <c r="M86" i="79" s="1"/>
  <c r="O86" i="79" s="1"/>
  <c r="K88" i="79"/>
  <c r="M88" i="79" s="1"/>
  <c r="O88" i="79" s="1"/>
  <c r="L9" i="77"/>
  <c r="M20" i="36" s="1"/>
  <c r="N8" i="77"/>
  <c r="O8" i="77" s="1"/>
  <c r="P8" i="77" s="1"/>
  <c r="AF29" i="75"/>
  <c r="AF31" i="75"/>
  <c r="AF32" i="75"/>
  <c r="AF49" i="75"/>
  <c r="AF51" i="75"/>
  <c r="L109" i="75"/>
  <c r="L31" i="90" s="1"/>
  <c r="L9" i="76"/>
  <c r="F143" i="75"/>
  <c r="F144" i="75"/>
  <c r="F145" i="75"/>
  <c r="Z10" i="75"/>
  <c r="Z105" i="75" s="1"/>
  <c r="AB28" i="75"/>
  <c r="AB33" i="75" s="1"/>
  <c r="K29" i="75"/>
  <c r="M29" i="75" s="1"/>
  <c r="O29" i="75" s="1"/>
  <c r="K30" i="75"/>
  <c r="M30" i="75" s="1"/>
  <c r="O30" i="75" s="1"/>
  <c r="K31" i="75"/>
  <c r="M31" i="75" s="1"/>
  <c r="O31" i="75" s="1"/>
  <c r="U33" i="75"/>
  <c r="K47" i="75"/>
  <c r="AD47" i="75"/>
  <c r="AD52" i="75" s="1"/>
  <c r="K49" i="75"/>
  <c r="M49" i="75" s="1"/>
  <c r="O49" i="75" s="1"/>
  <c r="K51" i="75"/>
  <c r="M51" i="75" s="1"/>
  <c r="O51" i="75" s="1"/>
  <c r="AD66" i="75"/>
  <c r="AD71" i="75" s="1"/>
  <c r="AF89" i="75"/>
  <c r="AG89" i="75" s="1"/>
  <c r="AH89" i="75" s="1"/>
  <c r="F142" i="75"/>
  <c r="F146" i="75"/>
  <c r="H146" i="75"/>
  <c r="G7" i="77" s="1"/>
  <c r="Z9" i="75"/>
  <c r="Z11" i="75"/>
  <c r="Z106" i="75" s="1"/>
  <c r="Z13" i="75"/>
  <c r="Z108" i="75" s="1"/>
  <c r="AB13" i="75"/>
  <c r="AB108" i="75" s="1"/>
  <c r="L14" i="75"/>
  <c r="K28" i="75"/>
  <c r="AD28" i="75"/>
  <c r="AD33" i="75" s="1"/>
  <c r="K32" i="75"/>
  <c r="M32" i="75" s="1"/>
  <c r="O32" i="75" s="1"/>
  <c r="AB47" i="75"/>
  <c r="K48" i="75"/>
  <c r="M48" i="75" s="1"/>
  <c r="O48" i="75" s="1"/>
  <c r="K50" i="75"/>
  <c r="M50" i="75" s="1"/>
  <c r="O50" i="75" s="1"/>
  <c r="D52" i="75"/>
  <c r="K66" i="75"/>
  <c r="K67" i="75"/>
  <c r="M67" i="75" s="1"/>
  <c r="O67" i="75" s="1"/>
  <c r="K68" i="75"/>
  <c r="M68" i="75" s="1"/>
  <c r="O68" i="75" s="1"/>
  <c r="K69" i="75"/>
  <c r="M69" i="75" s="1"/>
  <c r="O69" i="75" s="1"/>
  <c r="K70" i="75"/>
  <c r="M70" i="75" s="1"/>
  <c r="O70" i="75" s="1"/>
  <c r="D71" i="75"/>
  <c r="E131" i="75"/>
  <c r="E27" i="91" s="1"/>
  <c r="E147" i="75"/>
  <c r="Y12" i="75"/>
  <c r="X12" i="75"/>
  <c r="W12" i="75"/>
  <c r="V12" i="75"/>
  <c r="U12" i="75"/>
  <c r="N12" i="75"/>
  <c r="I12" i="75"/>
  <c r="H12" i="75"/>
  <c r="G12" i="75"/>
  <c r="F12" i="75"/>
  <c r="Y12" i="22"/>
  <c r="X12" i="22"/>
  <c r="W12" i="22"/>
  <c r="V12" i="22"/>
  <c r="U12" i="22"/>
  <c r="I12" i="22"/>
  <c r="H12" i="22"/>
  <c r="G12" i="22"/>
  <c r="F12" i="22"/>
  <c r="AA11" i="86"/>
  <c r="AA106" i="86" s="1"/>
  <c r="Y11" i="86"/>
  <c r="X11" i="86"/>
  <c r="X106" i="86" s="1"/>
  <c r="W11" i="86"/>
  <c r="W106" i="86" s="1"/>
  <c r="V11" i="86"/>
  <c r="V106" i="86" s="1"/>
  <c r="U11" i="86"/>
  <c r="U106" i="86" s="1"/>
  <c r="N11" i="86"/>
  <c r="AB11" i="86" s="1"/>
  <c r="AB106" i="86" s="1"/>
  <c r="I11" i="86"/>
  <c r="I106" i="86" s="1"/>
  <c r="H11" i="86"/>
  <c r="H106" i="86" s="1"/>
  <c r="G11" i="86"/>
  <c r="G106" i="86" s="1"/>
  <c r="F11" i="86"/>
  <c r="F106" i="86" s="1"/>
  <c r="F95" i="90" s="1"/>
  <c r="E11" i="86"/>
  <c r="E106" i="86" s="1"/>
  <c r="E95" i="90" s="1"/>
  <c r="AE11" i="86"/>
  <c r="AD11" i="86" s="1"/>
  <c r="D11" i="86"/>
  <c r="Y11" i="85"/>
  <c r="X11" i="85"/>
  <c r="W11" i="85"/>
  <c r="V11" i="85"/>
  <c r="U11" i="85"/>
  <c r="N11" i="85"/>
  <c r="I11" i="85"/>
  <c r="H11" i="85"/>
  <c r="G11" i="85"/>
  <c r="F11" i="85"/>
  <c r="E11" i="85"/>
  <c r="D11" i="85"/>
  <c r="Y11" i="75"/>
  <c r="X11" i="75"/>
  <c r="W11" i="75"/>
  <c r="V11" i="75"/>
  <c r="U11" i="75"/>
  <c r="N11" i="75"/>
  <c r="I11" i="75"/>
  <c r="H11" i="75"/>
  <c r="G11" i="75"/>
  <c r="F11" i="75"/>
  <c r="E11" i="75"/>
  <c r="D11" i="75"/>
  <c r="Y11" i="22"/>
  <c r="X11" i="22"/>
  <c r="W11" i="22"/>
  <c r="V11" i="22"/>
  <c r="U11" i="22"/>
  <c r="I11" i="22"/>
  <c r="H11" i="22"/>
  <c r="G11" i="22"/>
  <c r="F11" i="22"/>
  <c r="E11" i="22"/>
  <c r="D11" i="22"/>
  <c r="Y49" i="85"/>
  <c r="X49" i="85"/>
  <c r="W49" i="85"/>
  <c r="V49" i="85"/>
  <c r="U49" i="85"/>
  <c r="N49" i="85"/>
  <c r="I49" i="85"/>
  <c r="H49" i="85"/>
  <c r="G49" i="85"/>
  <c r="F49" i="85"/>
  <c r="E49" i="85"/>
  <c r="D49" i="85"/>
  <c r="Y10" i="86"/>
  <c r="Y105" i="86" s="1"/>
  <c r="X10" i="86"/>
  <c r="X105" i="86" s="1"/>
  <c r="W10" i="86"/>
  <c r="W105" i="86" s="1"/>
  <c r="V10" i="86"/>
  <c r="V105" i="86" s="1"/>
  <c r="U10" i="86"/>
  <c r="N10" i="86"/>
  <c r="AB10" i="86" s="1"/>
  <c r="AB105" i="86" s="1"/>
  <c r="I10" i="86"/>
  <c r="H10" i="86"/>
  <c r="G10" i="86"/>
  <c r="F10" i="86"/>
  <c r="E10" i="86"/>
  <c r="E105" i="86" s="1"/>
  <c r="E94" i="90" s="1"/>
  <c r="AE10" i="86"/>
  <c r="AD10" i="86" s="1"/>
  <c r="D10" i="86"/>
  <c r="D105" i="86" s="1"/>
  <c r="D94" i="90" s="1"/>
  <c r="Y48" i="85"/>
  <c r="X48" i="85"/>
  <c r="W48" i="85"/>
  <c r="V48" i="85"/>
  <c r="U48" i="85"/>
  <c r="N48" i="85"/>
  <c r="I48" i="85"/>
  <c r="H48" i="85"/>
  <c r="G48" i="85"/>
  <c r="F48" i="85"/>
  <c r="E48" i="85"/>
  <c r="D48" i="85"/>
  <c r="Y10" i="85"/>
  <c r="X10" i="85"/>
  <c r="W10" i="85"/>
  <c r="V10" i="85"/>
  <c r="U10" i="85"/>
  <c r="N10" i="85"/>
  <c r="AB10" i="85" s="1"/>
  <c r="I10" i="85"/>
  <c r="H10" i="85"/>
  <c r="G10" i="85"/>
  <c r="F10" i="85"/>
  <c r="E10" i="85"/>
  <c r="AD10" i="85"/>
  <c r="D10" i="85"/>
  <c r="E10" i="75"/>
  <c r="Y10" i="75"/>
  <c r="X10" i="75"/>
  <c r="W10" i="75"/>
  <c r="V10" i="75"/>
  <c r="U10" i="75"/>
  <c r="N10" i="75"/>
  <c r="I10" i="75"/>
  <c r="H10" i="75"/>
  <c r="G10" i="75"/>
  <c r="F10" i="75"/>
  <c r="D10" i="75"/>
  <c r="Y9" i="85"/>
  <c r="X9" i="85"/>
  <c r="W9" i="85"/>
  <c r="V9" i="85"/>
  <c r="U9" i="85"/>
  <c r="N9" i="85"/>
  <c r="I9" i="85"/>
  <c r="H9" i="85"/>
  <c r="G9" i="85"/>
  <c r="F9" i="85"/>
  <c r="E9" i="85"/>
  <c r="AE9" i="85"/>
  <c r="D9" i="85"/>
  <c r="Y9" i="75"/>
  <c r="X9" i="75"/>
  <c r="W9" i="75"/>
  <c r="V9" i="75"/>
  <c r="U9" i="75"/>
  <c r="N9" i="75"/>
  <c r="I9" i="75"/>
  <c r="H9" i="75"/>
  <c r="G9" i="75"/>
  <c r="F9" i="75"/>
  <c r="E9" i="75"/>
  <c r="D9" i="75"/>
  <c r="Y9" i="22"/>
  <c r="X9" i="22"/>
  <c r="W9" i="22"/>
  <c r="V9" i="22"/>
  <c r="U9" i="22"/>
  <c r="I9" i="22"/>
  <c r="H9" i="22"/>
  <c r="G9" i="22"/>
  <c r="F9" i="22"/>
  <c r="E9" i="22"/>
  <c r="D55" i="91" l="1"/>
  <c r="I31" i="36"/>
  <c r="D24" i="36"/>
  <c r="D25" i="36" s="1"/>
  <c r="D145" i="79"/>
  <c r="L39" i="91"/>
  <c r="G143" i="22"/>
  <c r="J126" i="22"/>
  <c r="J7" i="91" s="1"/>
  <c r="K39" i="91"/>
  <c r="K33" i="81"/>
  <c r="K36" i="81" s="1"/>
  <c r="L31" i="81"/>
  <c r="D36" i="91"/>
  <c r="D39" i="91"/>
  <c r="K131" i="79"/>
  <c r="K41" i="91" s="1"/>
  <c r="D35" i="91"/>
  <c r="D36" i="99"/>
  <c r="D46" i="99" s="1"/>
  <c r="K37" i="91"/>
  <c r="K36" i="91"/>
  <c r="K38" i="91"/>
  <c r="L36" i="91"/>
  <c r="K131" i="97"/>
  <c r="K36" i="99"/>
  <c r="L131" i="97"/>
  <c r="L55" i="91" s="1"/>
  <c r="L35" i="91"/>
  <c r="L36" i="99"/>
  <c r="L30" i="81"/>
  <c r="L131" i="79"/>
  <c r="L41" i="91" s="1"/>
  <c r="L33" i="81"/>
  <c r="L32" i="81"/>
  <c r="J39" i="91"/>
  <c r="J35" i="91"/>
  <c r="J36" i="91"/>
  <c r="J36" i="99"/>
  <c r="J46" i="99" s="1"/>
  <c r="M9" i="98"/>
  <c r="N22" i="36" s="1"/>
  <c r="E9" i="98"/>
  <c r="F22" i="36" s="1"/>
  <c r="H36" i="99"/>
  <c r="H46" i="99" s="1"/>
  <c r="E44" i="90"/>
  <c r="F46" i="90"/>
  <c r="D46" i="90"/>
  <c r="G38" i="91"/>
  <c r="H6" i="98"/>
  <c r="G36" i="91"/>
  <c r="H4" i="98"/>
  <c r="F44" i="90"/>
  <c r="Z46" i="90"/>
  <c r="AF12" i="99"/>
  <c r="E46" i="90"/>
  <c r="G39" i="91"/>
  <c r="E9" i="77"/>
  <c r="F20" i="36" s="1"/>
  <c r="E9" i="83"/>
  <c r="F23" i="36" s="1"/>
  <c r="F145" i="22"/>
  <c r="J33" i="39"/>
  <c r="J32" i="39"/>
  <c r="F146" i="22"/>
  <c r="J125" i="22"/>
  <c r="J6" i="91" s="1"/>
  <c r="G142" i="22"/>
  <c r="J129" i="22"/>
  <c r="J10" i="91" s="1"/>
  <c r="G146" i="22"/>
  <c r="H128" i="22"/>
  <c r="K145" i="22" s="1"/>
  <c r="L36" i="76"/>
  <c r="L14" i="76"/>
  <c r="L44" i="76" s="1"/>
  <c r="J11" i="88"/>
  <c r="J95" i="90"/>
  <c r="D38" i="91"/>
  <c r="J12" i="88"/>
  <c r="J96" i="90"/>
  <c r="L10" i="88"/>
  <c r="L14" i="88" s="1"/>
  <c r="L94" i="90"/>
  <c r="D30" i="88"/>
  <c r="D36" i="88" s="1"/>
  <c r="D77" i="91"/>
  <c r="K5" i="80"/>
  <c r="D37" i="91"/>
  <c r="J33" i="82"/>
  <c r="J66" i="91"/>
  <c r="J34" i="76"/>
  <c r="J25" i="91"/>
  <c r="J30" i="76"/>
  <c r="J21" i="91"/>
  <c r="J31" i="82"/>
  <c r="J64" i="91"/>
  <c r="J34" i="82"/>
  <c r="J67" i="91"/>
  <c r="J32" i="81"/>
  <c r="J37" i="91"/>
  <c r="J30" i="88"/>
  <c r="J77" i="91"/>
  <c r="J32" i="76"/>
  <c r="J23" i="91"/>
  <c r="J33" i="81"/>
  <c r="J38" i="91"/>
  <c r="J30" i="82"/>
  <c r="J63" i="91"/>
  <c r="J31" i="76"/>
  <c r="J22" i="91"/>
  <c r="J32" i="82"/>
  <c r="J65" i="91"/>
  <c r="J32" i="88"/>
  <c r="J79" i="91"/>
  <c r="J33" i="76"/>
  <c r="J24" i="91"/>
  <c r="H31" i="88"/>
  <c r="H78" i="91"/>
  <c r="H30" i="81"/>
  <c r="H35" i="91"/>
  <c r="H31" i="76"/>
  <c r="H22" i="91"/>
  <c r="H34" i="82"/>
  <c r="H67" i="91"/>
  <c r="H32" i="88"/>
  <c r="H79" i="91"/>
  <c r="H33" i="76"/>
  <c r="H24" i="91"/>
  <c r="H32" i="82"/>
  <c r="H65" i="91"/>
  <c r="H32" i="81"/>
  <c r="H37" i="91"/>
  <c r="H34" i="76"/>
  <c r="H25" i="91"/>
  <c r="H33" i="81"/>
  <c r="H38" i="91"/>
  <c r="H33" i="88"/>
  <c r="H80" i="91"/>
  <c r="H31" i="81"/>
  <c r="H36" i="91"/>
  <c r="H31" i="82"/>
  <c r="H64" i="91"/>
  <c r="H34" i="81"/>
  <c r="H39" i="91"/>
  <c r="H30" i="39"/>
  <c r="H6" i="91"/>
  <c r="H30" i="82"/>
  <c r="H63" i="91"/>
  <c r="H32" i="76"/>
  <c r="H23" i="91"/>
  <c r="H34" i="88"/>
  <c r="H81" i="91"/>
  <c r="H30" i="76"/>
  <c r="H21" i="91"/>
  <c r="H33" i="82"/>
  <c r="H66" i="91"/>
  <c r="H30" i="88"/>
  <c r="H77" i="91"/>
  <c r="AB10" i="88"/>
  <c r="AB94" i="90"/>
  <c r="X10" i="88"/>
  <c r="X94" i="90"/>
  <c r="G11" i="88"/>
  <c r="G95" i="90"/>
  <c r="U11" i="88"/>
  <c r="U95" i="90"/>
  <c r="AE12" i="88"/>
  <c r="AE96" i="90"/>
  <c r="X13" i="88"/>
  <c r="X97" i="90"/>
  <c r="X9" i="88"/>
  <c r="X93" i="90"/>
  <c r="AA13" i="88"/>
  <c r="AA97" i="90"/>
  <c r="X12" i="88"/>
  <c r="X96" i="90"/>
  <c r="V9" i="88"/>
  <c r="V93" i="90"/>
  <c r="I13" i="88"/>
  <c r="I97" i="90"/>
  <c r="Y9" i="88"/>
  <c r="Y93" i="90"/>
  <c r="V13" i="88"/>
  <c r="V97" i="90"/>
  <c r="Y13" i="76"/>
  <c r="Y30" i="90"/>
  <c r="Y10" i="81"/>
  <c r="Y44" i="90"/>
  <c r="X12" i="81"/>
  <c r="X46" i="90"/>
  <c r="N10" i="81"/>
  <c r="N44" i="90"/>
  <c r="W10" i="81"/>
  <c r="W44" i="90"/>
  <c r="G30" i="76"/>
  <c r="G21" i="91"/>
  <c r="G32" i="76"/>
  <c r="G23" i="91"/>
  <c r="G32" i="88"/>
  <c r="G79" i="91"/>
  <c r="G31" i="88"/>
  <c r="G78" i="91"/>
  <c r="G33" i="88"/>
  <c r="G80" i="91"/>
  <c r="Y10" i="88"/>
  <c r="Y94" i="90"/>
  <c r="H11" i="88"/>
  <c r="H95" i="90"/>
  <c r="V11" i="88"/>
  <c r="V95" i="90"/>
  <c r="AA11" i="88"/>
  <c r="AA95" i="90"/>
  <c r="Z10" i="82"/>
  <c r="Z77" i="90"/>
  <c r="H9" i="88"/>
  <c r="H93" i="90"/>
  <c r="H12" i="88"/>
  <c r="H96" i="90"/>
  <c r="W13" i="88"/>
  <c r="W97" i="90"/>
  <c r="G12" i="88"/>
  <c r="G96" i="90"/>
  <c r="F9" i="88"/>
  <c r="F93" i="90"/>
  <c r="AB12" i="88"/>
  <c r="AB96" i="90"/>
  <c r="E9" i="88"/>
  <c r="E93" i="90"/>
  <c r="G9" i="88"/>
  <c r="G93" i="90"/>
  <c r="W12" i="88"/>
  <c r="W96" i="90"/>
  <c r="H13" i="88"/>
  <c r="H97" i="90"/>
  <c r="G13" i="88"/>
  <c r="G97" i="90"/>
  <c r="V13" i="76"/>
  <c r="V30" i="90"/>
  <c r="U13" i="76"/>
  <c r="U30" i="90"/>
  <c r="X13" i="76"/>
  <c r="X30" i="90"/>
  <c r="U10" i="81"/>
  <c r="U44" i="90"/>
  <c r="U12" i="81"/>
  <c r="U46" i="90"/>
  <c r="AA12" i="81"/>
  <c r="AA46" i="90"/>
  <c r="AA10" i="81"/>
  <c r="AA44" i="90"/>
  <c r="Y12" i="81"/>
  <c r="Y46" i="90"/>
  <c r="G30" i="82"/>
  <c r="G63" i="91"/>
  <c r="G30" i="88"/>
  <c r="G77" i="91"/>
  <c r="V10" i="88"/>
  <c r="V94" i="90"/>
  <c r="I11" i="88"/>
  <c r="I95" i="90"/>
  <c r="W11" i="88"/>
  <c r="W95" i="90"/>
  <c r="AB13" i="76"/>
  <c r="AB30" i="90"/>
  <c r="AB12" i="81"/>
  <c r="AB46" i="90"/>
  <c r="AB10" i="81"/>
  <c r="AB44" i="90"/>
  <c r="Z11" i="82"/>
  <c r="Z78" i="90"/>
  <c r="Y13" i="88"/>
  <c r="Y97" i="90"/>
  <c r="I12" i="88"/>
  <c r="I96" i="90"/>
  <c r="AA9" i="88"/>
  <c r="AA93" i="90"/>
  <c r="U9" i="88"/>
  <c r="U93" i="90"/>
  <c r="H13" i="76"/>
  <c r="H30" i="90"/>
  <c r="I7" i="77"/>
  <c r="D30" i="90"/>
  <c r="Z13" i="88"/>
  <c r="Z97" i="90"/>
  <c r="W13" i="76"/>
  <c r="W30" i="90"/>
  <c r="Y12" i="88"/>
  <c r="Y96" i="90"/>
  <c r="G13" i="76"/>
  <c r="G30" i="90"/>
  <c r="N13" i="76"/>
  <c r="N30" i="90"/>
  <c r="AE13" i="76"/>
  <c r="AE30" i="90"/>
  <c r="G12" i="81"/>
  <c r="G46" i="90"/>
  <c r="G10" i="81"/>
  <c r="G44" i="90"/>
  <c r="V10" i="81"/>
  <c r="V44" i="90"/>
  <c r="AE10" i="81"/>
  <c r="AE44" i="90"/>
  <c r="D10" i="81"/>
  <c r="D44" i="90"/>
  <c r="H10" i="81"/>
  <c r="H44" i="90"/>
  <c r="N12" i="81"/>
  <c r="N46" i="90"/>
  <c r="G32" i="81"/>
  <c r="G37" i="91"/>
  <c r="G34" i="82"/>
  <c r="G67" i="91"/>
  <c r="G33" i="82"/>
  <c r="G66" i="91"/>
  <c r="G31" i="76"/>
  <c r="G22" i="91"/>
  <c r="W10" i="88"/>
  <c r="W94" i="90"/>
  <c r="AB11" i="88"/>
  <c r="AB95" i="90"/>
  <c r="X11" i="88"/>
  <c r="X95" i="90"/>
  <c r="Z13" i="76"/>
  <c r="Z30" i="90"/>
  <c r="Z10" i="81"/>
  <c r="Z44" i="90"/>
  <c r="Z12" i="82"/>
  <c r="Z79" i="90"/>
  <c r="Z13" i="82"/>
  <c r="Z80" i="90"/>
  <c r="AA13" i="76"/>
  <c r="AA30" i="90"/>
  <c r="U13" i="88"/>
  <c r="U97" i="90"/>
  <c r="AB13" i="88"/>
  <c r="AB97" i="90"/>
  <c r="Z11" i="88"/>
  <c r="Z95" i="90"/>
  <c r="W9" i="88"/>
  <c r="W93" i="90"/>
  <c r="Z9" i="88"/>
  <c r="Z93" i="90"/>
  <c r="Z10" i="88"/>
  <c r="Z94" i="90"/>
  <c r="I9" i="88"/>
  <c r="I93" i="90"/>
  <c r="V12" i="88"/>
  <c r="V96" i="90"/>
  <c r="I13" i="76"/>
  <c r="I30" i="90"/>
  <c r="U12" i="88"/>
  <c r="U96" i="90"/>
  <c r="AA12" i="88"/>
  <c r="AA96" i="90"/>
  <c r="H12" i="81"/>
  <c r="H46" i="90"/>
  <c r="I12" i="81"/>
  <c r="I46" i="90"/>
  <c r="W12" i="81"/>
  <c r="W46" i="90"/>
  <c r="I10" i="81"/>
  <c r="I44" i="90"/>
  <c r="X10" i="81"/>
  <c r="X44" i="90"/>
  <c r="AE12" i="81"/>
  <c r="AE46" i="90"/>
  <c r="V12" i="81"/>
  <c r="V46" i="90"/>
  <c r="G30" i="81"/>
  <c r="G35" i="91"/>
  <c r="G34" i="88"/>
  <c r="G81" i="91"/>
  <c r="K4" i="77"/>
  <c r="D22" i="91"/>
  <c r="Z12" i="76"/>
  <c r="Z29" i="90"/>
  <c r="Z11" i="76"/>
  <c r="Z28" i="90"/>
  <c r="Z10" i="76"/>
  <c r="Z27" i="90"/>
  <c r="E36" i="81"/>
  <c r="E46" i="81" s="1"/>
  <c r="E41" i="91"/>
  <c r="AD98" i="86"/>
  <c r="AD121" i="90" s="1"/>
  <c r="N121" i="90"/>
  <c r="Y102" i="86"/>
  <c r="Y125" i="90" s="1"/>
  <c r="K125" i="90"/>
  <c r="V102" i="86"/>
  <c r="V125" i="90" s="1"/>
  <c r="G125" i="90"/>
  <c r="U105" i="86"/>
  <c r="D4" i="77"/>
  <c r="J131" i="79"/>
  <c r="J31" i="81"/>
  <c r="D5" i="77"/>
  <c r="D4" i="80"/>
  <c r="H4" i="80" s="1"/>
  <c r="G31" i="81"/>
  <c r="D7" i="80"/>
  <c r="G34" i="81"/>
  <c r="D6" i="77"/>
  <c r="G33" i="76"/>
  <c r="D7" i="77"/>
  <c r="H7" i="77" s="1"/>
  <c r="G34" i="76"/>
  <c r="J145" i="79"/>
  <c r="G33" i="81"/>
  <c r="E36" i="76"/>
  <c r="E45" i="76" s="1"/>
  <c r="M9" i="80"/>
  <c r="N21" i="36" s="1"/>
  <c r="M9" i="77"/>
  <c r="N20" i="36" s="1"/>
  <c r="J131" i="75"/>
  <c r="J131" i="86"/>
  <c r="J83" i="91" s="1"/>
  <c r="J131" i="85"/>
  <c r="H131" i="86"/>
  <c r="H83" i="91" s="1"/>
  <c r="H131" i="85"/>
  <c r="H131" i="75"/>
  <c r="H131" i="79"/>
  <c r="G131" i="75"/>
  <c r="D3" i="77"/>
  <c r="G127" i="85"/>
  <c r="G126" i="85"/>
  <c r="G131" i="86"/>
  <c r="G83" i="91" s="1"/>
  <c r="G131" i="79"/>
  <c r="G7" i="82"/>
  <c r="N22" i="81"/>
  <c r="H27" i="82"/>
  <c r="D12" i="81"/>
  <c r="AG30" i="86"/>
  <c r="AH30" i="86" s="1"/>
  <c r="N3" i="81"/>
  <c r="AD3" i="81" s="1"/>
  <c r="J6" i="80"/>
  <c r="N3" i="82"/>
  <c r="G147" i="86"/>
  <c r="AG69" i="86"/>
  <c r="AH69" i="86" s="1"/>
  <c r="AG68" i="79"/>
  <c r="AH68" i="79" s="1"/>
  <c r="AG70" i="86"/>
  <c r="AH70" i="86" s="1"/>
  <c r="AG68" i="86"/>
  <c r="AH68" i="86" s="1"/>
  <c r="I4" i="80"/>
  <c r="E10" i="81"/>
  <c r="AG69" i="79"/>
  <c r="AH69" i="79" s="1"/>
  <c r="AD98" i="75"/>
  <c r="D32" i="81"/>
  <c r="Y102" i="75"/>
  <c r="D143" i="79"/>
  <c r="AG68" i="75"/>
  <c r="AH68" i="75" s="1"/>
  <c r="J142" i="79"/>
  <c r="AG50" i="79"/>
  <c r="AH50" i="79" s="1"/>
  <c r="I6" i="80"/>
  <c r="F12" i="81"/>
  <c r="J143" i="79"/>
  <c r="AG67" i="75"/>
  <c r="AH67" i="75" s="1"/>
  <c r="E12" i="81"/>
  <c r="V102" i="75"/>
  <c r="F10" i="81"/>
  <c r="M9" i="87"/>
  <c r="J4" i="80"/>
  <c r="AF31" i="85"/>
  <c r="AG31" i="85" s="1"/>
  <c r="AH31" i="85" s="1"/>
  <c r="J146" i="75"/>
  <c r="E45" i="88"/>
  <c r="K3" i="87"/>
  <c r="K9" i="87" s="1"/>
  <c r="D131" i="86"/>
  <c r="D83" i="91" s="1"/>
  <c r="L109" i="86"/>
  <c r="G6" i="87"/>
  <c r="G9" i="87" s="1"/>
  <c r="AD90" i="86"/>
  <c r="G147" i="75"/>
  <c r="AG70" i="75"/>
  <c r="AH70" i="75" s="1"/>
  <c r="Y73" i="75"/>
  <c r="Y73" i="79"/>
  <c r="G147" i="79"/>
  <c r="AD71" i="79"/>
  <c r="AD71" i="85"/>
  <c r="AG67" i="79"/>
  <c r="AH67" i="79" s="1"/>
  <c r="AG69" i="75"/>
  <c r="AH69" i="75" s="1"/>
  <c r="G147" i="85"/>
  <c r="AF32" i="85"/>
  <c r="AG32" i="85" s="1"/>
  <c r="AH32" i="85" s="1"/>
  <c r="AB33" i="85"/>
  <c r="F13" i="76"/>
  <c r="E13" i="76"/>
  <c r="Y35" i="79"/>
  <c r="AD33" i="85"/>
  <c r="E9" i="80"/>
  <c r="F21" i="36" s="1"/>
  <c r="AG29" i="85"/>
  <c r="AH29" i="85" s="1"/>
  <c r="AG32" i="86"/>
  <c r="AH32" i="86" s="1"/>
  <c r="Y35" i="75"/>
  <c r="AG30" i="75"/>
  <c r="AH30" i="75" s="1"/>
  <c r="AG30" i="79"/>
  <c r="AH30" i="79" s="1"/>
  <c r="Y35" i="85"/>
  <c r="AF28" i="86"/>
  <c r="AF33" i="86" s="1"/>
  <c r="K146" i="86"/>
  <c r="E7" i="87"/>
  <c r="F147" i="79"/>
  <c r="K145" i="85"/>
  <c r="K143" i="85"/>
  <c r="AG31" i="86"/>
  <c r="AH31" i="86" s="1"/>
  <c r="K144" i="86"/>
  <c r="E5" i="87"/>
  <c r="K143" i="86"/>
  <c r="E4" i="87"/>
  <c r="AD33" i="79"/>
  <c r="E3" i="87"/>
  <c r="K144" i="85"/>
  <c r="K146" i="85"/>
  <c r="K145" i="86"/>
  <c r="E6" i="87"/>
  <c r="F14" i="86"/>
  <c r="H14" i="86"/>
  <c r="D13" i="76"/>
  <c r="F12" i="88"/>
  <c r="I14" i="86"/>
  <c r="D6" i="80"/>
  <c r="H6" i="80" s="1"/>
  <c r="D5" i="80"/>
  <c r="AG51" i="86"/>
  <c r="AH51" i="86" s="1"/>
  <c r="AF51" i="85"/>
  <c r="AG51" i="85" s="1"/>
  <c r="AH51" i="85" s="1"/>
  <c r="J144" i="79"/>
  <c r="D3" i="80"/>
  <c r="AG50" i="86"/>
  <c r="AH50" i="86" s="1"/>
  <c r="G14" i="86"/>
  <c r="Y54" i="75"/>
  <c r="J7" i="77"/>
  <c r="E14" i="75"/>
  <c r="AG49" i="79"/>
  <c r="AH49" i="79" s="1"/>
  <c r="AG50" i="75"/>
  <c r="AH50" i="75" s="1"/>
  <c r="J142" i="75"/>
  <c r="N106" i="86"/>
  <c r="K11" i="86"/>
  <c r="M11" i="86" s="1"/>
  <c r="O11" i="86" s="1"/>
  <c r="AB52" i="79"/>
  <c r="AG48" i="86"/>
  <c r="AH48" i="86" s="1"/>
  <c r="AB52" i="75"/>
  <c r="J144" i="75"/>
  <c r="H105" i="86"/>
  <c r="Y14" i="86"/>
  <c r="AE14" i="85"/>
  <c r="G105" i="86"/>
  <c r="W14" i="86"/>
  <c r="X14" i="86"/>
  <c r="AF11" i="86"/>
  <c r="N14" i="86"/>
  <c r="AE105" i="86"/>
  <c r="AE94" i="90" s="1"/>
  <c r="D14" i="86"/>
  <c r="V14" i="86"/>
  <c r="AE14" i="86"/>
  <c r="E14" i="86"/>
  <c r="AE106" i="86"/>
  <c r="F105" i="86"/>
  <c r="F94" i="90" s="1"/>
  <c r="N105" i="86"/>
  <c r="AA10" i="86"/>
  <c r="AF10" i="86" s="1"/>
  <c r="AF51" i="79"/>
  <c r="AG51" i="79" s="1"/>
  <c r="AH51" i="79" s="1"/>
  <c r="I105" i="86"/>
  <c r="K10" i="86"/>
  <c r="M10" i="86" s="1"/>
  <c r="O10" i="86" s="1"/>
  <c r="U14" i="86"/>
  <c r="Y106" i="86"/>
  <c r="D106" i="86"/>
  <c r="E14" i="85"/>
  <c r="W14" i="85"/>
  <c r="AG48" i="75"/>
  <c r="AH48" i="75" s="1"/>
  <c r="AF47" i="86"/>
  <c r="AF52" i="86" s="1"/>
  <c r="J145" i="75"/>
  <c r="J3" i="87"/>
  <c r="N9" i="88"/>
  <c r="J143" i="75"/>
  <c r="AD52" i="79"/>
  <c r="AF13" i="85"/>
  <c r="AG13" i="85" s="1"/>
  <c r="AH13" i="85" s="1"/>
  <c r="AB104" i="86"/>
  <c r="D146" i="86"/>
  <c r="N13" i="88"/>
  <c r="J7" i="87"/>
  <c r="E10" i="88"/>
  <c r="AD108" i="86"/>
  <c r="AE13" i="88"/>
  <c r="E11" i="88"/>
  <c r="E12" i="88"/>
  <c r="J145" i="86"/>
  <c r="D6" i="87"/>
  <c r="F14" i="75"/>
  <c r="X14" i="75"/>
  <c r="F14" i="85"/>
  <c r="N14" i="85"/>
  <c r="X14" i="85"/>
  <c r="Y54" i="79"/>
  <c r="F11" i="88"/>
  <c r="I3" i="87"/>
  <c r="D9" i="88"/>
  <c r="J144" i="86"/>
  <c r="D5" i="87"/>
  <c r="F13" i="88"/>
  <c r="D10" i="88"/>
  <c r="I4" i="87"/>
  <c r="AD104" i="86"/>
  <c r="AE9" i="88"/>
  <c r="E13" i="88"/>
  <c r="J146" i="86"/>
  <c r="D7" i="87"/>
  <c r="N12" i="88"/>
  <c r="J6" i="87"/>
  <c r="N14" i="75"/>
  <c r="J146" i="79"/>
  <c r="D12" i="88"/>
  <c r="I6" i="87"/>
  <c r="D13" i="88"/>
  <c r="I7" i="87"/>
  <c r="J143" i="86"/>
  <c r="D4" i="87"/>
  <c r="J146" i="85"/>
  <c r="D7" i="83"/>
  <c r="J142" i="86"/>
  <c r="D3" i="87"/>
  <c r="N8" i="87"/>
  <c r="O8" i="87" s="1"/>
  <c r="P8" i="87" s="1"/>
  <c r="L9" i="87"/>
  <c r="AG88" i="86"/>
  <c r="AH88" i="86" s="1"/>
  <c r="K71" i="86"/>
  <c r="Y73" i="86"/>
  <c r="Y54" i="86"/>
  <c r="Y35" i="86"/>
  <c r="AD14" i="86"/>
  <c r="AG13" i="86"/>
  <c r="AH13" i="86" s="1"/>
  <c r="J109" i="86"/>
  <c r="J98" i="90" s="1"/>
  <c r="AF9" i="86"/>
  <c r="AF90" i="86"/>
  <c r="K90" i="86"/>
  <c r="M85" i="86"/>
  <c r="H147" i="86"/>
  <c r="AB14" i="86"/>
  <c r="D142" i="86"/>
  <c r="K104" i="86"/>
  <c r="K93" i="90" s="1"/>
  <c r="M71" i="86"/>
  <c r="O66" i="86"/>
  <c r="O71" i="86" s="1"/>
  <c r="W109" i="86"/>
  <c r="W98" i="90" s="1"/>
  <c r="F147" i="86"/>
  <c r="Z14" i="86"/>
  <c r="AG49" i="86"/>
  <c r="AH49" i="86" s="1"/>
  <c r="AG87" i="86"/>
  <c r="AH87" i="86" s="1"/>
  <c r="K108" i="86"/>
  <c r="Z107" i="86"/>
  <c r="AF12" i="86"/>
  <c r="AG12" i="86" s="1"/>
  <c r="AH12" i="86" s="1"/>
  <c r="D145" i="86"/>
  <c r="K107" i="86"/>
  <c r="AG67" i="86"/>
  <c r="AH67" i="86" s="1"/>
  <c r="K142" i="86"/>
  <c r="M9" i="86"/>
  <c r="AG29" i="86"/>
  <c r="AH29" i="86" s="1"/>
  <c r="AD107" i="86"/>
  <c r="AG89" i="86"/>
  <c r="AH89" i="86" s="1"/>
  <c r="E109" i="86"/>
  <c r="E98" i="90" s="1"/>
  <c r="M28" i="86"/>
  <c r="K33" i="86"/>
  <c r="X109" i="86"/>
  <c r="X98" i="90" s="1"/>
  <c r="K52" i="86"/>
  <c r="M47" i="86"/>
  <c r="V109" i="86"/>
  <c r="V98" i="90" s="1"/>
  <c r="AG86" i="86"/>
  <c r="AH86" i="86" s="1"/>
  <c r="AF66" i="86"/>
  <c r="AG70" i="85"/>
  <c r="AH70" i="85" s="1"/>
  <c r="AG69" i="85"/>
  <c r="AH69" i="85" s="1"/>
  <c r="AG68" i="85"/>
  <c r="AH68" i="85" s="1"/>
  <c r="AG67" i="85"/>
  <c r="AH67" i="85" s="1"/>
  <c r="Y73" i="85"/>
  <c r="V48" i="22"/>
  <c r="W49" i="22"/>
  <c r="X50" i="22"/>
  <c r="AB12" i="75"/>
  <c r="AG32" i="79"/>
  <c r="AH32" i="79" s="1"/>
  <c r="G14" i="85"/>
  <c r="K10" i="85"/>
  <c r="M10" i="85" s="1"/>
  <c r="O10" i="85" s="1"/>
  <c r="K7" i="80"/>
  <c r="D34" i="81"/>
  <c r="M9" i="83"/>
  <c r="N23" i="36" s="1"/>
  <c r="W48" i="22"/>
  <c r="AB10" i="75"/>
  <c r="AF10" i="85"/>
  <c r="AB49" i="85"/>
  <c r="X49" i="22"/>
  <c r="U50" i="22"/>
  <c r="Y50" i="22"/>
  <c r="AE50" i="22"/>
  <c r="Y14" i="75"/>
  <c r="D14" i="75"/>
  <c r="V14" i="75"/>
  <c r="AD9" i="85"/>
  <c r="U14" i="85"/>
  <c r="H14" i="85"/>
  <c r="AB11" i="85"/>
  <c r="AB9" i="85"/>
  <c r="K3" i="80"/>
  <c r="D30" i="81"/>
  <c r="D131" i="79"/>
  <c r="AB48" i="85"/>
  <c r="U49" i="22"/>
  <c r="Y49" i="22"/>
  <c r="AD49" i="85"/>
  <c r="AE49" i="22"/>
  <c r="V50" i="22"/>
  <c r="W14" i="75"/>
  <c r="AB11" i="75"/>
  <c r="I14" i="75"/>
  <c r="AG70" i="79"/>
  <c r="AH70" i="79" s="1"/>
  <c r="V14" i="85"/>
  <c r="K4" i="80"/>
  <c r="D31" i="81"/>
  <c r="K6" i="80"/>
  <c r="D33" i="81"/>
  <c r="X48" i="22"/>
  <c r="U48" i="22"/>
  <c r="Y48" i="22"/>
  <c r="AD48" i="85"/>
  <c r="AE48" i="22"/>
  <c r="V49" i="22"/>
  <c r="W50" i="22"/>
  <c r="U14" i="75"/>
  <c r="H14" i="75"/>
  <c r="AB9" i="75"/>
  <c r="AE14" i="75"/>
  <c r="G14" i="75"/>
  <c r="I14" i="85"/>
  <c r="AD11" i="85"/>
  <c r="Y14" i="85"/>
  <c r="D14" i="85"/>
  <c r="K11" i="85"/>
  <c r="M11" i="85" s="1"/>
  <c r="O11" i="85" s="1"/>
  <c r="K9" i="85"/>
  <c r="AF28" i="85"/>
  <c r="F147" i="85"/>
  <c r="K71" i="85"/>
  <c r="M66" i="85"/>
  <c r="K33" i="85"/>
  <c r="M28" i="85"/>
  <c r="Z104" i="85"/>
  <c r="Z14" i="85"/>
  <c r="K142" i="85"/>
  <c r="AF66" i="85"/>
  <c r="AF12" i="85"/>
  <c r="AG12" i="85" s="1"/>
  <c r="AH12" i="85" s="1"/>
  <c r="AG30" i="85"/>
  <c r="AH30" i="85" s="1"/>
  <c r="K146" i="79"/>
  <c r="K145" i="79"/>
  <c r="K144" i="79"/>
  <c r="K143" i="79"/>
  <c r="AG29" i="79"/>
  <c r="AH29" i="79" s="1"/>
  <c r="Z12" i="81"/>
  <c r="K52" i="79"/>
  <c r="M47" i="79"/>
  <c r="AB14" i="79"/>
  <c r="K33" i="79"/>
  <c r="M28" i="79"/>
  <c r="Z14" i="79"/>
  <c r="AG48" i="79"/>
  <c r="AH48" i="79" s="1"/>
  <c r="AG88" i="79"/>
  <c r="AH88" i="79" s="1"/>
  <c r="AF66" i="79"/>
  <c r="AF28" i="79"/>
  <c r="Y16" i="79"/>
  <c r="AF47" i="79"/>
  <c r="AG31" i="79"/>
  <c r="AH31" i="79" s="1"/>
  <c r="K71" i="79"/>
  <c r="M66" i="79"/>
  <c r="K142" i="79"/>
  <c r="AG86" i="79"/>
  <c r="AH86" i="79" s="1"/>
  <c r="K33" i="75"/>
  <c r="M28" i="75"/>
  <c r="Z104" i="75"/>
  <c r="Z26" i="90" s="1"/>
  <c r="Z14" i="75"/>
  <c r="K146" i="75"/>
  <c r="K142" i="75"/>
  <c r="M47" i="75"/>
  <c r="K52" i="75"/>
  <c r="K145" i="75"/>
  <c r="K144" i="75"/>
  <c r="K143" i="75"/>
  <c r="AF66" i="75"/>
  <c r="AF47" i="75"/>
  <c r="AG49" i="75"/>
  <c r="AH49" i="75" s="1"/>
  <c r="AG32" i="75"/>
  <c r="AH32" i="75" s="1"/>
  <c r="AG29" i="75"/>
  <c r="AH29" i="75" s="1"/>
  <c r="K71" i="75"/>
  <c r="M66" i="75"/>
  <c r="F147" i="75"/>
  <c r="AF28" i="75"/>
  <c r="AG51" i="75"/>
  <c r="AH51" i="75" s="1"/>
  <c r="AG31" i="75"/>
  <c r="AH31" i="75" s="1"/>
  <c r="K55" i="91" l="1"/>
  <c r="O31" i="36"/>
  <c r="O33" i="36" s="1"/>
  <c r="L145" i="79"/>
  <c r="M145" i="79" s="1"/>
  <c r="K46" i="99"/>
  <c r="L46" i="99"/>
  <c r="J96" i="91"/>
  <c r="J95" i="91"/>
  <c r="J92" i="91"/>
  <c r="J94" i="91"/>
  <c r="J93" i="91"/>
  <c r="H92" i="91"/>
  <c r="L36" i="81"/>
  <c r="K9" i="98"/>
  <c r="L22" i="36" s="1"/>
  <c r="N6" i="98"/>
  <c r="O6" i="98" s="1"/>
  <c r="P6" i="98" s="1"/>
  <c r="K12" i="99"/>
  <c r="M12" i="99" s="1"/>
  <c r="O12" i="99" s="1"/>
  <c r="AG12" i="99" s="1"/>
  <c r="AH12" i="99" s="1"/>
  <c r="N4" i="98"/>
  <c r="O4" i="98" s="1"/>
  <c r="P4" i="98" s="1"/>
  <c r="G36" i="99"/>
  <c r="G46" i="99" s="1"/>
  <c r="D9" i="98"/>
  <c r="E22" i="36" s="1"/>
  <c r="K10" i="99"/>
  <c r="M10" i="99" s="1"/>
  <c r="O10" i="99" s="1"/>
  <c r="F24" i="36"/>
  <c r="N24" i="36"/>
  <c r="J69" i="91"/>
  <c r="N32" i="36"/>
  <c r="J41" i="91"/>
  <c r="N30" i="36"/>
  <c r="J27" i="91"/>
  <c r="N29" i="36"/>
  <c r="H41" i="91"/>
  <c r="L30" i="36"/>
  <c r="H27" i="91"/>
  <c r="L29" i="36"/>
  <c r="H69" i="91"/>
  <c r="L32" i="36"/>
  <c r="G41" i="91"/>
  <c r="K30" i="36"/>
  <c r="G27" i="91"/>
  <c r="K29" i="36"/>
  <c r="D41" i="91"/>
  <c r="I30" i="36"/>
  <c r="F147" i="22"/>
  <c r="J34" i="39"/>
  <c r="J14" i="88"/>
  <c r="J44" i="88" s="1"/>
  <c r="J131" i="22"/>
  <c r="J12" i="91" s="1"/>
  <c r="J30" i="39"/>
  <c r="G147" i="22"/>
  <c r="G127" i="22"/>
  <c r="J144" i="22" s="1"/>
  <c r="J31" i="39"/>
  <c r="H36" i="81"/>
  <c r="J36" i="81"/>
  <c r="J46" i="81" s="1"/>
  <c r="L44" i="88"/>
  <c r="L98" i="90"/>
  <c r="J36" i="76"/>
  <c r="J45" i="76" s="1"/>
  <c r="H36" i="76"/>
  <c r="V14" i="88"/>
  <c r="W14" i="88"/>
  <c r="X14" i="88"/>
  <c r="AD12" i="88"/>
  <c r="AD96" i="90"/>
  <c r="D11" i="88"/>
  <c r="K11" i="88" s="1"/>
  <c r="M11" i="88" s="1"/>
  <c r="D95" i="90"/>
  <c r="I10" i="88"/>
  <c r="I14" i="88" s="1"/>
  <c r="I94" i="90"/>
  <c r="G10" i="88"/>
  <c r="G14" i="88" s="1"/>
  <c r="G94" i="90"/>
  <c r="M107" i="86"/>
  <c r="K96" i="90"/>
  <c r="M108" i="86"/>
  <c r="K97" i="90"/>
  <c r="K9" i="88"/>
  <c r="M9" i="88" s="1"/>
  <c r="O9" i="88" s="1"/>
  <c r="AB9" i="88"/>
  <c r="AB14" i="88" s="1"/>
  <c r="AB93" i="90"/>
  <c r="Y11" i="88"/>
  <c r="Y14" i="88" s="1"/>
  <c r="Y95" i="90"/>
  <c r="AE11" i="88"/>
  <c r="AE95" i="90"/>
  <c r="N11" i="88"/>
  <c r="N95" i="90"/>
  <c r="AD9" i="88"/>
  <c r="AD93" i="90"/>
  <c r="AD13" i="88"/>
  <c r="AF13" i="88" s="1"/>
  <c r="AD97" i="90"/>
  <c r="J4" i="87"/>
  <c r="N4" i="87" s="1"/>
  <c r="N94" i="90"/>
  <c r="H10" i="88"/>
  <c r="H14" i="88" s="1"/>
  <c r="H94" i="90"/>
  <c r="G31" i="82"/>
  <c r="G64" i="91"/>
  <c r="Z9" i="82"/>
  <c r="Z76" i="90"/>
  <c r="Z12" i="88"/>
  <c r="Z14" i="88" s="1"/>
  <c r="Z96" i="90"/>
  <c r="G32" i="82"/>
  <c r="G65" i="91"/>
  <c r="U10" i="88"/>
  <c r="U14" i="88" s="1"/>
  <c r="U94" i="90"/>
  <c r="U109" i="86"/>
  <c r="U98" i="90" s="1"/>
  <c r="G36" i="81"/>
  <c r="G36" i="76"/>
  <c r="D9" i="77"/>
  <c r="E20" i="36" s="1"/>
  <c r="J36" i="88"/>
  <c r="J45" i="88" s="1"/>
  <c r="J36" i="82"/>
  <c r="G131" i="85"/>
  <c r="L143" i="79"/>
  <c r="M143" i="79" s="1"/>
  <c r="N6" i="80"/>
  <c r="O6" i="80" s="1"/>
  <c r="P6" i="80" s="1"/>
  <c r="N4" i="80"/>
  <c r="O4" i="80" s="1"/>
  <c r="P4" i="80" s="1"/>
  <c r="H7" i="87"/>
  <c r="L146" i="86"/>
  <c r="M146" i="86" s="1"/>
  <c r="D45" i="88"/>
  <c r="K147" i="86"/>
  <c r="H5" i="87"/>
  <c r="H3" i="87"/>
  <c r="K147" i="79"/>
  <c r="H109" i="86"/>
  <c r="H6" i="87"/>
  <c r="E9" i="87"/>
  <c r="K147" i="85"/>
  <c r="Z109" i="86"/>
  <c r="Z98" i="90" s="1"/>
  <c r="J147" i="79"/>
  <c r="D9" i="80"/>
  <c r="E21" i="36" s="1"/>
  <c r="AF9" i="85"/>
  <c r="AG11" i="86"/>
  <c r="AH11" i="86" s="1"/>
  <c r="AF11" i="85"/>
  <c r="AD106" i="86"/>
  <c r="K106" i="86"/>
  <c r="D144" i="86"/>
  <c r="L144" i="86" s="1"/>
  <c r="M144" i="86" s="1"/>
  <c r="J5" i="87"/>
  <c r="J147" i="75"/>
  <c r="K14" i="85"/>
  <c r="I5" i="87"/>
  <c r="I9" i="87" s="1"/>
  <c r="AE109" i="86"/>
  <c r="AE98" i="90" s="1"/>
  <c r="D109" i="86"/>
  <c r="D98" i="90" s="1"/>
  <c r="D143" i="86"/>
  <c r="L143" i="86" s="1"/>
  <c r="M143" i="86" s="1"/>
  <c r="G109" i="86"/>
  <c r="F10" i="88"/>
  <c r="F14" i="88" s="1"/>
  <c r="N10" i="88"/>
  <c r="N109" i="86"/>
  <c r="N98" i="90" s="1"/>
  <c r="F109" i="86"/>
  <c r="F98" i="90" s="1"/>
  <c r="K14" i="86"/>
  <c r="AG10" i="86"/>
  <c r="AH10" i="86" s="1"/>
  <c r="Y16" i="86"/>
  <c r="I109" i="86"/>
  <c r="K105" i="86"/>
  <c r="AE10" i="88"/>
  <c r="AG10" i="85"/>
  <c r="AH10" i="85" s="1"/>
  <c r="AD105" i="86"/>
  <c r="Y16" i="85"/>
  <c r="Y109" i="86"/>
  <c r="Y98" i="90" s="1"/>
  <c r="N6" i="87"/>
  <c r="AA14" i="86"/>
  <c r="AA105" i="86"/>
  <c r="AA94" i="90" s="1"/>
  <c r="AB14" i="85"/>
  <c r="AF104" i="86"/>
  <c r="AF93" i="90" s="1"/>
  <c r="J147" i="86"/>
  <c r="N3" i="87"/>
  <c r="AD14" i="85"/>
  <c r="AB14" i="75"/>
  <c r="L145" i="86"/>
  <c r="M145" i="86" s="1"/>
  <c r="K12" i="88"/>
  <c r="M12" i="88" s="1"/>
  <c r="O12" i="88" s="1"/>
  <c r="Y16" i="75"/>
  <c r="AF108" i="86"/>
  <c r="AB109" i="86"/>
  <c r="AB98" i="90" s="1"/>
  <c r="M9" i="85"/>
  <c r="M14" i="85" s="1"/>
  <c r="D9" i="87"/>
  <c r="H4" i="87"/>
  <c r="N7" i="87"/>
  <c r="E14" i="88"/>
  <c r="E44" i="88" s="1"/>
  <c r="K13" i="88"/>
  <c r="M13" i="88" s="1"/>
  <c r="O13" i="88" s="1"/>
  <c r="M104" i="86"/>
  <c r="M93" i="90" s="1"/>
  <c r="L142" i="86"/>
  <c r="M142" i="86" s="1"/>
  <c r="AF71" i="86"/>
  <c r="AG66" i="86"/>
  <c r="AH66" i="86" s="1"/>
  <c r="AF107" i="86"/>
  <c r="M90" i="86"/>
  <c r="O85" i="86"/>
  <c r="M52" i="86"/>
  <c r="O47" i="86"/>
  <c r="O28" i="86"/>
  <c r="M33" i="86"/>
  <c r="AF14" i="86"/>
  <c r="O9" i="86"/>
  <c r="M14" i="86"/>
  <c r="AA52" i="85"/>
  <c r="X47" i="22"/>
  <c r="K9" i="80"/>
  <c r="L21" i="36" s="1"/>
  <c r="AA14" i="85"/>
  <c r="AA14" i="75"/>
  <c r="V47" i="22"/>
  <c r="U47" i="22"/>
  <c r="Y47" i="22"/>
  <c r="K49" i="85"/>
  <c r="M49" i="85" s="1"/>
  <c r="O49" i="85" s="1"/>
  <c r="K50" i="85"/>
  <c r="M50" i="85" s="1"/>
  <c r="O50" i="85" s="1"/>
  <c r="AB50" i="85"/>
  <c r="AE47" i="22"/>
  <c r="AF48" i="85"/>
  <c r="W47" i="22"/>
  <c r="AF49" i="85"/>
  <c r="D36" i="81"/>
  <c r="D46" i="81" s="1"/>
  <c r="AD50" i="85"/>
  <c r="K48" i="85"/>
  <c r="M48" i="85" s="1"/>
  <c r="O48" i="85" s="1"/>
  <c r="M33" i="85"/>
  <c r="O28" i="85"/>
  <c r="O33" i="85" s="1"/>
  <c r="M71" i="85"/>
  <c r="O66" i="85"/>
  <c r="O71" i="85" s="1"/>
  <c r="AF71" i="85"/>
  <c r="Z109" i="85"/>
  <c r="Z81" i="90" s="1"/>
  <c r="AF33" i="85"/>
  <c r="M71" i="79"/>
  <c r="O66" i="79"/>
  <c r="O71" i="79" s="1"/>
  <c r="AF52" i="79"/>
  <c r="AF71" i="79"/>
  <c r="M52" i="79"/>
  <c r="O47" i="79"/>
  <c r="O52" i="79" s="1"/>
  <c r="AF33" i="79"/>
  <c r="M33" i="79"/>
  <c r="O28" i="79"/>
  <c r="O33" i="79" s="1"/>
  <c r="AF71" i="75"/>
  <c r="Z9" i="76"/>
  <c r="Z109" i="75"/>
  <c r="Z31" i="90" s="1"/>
  <c r="AF33" i="75"/>
  <c r="O66" i="75"/>
  <c r="O71" i="75" s="1"/>
  <c r="M71" i="75"/>
  <c r="AF52" i="75"/>
  <c r="O47" i="75"/>
  <c r="O52" i="75" s="1"/>
  <c r="M52" i="75"/>
  <c r="M33" i="75"/>
  <c r="O28" i="75"/>
  <c r="O33" i="75" s="1"/>
  <c r="K147" i="75"/>
  <c r="J98" i="91" l="1"/>
  <c r="N33" i="36"/>
  <c r="L33" i="36"/>
  <c r="G69" i="91"/>
  <c r="K32" i="36"/>
  <c r="K33" i="36" s="1"/>
  <c r="AG66" i="79"/>
  <c r="AH66" i="79" s="1"/>
  <c r="J36" i="39"/>
  <c r="G7" i="91"/>
  <c r="G93" i="91" s="1"/>
  <c r="Y16" i="88"/>
  <c r="AE14" i="88"/>
  <c r="AG13" i="88"/>
  <c r="AH13" i="88" s="1"/>
  <c r="AF9" i="88"/>
  <c r="AG9" i="88" s="1"/>
  <c r="AH9" i="88" s="1"/>
  <c r="N14" i="88"/>
  <c r="N44" i="88" s="1"/>
  <c r="O11" i="88"/>
  <c r="J9" i="87"/>
  <c r="D14" i="88"/>
  <c r="D44" i="88" s="1"/>
  <c r="AF12" i="88"/>
  <c r="AG12" i="88" s="1"/>
  <c r="AH12" i="88" s="1"/>
  <c r="M106" i="86"/>
  <c r="K95" i="90"/>
  <c r="AF96" i="90"/>
  <c r="AF97" i="90"/>
  <c r="AD11" i="88"/>
  <c r="AF11" i="88" s="1"/>
  <c r="AD95" i="90"/>
  <c r="M105" i="86"/>
  <c r="K94" i="90"/>
  <c r="H44" i="88"/>
  <c r="H98" i="90"/>
  <c r="O108" i="86"/>
  <c r="O97" i="90" s="1"/>
  <c r="M97" i="90"/>
  <c r="AD10" i="88"/>
  <c r="AD94" i="90"/>
  <c r="I44" i="88"/>
  <c r="I98" i="90"/>
  <c r="G44" i="88"/>
  <c r="G98" i="90"/>
  <c r="O107" i="86"/>
  <c r="O96" i="90" s="1"/>
  <c r="M96" i="90"/>
  <c r="Y111" i="86"/>
  <c r="D4" i="36"/>
  <c r="G31" i="39"/>
  <c r="O7" i="87"/>
  <c r="P7" i="87" s="1"/>
  <c r="F44" i="88"/>
  <c r="O3" i="87"/>
  <c r="P3" i="87" s="1"/>
  <c r="H9" i="87"/>
  <c r="AG28" i="85"/>
  <c r="AH28" i="85" s="1"/>
  <c r="O6" i="87"/>
  <c r="P6" i="87" s="1"/>
  <c r="AF106" i="86"/>
  <c r="AF14" i="85"/>
  <c r="AG11" i="85"/>
  <c r="AH11" i="85" s="1"/>
  <c r="D147" i="86"/>
  <c r="N5" i="87"/>
  <c r="O5" i="87" s="1"/>
  <c r="P5" i="87" s="1"/>
  <c r="O9" i="85"/>
  <c r="O14" i="85" s="1"/>
  <c r="AD109" i="86"/>
  <c r="AD98" i="90" s="1"/>
  <c r="AF50" i="85"/>
  <c r="AG50" i="85" s="1"/>
  <c r="AH50" i="85" s="1"/>
  <c r="K10" i="88"/>
  <c r="M10" i="88" s="1"/>
  <c r="O10" i="88" s="1"/>
  <c r="K109" i="86"/>
  <c r="K98" i="90" s="1"/>
  <c r="AF105" i="86"/>
  <c r="AA10" i="88"/>
  <c r="AA14" i="88" s="1"/>
  <c r="AA109" i="86"/>
  <c r="AA98" i="90" s="1"/>
  <c r="J143" i="85"/>
  <c r="D4" i="83"/>
  <c r="O4" i="87"/>
  <c r="P4" i="87" s="1"/>
  <c r="J144" i="85"/>
  <c r="D5" i="83"/>
  <c r="J145" i="85"/>
  <c r="D6" i="83"/>
  <c r="O14" i="86"/>
  <c r="AG9" i="86"/>
  <c r="AH9" i="86" s="1"/>
  <c r="O52" i="86"/>
  <c r="AG47" i="86"/>
  <c r="AH47" i="86" s="1"/>
  <c r="O104" i="86"/>
  <c r="O93" i="90" s="1"/>
  <c r="AG71" i="86"/>
  <c r="AH71" i="86" s="1"/>
  <c r="L147" i="86"/>
  <c r="M147" i="86" s="1"/>
  <c r="O90" i="86"/>
  <c r="AG85" i="86"/>
  <c r="AH85" i="86" s="1"/>
  <c r="O33" i="86"/>
  <c r="AG28" i="86"/>
  <c r="AH28" i="86" s="1"/>
  <c r="AG49" i="85"/>
  <c r="AH49" i="85" s="1"/>
  <c r="AG48" i="85"/>
  <c r="AH48" i="85" s="1"/>
  <c r="N52" i="85"/>
  <c r="AB47" i="85"/>
  <c r="W52" i="85"/>
  <c r="X52" i="85"/>
  <c r="F52" i="85"/>
  <c r="AE52" i="85"/>
  <c r="AD47" i="85"/>
  <c r="AD52" i="85" s="1"/>
  <c r="U52" i="85"/>
  <c r="D52" i="85"/>
  <c r="K47" i="85"/>
  <c r="V52" i="85"/>
  <c r="AG66" i="85"/>
  <c r="AH66" i="85" s="1"/>
  <c r="Y52" i="85"/>
  <c r="G52" i="85"/>
  <c r="I52" i="85"/>
  <c r="H52" i="85"/>
  <c r="E52" i="85"/>
  <c r="AG28" i="79"/>
  <c r="AH28" i="79" s="1"/>
  <c r="AG47" i="79"/>
  <c r="AH47" i="79" s="1"/>
  <c r="AG47" i="75"/>
  <c r="AH47" i="75" s="1"/>
  <c r="Z14" i="76"/>
  <c r="AG28" i="75"/>
  <c r="AH28" i="75" s="1"/>
  <c r="AG66" i="75"/>
  <c r="AH66" i="75" s="1"/>
  <c r="G32" i="69"/>
  <c r="G31" i="69"/>
  <c r="G30" i="69"/>
  <c r="G29" i="69"/>
  <c r="G48" i="69" s="1"/>
  <c r="G28" i="69"/>
  <c r="AG71" i="85" l="1"/>
  <c r="AH71" i="85" s="1"/>
  <c r="AG33" i="85"/>
  <c r="AH33" i="85" s="1"/>
  <c r="AG52" i="75"/>
  <c r="AH52" i="75" s="1"/>
  <c r="O14" i="88"/>
  <c r="AD14" i="88"/>
  <c r="AG11" i="88"/>
  <c r="AH11" i="88" s="1"/>
  <c r="M109" i="86"/>
  <c r="M98" i="90" s="1"/>
  <c r="AG107" i="86"/>
  <c r="AH107" i="86" s="1"/>
  <c r="AF94" i="90"/>
  <c r="AF95" i="90"/>
  <c r="O105" i="86"/>
  <c r="O94" i="90" s="1"/>
  <c r="M94" i="90"/>
  <c r="AG108" i="86"/>
  <c r="AH108" i="86" s="1"/>
  <c r="O106" i="86"/>
  <c r="O95" i="90" s="1"/>
  <c r="M95" i="90"/>
  <c r="AG71" i="79"/>
  <c r="AH71" i="79" s="1"/>
  <c r="G33" i="69"/>
  <c r="AG9" i="85"/>
  <c r="AH9" i="85" s="1"/>
  <c r="G50" i="69"/>
  <c r="G88" i="75" s="1"/>
  <c r="G51" i="69"/>
  <c r="G14" i="69"/>
  <c r="G47" i="69"/>
  <c r="G49" i="69"/>
  <c r="G106" i="97" s="1"/>
  <c r="G86" i="75"/>
  <c r="G86" i="22"/>
  <c r="M14" i="88"/>
  <c r="AF109" i="86"/>
  <c r="AF98" i="90" s="1"/>
  <c r="N9" i="87"/>
  <c r="K14" i="88"/>
  <c r="K44" i="88" s="1"/>
  <c r="AF10" i="88"/>
  <c r="AF14" i="88" s="1"/>
  <c r="D3" i="83"/>
  <c r="O9" i="87"/>
  <c r="P9" i="87" s="1"/>
  <c r="AG14" i="86"/>
  <c r="AH14" i="86" s="1"/>
  <c r="AG104" i="86"/>
  <c r="AH104" i="86" s="1"/>
  <c r="AG90" i="86"/>
  <c r="AH90" i="86" s="1"/>
  <c r="AG52" i="86"/>
  <c r="AH52" i="86" s="1"/>
  <c r="AG33" i="86"/>
  <c r="AH33" i="86" s="1"/>
  <c r="AF47" i="85"/>
  <c r="AF52" i="85" s="1"/>
  <c r="J142" i="85"/>
  <c r="M47" i="85"/>
  <c r="K52" i="85"/>
  <c r="AB52" i="85"/>
  <c r="Y54" i="85"/>
  <c r="AG52" i="79"/>
  <c r="AH52" i="79" s="1"/>
  <c r="AG33" i="79"/>
  <c r="AH33" i="79" s="1"/>
  <c r="AG33" i="75"/>
  <c r="AH33" i="75" s="1"/>
  <c r="AG71" i="75"/>
  <c r="AH71" i="75" s="1"/>
  <c r="G14" i="22"/>
  <c r="G11" i="99" l="1"/>
  <c r="G62" i="90"/>
  <c r="G89" i="79"/>
  <c r="G89" i="97"/>
  <c r="G108" i="97" s="1"/>
  <c r="G85" i="79"/>
  <c r="G104" i="79" s="1"/>
  <c r="G43" i="90" s="1"/>
  <c r="AG93" i="90"/>
  <c r="AG14" i="85"/>
  <c r="AH14" i="85" s="1"/>
  <c r="G87" i="22"/>
  <c r="G87" i="79"/>
  <c r="G106" i="79" s="1"/>
  <c r="O109" i="86"/>
  <c r="O44" i="88" s="1"/>
  <c r="M44" i="88"/>
  <c r="AG106" i="86"/>
  <c r="AH106" i="86" s="1"/>
  <c r="AG97" i="90"/>
  <c r="AG105" i="86"/>
  <c r="AH105" i="86" s="1"/>
  <c r="AG96" i="90"/>
  <c r="J147" i="85"/>
  <c r="G88" i="22"/>
  <c r="G52" i="69"/>
  <c r="G89" i="22"/>
  <c r="G85" i="22"/>
  <c r="AG10" i="88"/>
  <c r="O47" i="85"/>
  <c r="M52" i="85"/>
  <c r="J45" i="82"/>
  <c r="G71" i="22"/>
  <c r="G33" i="22"/>
  <c r="L129" i="22"/>
  <c r="L10" i="91" s="1"/>
  <c r="L96" i="91" s="1"/>
  <c r="L128" i="22"/>
  <c r="L9" i="91" s="1"/>
  <c r="L95" i="91" s="1"/>
  <c r="L127" i="22"/>
  <c r="L8" i="91" s="1"/>
  <c r="L94" i="91" s="1"/>
  <c r="L126" i="22"/>
  <c r="L7" i="91" s="1"/>
  <c r="L93" i="91" s="1"/>
  <c r="L125" i="22"/>
  <c r="K128" i="22"/>
  <c r="K9" i="91" s="1"/>
  <c r="K95" i="91" s="1"/>
  <c r="K127" i="22"/>
  <c r="K8" i="91" s="1"/>
  <c r="K94" i="91" s="1"/>
  <c r="K126" i="22"/>
  <c r="K7" i="91" s="1"/>
  <c r="K93" i="91" s="1"/>
  <c r="K125" i="22"/>
  <c r="K129" i="22"/>
  <c r="K10" i="91" s="1"/>
  <c r="K96" i="91" s="1"/>
  <c r="I27" i="56"/>
  <c r="M27" i="70"/>
  <c r="G64" i="90" l="1"/>
  <c r="G13" i="99"/>
  <c r="G9" i="81"/>
  <c r="G90" i="97"/>
  <c r="G104" i="97"/>
  <c r="AG14" i="88"/>
  <c r="AH14" i="88" s="1"/>
  <c r="AH10" i="88"/>
  <c r="G11" i="81"/>
  <c r="G45" i="90"/>
  <c r="O98" i="90"/>
  <c r="L30" i="39"/>
  <c r="L6" i="91"/>
  <c r="L92" i="91" s="1"/>
  <c r="K30" i="39"/>
  <c r="K6" i="91"/>
  <c r="K92" i="91" s="1"/>
  <c r="AG109" i="86"/>
  <c r="AH109" i="86" s="1"/>
  <c r="AG94" i="90"/>
  <c r="AG95" i="90"/>
  <c r="K32" i="39"/>
  <c r="L32" i="39"/>
  <c r="K31" i="39"/>
  <c r="L31" i="39"/>
  <c r="K33" i="39"/>
  <c r="L33" i="39"/>
  <c r="L34" i="39"/>
  <c r="L45" i="76"/>
  <c r="K34" i="39"/>
  <c r="K36" i="88"/>
  <c r="K45" i="88" s="1"/>
  <c r="K46" i="81"/>
  <c r="L131" i="22"/>
  <c r="O52" i="85"/>
  <c r="AG47" i="85"/>
  <c r="AH47" i="85" s="1"/>
  <c r="N37" i="70"/>
  <c r="G60" i="90" l="1"/>
  <c r="G9" i="99"/>
  <c r="G109" i="97"/>
  <c r="G65" i="90" s="1"/>
  <c r="L12" i="91"/>
  <c r="L98" i="91" s="1"/>
  <c r="P4" i="70"/>
  <c r="AG98" i="90"/>
  <c r="K36" i="39"/>
  <c r="L36" i="39"/>
  <c r="L45" i="39" s="1"/>
  <c r="K45" i="76"/>
  <c r="L46" i="81"/>
  <c r="K36" i="82"/>
  <c r="K45" i="82" s="1"/>
  <c r="L36" i="88"/>
  <c r="L45" i="88" s="1"/>
  <c r="L36" i="82"/>
  <c r="L45" i="82" s="1"/>
  <c r="AG52" i="85"/>
  <c r="AH52" i="85" s="1"/>
  <c r="C17" i="56" l="1"/>
  <c r="C18" i="56" s="1"/>
  <c r="N8" i="83" l="1"/>
  <c r="O8" i="83" s="1"/>
  <c r="P8" i="83" s="1"/>
  <c r="L9" i="83"/>
  <c r="M23" i="36" s="1"/>
  <c r="M24" i="36" s="1"/>
  <c r="F29" i="70"/>
  <c r="F6" i="70" s="1"/>
  <c r="E29" i="70"/>
  <c r="E6" i="70" s="1"/>
  <c r="D29" i="70"/>
  <c r="D6" i="70" s="1"/>
  <c r="C29" i="70"/>
  <c r="C6" i="70" s="1"/>
  <c r="N28" i="70"/>
  <c r="R27" i="56" s="1"/>
  <c r="M28" i="70"/>
  <c r="R18" i="56" s="1"/>
  <c r="N27" i="70"/>
  <c r="F27" i="56"/>
  <c r="F18" i="56"/>
  <c r="N12" i="70"/>
  <c r="N13" i="70" s="1"/>
  <c r="O26" i="56" l="1"/>
  <c r="O27" i="56" s="1"/>
  <c r="O17" i="56"/>
  <c r="O18" i="56" s="1"/>
  <c r="N21" i="70"/>
  <c r="N29" i="70"/>
  <c r="M29" i="70"/>
  <c r="M6" i="70" s="1"/>
  <c r="C26" i="56"/>
  <c r="C27" i="56" s="1"/>
  <c r="K131" i="22"/>
  <c r="N6" i="70" l="1"/>
  <c r="K45" i="39"/>
  <c r="K12" i="91"/>
  <c r="K98" i="91" s="1"/>
  <c r="J45" i="39"/>
  <c r="AA31" i="69"/>
  <c r="AA50" i="69" s="1"/>
  <c r="Y31" i="69"/>
  <c r="X31" i="69"/>
  <c r="W31" i="69"/>
  <c r="V31" i="69"/>
  <c r="U31" i="69"/>
  <c r="N31" i="69"/>
  <c r="AA88" i="22" l="1"/>
  <c r="AA107" i="22" s="1"/>
  <c r="F6" i="39"/>
  <c r="AA30" i="69" l="1"/>
  <c r="Y30" i="69"/>
  <c r="X30" i="69"/>
  <c r="W30" i="69"/>
  <c r="V30" i="69"/>
  <c r="AD31" i="69" l="1"/>
  <c r="AA48" i="69" l="1"/>
  <c r="AA86" i="22" l="1"/>
  <c r="AA105" i="22" s="1"/>
  <c r="D30" i="76"/>
  <c r="K66" i="22" l="1"/>
  <c r="M7" i="36"/>
  <c r="K70" i="22"/>
  <c r="G129" i="22"/>
  <c r="G8" i="91"/>
  <c r="G94" i="91" s="1"/>
  <c r="G128" i="22"/>
  <c r="AD47" i="22"/>
  <c r="G10" i="91" l="1"/>
  <c r="G96" i="91" s="1"/>
  <c r="J146" i="22"/>
  <c r="G9" i="91"/>
  <c r="G95" i="91" s="1"/>
  <c r="J145" i="22"/>
  <c r="G33" i="39"/>
  <c r="G34" i="39"/>
  <c r="G32" i="39"/>
  <c r="J142" i="22"/>
  <c r="J147" i="22" l="1"/>
  <c r="G30" i="39"/>
  <c r="G36" i="39" s="1"/>
  <c r="G6" i="91"/>
  <c r="G92" i="91" s="1"/>
  <c r="G46" i="81"/>
  <c r="G36" i="88"/>
  <c r="G45" i="88" s="1"/>
  <c r="G45" i="76"/>
  <c r="G36" i="82"/>
  <c r="G45" i="82" s="1"/>
  <c r="D9" i="83" l="1"/>
  <c r="E23" i="36" s="1"/>
  <c r="E24" i="36" s="1"/>
  <c r="F9" i="36" l="1"/>
  <c r="G25" i="36" s="1"/>
  <c r="J51" i="69" l="1"/>
  <c r="J50" i="69"/>
  <c r="J49" i="69"/>
  <c r="J48" i="69"/>
  <c r="J85" i="79"/>
  <c r="N51" i="69"/>
  <c r="N48" i="69"/>
  <c r="E28" i="69"/>
  <c r="AA49" i="69"/>
  <c r="AD32" i="69"/>
  <c r="AC32" i="69" s="1"/>
  <c r="U51" i="69"/>
  <c r="U89" i="97" s="1"/>
  <c r="I32" i="69"/>
  <c r="H32" i="69"/>
  <c r="F32" i="69"/>
  <c r="E32" i="69"/>
  <c r="D32" i="69"/>
  <c r="AC31" i="69"/>
  <c r="U50" i="69"/>
  <c r="D31" i="69"/>
  <c r="I31" i="69"/>
  <c r="H31" i="69"/>
  <c r="F31" i="69"/>
  <c r="E31" i="69"/>
  <c r="AC30" i="69"/>
  <c r="X49" i="69"/>
  <c r="I30" i="69"/>
  <c r="H30" i="69"/>
  <c r="F30" i="69"/>
  <c r="E30" i="69"/>
  <c r="AD29" i="69"/>
  <c r="AC29" i="69" s="1"/>
  <c r="W48" i="69"/>
  <c r="I29" i="69"/>
  <c r="H29" i="69"/>
  <c r="F29" i="69"/>
  <c r="E29" i="69"/>
  <c r="D29" i="69"/>
  <c r="AD28" i="69"/>
  <c r="AC28" i="69" s="1"/>
  <c r="I28" i="69"/>
  <c r="H28" i="69"/>
  <c r="L52" i="69"/>
  <c r="Z51" i="69"/>
  <c r="Z50" i="69"/>
  <c r="Z49" i="69"/>
  <c r="Z48" i="69"/>
  <c r="Z47" i="69"/>
  <c r="X45" i="69"/>
  <c r="U45" i="69"/>
  <c r="K45" i="69"/>
  <c r="Y45" i="69" s="1"/>
  <c r="H45" i="69"/>
  <c r="V45" i="69" s="1"/>
  <c r="D45" i="69"/>
  <c r="D44" i="69"/>
  <c r="N41" i="69"/>
  <c r="AC41" i="69" s="1"/>
  <c r="L33" i="69"/>
  <c r="J33" i="69"/>
  <c r="Z32" i="69"/>
  <c r="Z31" i="69"/>
  <c r="Z30" i="69"/>
  <c r="Z29" i="69"/>
  <c r="Z28" i="69"/>
  <c r="X26" i="69"/>
  <c r="U26" i="69"/>
  <c r="K26" i="69"/>
  <c r="Y26" i="69" s="1"/>
  <c r="H26" i="69"/>
  <c r="V26" i="69" s="1"/>
  <c r="D26" i="69"/>
  <c r="D25" i="69"/>
  <c r="N22" i="69"/>
  <c r="AC22" i="69" s="1"/>
  <c r="Y7" i="69"/>
  <c r="X7" i="69"/>
  <c r="V7" i="69"/>
  <c r="U7" i="69"/>
  <c r="AC3" i="69"/>
  <c r="AA87" i="97" l="1"/>
  <c r="AA87" i="22"/>
  <c r="AA106" i="22" s="1"/>
  <c r="Z89" i="79"/>
  <c r="Z108" i="79" s="1"/>
  <c r="Z89" i="97"/>
  <c r="Z108" i="97" s="1"/>
  <c r="Z85" i="79"/>
  <c r="Z104" i="79" s="1"/>
  <c r="Z9" i="81" s="1"/>
  <c r="Z85" i="97"/>
  <c r="J87" i="79"/>
  <c r="J87" i="97"/>
  <c r="Z87" i="79"/>
  <c r="Z106" i="79" s="1"/>
  <c r="Z45" i="90" s="1"/>
  <c r="Z87" i="97"/>
  <c r="Z106" i="97" s="1"/>
  <c r="J89" i="79"/>
  <c r="J89" i="97"/>
  <c r="J108" i="97" s="1"/>
  <c r="U108" i="97"/>
  <c r="N89" i="79"/>
  <c r="N89" i="97"/>
  <c r="N108" i="97" s="1"/>
  <c r="X87" i="79"/>
  <c r="X106" i="79" s="1"/>
  <c r="X11" i="81" s="1"/>
  <c r="X106" i="97"/>
  <c r="AA87" i="79"/>
  <c r="AA106" i="79" s="1"/>
  <c r="AC106" i="79"/>
  <c r="K29" i="69"/>
  <c r="M29" i="69" s="1"/>
  <c r="O29" i="69" s="1"/>
  <c r="K32" i="69"/>
  <c r="K31" i="69"/>
  <c r="M31" i="69" s="1"/>
  <c r="O31" i="69" s="1"/>
  <c r="N86" i="22"/>
  <c r="N86" i="75"/>
  <c r="J86" i="22"/>
  <c r="J86" i="75"/>
  <c r="W86" i="22"/>
  <c r="W105" i="85"/>
  <c r="W86" i="75"/>
  <c r="W105" i="75" s="1"/>
  <c r="U89" i="22"/>
  <c r="U89" i="79"/>
  <c r="AA106" i="85"/>
  <c r="AA106" i="75"/>
  <c r="N89" i="22"/>
  <c r="J87" i="22"/>
  <c r="U88" i="22"/>
  <c r="U88" i="75"/>
  <c r="AA107" i="85"/>
  <c r="AA88" i="75"/>
  <c r="AA107" i="75" s="1"/>
  <c r="AA108" i="85"/>
  <c r="J88" i="22"/>
  <c r="J88" i="75"/>
  <c r="X87" i="22"/>
  <c r="X106" i="85"/>
  <c r="X106" i="75"/>
  <c r="J85" i="22"/>
  <c r="J85" i="75"/>
  <c r="J89" i="22"/>
  <c r="AE32" i="69"/>
  <c r="E49" i="69"/>
  <c r="E106" i="97" s="1"/>
  <c r="D30" i="69"/>
  <c r="K30" i="69" s="1"/>
  <c r="M30" i="69" s="1"/>
  <c r="AE29" i="69"/>
  <c r="AB30" i="69"/>
  <c r="Y47" i="69"/>
  <c r="E50" i="69"/>
  <c r="E88" i="22" s="1"/>
  <c r="E47" i="69"/>
  <c r="AB28" i="69"/>
  <c r="D28" i="69"/>
  <c r="V51" i="69"/>
  <c r="V89" i="97" s="1"/>
  <c r="V108" i="97" s="1"/>
  <c r="H51" i="69"/>
  <c r="W51" i="69"/>
  <c r="W89" i="97" s="1"/>
  <c r="W108" i="97" s="1"/>
  <c r="E51" i="69"/>
  <c r="Y51" i="69"/>
  <c r="Y89" i="97" s="1"/>
  <c r="Y108" i="97" s="1"/>
  <c r="AD51" i="69"/>
  <c r="AE89" i="97" s="1"/>
  <c r="AE108" i="97" s="1"/>
  <c r="I51" i="69"/>
  <c r="X51" i="69"/>
  <c r="X89" i="97" s="1"/>
  <c r="X108" i="97" s="1"/>
  <c r="D51" i="69"/>
  <c r="W50" i="69"/>
  <c r="X50" i="69"/>
  <c r="V50" i="69"/>
  <c r="F50" i="69"/>
  <c r="AD50" i="69"/>
  <c r="I50" i="69"/>
  <c r="Y50" i="69"/>
  <c r="D50" i="69"/>
  <c r="D88" i="22" s="1"/>
  <c r="U49" i="69"/>
  <c r="H49" i="69"/>
  <c r="W49" i="69"/>
  <c r="Y49" i="69"/>
  <c r="F49" i="69"/>
  <c r="AD49" i="69"/>
  <c r="V49" i="69"/>
  <c r="H48" i="69"/>
  <c r="U48" i="69"/>
  <c r="Y33" i="69"/>
  <c r="I48" i="69"/>
  <c r="F48" i="69"/>
  <c r="F33" i="69"/>
  <c r="D48" i="69"/>
  <c r="V48" i="69"/>
  <c r="AD48" i="69"/>
  <c r="V47" i="69"/>
  <c r="I47" i="69"/>
  <c r="X47" i="69"/>
  <c r="U47" i="69"/>
  <c r="H47" i="69"/>
  <c r="W47" i="69"/>
  <c r="AA47" i="69"/>
  <c r="AD47" i="69"/>
  <c r="V33" i="69"/>
  <c r="H50" i="69"/>
  <c r="F51" i="69"/>
  <c r="F89" i="97" s="1"/>
  <c r="I49" i="69"/>
  <c r="E48" i="69"/>
  <c r="E86" i="22" s="1"/>
  <c r="X48" i="69"/>
  <c r="Y48" i="69"/>
  <c r="F14" i="69"/>
  <c r="H33" i="69"/>
  <c r="J52" i="69"/>
  <c r="E33" i="69"/>
  <c r="I33" i="69"/>
  <c r="F47" i="69"/>
  <c r="U33" i="69"/>
  <c r="AD33" i="69"/>
  <c r="AA33" i="69"/>
  <c r="W33" i="69"/>
  <c r="AC33" i="69"/>
  <c r="Z33" i="69"/>
  <c r="V14" i="69"/>
  <c r="AC47" i="69"/>
  <c r="AC49" i="69"/>
  <c r="J14" i="69"/>
  <c r="Z14" i="69"/>
  <c r="X33" i="69"/>
  <c r="I14" i="69"/>
  <c r="AD14" i="69"/>
  <c r="W14" i="69"/>
  <c r="AC50" i="69"/>
  <c r="E14" i="69"/>
  <c r="N14" i="69"/>
  <c r="Z52" i="69"/>
  <c r="X14" i="69"/>
  <c r="H14" i="69"/>
  <c r="L14" i="69"/>
  <c r="U14" i="69"/>
  <c r="AA90" i="97" l="1"/>
  <c r="AA106" i="97"/>
  <c r="Z11" i="81"/>
  <c r="AA85" i="79"/>
  <c r="AA52" i="69"/>
  <c r="AA85" i="22"/>
  <c r="AA104" i="22" s="1"/>
  <c r="AA109" i="22" s="1"/>
  <c r="J21" i="94" s="1"/>
  <c r="Z62" i="90"/>
  <c r="Z11" i="99"/>
  <c r="J90" i="97"/>
  <c r="J106" i="97"/>
  <c r="Z90" i="97"/>
  <c r="Z104" i="97"/>
  <c r="Z64" i="90"/>
  <c r="Z13" i="99"/>
  <c r="Z90" i="79"/>
  <c r="Z43" i="90"/>
  <c r="J64" i="90"/>
  <c r="J13" i="99"/>
  <c r="J19" i="94"/>
  <c r="J27" i="94" s="1"/>
  <c r="X45" i="90"/>
  <c r="E62" i="90"/>
  <c r="E11" i="99"/>
  <c r="AD87" i="79"/>
  <c r="V87" i="79"/>
  <c r="V106" i="79" s="1"/>
  <c r="V11" i="81" s="1"/>
  <c r="V106" i="97"/>
  <c r="AE87" i="79"/>
  <c r="AE106" i="79" s="1"/>
  <c r="AE11" i="81" s="1"/>
  <c r="AE106" i="97"/>
  <c r="F87" i="79"/>
  <c r="F106" i="79" s="1"/>
  <c r="F106" i="97"/>
  <c r="I87" i="79"/>
  <c r="I106" i="79" s="1"/>
  <c r="I11" i="81" s="1"/>
  <c r="I106" i="97"/>
  <c r="Y87" i="79"/>
  <c r="Y106" i="79" s="1"/>
  <c r="Y45" i="90" s="1"/>
  <c r="Y106" i="97"/>
  <c r="D89" i="22"/>
  <c r="H146" i="22" s="1"/>
  <c r="D89" i="97"/>
  <c r="X62" i="90"/>
  <c r="X11" i="99"/>
  <c r="F108" i="97"/>
  <c r="W87" i="79"/>
  <c r="W106" i="79" s="1"/>
  <c r="W45" i="90" s="1"/>
  <c r="W106" i="97"/>
  <c r="X13" i="99"/>
  <c r="X64" i="90"/>
  <c r="H87" i="79"/>
  <c r="H106" i="79" s="1"/>
  <c r="H11" i="81" s="1"/>
  <c r="H106" i="97"/>
  <c r="I89" i="79"/>
  <c r="I108" i="79" s="1"/>
  <c r="I89" i="97"/>
  <c r="I108" i="97" s="1"/>
  <c r="J7" i="98"/>
  <c r="N64" i="90"/>
  <c r="N13" i="99"/>
  <c r="Y64" i="90"/>
  <c r="Y13" i="99"/>
  <c r="U87" i="79"/>
  <c r="U106" i="79" s="1"/>
  <c r="U64" i="90"/>
  <c r="U13" i="99"/>
  <c r="W13" i="99"/>
  <c r="W64" i="90"/>
  <c r="H89" i="79"/>
  <c r="H89" i="97"/>
  <c r="H108" i="97" s="1"/>
  <c r="AD108" i="97"/>
  <c r="AE64" i="90"/>
  <c r="AE13" i="99"/>
  <c r="E89" i="22"/>
  <c r="E89" i="97"/>
  <c r="E108" i="97" s="1"/>
  <c r="V64" i="90"/>
  <c r="V13" i="99"/>
  <c r="AE85" i="79"/>
  <c r="AC90" i="97"/>
  <c r="AC104" i="97"/>
  <c r="W85" i="79"/>
  <c r="W104" i="79" s="1"/>
  <c r="W9" i="81" s="1"/>
  <c r="AD85" i="79"/>
  <c r="H85" i="79"/>
  <c r="H104" i="79" s="1"/>
  <c r="H43" i="90" s="1"/>
  <c r="F85" i="79"/>
  <c r="F104" i="79" s="1"/>
  <c r="F43" i="90" s="1"/>
  <c r="U85" i="79"/>
  <c r="U104" i="79" s="1"/>
  <c r="X85" i="79"/>
  <c r="X104" i="79" s="1"/>
  <c r="X9" i="81" s="1"/>
  <c r="Y85" i="79"/>
  <c r="Y104" i="79" s="1"/>
  <c r="Y9" i="81" s="1"/>
  <c r="I85" i="79"/>
  <c r="I104" i="79" s="1"/>
  <c r="I9" i="81" s="1"/>
  <c r="V85" i="79"/>
  <c r="V104" i="79" s="1"/>
  <c r="V9" i="81" s="1"/>
  <c r="E85" i="79"/>
  <c r="E104" i="79" s="1"/>
  <c r="E9" i="81" s="1"/>
  <c r="AA11" i="81"/>
  <c r="Z47" i="90"/>
  <c r="M32" i="69"/>
  <c r="O32" i="69" s="1"/>
  <c r="AF32" i="69" s="1"/>
  <c r="AG32" i="69" s="1"/>
  <c r="K28" i="69"/>
  <c r="M28" i="69" s="1"/>
  <c r="AE30" i="69"/>
  <c r="AB49" i="69"/>
  <c r="AB87" i="97" s="1"/>
  <c r="AB106" i="97" s="1"/>
  <c r="AE28" i="69"/>
  <c r="AB47" i="69"/>
  <c r="AB85" i="97" s="1"/>
  <c r="D86" i="22"/>
  <c r="H143" i="22" s="1"/>
  <c r="K48" i="69"/>
  <c r="M48" i="69" s="1"/>
  <c r="O48" i="69" s="1"/>
  <c r="AA45" i="90"/>
  <c r="AC11" i="39"/>
  <c r="AC11" i="90"/>
  <c r="AC11" i="81"/>
  <c r="AC45" i="90"/>
  <c r="E87" i="79"/>
  <c r="E106" i="79" s="1"/>
  <c r="E87" i="22"/>
  <c r="AA12" i="82"/>
  <c r="AA79" i="90"/>
  <c r="AA11" i="82"/>
  <c r="AA78" i="90"/>
  <c r="AA13" i="82"/>
  <c r="AA80" i="90"/>
  <c r="X11" i="82"/>
  <c r="X78" i="90"/>
  <c r="W10" i="82"/>
  <c r="W77" i="90"/>
  <c r="AA12" i="76"/>
  <c r="AA29" i="90"/>
  <c r="X11" i="76"/>
  <c r="X28" i="90"/>
  <c r="AA11" i="76"/>
  <c r="AA28" i="90"/>
  <c r="W10" i="76"/>
  <c r="W27" i="90"/>
  <c r="D47" i="69"/>
  <c r="K50" i="69"/>
  <c r="M50" i="69" s="1"/>
  <c r="K51" i="69"/>
  <c r="H87" i="22"/>
  <c r="G106" i="85"/>
  <c r="H106" i="85"/>
  <c r="H106" i="75"/>
  <c r="G106" i="75"/>
  <c r="G106" i="22"/>
  <c r="G25" i="93" s="1"/>
  <c r="G34" i="93" s="1"/>
  <c r="I89" i="22"/>
  <c r="I108" i="85"/>
  <c r="Z13" i="81"/>
  <c r="Z109" i="79"/>
  <c r="Z48" i="90" s="1"/>
  <c r="U107" i="85"/>
  <c r="Y86" i="22"/>
  <c r="Y105" i="85"/>
  <c r="Y86" i="75"/>
  <c r="Y105" i="75" s="1"/>
  <c r="F89" i="22"/>
  <c r="F108" i="85"/>
  <c r="F80" i="90" s="1"/>
  <c r="F89" i="79"/>
  <c r="X85" i="22"/>
  <c r="V86" i="22"/>
  <c r="V105" i="85"/>
  <c r="V86" i="75"/>
  <c r="V105" i="75" s="1"/>
  <c r="AA105" i="85"/>
  <c r="AA86" i="75"/>
  <c r="AA105" i="75" s="1"/>
  <c r="H86" i="22"/>
  <c r="G105" i="85"/>
  <c r="H105" i="85"/>
  <c r="G105" i="75"/>
  <c r="H86" i="75"/>
  <c r="H105" i="75" s="1"/>
  <c r="G105" i="22"/>
  <c r="G24" i="93" s="1"/>
  <c r="G33" i="93" s="1"/>
  <c r="Y87" i="22"/>
  <c r="Y106" i="85"/>
  <c r="Y106" i="75"/>
  <c r="D88" i="75"/>
  <c r="F88" i="22"/>
  <c r="F107" i="85"/>
  <c r="F79" i="90" s="1"/>
  <c r="F88" i="75"/>
  <c r="F107" i="75" s="1"/>
  <c r="F29" i="90" s="1"/>
  <c r="D89" i="79"/>
  <c r="I129" i="79" s="1"/>
  <c r="Y89" i="22"/>
  <c r="Y108" i="85"/>
  <c r="Y89" i="79"/>
  <c r="V89" i="22"/>
  <c r="V108" i="85"/>
  <c r="V89" i="79"/>
  <c r="E85" i="22"/>
  <c r="J90" i="75"/>
  <c r="U108" i="79"/>
  <c r="I88" i="22"/>
  <c r="I107" i="85"/>
  <c r="I88" i="75"/>
  <c r="I107" i="75" s="1"/>
  <c r="X86" i="22"/>
  <c r="X105" i="85"/>
  <c r="X86" i="75"/>
  <c r="X105" i="75" s="1"/>
  <c r="H88" i="22"/>
  <c r="H107" i="85"/>
  <c r="G107" i="85"/>
  <c r="H88" i="75"/>
  <c r="H107" i="75" s="1"/>
  <c r="G107" i="75"/>
  <c r="G107" i="22"/>
  <c r="G26" i="93" s="1"/>
  <c r="G35" i="93" s="1"/>
  <c r="W85" i="22"/>
  <c r="I85" i="22"/>
  <c r="D86" i="75"/>
  <c r="I126" i="75" s="1"/>
  <c r="I86" i="22"/>
  <c r="I105" i="85"/>
  <c r="I86" i="75"/>
  <c r="I105" i="75" s="1"/>
  <c r="V87" i="22"/>
  <c r="V106" i="85"/>
  <c r="V106" i="75"/>
  <c r="W87" i="22"/>
  <c r="W106" i="85"/>
  <c r="W106" i="75"/>
  <c r="Y88" i="22"/>
  <c r="Y107" i="85"/>
  <c r="Y88" i="75"/>
  <c r="Y107" i="75" s="1"/>
  <c r="V88" i="22"/>
  <c r="V107" i="85"/>
  <c r="V88" i="75"/>
  <c r="V107" i="75" s="1"/>
  <c r="X89" i="22"/>
  <c r="X108" i="85"/>
  <c r="X89" i="79"/>
  <c r="E108" i="85"/>
  <c r="E80" i="90" s="1"/>
  <c r="E89" i="79"/>
  <c r="E107" i="85"/>
  <c r="E79" i="90" s="1"/>
  <c r="E88" i="75"/>
  <c r="E107" i="75" s="1"/>
  <c r="E29" i="90" s="1"/>
  <c r="J104" i="85"/>
  <c r="J90" i="85"/>
  <c r="J107" i="85"/>
  <c r="U107" i="75"/>
  <c r="U29" i="90" s="1"/>
  <c r="J106" i="85"/>
  <c r="U108" i="85"/>
  <c r="AB86" i="75"/>
  <c r="AB105" i="75" s="1"/>
  <c r="N105" i="75"/>
  <c r="N27" i="90" s="1"/>
  <c r="H85" i="22"/>
  <c r="E105" i="22"/>
  <c r="E24" i="93" s="1"/>
  <c r="E33" i="93" s="1"/>
  <c r="E105" i="85"/>
  <c r="E77" i="90" s="1"/>
  <c r="E86" i="75"/>
  <c r="E105" i="75" s="1"/>
  <c r="E27" i="90" s="1"/>
  <c r="AE87" i="22"/>
  <c r="AE106" i="85"/>
  <c r="AE106" i="75"/>
  <c r="X88" i="22"/>
  <c r="X107" i="85"/>
  <c r="X88" i="75"/>
  <c r="X107" i="75" s="1"/>
  <c r="W89" i="22"/>
  <c r="W108" i="85"/>
  <c r="W89" i="79"/>
  <c r="Y85" i="22"/>
  <c r="J108" i="85"/>
  <c r="AB105" i="85"/>
  <c r="N105" i="85"/>
  <c r="N77" i="90" s="1"/>
  <c r="I87" i="22"/>
  <c r="I106" i="85"/>
  <c r="I106" i="75"/>
  <c r="AE85" i="22"/>
  <c r="AD85" i="75"/>
  <c r="U85" i="22"/>
  <c r="AE86" i="22"/>
  <c r="AE105" i="85"/>
  <c r="AE86" i="75"/>
  <c r="AE105" i="75" s="1"/>
  <c r="F86" i="22"/>
  <c r="F105" i="85"/>
  <c r="F77" i="90" s="1"/>
  <c r="F86" i="75"/>
  <c r="F105" i="75" s="1"/>
  <c r="F27" i="90" s="1"/>
  <c r="U86" i="22"/>
  <c r="U86" i="75"/>
  <c r="F87" i="22"/>
  <c r="F106" i="85"/>
  <c r="F78" i="90" s="1"/>
  <c r="F106" i="75"/>
  <c r="F28" i="90" s="1"/>
  <c r="U87" i="22"/>
  <c r="AE88" i="22"/>
  <c r="AE107" i="85"/>
  <c r="AE88" i="75"/>
  <c r="AE107" i="75" s="1"/>
  <c r="W88" i="22"/>
  <c r="W107" i="85"/>
  <c r="W88" i="75"/>
  <c r="W107" i="75" s="1"/>
  <c r="AE89" i="22"/>
  <c r="AE108" i="85"/>
  <c r="AE89" i="79"/>
  <c r="H89" i="22"/>
  <c r="G108" i="85"/>
  <c r="H108" i="85"/>
  <c r="G108" i="22"/>
  <c r="G27" i="93" s="1"/>
  <c r="G36" i="93" s="1"/>
  <c r="E106" i="85"/>
  <c r="E78" i="90" s="1"/>
  <c r="E106" i="75"/>
  <c r="E28" i="90" s="1"/>
  <c r="AA108" i="79"/>
  <c r="AB108" i="85"/>
  <c r="N108" i="85"/>
  <c r="N80" i="90" s="1"/>
  <c r="J105" i="85"/>
  <c r="AB51" i="69"/>
  <c r="D33" i="69"/>
  <c r="D49" i="69"/>
  <c r="O30" i="69"/>
  <c r="N49" i="69"/>
  <c r="N87" i="97" s="1"/>
  <c r="N106" i="97" s="1"/>
  <c r="AD52" i="69"/>
  <c r="AB31" i="69"/>
  <c r="AE31" i="69" s="1"/>
  <c r="N50" i="69"/>
  <c r="Y14" i="69"/>
  <c r="Y16" i="69" s="1"/>
  <c r="N33" i="69"/>
  <c r="N47" i="69"/>
  <c r="W52" i="69"/>
  <c r="V52" i="69"/>
  <c r="V85" i="22"/>
  <c r="U52" i="69"/>
  <c r="H52" i="69"/>
  <c r="Y52" i="69"/>
  <c r="I52" i="69"/>
  <c r="X52" i="69"/>
  <c r="E52" i="69"/>
  <c r="F52" i="69"/>
  <c r="F85" i="22"/>
  <c r="AF13" i="69"/>
  <c r="AG13" i="69" s="1"/>
  <c r="AC51" i="69"/>
  <c r="AF10" i="69"/>
  <c r="AG10" i="69" s="1"/>
  <c r="AC48" i="69"/>
  <c r="Y35" i="69"/>
  <c r="AF29" i="69"/>
  <c r="AG29" i="69" s="1"/>
  <c r="AF12" i="69"/>
  <c r="AG12" i="69" s="1"/>
  <c r="AF11" i="69"/>
  <c r="AG11" i="69" s="1"/>
  <c r="AC14" i="69"/>
  <c r="AB14" i="69"/>
  <c r="AA104" i="79" l="1"/>
  <c r="AA90" i="79"/>
  <c r="J29" i="94"/>
  <c r="AA11" i="99"/>
  <c r="AA109" i="97"/>
  <c r="AA65" i="90" s="1"/>
  <c r="AA62" i="90"/>
  <c r="Z14" i="81"/>
  <c r="Y11" i="81"/>
  <c r="Z109" i="97"/>
  <c r="Z65" i="90" s="1"/>
  <c r="Z9" i="99"/>
  <c r="Z14" i="99" s="1"/>
  <c r="Z60" i="90"/>
  <c r="J62" i="90"/>
  <c r="J11" i="99"/>
  <c r="J14" i="99" s="1"/>
  <c r="J109" i="97"/>
  <c r="J65" i="90" s="1"/>
  <c r="AE104" i="79"/>
  <c r="AE43" i="90" s="1"/>
  <c r="H9" i="81"/>
  <c r="H45" i="90"/>
  <c r="AE33" i="69"/>
  <c r="V43" i="90"/>
  <c r="K89" i="97"/>
  <c r="M89" i="97" s="1"/>
  <c r="O89" i="97" s="1"/>
  <c r="I43" i="90"/>
  <c r="W43" i="90"/>
  <c r="Y43" i="90"/>
  <c r="W11" i="81"/>
  <c r="U90" i="79"/>
  <c r="V45" i="90"/>
  <c r="AD89" i="79"/>
  <c r="AD90" i="79" s="1"/>
  <c r="AD89" i="97"/>
  <c r="AD90" i="97" s="1"/>
  <c r="F9" i="81"/>
  <c r="X43" i="90"/>
  <c r="I62" i="90"/>
  <c r="I11" i="99"/>
  <c r="AF87" i="97"/>
  <c r="U106" i="97"/>
  <c r="W11" i="99"/>
  <c r="W62" i="90"/>
  <c r="F62" i="90"/>
  <c r="F11" i="99"/>
  <c r="AB89" i="79"/>
  <c r="AB108" i="79" s="1"/>
  <c r="AB89" i="97"/>
  <c r="AB90" i="97" s="1"/>
  <c r="AB62" i="90"/>
  <c r="AB11" i="99"/>
  <c r="E64" i="90"/>
  <c r="E13" i="99"/>
  <c r="AE45" i="90"/>
  <c r="F64" i="90"/>
  <c r="F13" i="99"/>
  <c r="AD106" i="97"/>
  <c r="AE62" i="90"/>
  <c r="AE11" i="99"/>
  <c r="H64" i="90"/>
  <c r="H13" i="99"/>
  <c r="V62" i="90"/>
  <c r="V11" i="99"/>
  <c r="AD64" i="90"/>
  <c r="AD13" i="99"/>
  <c r="I45" i="90"/>
  <c r="I13" i="99"/>
  <c r="I64" i="90"/>
  <c r="H146" i="97"/>
  <c r="G7" i="98" s="1"/>
  <c r="H7" i="98" s="1"/>
  <c r="I129" i="97"/>
  <c r="D108" i="97"/>
  <c r="N62" i="90"/>
  <c r="J5" i="98"/>
  <c r="N11" i="99"/>
  <c r="H11" i="99"/>
  <c r="H62" i="90"/>
  <c r="Y11" i="99"/>
  <c r="Y62" i="90"/>
  <c r="I90" i="79"/>
  <c r="D87" i="22"/>
  <c r="K87" i="22" s="1"/>
  <c r="F90" i="97"/>
  <c r="F104" i="97"/>
  <c r="AB104" i="97"/>
  <c r="E90" i="97"/>
  <c r="E104" i="97"/>
  <c r="V90" i="97"/>
  <c r="V104" i="97"/>
  <c r="H90" i="97"/>
  <c r="H104" i="97"/>
  <c r="I90" i="97"/>
  <c r="I104" i="97"/>
  <c r="N85" i="79"/>
  <c r="N104" i="79" s="1"/>
  <c r="N85" i="97"/>
  <c r="AF85" i="97"/>
  <c r="Y90" i="97"/>
  <c r="Y104" i="97"/>
  <c r="W90" i="97"/>
  <c r="W104" i="97"/>
  <c r="X90" i="97"/>
  <c r="X104" i="97"/>
  <c r="AC60" i="90"/>
  <c r="AC9" i="99"/>
  <c r="AC109" i="97"/>
  <c r="AC65" i="90" s="1"/>
  <c r="E43" i="90"/>
  <c r="D85" i="22"/>
  <c r="U90" i="97"/>
  <c r="U104" i="97"/>
  <c r="AE90" i="97"/>
  <c r="AE104" i="97"/>
  <c r="AC112" i="90"/>
  <c r="E45" i="90"/>
  <c r="I47" i="90"/>
  <c r="AA47" i="90"/>
  <c r="U47" i="90"/>
  <c r="AF30" i="69"/>
  <c r="AG30" i="69" s="1"/>
  <c r="J16" i="94"/>
  <c r="J24" i="94" s="1"/>
  <c r="AC90" i="22"/>
  <c r="AC104" i="79"/>
  <c r="AC90" i="79"/>
  <c r="G13" i="90"/>
  <c r="G12" i="90"/>
  <c r="G11" i="90"/>
  <c r="E10" i="90"/>
  <c r="E111" i="90" s="1"/>
  <c r="G10" i="90"/>
  <c r="E11" i="81"/>
  <c r="AE49" i="69"/>
  <c r="AB87" i="79"/>
  <c r="F45" i="90"/>
  <c r="F11" i="81"/>
  <c r="O87" i="75"/>
  <c r="N87" i="79"/>
  <c r="N106" i="79" s="1"/>
  <c r="U11" i="81"/>
  <c r="U45" i="90"/>
  <c r="K49" i="69"/>
  <c r="M49" i="69" s="1"/>
  <c r="O49" i="69" s="1"/>
  <c r="D87" i="79"/>
  <c r="J10" i="82"/>
  <c r="J77" i="90"/>
  <c r="J13" i="82"/>
  <c r="J80" i="90"/>
  <c r="J11" i="82"/>
  <c r="J78" i="90"/>
  <c r="J9" i="82"/>
  <c r="J76" i="90"/>
  <c r="J12" i="82"/>
  <c r="J79" i="90"/>
  <c r="AE12" i="82"/>
  <c r="AE79" i="90"/>
  <c r="AE11" i="82"/>
  <c r="AE78" i="90"/>
  <c r="U13" i="82"/>
  <c r="U80" i="90"/>
  <c r="W11" i="82"/>
  <c r="W78" i="90"/>
  <c r="H12" i="82"/>
  <c r="H79" i="90"/>
  <c r="Y13" i="82"/>
  <c r="Y80" i="90"/>
  <c r="G10" i="82"/>
  <c r="G77" i="90"/>
  <c r="U12" i="82"/>
  <c r="U79" i="90"/>
  <c r="H11" i="82"/>
  <c r="H78" i="90"/>
  <c r="V13" i="82"/>
  <c r="V80" i="90"/>
  <c r="G11" i="82"/>
  <c r="G78" i="90"/>
  <c r="Y12" i="82"/>
  <c r="Y79" i="90"/>
  <c r="H13" i="82"/>
  <c r="H80" i="90"/>
  <c r="AB10" i="82"/>
  <c r="AB77" i="90"/>
  <c r="W13" i="82"/>
  <c r="W80" i="90"/>
  <c r="V12" i="82"/>
  <c r="V79" i="90"/>
  <c r="I10" i="82"/>
  <c r="I77" i="90"/>
  <c r="I12" i="82"/>
  <c r="I79" i="90"/>
  <c r="Y11" i="82"/>
  <c r="Y78" i="90"/>
  <c r="V10" i="82"/>
  <c r="V77" i="90"/>
  <c r="Y10" i="82"/>
  <c r="Y77" i="90"/>
  <c r="W12" i="82"/>
  <c r="W79" i="90"/>
  <c r="AE10" i="82"/>
  <c r="AE77" i="90"/>
  <c r="X12" i="82"/>
  <c r="X79" i="90"/>
  <c r="AE13" i="82"/>
  <c r="AE80" i="90"/>
  <c r="AB13" i="82"/>
  <c r="AB80" i="90"/>
  <c r="G13" i="82"/>
  <c r="G80" i="90"/>
  <c r="I11" i="82"/>
  <c r="I78" i="90"/>
  <c r="X13" i="82"/>
  <c r="X80" i="90"/>
  <c r="V11" i="82"/>
  <c r="V78" i="90"/>
  <c r="G12" i="82"/>
  <c r="G79" i="90"/>
  <c r="X10" i="82"/>
  <c r="X77" i="90"/>
  <c r="H10" i="82"/>
  <c r="H77" i="90"/>
  <c r="AA10" i="82"/>
  <c r="AA77" i="90"/>
  <c r="I13" i="82"/>
  <c r="I80" i="90"/>
  <c r="I34" i="81"/>
  <c r="I39" i="91"/>
  <c r="W12" i="76"/>
  <c r="W29" i="90"/>
  <c r="X12" i="76"/>
  <c r="X29" i="90"/>
  <c r="H12" i="76"/>
  <c r="H29" i="90"/>
  <c r="AE12" i="76"/>
  <c r="AE29" i="90"/>
  <c r="Y12" i="76"/>
  <c r="Y29" i="90"/>
  <c r="V12" i="76"/>
  <c r="V29" i="90"/>
  <c r="G12" i="76"/>
  <c r="G29" i="90"/>
  <c r="I12" i="76"/>
  <c r="I29" i="90"/>
  <c r="Y11" i="76"/>
  <c r="Y28" i="90"/>
  <c r="I11" i="76"/>
  <c r="I28" i="90"/>
  <c r="V11" i="76"/>
  <c r="V28" i="90"/>
  <c r="G11" i="76"/>
  <c r="G28" i="90"/>
  <c r="AE11" i="76"/>
  <c r="AE28" i="90"/>
  <c r="W11" i="76"/>
  <c r="W28" i="90"/>
  <c r="H11" i="76"/>
  <c r="H28" i="90"/>
  <c r="AB10" i="76"/>
  <c r="AB27" i="90"/>
  <c r="I31" i="76"/>
  <c r="I22" i="91"/>
  <c r="I10" i="76"/>
  <c r="I27" i="90"/>
  <c r="H10" i="76"/>
  <c r="H27" i="90"/>
  <c r="V10" i="76"/>
  <c r="V27" i="90"/>
  <c r="Y10" i="76"/>
  <c r="Y27" i="90"/>
  <c r="AE10" i="76"/>
  <c r="AE27" i="90"/>
  <c r="X10" i="76"/>
  <c r="X27" i="90"/>
  <c r="G10" i="76"/>
  <c r="G27" i="90"/>
  <c r="AA10" i="76"/>
  <c r="AA27" i="90"/>
  <c r="U9" i="81"/>
  <c r="U43" i="90"/>
  <c r="G4" i="36"/>
  <c r="D105" i="22"/>
  <c r="AE47" i="69"/>
  <c r="AB85" i="79"/>
  <c r="AB104" i="79" s="1"/>
  <c r="K47" i="69"/>
  <c r="M47" i="69" s="1"/>
  <c r="O47" i="69" s="1"/>
  <c r="D85" i="79"/>
  <c r="I126" i="22"/>
  <c r="I7" i="91" s="1"/>
  <c r="I129" i="22"/>
  <c r="I10" i="91" s="1"/>
  <c r="K86" i="22"/>
  <c r="K89" i="22"/>
  <c r="K88" i="22"/>
  <c r="AE90" i="22"/>
  <c r="N13" i="82"/>
  <c r="J7" i="83"/>
  <c r="F11" i="82"/>
  <c r="E10" i="82"/>
  <c r="E13" i="82"/>
  <c r="E12" i="82"/>
  <c r="E11" i="82"/>
  <c r="F12" i="82"/>
  <c r="F13" i="82"/>
  <c r="F10" i="82"/>
  <c r="J4" i="83"/>
  <c r="N10" i="82"/>
  <c r="AD107" i="85"/>
  <c r="AD106" i="85"/>
  <c r="AD105" i="85"/>
  <c r="AA13" i="81"/>
  <c r="U106" i="85"/>
  <c r="Y90" i="85"/>
  <c r="Y104" i="85"/>
  <c r="Y76" i="90" s="1"/>
  <c r="E11" i="76"/>
  <c r="G90" i="79"/>
  <c r="G108" i="79"/>
  <c r="AE90" i="79"/>
  <c r="AE108" i="79"/>
  <c r="F11" i="76"/>
  <c r="U105" i="85"/>
  <c r="U90" i="75"/>
  <c r="U104" i="75"/>
  <c r="U26" i="90" s="1"/>
  <c r="AE90" i="85"/>
  <c r="AE104" i="85"/>
  <c r="W90" i="79"/>
  <c r="W108" i="79"/>
  <c r="G104" i="22"/>
  <c r="G23" i="93" s="1"/>
  <c r="G32" i="93" s="1"/>
  <c r="G90" i="22"/>
  <c r="G90" i="85"/>
  <c r="G104" i="85"/>
  <c r="G76" i="90" s="1"/>
  <c r="U12" i="76"/>
  <c r="E90" i="79"/>
  <c r="E108" i="79"/>
  <c r="I90" i="75"/>
  <c r="I104" i="75"/>
  <c r="I26" i="90" s="1"/>
  <c r="W90" i="85"/>
  <c r="W104" i="85"/>
  <c r="V90" i="85"/>
  <c r="V104" i="85"/>
  <c r="AD87" i="75"/>
  <c r="E90" i="75"/>
  <c r="E104" i="75"/>
  <c r="E26" i="90" s="1"/>
  <c r="F12" i="76"/>
  <c r="K88" i="85"/>
  <c r="M88" i="85" s="1"/>
  <c r="D107" i="85"/>
  <c r="D79" i="90" s="1"/>
  <c r="AA90" i="75"/>
  <c r="AA104" i="75"/>
  <c r="AA26" i="90" s="1"/>
  <c r="G11" i="39"/>
  <c r="N85" i="22"/>
  <c r="U106" i="75"/>
  <c r="U28" i="90" s="1"/>
  <c r="U90" i="85"/>
  <c r="U104" i="85"/>
  <c r="Y90" i="75"/>
  <c r="Y104" i="75"/>
  <c r="Y26" i="90" s="1"/>
  <c r="E10" i="76"/>
  <c r="H90" i="75"/>
  <c r="H104" i="75"/>
  <c r="H26" i="90" s="1"/>
  <c r="AF89" i="85"/>
  <c r="J109" i="85"/>
  <c r="J81" i="90" s="1"/>
  <c r="E12" i="76"/>
  <c r="K86" i="75"/>
  <c r="M86" i="75" s="1"/>
  <c r="O86" i="75" s="1"/>
  <c r="H143" i="75"/>
  <c r="G4" i="77" s="1"/>
  <c r="H4" i="77" s="1"/>
  <c r="D105" i="75"/>
  <c r="D27" i="90" s="1"/>
  <c r="I90" i="85"/>
  <c r="I104" i="85"/>
  <c r="I76" i="90" s="1"/>
  <c r="AD88" i="75"/>
  <c r="E90" i="85"/>
  <c r="E104" i="85"/>
  <c r="D108" i="79"/>
  <c r="G10" i="39"/>
  <c r="X90" i="75"/>
  <c r="X104" i="75"/>
  <c r="X26" i="90" s="1"/>
  <c r="AA90" i="85"/>
  <c r="AA104" i="85"/>
  <c r="AA76" i="90" s="1"/>
  <c r="H90" i="79"/>
  <c r="H108" i="79"/>
  <c r="G90" i="75"/>
  <c r="G104" i="75"/>
  <c r="G26" i="90" s="1"/>
  <c r="H143" i="85"/>
  <c r="G4" i="83" s="1"/>
  <c r="H4" i="83" s="1"/>
  <c r="K86" i="85"/>
  <c r="M86" i="85" s="1"/>
  <c r="O86" i="85" s="1"/>
  <c r="D105" i="85"/>
  <c r="D77" i="90" s="1"/>
  <c r="G12" i="39"/>
  <c r="U13" i="81"/>
  <c r="U109" i="79"/>
  <c r="U48" i="90" s="1"/>
  <c r="Y90" i="79"/>
  <c r="Y108" i="79"/>
  <c r="K89" i="85"/>
  <c r="M89" i="85" s="1"/>
  <c r="O89" i="85" s="1"/>
  <c r="D108" i="85"/>
  <c r="D80" i="90" s="1"/>
  <c r="H146" i="85"/>
  <c r="G7" i="83" s="1"/>
  <c r="H7" i="83" s="1"/>
  <c r="X90" i="85"/>
  <c r="X104" i="85"/>
  <c r="X76" i="90" s="1"/>
  <c r="F90" i="75"/>
  <c r="F104" i="75"/>
  <c r="F26" i="90" s="1"/>
  <c r="M51" i="69"/>
  <c r="J90" i="79"/>
  <c r="F10" i="76"/>
  <c r="N10" i="76"/>
  <c r="J4" i="77"/>
  <c r="G7" i="36"/>
  <c r="N88" i="22"/>
  <c r="H145" i="22" s="1"/>
  <c r="N88" i="75"/>
  <c r="H145" i="75" s="1"/>
  <c r="G6" i="77" s="1"/>
  <c r="H6" i="77" s="1"/>
  <c r="N87" i="22"/>
  <c r="G13" i="39"/>
  <c r="U105" i="75"/>
  <c r="U27" i="90" s="1"/>
  <c r="AE90" i="75"/>
  <c r="AE104" i="75"/>
  <c r="AE26" i="90" s="1"/>
  <c r="AD108" i="85"/>
  <c r="AD80" i="90" s="1"/>
  <c r="H90" i="85"/>
  <c r="H104" i="85"/>
  <c r="H76" i="90" s="1"/>
  <c r="I13" i="81"/>
  <c r="I14" i="81" s="1"/>
  <c r="I109" i="79"/>
  <c r="I48" i="90" s="1"/>
  <c r="X90" i="79"/>
  <c r="X108" i="79"/>
  <c r="W90" i="75"/>
  <c r="W104" i="75"/>
  <c r="AD86" i="75"/>
  <c r="AF86" i="75" s="1"/>
  <c r="V90" i="75"/>
  <c r="V104" i="75"/>
  <c r="V90" i="79"/>
  <c r="V108" i="79"/>
  <c r="K88" i="75"/>
  <c r="M88" i="75" s="1"/>
  <c r="D107" i="75"/>
  <c r="D29" i="90" s="1"/>
  <c r="F90" i="79"/>
  <c r="F108" i="79"/>
  <c r="F90" i="85"/>
  <c r="F104" i="85"/>
  <c r="K14" i="69"/>
  <c r="AE51" i="69"/>
  <c r="AE48" i="69"/>
  <c r="AF48" i="69" s="1"/>
  <c r="AG48" i="69" s="1"/>
  <c r="D52" i="69"/>
  <c r="AF31" i="69"/>
  <c r="AG31" i="69" s="1"/>
  <c r="N52" i="69"/>
  <c r="K33" i="69"/>
  <c r="AB33" i="69"/>
  <c r="O50" i="69"/>
  <c r="AB50" i="69"/>
  <c r="H8" i="36"/>
  <c r="Y54" i="69"/>
  <c r="AC52" i="69"/>
  <c r="AE14" i="69"/>
  <c r="O28" i="69"/>
  <c r="M35" i="69" s="1"/>
  <c r="M33" i="69"/>
  <c r="M14" i="69"/>
  <c r="AA9" i="81" l="1"/>
  <c r="AA14" i="81" s="1"/>
  <c r="AA43" i="90"/>
  <c r="AA109" i="79"/>
  <c r="AA48" i="90" s="1"/>
  <c r="J3" i="80"/>
  <c r="J45" i="99"/>
  <c r="H142" i="79"/>
  <c r="G3" i="80" s="1"/>
  <c r="H3" i="80" s="1"/>
  <c r="AE9" i="81"/>
  <c r="AF89" i="79"/>
  <c r="H144" i="22"/>
  <c r="G5" i="36" s="1"/>
  <c r="N43" i="90"/>
  <c r="I53" i="91"/>
  <c r="I96" i="91" s="1"/>
  <c r="I34" i="99"/>
  <c r="H144" i="97"/>
  <c r="G5" i="98" s="1"/>
  <c r="H5" i="98" s="1"/>
  <c r="K87" i="97"/>
  <c r="M87" i="97" s="1"/>
  <c r="O87" i="97" s="1"/>
  <c r="AG87" i="97" s="1"/>
  <c r="AH87" i="97" s="1"/>
  <c r="I127" i="97"/>
  <c r="D106" i="97"/>
  <c r="AD62" i="90"/>
  <c r="AD11" i="99"/>
  <c r="I93" i="91"/>
  <c r="U62" i="90"/>
  <c r="U11" i="99"/>
  <c r="AF106" i="97"/>
  <c r="N9" i="81"/>
  <c r="AB108" i="97"/>
  <c r="AB109" i="97" s="1"/>
  <c r="AB65" i="90" s="1"/>
  <c r="AF89" i="97"/>
  <c r="AG89" i="97" s="1"/>
  <c r="AH89" i="97" s="1"/>
  <c r="D64" i="90"/>
  <c r="D13" i="99"/>
  <c r="I7" i="98"/>
  <c r="K108" i="97"/>
  <c r="D146" i="97"/>
  <c r="L146" i="97" s="1"/>
  <c r="M146" i="97" s="1"/>
  <c r="I9" i="99"/>
  <c r="I14" i="99" s="1"/>
  <c r="I60" i="90"/>
  <c r="I109" i="97"/>
  <c r="I65" i="90" s="1"/>
  <c r="H60" i="90"/>
  <c r="H9" i="99"/>
  <c r="H14" i="99" s="1"/>
  <c r="H109" i="97"/>
  <c r="H65" i="90" s="1"/>
  <c r="X9" i="99"/>
  <c r="X14" i="99" s="1"/>
  <c r="X60" i="90"/>
  <c r="X109" i="97"/>
  <c r="X65" i="90" s="1"/>
  <c r="AC14" i="99"/>
  <c r="V60" i="90"/>
  <c r="V9" i="99"/>
  <c r="V14" i="99" s="1"/>
  <c r="V109" i="97"/>
  <c r="V65" i="90" s="1"/>
  <c r="AD104" i="97"/>
  <c r="AF104" i="97" s="1"/>
  <c r="AE109" i="97"/>
  <c r="AE65" i="90" s="1"/>
  <c r="AE60" i="90"/>
  <c r="AE9" i="99"/>
  <c r="AE14" i="99" s="1"/>
  <c r="W60" i="90"/>
  <c r="W9" i="99"/>
  <c r="W14" i="99" s="1"/>
  <c r="W109" i="97"/>
  <c r="W65" i="90" s="1"/>
  <c r="E109" i="97"/>
  <c r="E65" i="90" s="1"/>
  <c r="E9" i="99"/>
  <c r="E14" i="99" s="1"/>
  <c r="E60" i="90"/>
  <c r="U9" i="99"/>
  <c r="U60" i="90"/>
  <c r="U109" i="97"/>
  <c r="Y60" i="90"/>
  <c r="Y9" i="99"/>
  <c r="Y14" i="99" s="1"/>
  <c r="Y109" i="97"/>
  <c r="Y65" i="90" s="1"/>
  <c r="Y92" i="97"/>
  <c r="AB60" i="90"/>
  <c r="AB9" i="99"/>
  <c r="H142" i="97"/>
  <c r="K85" i="97"/>
  <c r="I125" i="97"/>
  <c r="D90" i="97"/>
  <c r="D104" i="97"/>
  <c r="N90" i="97"/>
  <c r="N104" i="97"/>
  <c r="F9" i="99"/>
  <c r="F14" i="99" s="1"/>
  <c r="F60" i="90"/>
  <c r="F109" i="97"/>
  <c r="F65" i="90" s="1"/>
  <c r="G111" i="90"/>
  <c r="G112" i="90"/>
  <c r="G113" i="90"/>
  <c r="AA14" i="99"/>
  <c r="AE47" i="90"/>
  <c r="AB47" i="90"/>
  <c r="H47" i="90"/>
  <c r="Y47" i="90"/>
  <c r="G47" i="90"/>
  <c r="G114" i="90" s="1"/>
  <c r="G14" i="99"/>
  <c r="G45" i="99" s="1"/>
  <c r="X47" i="90"/>
  <c r="F47" i="90"/>
  <c r="D47" i="90"/>
  <c r="E47" i="90"/>
  <c r="D24" i="93"/>
  <c r="D33" i="93" s="1"/>
  <c r="AF28" i="69"/>
  <c r="AF49" i="69"/>
  <c r="AG49" i="69" s="1"/>
  <c r="AC43" i="90"/>
  <c r="AC9" i="81"/>
  <c r="AC14" i="81" s="1"/>
  <c r="AC109" i="79"/>
  <c r="AC48" i="90" s="1"/>
  <c r="AC9" i="90"/>
  <c r="AC14" i="90"/>
  <c r="AC9" i="39"/>
  <c r="AC14" i="39" s="1"/>
  <c r="V76" i="90"/>
  <c r="W26" i="90"/>
  <c r="W76" i="90"/>
  <c r="V47" i="90"/>
  <c r="W47" i="90"/>
  <c r="V26" i="90"/>
  <c r="H142" i="22"/>
  <c r="AB90" i="79"/>
  <c r="D10" i="90"/>
  <c r="D111" i="90" s="1"/>
  <c r="G9" i="90"/>
  <c r="G110" i="90" s="1"/>
  <c r="K85" i="22"/>
  <c r="D90" i="22"/>
  <c r="I127" i="79"/>
  <c r="D106" i="79"/>
  <c r="H144" i="79"/>
  <c r="G5" i="80" s="1"/>
  <c r="H5" i="80" s="1"/>
  <c r="K87" i="79"/>
  <c r="M87" i="79" s="1"/>
  <c r="O87" i="79" s="1"/>
  <c r="J5" i="80"/>
  <c r="N11" i="81"/>
  <c r="N45" i="90"/>
  <c r="AB106" i="79"/>
  <c r="AF87" i="79"/>
  <c r="N104" i="22"/>
  <c r="N23" i="93" s="1"/>
  <c r="N32" i="93" s="1"/>
  <c r="AD104" i="85"/>
  <c r="AD109" i="85" s="1"/>
  <c r="AD81" i="90" s="1"/>
  <c r="AE76" i="90"/>
  <c r="U10" i="82"/>
  <c r="U77" i="90"/>
  <c r="AD10" i="82"/>
  <c r="AD77" i="90"/>
  <c r="E9" i="82"/>
  <c r="E76" i="90"/>
  <c r="U9" i="82"/>
  <c r="U76" i="90"/>
  <c r="U11" i="82"/>
  <c r="U78" i="90"/>
  <c r="AD11" i="82"/>
  <c r="AD78" i="90"/>
  <c r="F9" i="82"/>
  <c r="F76" i="90"/>
  <c r="AD12" i="82"/>
  <c r="AD79" i="90"/>
  <c r="AF9" i="69"/>
  <c r="AF14" i="69" s="1"/>
  <c r="O14" i="69"/>
  <c r="I127" i="75"/>
  <c r="I128" i="75"/>
  <c r="D90" i="79"/>
  <c r="I125" i="79"/>
  <c r="I35" i="91" s="1"/>
  <c r="I34" i="39"/>
  <c r="I31" i="39"/>
  <c r="K85" i="79"/>
  <c r="M85" i="79" s="1"/>
  <c r="O85" i="79" s="1"/>
  <c r="D104" i="79"/>
  <c r="AF85" i="79"/>
  <c r="I45" i="81"/>
  <c r="K89" i="79"/>
  <c r="Y92" i="79"/>
  <c r="O88" i="75"/>
  <c r="I128" i="22"/>
  <c r="I9" i="91" s="1"/>
  <c r="AG86" i="75"/>
  <c r="AH86" i="75" s="1"/>
  <c r="I127" i="22"/>
  <c r="I8" i="91" s="1"/>
  <c r="I125" i="22"/>
  <c r="AA109" i="85"/>
  <c r="AA81" i="90" s="1"/>
  <c r="AA9" i="82"/>
  <c r="D12" i="82"/>
  <c r="I6" i="83"/>
  <c r="V109" i="85"/>
  <c r="V81" i="90" s="1"/>
  <c r="V9" i="82"/>
  <c r="G109" i="85"/>
  <c r="G81" i="90" s="1"/>
  <c r="G9" i="82"/>
  <c r="G14" i="82" s="1"/>
  <c r="I4" i="83"/>
  <c r="D10" i="82"/>
  <c r="X109" i="85"/>
  <c r="X81" i="90" s="1"/>
  <c r="X9" i="82"/>
  <c r="W109" i="85"/>
  <c r="W81" i="90" s="1"/>
  <c r="W9" i="82"/>
  <c r="Y109" i="85"/>
  <c r="Y81" i="90" s="1"/>
  <c r="Y9" i="82"/>
  <c r="AF108" i="85"/>
  <c r="AF80" i="90" s="1"/>
  <c r="AD13" i="82"/>
  <c r="D13" i="82"/>
  <c r="I7" i="83"/>
  <c r="H109" i="85"/>
  <c r="H81" i="90" s="1"/>
  <c r="H9" i="82"/>
  <c r="I109" i="85"/>
  <c r="I81" i="90" s="1"/>
  <c r="I9" i="82"/>
  <c r="AE109" i="85"/>
  <c r="AE81" i="90" s="1"/>
  <c r="AE9" i="82"/>
  <c r="AD90" i="85"/>
  <c r="AF105" i="85"/>
  <c r="AF77" i="90" s="1"/>
  <c r="AE9" i="76"/>
  <c r="AE14" i="76" s="1"/>
  <c r="AE109" i="75"/>
  <c r="AE31" i="90" s="1"/>
  <c r="N106" i="85"/>
  <c r="N78" i="90" s="1"/>
  <c r="G6" i="36"/>
  <c r="O51" i="69"/>
  <c r="O52" i="69" s="1"/>
  <c r="AD90" i="75"/>
  <c r="D13" i="81"/>
  <c r="I7" i="80"/>
  <c r="E109" i="85"/>
  <c r="E81" i="90" s="1"/>
  <c r="AG89" i="85"/>
  <c r="AH89" i="85" s="1"/>
  <c r="N90" i="75"/>
  <c r="AB85" i="75"/>
  <c r="N104" i="75"/>
  <c r="N26" i="90" s="1"/>
  <c r="K107" i="85"/>
  <c r="W13" i="81"/>
  <c r="W14" i="81" s="1"/>
  <c r="W109" i="79"/>
  <c r="W48" i="90" s="1"/>
  <c r="AE13" i="81"/>
  <c r="AE109" i="79"/>
  <c r="AE48" i="90" s="1"/>
  <c r="F109" i="79"/>
  <c r="F48" i="90" s="1"/>
  <c r="F13" i="81"/>
  <c r="F14" i="81" s="1"/>
  <c r="W109" i="75"/>
  <c r="W31" i="90" s="1"/>
  <c r="W9" i="76"/>
  <c r="W14" i="76" s="1"/>
  <c r="F109" i="75"/>
  <c r="F31" i="90" s="1"/>
  <c r="F9" i="76"/>
  <c r="F14" i="76" s="1"/>
  <c r="H13" i="81"/>
  <c r="H14" i="81" s="1"/>
  <c r="H109" i="79"/>
  <c r="H48" i="90" s="1"/>
  <c r="H9" i="76"/>
  <c r="H14" i="76" s="1"/>
  <c r="H109" i="75"/>
  <c r="H31" i="90" s="1"/>
  <c r="Y109" i="75"/>
  <c r="Y31" i="90" s="1"/>
  <c r="Y9" i="76"/>
  <c r="Y14" i="76" s="1"/>
  <c r="Y92" i="85"/>
  <c r="D90" i="75"/>
  <c r="K85" i="75"/>
  <c r="H142" i="75"/>
  <c r="D104" i="75"/>
  <c r="D26" i="90" s="1"/>
  <c r="N90" i="85"/>
  <c r="N104" i="85"/>
  <c r="O88" i="85"/>
  <c r="I9" i="76"/>
  <c r="I14" i="76" s="1"/>
  <c r="I109" i="75"/>
  <c r="I31" i="90" s="1"/>
  <c r="AF86" i="85"/>
  <c r="AG86" i="85" s="1"/>
  <c r="AH86" i="85" s="1"/>
  <c r="U10" i="76"/>
  <c r="K105" i="85"/>
  <c r="X9" i="76"/>
  <c r="X14" i="76" s="1"/>
  <c r="X109" i="75"/>
  <c r="X31" i="90" s="1"/>
  <c r="I4" i="77"/>
  <c r="D10" i="76"/>
  <c r="H144" i="75"/>
  <c r="G5" i="77" s="1"/>
  <c r="H5" i="77" s="1"/>
  <c r="D106" i="75"/>
  <c r="D28" i="90" s="1"/>
  <c r="D90" i="85"/>
  <c r="K85" i="85"/>
  <c r="H142" i="85"/>
  <c r="G3" i="83" s="1"/>
  <c r="H3" i="83" s="1"/>
  <c r="D104" i="85"/>
  <c r="AA109" i="75"/>
  <c r="AA31" i="90" s="1"/>
  <c r="AA9" i="76"/>
  <c r="AA14" i="76" s="1"/>
  <c r="E109" i="75"/>
  <c r="E31" i="90" s="1"/>
  <c r="E9" i="76"/>
  <c r="E14" i="76" s="1"/>
  <c r="U109" i="75"/>
  <c r="U31" i="90" s="1"/>
  <c r="U9" i="76"/>
  <c r="G13" i="81"/>
  <c r="G14" i="81" s="1"/>
  <c r="G109" i="79"/>
  <c r="G48" i="90" s="1"/>
  <c r="V9" i="76"/>
  <c r="V14" i="76" s="1"/>
  <c r="V109" i="75"/>
  <c r="V31" i="90" s="1"/>
  <c r="AB88" i="75"/>
  <c r="N107" i="75"/>
  <c r="N29" i="90" s="1"/>
  <c r="Y13" i="81"/>
  <c r="Y14" i="81" s="1"/>
  <c r="Y109" i="79"/>
  <c r="Y48" i="90" s="1"/>
  <c r="F109" i="85"/>
  <c r="F81" i="90" s="1"/>
  <c r="I6" i="77"/>
  <c r="D12" i="76"/>
  <c r="V13" i="81"/>
  <c r="V14" i="81" s="1"/>
  <c r="V109" i="79"/>
  <c r="V48" i="90" s="1"/>
  <c r="X13" i="81"/>
  <c r="X14" i="81" s="1"/>
  <c r="X109" i="79"/>
  <c r="X48" i="90" s="1"/>
  <c r="N106" i="75"/>
  <c r="N28" i="90" s="1"/>
  <c r="N107" i="85"/>
  <c r="K108" i="85"/>
  <c r="U14" i="81"/>
  <c r="G9" i="76"/>
  <c r="G14" i="76" s="1"/>
  <c r="G109" i="75"/>
  <c r="G31" i="90" s="1"/>
  <c r="AB13" i="81"/>
  <c r="U109" i="85"/>
  <c r="U81" i="90" s="1"/>
  <c r="U11" i="76"/>
  <c r="H144" i="85"/>
  <c r="G5" i="83" s="1"/>
  <c r="H5" i="83" s="1"/>
  <c r="K87" i="85"/>
  <c r="M87" i="85" s="1"/>
  <c r="O87" i="85" s="1"/>
  <c r="D106" i="85"/>
  <c r="D78" i="90" s="1"/>
  <c r="H145" i="85"/>
  <c r="G6" i="83" s="1"/>
  <c r="H6" i="83" s="1"/>
  <c r="E109" i="79"/>
  <c r="E48" i="90" s="1"/>
  <c r="E13" i="81"/>
  <c r="E14" i="81" s="1"/>
  <c r="G9" i="39"/>
  <c r="G14" i="39" s="1"/>
  <c r="G109" i="22"/>
  <c r="Y92" i="75"/>
  <c r="M52" i="69"/>
  <c r="AF47" i="69"/>
  <c r="AG47" i="69" s="1"/>
  <c r="K52" i="69"/>
  <c r="AE50" i="69"/>
  <c r="AB52" i="69"/>
  <c r="O33" i="69"/>
  <c r="D109" i="85" l="1"/>
  <c r="D32" i="36" s="1"/>
  <c r="D142" i="79"/>
  <c r="L142" i="79" s="1"/>
  <c r="D109" i="79"/>
  <c r="D30" i="36" s="1"/>
  <c r="N76" i="90"/>
  <c r="N109" i="85"/>
  <c r="AE14" i="81"/>
  <c r="H147" i="22"/>
  <c r="AF90" i="97"/>
  <c r="H45" i="99"/>
  <c r="U14" i="99"/>
  <c r="Y16" i="99" s="1"/>
  <c r="K64" i="90"/>
  <c r="M108" i="97"/>
  <c r="D62" i="90"/>
  <c r="D11" i="99"/>
  <c r="K11" i="99" s="1"/>
  <c r="M11" i="99" s="1"/>
  <c r="O11" i="99" s="1"/>
  <c r="I5" i="98"/>
  <c r="N5" i="98" s="1"/>
  <c r="O5" i="98" s="1"/>
  <c r="P5" i="98" s="1"/>
  <c r="K106" i="97"/>
  <c r="D144" i="97"/>
  <c r="L144" i="97" s="1"/>
  <c r="M144" i="97" s="1"/>
  <c r="F45" i="99"/>
  <c r="I51" i="91"/>
  <c r="I32" i="99"/>
  <c r="E45" i="99"/>
  <c r="AF108" i="97"/>
  <c r="AF109" i="97" s="1"/>
  <c r="AF65" i="90" s="1"/>
  <c r="AB64" i="90"/>
  <c r="AB13" i="99"/>
  <c r="AB14" i="99" s="1"/>
  <c r="AF62" i="90"/>
  <c r="H147" i="97"/>
  <c r="H8" i="98" s="1"/>
  <c r="G3" i="98"/>
  <c r="N60" i="90"/>
  <c r="N9" i="99"/>
  <c r="J3" i="98"/>
  <c r="N109" i="97"/>
  <c r="E31" i="36" s="1"/>
  <c r="I3" i="98"/>
  <c r="D60" i="90"/>
  <c r="D109" i="97"/>
  <c r="D31" i="36" s="1"/>
  <c r="F31" i="36" s="1"/>
  <c r="D9" i="99"/>
  <c r="K104" i="97"/>
  <c r="D142" i="97"/>
  <c r="Y111" i="97"/>
  <c r="U65" i="90"/>
  <c r="AF60" i="90"/>
  <c r="AD109" i="97"/>
  <c r="AD65" i="90" s="1"/>
  <c r="AD60" i="90"/>
  <c r="AD9" i="99"/>
  <c r="I131" i="97"/>
  <c r="I49" i="91"/>
  <c r="I30" i="99"/>
  <c r="K90" i="97"/>
  <c r="M85" i="97"/>
  <c r="I45" i="99"/>
  <c r="AC115" i="90"/>
  <c r="AC110" i="90"/>
  <c r="K13" i="99"/>
  <c r="M13" i="99" s="1"/>
  <c r="K24" i="94"/>
  <c r="G14" i="90"/>
  <c r="G115" i="90" s="1"/>
  <c r="G28" i="93"/>
  <c r="D76" i="90"/>
  <c r="I3" i="83"/>
  <c r="G3" i="36"/>
  <c r="G9" i="36" s="1"/>
  <c r="N79" i="90"/>
  <c r="D145" i="85"/>
  <c r="N9" i="90"/>
  <c r="AF90" i="79"/>
  <c r="AB11" i="81"/>
  <c r="AB45" i="90"/>
  <c r="I5" i="80"/>
  <c r="N5" i="80" s="1"/>
  <c r="O5" i="80" s="1"/>
  <c r="P5" i="80" s="1"/>
  <c r="D11" i="81"/>
  <c r="D144" i="79"/>
  <c r="L144" i="79" s="1"/>
  <c r="M144" i="79" s="1"/>
  <c r="D45" i="90"/>
  <c r="AG87" i="79"/>
  <c r="AH87" i="79" s="1"/>
  <c r="I32" i="81"/>
  <c r="I37" i="91"/>
  <c r="M107" i="85"/>
  <c r="M79" i="90" s="1"/>
  <c r="K79" i="90"/>
  <c r="AD9" i="82"/>
  <c r="AD76" i="90"/>
  <c r="M108" i="85"/>
  <c r="K80" i="90"/>
  <c r="M105" i="85"/>
  <c r="K77" i="90"/>
  <c r="I33" i="76"/>
  <c r="I24" i="91"/>
  <c r="I95" i="91" s="1"/>
  <c r="I32" i="76"/>
  <c r="I23" i="91"/>
  <c r="AB9" i="81"/>
  <c r="AB43" i="90"/>
  <c r="I30" i="39"/>
  <c r="I6" i="91"/>
  <c r="D43" i="90"/>
  <c r="I131" i="79"/>
  <c r="I30" i="81"/>
  <c r="I131" i="75"/>
  <c r="I33" i="39"/>
  <c r="I32" i="39"/>
  <c r="AB109" i="79"/>
  <c r="AB48" i="90" s="1"/>
  <c r="AG85" i="79"/>
  <c r="AH85" i="79" s="1"/>
  <c r="D9" i="81"/>
  <c r="I3" i="80"/>
  <c r="N3" i="80" s="1"/>
  <c r="O3" i="80" s="1"/>
  <c r="P3" i="80" s="1"/>
  <c r="K90" i="79"/>
  <c r="D142" i="85"/>
  <c r="G44" i="82"/>
  <c r="E44" i="76"/>
  <c r="E45" i="81"/>
  <c r="F45" i="81"/>
  <c r="H45" i="81"/>
  <c r="G45" i="81"/>
  <c r="H44" i="76"/>
  <c r="I44" i="76"/>
  <c r="G44" i="76"/>
  <c r="F44" i="76"/>
  <c r="G44" i="39"/>
  <c r="M89" i="79"/>
  <c r="O89" i="79" s="1"/>
  <c r="I131" i="22"/>
  <c r="I12" i="91" s="1"/>
  <c r="Y111" i="85"/>
  <c r="Y16" i="81"/>
  <c r="Y111" i="79"/>
  <c r="N9" i="82"/>
  <c r="J3" i="83"/>
  <c r="N11" i="82"/>
  <c r="J5" i="83"/>
  <c r="D9" i="82"/>
  <c r="D11" i="82"/>
  <c r="I5" i="83"/>
  <c r="N12" i="82"/>
  <c r="J6" i="83"/>
  <c r="Y111" i="75"/>
  <c r="G3" i="77"/>
  <c r="H147" i="75"/>
  <c r="N90" i="79"/>
  <c r="N108" i="79"/>
  <c r="N109" i="79" s="1"/>
  <c r="H146" i="79"/>
  <c r="AB106" i="85"/>
  <c r="AB78" i="90" s="1"/>
  <c r="AF87" i="85"/>
  <c r="AG87" i="85" s="1"/>
  <c r="AH87" i="85" s="1"/>
  <c r="G9" i="83"/>
  <c r="H23" i="36" s="1"/>
  <c r="AB107" i="85"/>
  <c r="AB79" i="90" s="1"/>
  <c r="AF88" i="85"/>
  <c r="AG88" i="85" s="1"/>
  <c r="AH88" i="85" s="1"/>
  <c r="N12" i="76"/>
  <c r="J6" i="77"/>
  <c r="U14" i="76"/>
  <c r="Y16" i="76" s="1"/>
  <c r="K104" i="85"/>
  <c r="K76" i="90" s="1"/>
  <c r="AB90" i="85"/>
  <c r="AB104" i="85"/>
  <c r="AF85" i="85"/>
  <c r="K90" i="75"/>
  <c r="M85" i="75"/>
  <c r="K106" i="85"/>
  <c r="N11" i="76"/>
  <c r="J5" i="77"/>
  <c r="AB107" i="75"/>
  <c r="AB29" i="90" s="1"/>
  <c r="AF88" i="75"/>
  <c r="AG88" i="75" s="1"/>
  <c r="AH88" i="75" s="1"/>
  <c r="H147" i="85"/>
  <c r="I5" i="77"/>
  <c r="D11" i="76"/>
  <c r="J3" i="77"/>
  <c r="N109" i="75"/>
  <c r="N9" i="76"/>
  <c r="AB106" i="75"/>
  <c r="AB28" i="90" s="1"/>
  <c r="AF87" i="75"/>
  <c r="AG87" i="75" s="1"/>
  <c r="AH87" i="75" s="1"/>
  <c r="M85" i="85"/>
  <c r="K90" i="85"/>
  <c r="I3" i="77"/>
  <c r="D109" i="75"/>
  <c r="D29" i="36" s="1"/>
  <c r="D9" i="76"/>
  <c r="D142" i="75"/>
  <c r="L142" i="75" s="1"/>
  <c r="M142" i="75" s="1"/>
  <c r="AB90" i="75"/>
  <c r="AB104" i="75"/>
  <c r="AB26" i="90" s="1"/>
  <c r="AF85" i="75"/>
  <c r="L90" i="79"/>
  <c r="L108" i="79"/>
  <c r="L47" i="90" s="1"/>
  <c r="AF51" i="69"/>
  <c r="AG51" i="69" s="1"/>
  <c r="AE52" i="69"/>
  <c r="AF50" i="69"/>
  <c r="AG9" i="69"/>
  <c r="AG14" i="69"/>
  <c r="AF33" i="69"/>
  <c r="AG33" i="69" s="1"/>
  <c r="AG28" i="69"/>
  <c r="D33" i="36" l="1"/>
  <c r="I55" i="91"/>
  <c r="M31" i="36"/>
  <c r="P31" i="36" s="1"/>
  <c r="G31" i="36"/>
  <c r="N110" i="90"/>
  <c r="I94" i="91"/>
  <c r="K62" i="90"/>
  <c r="M106" i="97"/>
  <c r="I36" i="99"/>
  <c r="I46" i="99" s="1"/>
  <c r="M64" i="90"/>
  <c r="O108" i="97"/>
  <c r="O64" i="90" s="1"/>
  <c r="I92" i="91"/>
  <c r="AF64" i="90"/>
  <c r="L142" i="97"/>
  <c r="D147" i="97"/>
  <c r="K60" i="90"/>
  <c r="M104" i="97"/>
  <c r="K109" i="97"/>
  <c r="K65" i="90" s="1"/>
  <c r="I9" i="98"/>
  <c r="J22" i="36" s="1"/>
  <c r="D65" i="90"/>
  <c r="N65" i="90"/>
  <c r="G9" i="98"/>
  <c r="H22" i="36" s="1"/>
  <c r="H3" i="98"/>
  <c r="H9" i="98" s="1"/>
  <c r="I22" i="36" s="1"/>
  <c r="O85" i="97"/>
  <c r="M90" i="97"/>
  <c r="N47" i="90"/>
  <c r="N14" i="99"/>
  <c r="N45" i="99" s="1"/>
  <c r="K9" i="99"/>
  <c r="D14" i="99"/>
  <c r="D45" i="99" s="1"/>
  <c r="N3" i="98"/>
  <c r="I27" i="91"/>
  <c r="M29" i="36"/>
  <c r="I41" i="91"/>
  <c r="M30" i="36"/>
  <c r="P30" i="36" s="1"/>
  <c r="N31" i="90"/>
  <c r="E29" i="36"/>
  <c r="F29" i="36" s="1"/>
  <c r="G29" i="36" s="1"/>
  <c r="D81" i="90"/>
  <c r="D31" i="90"/>
  <c r="N81" i="90"/>
  <c r="E32" i="36"/>
  <c r="F32" i="36" s="1"/>
  <c r="D48" i="90"/>
  <c r="AB14" i="81"/>
  <c r="I36" i="81"/>
  <c r="D14" i="81"/>
  <c r="D45" i="81" s="1"/>
  <c r="O107" i="85"/>
  <c r="O79" i="90" s="1"/>
  <c r="O105" i="85"/>
  <c r="M77" i="90"/>
  <c r="AB9" i="82"/>
  <c r="AB76" i="90"/>
  <c r="M106" i="85"/>
  <c r="K78" i="90"/>
  <c r="O108" i="85"/>
  <c r="M80" i="90"/>
  <c r="I36" i="76"/>
  <c r="I45" i="76" s="1"/>
  <c r="I36" i="39"/>
  <c r="I45" i="39" s="1"/>
  <c r="I36" i="82"/>
  <c r="I45" i="82" s="1"/>
  <c r="I36" i="88"/>
  <c r="I45" i="88" s="1"/>
  <c r="I9" i="80"/>
  <c r="J21" i="36" s="1"/>
  <c r="M142" i="79"/>
  <c r="M90" i="79"/>
  <c r="N14" i="76"/>
  <c r="N44" i="76" s="1"/>
  <c r="I9" i="77"/>
  <c r="J20" i="36" s="1"/>
  <c r="AF106" i="85"/>
  <c r="AB11" i="82"/>
  <c r="AF107" i="85"/>
  <c r="AB12" i="82"/>
  <c r="AF90" i="75"/>
  <c r="O90" i="79"/>
  <c r="AG89" i="79"/>
  <c r="AH89" i="79" s="1"/>
  <c r="AB11" i="76"/>
  <c r="AB109" i="85"/>
  <c r="AB81" i="90" s="1"/>
  <c r="AF104" i="85"/>
  <c r="AF76" i="90" s="1"/>
  <c r="K109" i="85"/>
  <c r="K81" i="90" s="1"/>
  <c r="M104" i="85"/>
  <c r="M76" i="90" s="1"/>
  <c r="G9" i="77"/>
  <c r="H20" i="36" s="1"/>
  <c r="H3" i="77"/>
  <c r="H9" i="77" s="1"/>
  <c r="I20" i="36" s="1"/>
  <c r="AB9" i="76"/>
  <c r="AB109" i="75"/>
  <c r="AB31" i="90" s="1"/>
  <c r="O85" i="75"/>
  <c r="O90" i="75" s="1"/>
  <c r="M90" i="75"/>
  <c r="H9" i="83"/>
  <c r="I23" i="36" s="1"/>
  <c r="G7" i="80"/>
  <c r="H147" i="79"/>
  <c r="D14" i="76"/>
  <c r="D44" i="76" s="1"/>
  <c r="O85" i="85"/>
  <c r="O90" i="85" s="1"/>
  <c r="M90" i="85"/>
  <c r="AB12" i="76"/>
  <c r="L13" i="81"/>
  <c r="L14" i="81" s="1"/>
  <c r="L109" i="79"/>
  <c r="L48" i="90" s="1"/>
  <c r="J9" i="77"/>
  <c r="K20" i="36" s="1"/>
  <c r="AF90" i="85"/>
  <c r="L142" i="85"/>
  <c r="M142" i="85" s="1"/>
  <c r="N13" i="81"/>
  <c r="N14" i="81" s="1"/>
  <c r="J7" i="80"/>
  <c r="D146" i="79"/>
  <c r="AG50" i="69"/>
  <c r="AF52" i="69"/>
  <c r="AG52" i="69" s="1"/>
  <c r="G32" i="36" l="1"/>
  <c r="Q31" i="36"/>
  <c r="N8" i="98"/>
  <c r="O8" i="98" s="1"/>
  <c r="P8" i="98" s="1"/>
  <c r="AG108" i="97"/>
  <c r="AH108" i="97" s="1"/>
  <c r="I98" i="91"/>
  <c r="M62" i="90"/>
  <c r="O106" i="97"/>
  <c r="M60" i="90"/>
  <c r="O104" i="97"/>
  <c r="M109" i="97"/>
  <c r="M65" i="90" s="1"/>
  <c r="O90" i="97"/>
  <c r="AG85" i="97"/>
  <c r="L147" i="97"/>
  <c r="M147" i="97" s="1"/>
  <c r="M142" i="97"/>
  <c r="O3" i="98"/>
  <c r="K14" i="99"/>
  <c r="K45" i="99" s="1"/>
  <c r="M9" i="99"/>
  <c r="O13" i="99"/>
  <c r="J9" i="98"/>
  <c r="K22" i="36" s="1"/>
  <c r="N7" i="98"/>
  <c r="O7" i="98" s="1"/>
  <c r="P7" i="98" s="1"/>
  <c r="M33" i="36"/>
  <c r="N48" i="90"/>
  <c r="E30" i="36"/>
  <c r="F30" i="36" s="1"/>
  <c r="AG107" i="85"/>
  <c r="AH107" i="85" s="1"/>
  <c r="AF79" i="90"/>
  <c r="O80" i="90"/>
  <c r="AG108" i="85"/>
  <c r="AH108" i="85" s="1"/>
  <c r="AF78" i="90"/>
  <c r="O106" i="85"/>
  <c r="O78" i="90" s="1"/>
  <c r="M78" i="90"/>
  <c r="O77" i="90"/>
  <c r="AG105" i="85"/>
  <c r="AH105" i="85" s="1"/>
  <c r="AG85" i="85"/>
  <c r="AH85" i="85" s="1"/>
  <c r="L45" i="81"/>
  <c r="I46" i="81"/>
  <c r="N45" i="81"/>
  <c r="AG85" i="75"/>
  <c r="AH85" i="75" s="1"/>
  <c r="L146" i="79"/>
  <c r="M146" i="79" s="1"/>
  <c r="D147" i="79"/>
  <c r="H7" i="80"/>
  <c r="G9" i="80"/>
  <c r="H21" i="36" s="1"/>
  <c r="H24" i="36" s="1"/>
  <c r="H25" i="36" s="1"/>
  <c r="AF109" i="85"/>
  <c r="AF81" i="90" s="1"/>
  <c r="AB14" i="76"/>
  <c r="AG90" i="79"/>
  <c r="AH90" i="79" s="1"/>
  <c r="J9" i="80"/>
  <c r="K21" i="36" s="1"/>
  <c r="N7" i="80"/>
  <c r="M109" i="85"/>
  <c r="M81" i="90" s="1"/>
  <c r="O104" i="85"/>
  <c r="E33" i="36" l="1"/>
  <c r="O62" i="90"/>
  <c r="AG106" i="97"/>
  <c r="AH106" i="97" s="1"/>
  <c r="AH85" i="97"/>
  <c r="AG90" i="97"/>
  <c r="AH90" i="97" s="1"/>
  <c r="O60" i="90"/>
  <c r="O109" i="97"/>
  <c r="O65" i="90" s="1"/>
  <c r="AG104" i="97"/>
  <c r="M14" i="99"/>
  <c r="M45" i="99" s="1"/>
  <c r="O9" i="99"/>
  <c r="O14" i="99" s="1"/>
  <c r="P3" i="98"/>
  <c r="O9" i="98"/>
  <c r="P9" i="98" s="1"/>
  <c r="N9" i="98"/>
  <c r="O22" i="36" s="1"/>
  <c r="N9" i="80"/>
  <c r="O21" i="36" s="1"/>
  <c r="O7" i="80"/>
  <c r="P7" i="80" s="1"/>
  <c r="AG90" i="85"/>
  <c r="AH90" i="85" s="1"/>
  <c r="O109" i="85"/>
  <c r="O81" i="90" s="1"/>
  <c r="O76" i="90"/>
  <c r="AG80" i="90"/>
  <c r="AG77" i="90"/>
  <c r="AG106" i="85"/>
  <c r="AH106" i="85" s="1"/>
  <c r="AG79" i="90"/>
  <c r="AG104" i="85"/>
  <c r="AH104" i="85" s="1"/>
  <c r="L147" i="79"/>
  <c r="M147" i="79" s="1"/>
  <c r="H9" i="80"/>
  <c r="I21" i="36" s="1"/>
  <c r="I24" i="36" s="1"/>
  <c r="AG90" i="75"/>
  <c r="AH90" i="75" s="1"/>
  <c r="K30" i="22"/>
  <c r="K31" i="22"/>
  <c r="K32" i="22"/>
  <c r="D33" i="22"/>
  <c r="E33" i="22"/>
  <c r="D7" i="36"/>
  <c r="D6" i="36"/>
  <c r="D5" i="36"/>
  <c r="D3" i="36"/>
  <c r="H3" i="36" s="1"/>
  <c r="D125" i="22"/>
  <c r="AD30" i="22"/>
  <c r="Y108" i="22"/>
  <c r="U108" i="22"/>
  <c r="C7" i="56"/>
  <c r="D146" i="85" s="1"/>
  <c r="L146" i="85" s="1"/>
  <c r="M146" i="85" s="1"/>
  <c r="C6" i="56"/>
  <c r="C5" i="56"/>
  <c r="D144" i="85" s="1"/>
  <c r="L144" i="85" s="1"/>
  <c r="M144" i="85" s="1"/>
  <c r="C4" i="56"/>
  <c r="AB29" i="22"/>
  <c r="AB28" i="22"/>
  <c r="AB30" i="22"/>
  <c r="AB32" i="22"/>
  <c r="AD32" i="22"/>
  <c r="AD31" i="22"/>
  <c r="I33" i="22"/>
  <c r="F33" i="22"/>
  <c r="L5" i="36"/>
  <c r="L7" i="36"/>
  <c r="L6" i="36"/>
  <c r="L4" i="36"/>
  <c r="L3" i="36"/>
  <c r="E35" i="39"/>
  <c r="E131" i="22"/>
  <c r="N8" i="36"/>
  <c r="O8" i="36" s="1"/>
  <c r="P8" i="36" s="1"/>
  <c r="L108" i="22"/>
  <c r="Q30" i="95" s="1"/>
  <c r="S30" i="95" s="1"/>
  <c r="L107" i="22"/>
  <c r="Q29" i="95" s="1"/>
  <c r="S29" i="95" s="1"/>
  <c r="L104" i="22"/>
  <c r="Q26" i="95" s="1"/>
  <c r="S26" i="95" s="1"/>
  <c r="L106" i="22"/>
  <c r="Q28" i="95" s="1"/>
  <c r="S28" i="95" s="1"/>
  <c r="L105" i="22"/>
  <c r="Q27" i="95" s="1"/>
  <c r="S27" i="95" s="1"/>
  <c r="AD89" i="22"/>
  <c r="AD88" i="22"/>
  <c r="AD87" i="22"/>
  <c r="AD86" i="22"/>
  <c r="AD85" i="22"/>
  <c r="AD66" i="22"/>
  <c r="AD51" i="22"/>
  <c r="AD50" i="22"/>
  <c r="AD49" i="22"/>
  <c r="AE52" i="22"/>
  <c r="AD48" i="22"/>
  <c r="Z32" i="22"/>
  <c r="AD28" i="22"/>
  <c r="I4" i="64"/>
  <c r="I5" i="64"/>
  <c r="I6" i="64"/>
  <c r="I7" i="64"/>
  <c r="I3" i="64"/>
  <c r="Z31" i="22"/>
  <c r="Z30" i="22"/>
  <c r="Z29" i="22"/>
  <c r="Z28" i="22"/>
  <c r="Z13" i="22"/>
  <c r="Z12" i="22"/>
  <c r="Z11" i="22"/>
  <c r="Z10" i="22"/>
  <c r="Z9" i="22"/>
  <c r="E34" i="39"/>
  <c r="E33" i="39"/>
  <c r="E32" i="39"/>
  <c r="E31" i="39"/>
  <c r="E30" i="39"/>
  <c r="X7" i="39"/>
  <c r="U7" i="39"/>
  <c r="M117" i="22"/>
  <c r="N22" i="88" s="1"/>
  <c r="K122" i="22"/>
  <c r="K27" i="88" s="1"/>
  <c r="G122" i="22"/>
  <c r="H27" i="88" s="1"/>
  <c r="N98" i="22"/>
  <c r="K102" i="22"/>
  <c r="I10" i="89" s="1"/>
  <c r="N79" i="22"/>
  <c r="AD79" i="22" s="1"/>
  <c r="K83" i="22"/>
  <c r="Y83" i="22" s="1"/>
  <c r="G83" i="22"/>
  <c r="V83" i="22" s="1"/>
  <c r="N60" i="22"/>
  <c r="AD60" i="22" s="1"/>
  <c r="K64" i="22"/>
  <c r="G64" i="22"/>
  <c r="N41" i="22"/>
  <c r="AD41" i="22" s="1"/>
  <c r="Y45" i="22"/>
  <c r="V45" i="22"/>
  <c r="N22" i="22"/>
  <c r="AD22" i="22" s="1"/>
  <c r="K26" i="22"/>
  <c r="Y26" i="22" s="1"/>
  <c r="G26" i="22"/>
  <c r="V26" i="22" s="1"/>
  <c r="D102" i="22"/>
  <c r="D7" i="88" s="1"/>
  <c r="D6" i="88"/>
  <c r="D83" i="22"/>
  <c r="D82" i="22"/>
  <c r="D64" i="22"/>
  <c r="D63" i="22"/>
  <c r="D26" i="22"/>
  <c r="D25" i="22"/>
  <c r="X102" i="22"/>
  <c r="U102" i="22"/>
  <c r="AA90" i="22"/>
  <c r="Y90" i="22"/>
  <c r="X90" i="22"/>
  <c r="W90" i="22"/>
  <c r="V90" i="22"/>
  <c r="U90" i="22"/>
  <c r="N90" i="22"/>
  <c r="L90" i="22"/>
  <c r="J90" i="22"/>
  <c r="I90" i="22"/>
  <c r="H90" i="22"/>
  <c r="F90" i="22"/>
  <c r="E90" i="22"/>
  <c r="AB89" i="22"/>
  <c r="Z89" i="22"/>
  <c r="M89" i="22"/>
  <c r="O89" i="22" s="1"/>
  <c r="AB88" i="22"/>
  <c r="Z88" i="22"/>
  <c r="M88" i="22"/>
  <c r="O88" i="22" s="1"/>
  <c r="AB87" i="22"/>
  <c r="Z87" i="22"/>
  <c r="M87" i="22"/>
  <c r="O87" i="22" s="1"/>
  <c r="AB86" i="22"/>
  <c r="Z86" i="22"/>
  <c r="M86" i="22"/>
  <c r="O86" i="22" s="1"/>
  <c r="AB85" i="22"/>
  <c r="Z85" i="22"/>
  <c r="M85" i="22"/>
  <c r="X83" i="22"/>
  <c r="U83" i="22"/>
  <c r="L71" i="22"/>
  <c r="J71" i="22"/>
  <c r="M70" i="22"/>
  <c r="O70" i="22" s="1"/>
  <c r="Z66" i="22"/>
  <c r="X64" i="22"/>
  <c r="U64" i="22"/>
  <c r="AA52" i="22"/>
  <c r="Y52" i="22"/>
  <c r="X52" i="22"/>
  <c r="W52" i="22"/>
  <c r="V52" i="22"/>
  <c r="U52" i="22"/>
  <c r="AB51" i="22"/>
  <c r="Z51" i="22"/>
  <c r="AB50" i="22"/>
  <c r="Z50" i="22"/>
  <c r="AB49" i="22"/>
  <c r="Z49" i="22"/>
  <c r="AB48" i="22"/>
  <c r="Z48" i="22"/>
  <c r="AB47" i="22"/>
  <c r="Z47" i="22"/>
  <c r="X45" i="22"/>
  <c r="U45" i="22"/>
  <c r="L33" i="22"/>
  <c r="J33" i="22"/>
  <c r="X26" i="22"/>
  <c r="U26" i="22"/>
  <c r="AD3" i="22"/>
  <c r="Y7" i="22"/>
  <c r="X7" i="22"/>
  <c r="V7" i="22"/>
  <c r="G131" i="22"/>
  <c r="G12" i="91" s="1"/>
  <c r="G98" i="91" s="1"/>
  <c r="F33" i="36" l="1"/>
  <c r="G33" i="36" s="1"/>
  <c r="G30" i="36"/>
  <c r="Q30" i="36" s="1"/>
  <c r="O45" i="99"/>
  <c r="AH104" i="97"/>
  <c r="AG109" i="97"/>
  <c r="AH109" i="97" s="1"/>
  <c r="E12" i="91"/>
  <c r="E98" i="91" s="1"/>
  <c r="J32" i="36"/>
  <c r="C8" i="56"/>
  <c r="C9" i="56" s="1"/>
  <c r="L26" i="93"/>
  <c r="L35" i="93" s="1"/>
  <c r="L27" i="93"/>
  <c r="L36" i="93" s="1"/>
  <c r="L24" i="93"/>
  <c r="L33" i="93" s="1"/>
  <c r="L25" i="93"/>
  <c r="L34" i="93" s="1"/>
  <c r="L23" i="93"/>
  <c r="L32" i="93" s="1"/>
  <c r="U13" i="90"/>
  <c r="U114" i="90" s="1"/>
  <c r="D20" i="94"/>
  <c r="D28" i="94" s="1"/>
  <c r="Y13" i="90"/>
  <c r="Y114" i="90" s="1"/>
  <c r="H20" i="94"/>
  <c r="H28" i="94" s="1"/>
  <c r="D6" i="91"/>
  <c r="D92" i="91" s="1"/>
  <c r="AG76" i="90"/>
  <c r="L145" i="85"/>
  <c r="M145" i="85" s="1"/>
  <c r="D128" i="22"/>
  <c r="AG78" i="90"/>
  <c r="L13" i="90"/>
  <c r="L114" i="90" s="1"/>
  <c r="L12" i="90"/>
  <c r="L113" i="90" s="1"/>
  <c r="L11" i="90"/>
  <c r="L112" i="90" s="1"/>
  <c r="L10" i="90"/>
  <c r="L111" i="90" s="1"/>
  <c r="L9" i="90"/>
  <c r="L110" i="90" s="1"/>
  <c r="V64" i="22"/>
  <c r="Y64" i="22"/>
  <c r="J9" i="22"/>
  <c r="AD3" i="82"/>
  <c r="N3" i="88"/>
  <c r="AD3" i="88" s="1"/>
  <c r="Y7" i="82"/>
  <c r="K7" i="88"/>
  <c r="Y7" i="88" s="1"/>
  <c r="V7" i="82"/>
  <c r="G7" i="88"/>
  <c r="V7" i="88" s="1"/>
  <c r="J11" i="22"/>
  <c r="J11" i="79" s="1"/>
  <c r="N22" i="39"/>
  <c r="J13" i="22"/>
  <c r="J13" i="79" s="1"/>
  <c r="L12" i="39"/>
  <c r="O9" i="80"/>
  <c r="P9" i="80" s="1"/>
  <c r="J12" i="22"/>
  <c r="J12" i="79" s="1"/>
  <c r="L10" i="39"/>
  <c r="L13" i="39"/>
  <c r="J104" i="75"/>
  <c r="J26" i="90" s="1"/>
  <c r="AD9" i="75"/>
  <c r="K9" i="75"/>
  <c r="J10" i="22"/>
  <c r="L9" i="39"/>
  <c r="E36" i="39"/>
  <c r="E45" i="39" s="1"/>
  <c r="D131" i="85"/>
  <c r="D143" i="85"/>
  <c r="AG109" i="85"/>
  <c r="AH109" i="85" s="1"/>
  <c r="D127" i="22"/>
  <c r="D129" i="22"/>
  <c r="N3" i="77"/>
  <c r="D126" i="22"/>
  <c r="Y13" i="39"/>
  <c r="K67" i="22"/>
  <c r="M67" i="22" s="1"/>
  <c r="O67" i="22" s="1"/>
  <c r="M5" i="36"/>
  <c r="K68" i="22"/>
  <c r="M68" i="22" s="1"/>
  <c r="O68" i="22" s="1"/>
  <c r="M6" i="36"/>
  <c r="K69" i="22"/>
  <c r="M69" i="22" s="1"/>
  <c r="O69" i="22" s="1"/>
  <c r="D14" i="22"/>
  <c r="V102" i="22"/>
  <c r="AF48" i="22"/>
  <c r="AG48" i="22" s="1"/>
  <c r="AH48" i="22" s="1"/>
  <c r="H27" i="39"/>
  <c r="AF50" i="22"/>
  <c r="AG50" i="22" s="1"/>
  <c r="AH50" i="22" s="1"/>
  <c r="AF51" i="22"/>
  <c r="AG51" i="22" s="1"/>
  <c r="AH51" i="22" s="1"/>
  <c r="AF49" i="22"/>
  <c r="AG49" i="22" s="1"/>
  <c r="AH49" i="22" s="1"/>
  <c r="AF86" i="22"/>
  <c r="AG86" i="22" s="1"/>
  <c r="AH86" i="22" s="1"/>
  <c r="AF89" i="22"/>
  <c r="AG89" i="22" s="1"/>
  <c r="AH89" i="22" s="1"/>
  <c r="AD90" i="22"/>
  <c r="K3" i="36"/>
  <c r="D30" i="39"/>
  <c r="AB90" i="22"/>
  <c r="AB52" i="22"/>
  <c r="Y54" i="22"/>
  <c r="Y92" i="22"/>
  <c r="AD52" i="22"/>
  <c r="AF87" i="22"/>
  <c r="AG87" i="22" s="1"/>
  <c r="AH87" i="22" s="1"/>
  <c r="AF47" i="22"/>
  <c r="AF85" i="22"/>
  <c r="AF88" i="22"/>
  <c r="AG88" i="22" s="1"/>
  <c r="AH88" i="22" s="1"/>
  <c r="M90" i="22"/>
  <c r="K90" i="22"/>
  <c r="O85" i="22"/>
  <c r="O90" i="22" s="1"/>
  <c r="Z52" i="22"/>
  <c r="Z90" i="22"/>
  <c r="D7" i="39"/>
  <c r="AF70" i="22"/>
  <c r="AG70" i="22" s="1"/>
  <c r="AH70" i="22" s="1"/>
  <c r="D9" i="36"/>
  <c r="E25" i="36" s="1"/>
  <c r="G45" i="39"/>
  <c r="L11" i="39"/>
  <c r="Y102" i="22"/>
  <c r="G7" i="39"/>
  <c r="V7" i="39" s="1"/>
  <c r="M4" i="36"/>
  <c r="Z71" i="22"/>
  <c r="L109" i="22"/>
  <c r="Q31" i="95" s="1"/>
  <c r="S31" i="95" s="1"/>
  <c r="AD98" i="22"/>
  <c r="N3" i="39"/>
  <c r="AD3" i="39" s="1"/>
  <c r="K7" i="39"/>
  <c r="Y7" i="39" s="1"/>
  <c r="K27" i="39"/>
  <c r="D6" i="39"/>
  <c r="Z104" i="22"/>
  <c r="V71" i="22"/>
  <c r="F105" i="22"/>
  <c r="F24" i="93" s="1"/>
  <c r="F33" i="93" s="1"/>
  <c r="F71" i="22"/>
  <c r="AF68" i="22"/>
  <c r="D71" i="22"/>
  <c r="W71" i="22"/>
  <c r="AA71" i="22"/>
  <c r="AF67" i="22"/>
  <c r="U71" i="22"/>
  <c r="AF69" i="22"/>
  <c r="I71" i="22"/>
  <c r="X71" i="22"/>
  <c r="H71" i="22"/>
  <c r="Y71" i="22"/>
  <c r="V107" i="22"/>
  <c r="E19" i="94" s="1"/>
  <c r="E27" i="94" s="1"/>
  <c r="E71" i="22"/>
  <c r="AA33" i="22"/>
  <c r="AE71" i="22"/>
  <c r="E6" i="36"/>
  <c r="H6" i="36" s="1"/>
  <c r="H129" i="22"/>
  <c r="M28" i="22"/>
  <c r="O28" i="22" s="1"/>
  <c r="E104" i="22"/>
  <c r="E23" i="93" s="1"/>
  <c r="E32" i="93" s="1"/>
  <c r="V33" i="22"/>
  <c r="X33" i="22"/>
  <c r="Z33" i="22"/>
  <c r="H33" i="22"/>
  <c r="AF28" i="22"/>
  <c r="Y33" i="22"/>
  <c r="M32" i="22"/>
  <c r="O32" i="22" s="1"/>
  <c r="M29" i="22"/>
  <c r="O29" i="22" s="1"/>
  <c r="K143" i="22"/>
  <c r="M31" i="22"/>
  <c r="O31" i="22" s="1"/>
  <c r="AF32" i="22"/>
  <c r="W33" i="22"/>
  <c r="E7" i="36"/>
  <c r="H7" i="36" s="1"/>
  <c r="AE33" i="22"/>
  <c r="X108" i="22"/>
  <c r="D104" i="22"/>
  <c r="D23" i="93" s="1"/>
  <c r="D32" i="93" s="1"/>
  <c r="N105" i="22"/>
  <c r="Z105" i="22"/>
  <c r="F107" i="22"/>
  <c r="F26" i="93" s="1"/>
  <c r="F35" i="93" s="1"/>
  <c r="H9" i="91"/>
  <c r="H95" i="91" s="1"/>
  <c r="H127" i="22"/>
  <c r="E108" i="22"/>
  <c r="E27" i="93" s="1"/>
  <c r="E36" i="93" s="1"/>
  <c r="AD71" i="22"/>
  <c r="AF30" i="22"/>
  <c r="U105" i="22"/>
  <c r="H106" i="22"/>
  <c r="H25" i="93" s="1"/>
  <c r="H34" i="93" s="1"/>
  <c r="W106" i="22"/>
  <c r="F18" i="94" s="1"/>
  <c r="F26" i="94" s="1"/>
  <c r="W108" i="22"/>
  <c r="F20" i="94" s="1"/>
  <c r="F28" i="94" s="1"/>
  <c r="N33" i="22"/>
  <c r="E5" i="36"/>
  <c r="H5" i="36" s="1"/>
  <c r="V105" i="22"/>
  <c r="E17" i="94" s="1"/>
  <c r="E25" i="94" s="1"/>
  <c r="I106" i="22"/>
  <c r="I25" i="93" s="1"/>
  <c r="I34" i="93" s="1"/>
  <c r="X106" i="22"/>
  <c r="U107" i="22"/>
  <c r="M30" i="22"/>
  <c r="O30" i="22" s="1"/>
  <c r="U33" i="22"/>
  <c r="Z106" i="22"/>
  <c r="Z108" i="22"/>
  <c r="AB31" i="22"/>
  <c r="AF31" i="22" s="1"/>
  <c r="E4" i="36"/>
  <c r="H4" i="36" s="1"/>
  <c r="AD29" i="22"/>
  <c r="AD33" i="22" s="1"/>
  <c r="H105" i="22"/>
  <c r="H24" i="93" s="1"/>
  <c r="H33" i="93" s="1"/>
  <c r="W105" i="22"/>
  <c r="F17" i="94" s="1"/>
  <c r="F25" i="94" s="1"/>
  <c r="E106" i="22"/>
  <c r="U106" i="22"/>
  <c r="Y106" i="22"/>
  <c r="Y107" i="22"/>
  <c r="D108" i="22"/>
  <c r="D27" i="93" s="1"/>
  <c r="D36" i="93" s="1"/>
  <c r="H107" i="22"/>
  <c r="H26" i="93" s="1"/>
  <c r="H35" i="93" s="1"/>
  <c r="F108" i="22"/>
  <c r="F27" i="93" s="1"/>
  <c r="F36" i="93" s="1"/>
  <c r="V108" i="22"/>
  <c r="E20" i="94" s="1"/>
  <c r="E28" i="94" s="1"/>
  <c r="Y105" i="22"/>
  <c r="Z107" i="22"/>
  <c r="I105" i="22"/>
  <c r="I24" i="93" s="1"/>
  <c r="I33" i="93" s="1"/>
  <c r="X105" i="22"/>
  <c r="F106" i="22"/>
  <c r="F25" i="93" s="1"/>
  <c r="F34" i="93" s="1"/>
  <c r="V106" i="22"/>
  <c r="E18" i="94" s="1"/>
  <c r="E26" i="94" s="1"/>
  <c r="I108" i="22"/>
  <c r="I27" i="93" s="1"/>
  <c r="I36" i="93" s="1"/>
  <c r="D107" i="22"/>
  <c r="D26" i="93" s="1"/>
  <c r="D35" i="93" s="1"/>
  <c r="I107" i="22"/>
  <c r="I26" i="93" s="1"/>
  <c r="I35" i="93" s="1"/>
  <c r="X107" i="22"/>
  <c r="AE107" i="22"/>
  <c r="AE106" i="22"/>
  <c r="Z14" i="22"/>
  <c r="AA12" i="90"/>
  <c r="AA113" i="90" s="1"/>
  <c r="N106" i="22"/>
  <c r="N25" i="93" s="1"/>
  <c r="N34" i="93" s="1"/>
  <c r="K26" i="94" s="1"/>
  <c r="AB11" i="22"/>
  <c r="AB106" i="22" s="1"/>
  <c r="E107" i="22"/>
  <c r="E26" i="93" s="1"/>
  <c r="E35" i="93" s="1"/>
  <c r="E14" i="22"/>
  <c r="D106" i="22"/>
  <c r="D25" i="93" s="1"/>
  <c r="D34" i="93" s="1"/>
  <c r="N107" i="22"/>
  <c r="N26" i="93" s="1"/>
  <c r="N35" i="93" s="1"/>
  <c r="K27" i="94" s="1"/>
  <c r="AB12" i="22"/>
  <c r="AE108" i="22"/>
  <c r="H108" i="22"/>
  <c r="H27" i="93" s="1"/>
  <c r="H36" i="93" s="1"/>
  <c r="W107" i="22"/>
  <c r="F19" i="94" s="1"/>
  <c r="F27" i="94" s="1"/>
  <c r="AE105" i="22"/>
  <c r="AB10" i="22"/>
  <c r="AB105" i="22" s="1"/>
  <c r="N108" i="22"/>
  <c r="N27" i="93" s="1"/>
  <c r="N36" i="93" s="1"/>
  <c r="K28" i="94" s="1"/>
  <c r="AB13" i="22"/>
  <c r="U13" i="39"/>
  <c r="AE14" i="22"/>
  <c r="F104" i="22"/>
  <c r="F23" i="93" s="1"/>
  <c r="F32" i="93" s="1"/>
  <c r="F14" i="22"/>
  <c r="N14" i="22"/>
  <c r="AB9" i="22"/>
  <c r="V104" i="22"/>
  <c r="E16" i="94" s="1"/>
  <c r="E24" i="94" s="1"/>
  <c r="V14" i="22"/>
  <c r="H104" i="22"/>
  <c r="H23" i="93" s="1"/>
  <c r="H32" i="93" s="1"/>
  <c r="H14" i="22"/>
  <c r="W104" i="22"/>
  <c r="F16" i="94" s="1"/>
  <c r="F24" i="94" s="1"/>
  <c r="W14" i="22"/>
  <c r="I14" i="22"/>
  <c r="I104" i="22"/>
  <c r="I23" i="93" s="1"/>
  <c r="I32" i="93" s="1"/>
  <c r="X14" i="22"/>
  <c r="X104" i="22"/>
  <c r="G16" i="94" s="1"/>
  <c r="G24" i="94" s="1"/>
  <c r="U14" i="22"/>
  <c r="U104" i="22"/>
  <c r="D16" i="94" s="1"/>
  <c r="D24" i="94" s="1"/>
  <c r="Y14" i="22"/>
  <c r="Y104" i="22"/>
  <c r="H16" i="94" s="1"/>
  <c r="H24" i="94" s="1"/>
  <c r="AE104" i="22"/>
  <c r="L9" i="36"/>
  <c r="M25" i="36" s="1"/>
  <c r="J107" i="79" l="1"/>
  <c r="K12" i="79"/>
  <c r="M12" i="79" s="1"/>
  <c r="O12" i="79" s="1"/>
  <c r="AD12" i="79"/>
  <c r="AF12" i="79" s="1"/>
  <c r="AD10" i="22"/>
  <c r="AF10" i="22" s="1"/>
  <c r="J10" i="79"/>
  <c r="H9" i="36"/>
  <c r="I25" i="36" s="1"/>
  <c r="D69" i="91"/>
  <c r="I32" i="36"/>
  <c r="P32" i="36" s="1"/>
  <c r="Q32" i="36" s="1"/>
  <c r="J33" i="36"/>
  <c r="L28" i="93"/>
  <c r="N24" i="93"/>
  <c r="N33" i="93" s="1"/>
  <c r="K25" i="94" s="1"/>
  <c r="D143" i="22"/>
  <c r="L143" i="22" s="1"/>
  <c r="E25" i="93"/>
  <c r="E34" i="93" s="1"/>
  <c r="AE11" i="90"/>
  <c r="AE112" i="90" s="1"/>
  <c r="L18" i="94"/>
  <c r="X10" i="90"/>
  <c r="X111" i="90" s="1"/>
  <c r="G17" i="94"/>
  <c r="G25" i="94" s="1"/>
  <c r="Y12" i="90"/>
  <c r="Y113" i="90" s="1"/>
  <c r="H19" i="94"/>
  <c r="H27" i="94" s="1"/>
  <c r="AE12" i="90"/>
  <c r="AE113" i="90" s="1"/>
  <c r="L19" i="94"/>
  <c r="Y11" i="90"/>
  <c r="Y112" i="90" s="1"/>
  <c r="H18" i="94"/>
  <c r="H26" i="94" s="1"/>
  <c r="Z13" i="90"/>
  <c r="Z114" i="90" s="1"/>
  <c r="I20" i="94"/>
  <c r="I28" i="94" s="1"/>
  <c r="AA13" i="90"/>
  <c r="AA114" i="90" s="1"/>
  <c r="J20" i="94"/>
  <c r="J28" i="94" s="1"/>
  <c r="X13" i="90"/>
  <c r="X114" i="90" s="1"/>
  <c r="G20" i="94"/>
  <c r="G28" i="94" s="1"/>
  <c r="AB10" i="90"/>
  <c r="AB111" i="90" s="1"/>
  <c r="K17" i="94"/>
  <c r="AE9" i="90"/>
  <c r="AE110" i="90" s="1"/>
  <c r="L16" i="94"/>
  <c r="N24" i="94" s="1"/>
  <c r="AE10" i="90"/>
  <c r="AE111" i="90" s="1"/>
  <c r="L17" i="94"/>
  <c r="X12" i="90"/>
  <c r="X113" i="90" s="1"/>
  <c r="G19" i="94"/>
  <c r="G27" i="94" s="1"/>
  <c r="Z12" i="90"/>
  <c r="Z113" i="90" s="1"/>
  <c r="I19" i="94"/>
  <c r="I27" i="94" s="1"/>
  <c r="U11" i="90"/>
  <c r="U112" i="90" s="1"/>
  <c r="D18" i="94"/>
  <c r="D26" i="94" s="1"/>
  <c r="Z11" i="90"/>
  <c r="Z112" i="90" s="1"/>
  <c r="I18" i="94"/>
  <c r="I26" i="94" s="1"/>
  <c r="AA10" i="90"/>
  <c r="AA111" i="90" s="1"/>
  <c r="J17" i="94"/>
  <c r="J25" i="94" s="1"/>
  <c r="Y10" i="90"/>
  <c r="Y111" i="90" s="1"/>
  <c r="H17" i="94"/>
  <c r="H25" i="94" s="1"/>
  <c r="U9" i="90"/>
  <c r="U110" i="90" s="1"/>
  <c r="AE13" i="90"/>
  <c r="AE114" i="90" s="1"/>
  <c r="L20" i="94"/>
  <c r="U12" i="90"/>
  <c r="U113" i="90" s="1"/>
  <c r="D19" i="94"/>
  <c r="D27" i="94" s="1"/>
  <c r="AB11" i="90"/>
  <c r="AB112" i="90" s="1"/>
  <c r="K18" i="94"/>
  <c r="X11" i="90"/>
  <c r="X112" i="90" s="1"/>
  <c r="G18" i="94"/>
  <c r="G26" i="94" s="1"/>
  <c r="U10" i="90"/>
  <c r="U111" i="90" s="1"/>
  <c r="D17" i="94"/>
  <c r="D25" i="94" s="1"/>
  <c r="Z10" i="90"/>
  <c r="Z111" i="90" s="1"/>
  <c r="I17" i="94"/>
  <c r="I25" i="94" s="1"/>
  <c r="Z9" i="90"/>
  <c r="Z110" i="90" s="1"/>
  <c r="I16" i="94"/>
  <c r="I24" i="94" s="1"/>
  <c r="D142" i="22"/>
  <c r="L142" i="22" s="1"/>
  <c r="I3" i="36"/>
  <c r="I9" i="64"/>
  <c r="J107" i="75"/>
  <c r="J29" i="90" s="1"/>
  <c r="AD12" i="22"/>
  <c r="AF12" i="22" s="1"/>
  <c r="K12" i="22"/>
  <c r="M12" i="22" s="1"/>
  <c r="O12" i="22" s="1"/>
  <c r="J108" i="79"/>
  <c r="J47" i="90" s="1"/>
  <c r="AD13" i="22"/>
  <c r="AF13" i="22" s="1"/>
  <c r="J106" i="79"/>
  <c r="AD11" i="22"/>
  <c r="AF11" i="22" s="1"/>
  <c r="D144" i="22"/>
  <c r="L144" i="22" s="1"/>
  <c r="D145" i="22"/>
  <c r="D146" i="22"/>
  <c r="H7" i="91"/>
  <c r="H93" i="91" s="1"/>
  <c r="H8" i="91"/>
  <c r="H94" i="91" s="1"/>
  <c r="K144" i="22"/>
  <c r="H10" i="91"/>
  <c r="H96" i="91" s="1"/>
  <c r="K146" i="22"/>
  <c r="I13" i="90"/>
  <c r="I114" i="90" s="1"/>
  <c r="V13" i="90"/>
  <c r="V114" i="90" s="1"/>
  <c r="E13" i="90"/>
  <c r="E114" i="90" s="1"/>
  <c r="H13" i="90"/>
  <c r="H114" i="90" s="1"/>
  <c r="F13" i="90"/>
  <c r="F114" i="90" s="1"/>
  <c r="W13" i="90"/>
  <c r="W114" i="90" s="1"/>
  <c r="N13" i="90"/>
  <c r="N114" i="90" s="1"/>
  <c r="D13" i="90"/>
  <c r="D114" i="90" s="1"/>
  <c r="D12" i="90"/>
  <c r="D113" i="90" s="1"/>
  <c r="F12" i="90"/>
  <c r="F113" i="90" s="1"/>
  <c r="E12" i="90"/>
  <c r="E113" i="90" s="1"/>
  <c r="V12" i="90"/>
  <c r="V113" i="90" s="1"/>
  <c r="W12" i="90"/>
  <c r="W113" i="90" s="1"/>
  <c r="N12" i="90"/>
  <c r="N113" i="90" s="1"/>
  <c r="I12" i="90"/>
  <c r="I113" i="90" s="1"/>
  <c r="H12" i="90"/>
  <c r="H113" i="90" s="1"/>
  <c r="E11" i="90"/>
  <c r="E112" i="90" s="1"/>
  <c r="H11" i="90"/>
  <c r="H112" i="90" s="1"/>
  <c r="V11" i="90"/>
  <c r="V112" i="90" s="1"/>
  <c r="I11" i="90"/>
  <c r="I112" i="90" s="1"/>
  <c r="D11" i="90"/>
  <c r="D112" i="90" s="1"/>
  <c r="N11" i="90"/>
  <c r="N112" i="90" s="1"/>
  <c r="F11" i="90"/>
  <c r="F112" i="90" s="1"/>
  <c r="W11" i="90"/>
  <c r="W112" i="90" s="1"/>
  <c r="I10" i="90"/>
  <c r="I111" i="90" s="1"/>
  <c r="W10" i="90"/>
  <c r="W111" i="90" s="1"/>
  <c r="H10" i="90"/>
  <c r="H111" i="90" s="1"/>
  <c r="N10" i="90"/>
  <c r="N111" i="90" s="1"/>
  <c r="V10" i="90"/>
  <c r="V111" i="90" s="1"/>
  <c r="F10" i="90"/>
  <c r="F111" i="90" s="1"/>
  <c r="F9" i="90"/>
  <c r="F110" i="90" s="1"/>
  <c r="H9" i="90"/>
  <c r="H110" i="90" s="1"/>
  <c r="E9" i="90"/>
  <c r="E110" i="90" s="1"/>
  <c r="V9" i="90"/>
  <c r="V110" i="90" s="1"/>
  <c r="D9" i="90"/>
  <c r="D110" i="90" s="1"/>
  <c r="AG81" i="90"/>
  <c r="K7" i="36"/>
  <c r="D10" i="91"/>
  <c r="D96" i="91" s="1"/>
  <c r="K6" i="36"/>
  <c r="D9" i="91"/>
  <c r="D95" i="91" s="1"/>
  <c r="K5" i="36"/>
  <c r="D8" i="91"/>
  <c r="D94" i="91" s="1"/>
  <c r="D31" i="39"/>
  <c r="D7" i="91"/>
  <c r="D93" i="91" s="1"/>
  <c r="X14" i="82"/>
  <c r="X9" i="90"/>
  <c r="X110" i="90" s="1"/>
  <c r="Y14" i="82"/>
  <c r="Y9" i="90"/>
  <c r="Y110" i="90" s="1"/>
  <c r="W14" i="82"/>
  <c r="W9" i="90"/>
  <c r="W110" i="90" s="1"/>
  <c r="I14" i="82"/>
  <c r="I44" i="82" s="1"/>
  <c r="I9" i="90"/>
  <c r="I110" i="90" s="1"/>
  <c r="L14" i="90"/>
  <c r="L115" i="90" s="1"/>
  <c r="H33" i="39"/>
  <c r="H31" i="39"/>
  <c r="H34" i="39"/>
  <c r="H32" i="39"/>
  <c r="D33" i="39"/>
  <c r="J105" i="75"/>
  <c r="J27" i="90" s="1"/>
  <c r="K9" i="22"/>
  <c r="M9" i="22" s="1"/>
  <c r="O9" i="22" s="1"/>
  <c r="J9" i="79"/>
  <c r="K9" i="79" s="1"/>
  <c r="D32" i="39"/>
  <c r="AG47" i="22"/>
  <c r="AH47" i="22" s="1"/>
  <c r="J106" i="22"/>
  <c r="J25" i="93" s="1"/>
  <c r="J34" i="93" s="1"/>
  <c r="K11" i="22"/>
  <c r="M11" i="22" s="1"/>
  <c r="O11" i="22" s="1"/>
  <c r="J105" i="22"/>
  <c r="K10" i="22"/>
  <c r="M10" i="22" s="1"/>
  <c r="O10" i="22" s="1"/>
  <c r="J108" i="22"/>
  <c r="J27" i="93" s="1"/>
  <c r="J36" i="93" s="1"/>
  <c r="K13" i="22"/>
  <c r="M13" i="22" s="1"/>
  <c r="O13" i="22" s="1"/>
  <c r="J107" i="22"/>
  <c r="J26" i="93" s="1"/>
  <c r="J35" i="93" s="1"/>
  <c r="L14" i="39"/>
  <c r="L44" i="39" s="1"/>
  <c r="D131" i="22"/>
  <c r="D12" i="91" s="1"/>
  <c r="K4" i="36"/>
  <c r="K12" i="82"/>
  <c r="M12" i="82" s="1"/>
  <c r="N6" i="83"/>
  <c r="O6" i="83" s="1"/>
  <c r="P6" i="83" s="1"/>
  <c r="K13" i="82"/>
  <c r="M13" i="82" s="1"/>
  <c r="E14" i="82"/>
  <c r="E44" i="82" s="1"/>
  <c r="N6" i="77"/>
  <c r="O6" i="77" s="1"/>
  <c r="P6" i="77" s="1"/>
  <c r="N5" i="77"/>
  <c r="O5" i="77" s="1"/>
  <c r="P5" i="77" s="1"/>
  <c r="L143" i="85"/>
  <c r="M143" i="85" s="1"/>
  <c r="D147" i="85"/>
  <c r="L14" i="82"/>
  <c r="L44" i="82" s="1"/>
  <c r="M9" i="75"/>
  <c r="U14" i="82"/>
  <c r="V14" i="82"/>
  <c r="F14" i="82"/>
  <c r="F44" i="82" s="1"/>
  <c r="Z14" i="82"/>
  <c r="N4" i="77"/>
  <c r="O4" i="77" s="1"/>
  <c r="P4" i="77" s="1"/>
  <c r="D36" i="82"/>
  <c r="D45" i="82" s="1"/>
  <c r="AF9" i="75"/>
  <c r="K9" i="83"/>
  <c r="L23" i="36" s="1"/>
  <c r="J108" i="75"/>
  <c r="J30" i="90" s="1"/>
  <c r="AD13" i="75"/>
  <c r="AF13" i="75" s="1"/>
  <c r="K13" i="75"/>
  <c r="M13" i="75" s="1"/>
  <c r="O13" i="75" s="1"/>
  <c r="J104" i="22"/>
  <c r="J23" i="93" s="1"/>
  <c r="J32" i="93" s="1"/>
  <c r="J106" i="75"/>
  <c r="J28" i="90" s="1"/>
  <c r="AD11" i="75"/>
  <c r="AF11" i="75" s="1"/>
  <c r="K11" i="75"/>
  <c r="M11" i="75" s="1"/>
  <c r="O11" i="75" s="1"/>
  <c r="AE14" i="82"/>
  <c r="H14" i="82"/>
  <c r="H44" i="82" s="1"/>
  <c r="N5" i="83"/>
  <c r="O5" i="83" s="1"/>
  <c r="P5" i="83" s="1"/>
  <c r="K11" i="82"/>
  <c r="M11" i="82" s="1"/>
  <c r="O11" i="82" s="1"/>
  <c r="AF11" i="82"/>
  <c r="N4" i="83"/>
  <c r="O4" i="83" s="1"/>
  <c r="P4" i="83" s="1"/>
  <c r="K10" i="82"/>
  <c r="M10" i="82" s="1"/>
  <c r="O10" i="82" s="1"/>
  <c r="J9" i="76"/>
  <c r="AD104" i="75"/>
  <c r="AD26" i="90" s="1"/>
  <c r="K104" i="75"/>
  <c r="K26" i="90" s="1"/>
  <c r="D34" i="39"/>
  <c r="N7" i="77"/>
  <c r="O7" i="77" s="1"/>
  <c r="P7" i="77" s="1"/>
  <c r="D33" i="76"/>
  <c r="D145" i="75"/>
  <c r="L145" i="75" s="1"/>
  <c r="M145" i="75" s="1"/>
  <c r="D31" i="76"/>
  <c r="D143" i="75"/>
  <c r="D131" i="75"/>
  <c r="O3" i="77"/>
  <c r="P3" i="77" s="1"/>
  <c r="D34" i="76"/>
  <c r="D146" i="75"/>
  <c r="L146" i="75" s="1"/>
  <c r="M146" i="75" s="1"/>
  <c r="D32" i="76"/>
  <c r="D144" i="75"/>
  <c r="L144" i="75" s="1"/>
  <c r="M144" i="75" s="1"/>
  <c r="N11" i="39"/>
  <c r="Y10" i="39"/>
  <c r="V12" i="39"/>
  <c r="Y12" i="39"/>
  <c r="W10" i="39"/>
  <c r="U10" i="39"/>
  <c r="Z10" i="39"/>
  <c r="J3" i="36"/>
  <c r="H10" i="39"/>
  <c r="W13" i="39"/>
  <c r="X13" i="39"/>
  <c r="F10" i="39"/>
  <c r="D12" i="39"/>
  <c r="D13" i="39"/>
  <c r="D9" i="39"/>
  <c r="AG67" i="22"/>
  <c r="AH67" i="22" s="1"/>
  <c r="J14" i="22"/>
  <c r="AD9" i="22"/>
  <c r="AF9" i="22" s="1"/>
  <c r="AF52" i="22"/>
  <c r="AF90" i="22"/>
  <c r="AG69" i="22"/>
  <c r="AH69" i="22" s="1"/>
  <c r="AG85" i="22"/>
  <c r="AH85" i="22" s="1"/>
  <c r="M3" i="36"/>
  <c r="M9" i="36" s="1"/>
  <c r="Y73" i="22"/>
  <c r="Y35" i="22"/>
  <c r="Z9" i="39"/>
  <c r="N71" i="22"/>
  <c r="AB66" i="22"/>
  <c r="AB104" i="22" s="1"/>
  <c r="AG68" i="22"/>
  <c r="AH68" i="22" s="1"/>
  <c r="K71" i="22"/>
  <c r="M66" i="22"/>
  <c r="E9" i="39"/>
  <c r="U11" i="39"/>
  <c r="F11" i="39"/>
  <c r="H131" i="22"/>
  <c r="H12" i="91" s="1"/>
  <c r="H98" i="91" s="1"/>
  <c r="I11" i="39"/>
  <c r="I4" i="36"/>
  <c r="D10" i="39"/>
  <c r="AG28" i="22"/>
  <c r="AH28" i="22" s="1"/>
  <c r="H11" i="39"/>
  <c r="Z11" i="39"/>
  <c r="X12" i="39"/>
  <c r="E11" i="39"/>
  <c r="I7" i="36"/>
  <c r="AG31" i="22"/>
  <c r="AH31" i="22" s="1"/>
  <c r="E13" i="39"/>
  <c r="N10" i="39"/>
  <c r="I10" i="39"/>
  <c r="W11" i="39"/>
  <c r="AA13" i="39"/>
  <c r="F12" i="39"/>
  <c r="Y11" i="39"/>
  <c r="F13" i="39"/>
  <c r="J4" i="36"/>
  <c r="Z109" i="22"/>
  <c r="H12" i="39"/>
  <c r="AF29" i="22"/>
  <c r="AG29" i="22" s="1"/>
  <c r="AH29" i="22" s="1"/>
  <c r="X11" i="39"/>
  <c r="E9" i="36"/>
  <c r="F25" i="36" s="1"/>
  <c r="AG32" i="22"/>
  <c r="AH32" i="22" s="1"/>
  <c r="I6" i="36"/>
  <c r="U12" i="39"/>
  <c r="AB33" i="22"/>
  <c r="V13" i="39"/>
  <c r="AB107" i="22"/>
  <c r="K19" i="94" s="1"/>
  <c r="E109" i="22"/>
  <c r="I13" i="39"/>
  <c r="K33" i="22"/>
  <c r="Z13" i="39"/>
  <c r="AG30" i="22"/>
  <c r="AH30" i="22" s="1"/>
  <c r="M33" i="22"/>
  <c r="I12" i="39"/>
  <c r="V10" i="39"/>
  <c r="X10" i="39"/>
  <c r="V11" i="39"/>
  <c r="Z12" i="39"/>
  <c r="O33" i="22"/>
  <c r="AA14" i="22"/>
  <c r="AE11" i="39"/>
  <c r="J5" i="36"/>
  <c r="E10" i="39"/>
  <c r="AB11" i="39"/>
  <c r="AA12" i="39"/>
  <c r="AE12" i="39"/>
  <c r="F9" i="39"/>
  <c r="F109" i="22"/>
  <c r="D109" i="22"/>
  <c r="AA10" i="39"/>
  <c r="AB14" i="22"/>
  <c r="AE10" i="39"/>
  <c r="AE13" i="39"/>
  <c r="J6" i="36"/>
  <c r="N12" i="39"/>
  <c r="E12" i="39"/>
  <c r="AB108" i="22"/>
  <c r="K20" i="94" s="1"/>
  <c r="H13" i="39"/>
  <c r="I5" i="36"/>
  <c r="D11" i="39"/>
  <c r="N13" i="39"/>
  <c r="J7" i="36"/>
  <c r="N109" i="22"/>
  <c r="AB10" i="39"/>
  <c r="W12" i="39"/>
  <c r="N9" i="39"/>
  <c r="V9" i="39"/>
  <c r="V109" i="22"/>
  <c r="E21" i="94" s="1"/>
  <c r="E29" i="94" s="1"/>
  <c r="U109" i="22"/>
  <c r="U9" i="39"/>
  <c r="Y9" i="39"/>
  <c r="Y109" i="22"/>
  <c r="Y16" i="22"/>
  <c r="I109" i="22"/>
  <c r="I9" i="39"/>
  <c r="W109" i="22"/>
  <c r="W9" i="39"/>
  <c r="AE109" i="22"/>
  <c r="AE9" i="39"/>
  <c r="X9" i="39"/>
  <c r="X109" i="22"/>
  <c r="H109" i="22"/>
  <c r="H9" i="39"/>
  <c r="D34" i="36" l="1"/>
  <c r="F34" i="36"/>
  <c r="E34" i="36"/>
  <c r="AG12" i="79"/>
  <c r="AH12" i="79" s="1"/>
  <c r="J46" i="90"/>
  <c r="J12" i="81"/>
  <c r="K12" i="81" s="1"/>
  <c r="M12" i="81" s="1"/>
  <c r="O12" i="81" s="1"/>
  <c r="AD107" i="79"/>
  <c r="K107" i="79"/>
  <c r="J105" i="79"/>
  <c r="K10" i="79"/>
  <c r="M10" i="79" s="1"/>
  <c r="O10" i="79" s="1"/>
  <c r="AD10" i="79"/>
  <c r="AF10" i="79" s="1"/>
  <c r="L24" i="94"/>
  <c r="D27" i="91"/>
  <c r="D98" i="91" s="1"/>
  <c r="I29" i="36"/>
  <c r="P3" i="70"/>
  <c r="N25" i="36"/>
  <c r="L27" i="94"/>
  <c r="N27" i="94"/>
  <c r="L28" i="94"/>
  <c r="N28" i="94"/>
  <c r="L25" i="94"/>
  <c r="N25" i="94"/>
  <c r="L26" i="94"/>
  <c r="N26" i="94"/>
  <c r="J24" i="93"/>
  <c r="J33" i="93" s="1"/>
  <c r="AD105" i="22"/>
  <c r="M17" i="94" s="1"/>
  <c r="M25" i="94" s="1"/>
  <c r="D14" i="90"/>
  <c r="D115" i="90" s="1"/>
  <c r="D28" i="93"/>
  <c r="Z14" i="90"/>
  <c r="Z115" i="90" s="1"/>
  <c r="I21" i="94"/>
  <c r="I29" i="94" s="1"/>
  <c r="F14" i="90"/>
  <c r="F115" i="90" s="1"/>
  <c r="F28" i="93"/>
  <c r="U14" i="90"/>
  <c r="U115" i="90" s="1"/>
  <c r="Y111" i="22"/>
  <c r="D21" i="94"/>
  <c r="D29" i="94" s="1"/>
  <c r="AB9" i="90"/>
  <c r="AB110" i="90" s="1"/>
  <c r="K16" i="94"/>
  <c r="W14" i="90"/>
  <c r="W115" i="90" s="1"/>
  <c r="F21" i="94"/>
  <c r="F29" i="94" s="1"/>
  <c r="AE14" i="90"/>
  <c r="AE115" i="90" s="1"/>
  <c r="L21" i="94"/>
  <c r="L29" i="94" s="1"/>
  <c r="E14" i="90"/>
  <c r="E115" i="90" s="1"/>
  <c r="E28" i="93"/>
  <c r="Y14" i="90"/>
  <c r="Y115" i="90" s="1"/>
  <c r="H21" i="94"/>
  <c r="H29" i="94" s="1"/>
  <c r="H14" i="90"/>
  <c r="H115" i="90" s="1"/>
  <c r="H28" i="93"/>
  <c r="I14" i="90"/>
  <c r="I115" i="90" s="1"/>
  <c r="I28" i="93"/>
  <c r="N14" i="90"/>
  <c r="N115" i="90" s="1"/>
  <c r="N28" i="93"/>
  <c r="X14" i="90"/>
  <c r="X115" i="90" s="1"/>
  <c r="G21" i="94"/>
  <c r="G29" i="94" s="1"/>
  <c r="AA11" i="90"/>
  <c r="AA112" i="90" s="1"/>
  <c r="J18" i="94"/>
  <c r="J26" i="94" s="1"/>
  <c r="M143" i="22"/>
  <c r="L146" i="22"/>
  <c r="M146" i="22" s="1"/>
  <c r="M144" i="22"/>
  <c r="L145" i="22"/>
  <c r="M145" i="22" s="1"/>
  <c r="N3" i="36"/>
  <c r="O3" i="36" s="1"/>
  <c r="P3" i="36" s="1"/>
  <c r="AG52" i="22"/>
  <c r="AH52" i="22" s="1"/>
  <c r="K12" i="75"/>
  <c r="M12" i="75" s="1"/>
  <c r="O12" i="75" s="1"/>
  <c r="AD12" i="75"/>
  <c r="AF12" i="75" s="1"/>
  <c r="K11" i="79"/>
  <c r="M11" i="79" s="1"/>
  <c r="O11" i="79" s="1"/>
  <c r="AD13" i="79"/>
  <c r="AF13" i="79" s="1"/>
  <c r="AD11" i="79"/>
  <c r="AF11" i="79" s="1"/>
  <c r="K13" i="79"/>
  <c r="M13" i="79" s="1"/>
  <c r="J14" i="79"/>
  <c r="K147" i="22"/>
  <c r="D147" i="22"/>
  <c r="V14" i="90"/>
  <c r="V115" i="90" s="1"/>
  <c r="J12" i="90"/>
  <c r="J13" i="90"/>
  <c r="J114" i="90" s="1"/>
  <c r="J9" i="90"/>
  <c r="J45" i="90"/>
  <c r="J11" i="81"/>
  <c r="K11" i="81" s="1"/>
  <c r="M11" i="81" s="1"/>
  <c r="O11" i="81" s="1"/>
  <c r="AD106" i="79"/>
  <c r="AF11" i="99" s="1"/>
  <c r="K106" i="79"/>
  <c r="K9" i="36"/>
  <c r="E21" i="64"/>
  <c r="G21" i="64" s="1"/>
  <c r="J11" i="90"/>
  <c r="E20" i="64"/>
  <c r="H20" i="64" s="1"/>
  <c r="J10" i="90"/>
  <c r="AF13" i="82"/>
  <c r="AB13" i="90"/>
  <c r="AB114" i="90" s="1"/>
  <c r="AF12" i="82"/>
  <c r="AB12" i="90"/>
  <c r="AB113" i="90" s="1"/>
  <c r="AA14" i="82"/>
  <c r="AA9" i="90"/>
  <c r="AA110" i="90" s="1"/>
  <c r="J11" i="39"/>
  <c r="K11" i="39" s="1"/>
  <c r="M11" i="39" s="1"/>
  <c r="O11" i="39" s="1"/>
  <c r="AD107" i="22"/>
  <c r="M19" i="94" s="1"/>
  <c r="M27" i="94" s="1"/>
  <c r="E22" i="64"/>
  <c r="J14" i="82"/>
  <c r="J44" i="82" s="1"/>
  <c r="E19" i="64"/>
  <c r="J13" i="39"/>
  <c r="K13" i="39" s="1"/>
  <c r="M13" i="39" s="1"/>
  <c r="O13" i="39" s="1"/>
  <c r="E23" i="64"/>
  <c r="J10" i="39"/>
  <c r="K10" i="39" s="1"/>
  <c r="M10" i="39" s="1"/>
  <c r="O10" i="39" s="1"/>
  <c r="D36" i="76"/>
  <c r="D45" i="76" s="1"/>
  <c r="H36" i="39"/>
  <c r="H45" i="39" s="1"/>
  <c r="H36" i="88"/>
  <c r="H45" i="88" s="1"/>
  <c r="H45" i="76"/>
  <c r="H36" i="82"/>
  <c r="H45" i="82" s="1"/>
  <c r="H46" i="81"/>
  <c r="J14" i="75"/>
  <c r="K10" i="75"/>
  <c r="M10" i="75" s="1"/>
  <c r="O10" i="75" s="1"/>
  <c r="AD10" i="75"/>
  <c r="AF10" i="75" s="1"/>
  <c r="J104" i="79"/>
  <c r="M9" i="79"/>
  <c r="O9" i="79" s="1"/>
  <c r="AD9" i="79"/>
  <c r="AF9" i="79" s="1"/>
  <c r="D36" i="39"/>
  <c r="D45" i="39" s="1"/>
  <c r="AD108" i="22"/>
  <c r="M20" i="94" s="1"/>
  <c r="M28" i="94" s="1"/>
  <c r="K108" i="22"/>
  <c r="K27" i="93" s="1"/>
  <c r="K36" i="93" s="1"/>
  <c r="AG9" i="22"/>
  <c r="AH9" i="22" s="1"/>
  <c r="J12" i="39"/>
  <c r="K12" i="39" s="1"/>
  <c r="M12" i="39" s="1"/>
  <c r="O12" i="39" s="1"/>
  <c r="K107" i="22"/>
  <c r="K26" i="93" s="1"/>
  <c r="K35" i="93" s="1"/>
  <c r="K105" i="22"/>
  <c r="K24" i="93" s="1"/>
  <c r="K33" i="93" s="1"/>
  <c r="AD106" i="22"/>
  <c r="M18" i="94" s="1"/>
  <c r="M26" i="94" s="1"/>
  <c r="K106" i="22"/>
  <c r="K25" i="93" s="1"/>
  <c r="K34" i="93" s="1"/>
  <c r="AD14" i="22"/>
  <c r="K14" i="22"/>
  <c r="AG11" i="22"/>
  <c r="AH11" i="22" s="1"/>
  <c r="AG10" i="22"/>
  <c r="AH10" i="22" s="1"/>
  <c r="Y16" i="82"/>
  <c r="AG11" i="82"/>
  <c r="AH11" i="82" s="1"/>
  <c r="AG13" i="75"/>
  <c r="AH13" i="75" s="1"/>
  <c r="AG11" i="75"/>
  <c r="AH11" i="75" s="1"/>
  <c r="J109" i="75"/>
  <c r="J31" i="90" s="1"/>
  <c r="AD104" i="22"/>
  <c r="M16" i="94" s="1"/>
  <c r="M24" i="94" s="1"/>
  <c r="J109" i="22"/>
  <c r="AB14" i="82"/>
  <c r="K9" i="76"/>
  <c r="J12" i="76"/>
  <c r="K12" i="76" s="1"/>
  <c r="M12" i="76" s="1"/>
  <c r="O12" i="76" s="1"/>
  <c r="AD107" i="75"/>
  <c r="AD29" i="90" s="1"/>
  <c r="K107" i="75"/>
  <c r="J10" i="76"/>
  <c r="K10" i="76" s="1"/>
  <c r="M10" i="76" s="1"/>
  <c r="O10" i="76" s="1"/>
  <c r="AD105" i="75"/>
  <c r="AD27" i="90" s="1"/>
  <c r="K105" i="75"/>
  <c r="AF9" i="82"/>
  <c r="L147" i="85"/>
  <c r="M147" i="85" s="1"/>
  <c r="J9" i="83"/>
  <c r="K23" i="36" s="1"/>
  <c r="K24" i="36" s="1"/>
  <c r="N7" i="83"/>
  <c r="O7" i="83" s="1"/>
  <c r="P7" i="83" s="1"/>
  <c r="AD14" i="82"/>
  <c r="AD106" i="75"/>
  <c r="AD28" i="90" s="1"/>
  <c r="J11" i="76"/>
  <c r="K11" i="76" s="1"/>
  <c r="M11" i="76" s="1"/>
  <c r="O11" i="76" s="1"/>
  <c r="K106" i="75"/>
  <c r="J13" i="81"/>
  <c r="AD108" i="79"/>
  <c r="AF108" i="79" s="1"/>
  <c r="K108" i="79"/>
  <c r="K47" i="90" s="1"/>
  <c r="K108" i="75"/>
  <c r="J13" i="76"/>
  <c r="K13" i="76" s="1"/>
  <c r="M13" i="76" s="1"/>
  <c r="O13" i="76" s="1"/>
  <c r="AD108" i="75"/>
  <c r="AD30" i="90" s="1"/>
  <c r="I9" i="83"/>
  <c r="J23" i="36" s="1"/>
  <c r="J24" i="36" s="1"/>
  <c r="N3" i="83"/>
  <c r="O13" i="82"/>
  <c r="M104" i="75"/>
  <c r="M26" i="90" s="1"/>
  <c r="D14" i="82"/>
  <c r="D44" i="82" s="1"/>
  <c r="K9" i="82"/>
  <c r="J9" i="39"/>
  <c r="K104" i="22"/>
  <c r="K23" i="93" s="1"/>
  <c r="K32" i="93" s="1"/>
  <c r="AD9" i="76"/>
  <c r="AF104" i="75"/>
  <c r="AF26" i="90" s="1"/>
  <c r="O9" i="75"/>
  <c r="N14" i="82"/>
  <c r="N44" i="82" s="1"/>
  <c r="O12" i="82"/>
  <c r="L143" i="75"/>
  <c r="M143" i="75" s="1"/>
  <c r="D147" i="75"/>
  <c r="N9" i="77"/>
  <c r="O20" i="36" s="1"/>
  <c r="K9" i="77"/>
  <c r="L20" i="36" s="1"/>
  <c r="L24" i="36" s="1"/>
  <c r="O9" i="77"/>
  <c r="P9" i="77" s="1"/>
  <c r="AA9" i="39"/>
  <c r="AG12" i="22"/>
  <c r="AH12" i="22" s="1"/>
  <c r="AG13" i="22"/>
  <c r="AH13" i="22" s="1"/>
  <c r="M142" i="22"/>
  <c r="N7" i="36"/>
  <c r="N6" i="36"/>
  <c r="O6" i="36" s="1"/>
  <c r="P6" i="36" s="1"/>
  <c r="N5" i="36"/>
  <c r="O5" i="36" s="1"/>
  <c r="P5" i="36" s="1"/>
  <c r="AG90" i="22"/>
  <c r="AH90" i="22" s="1"/>
  <c r="N4" i="36"/>
  <c r="O4" i="36" s="1"/>
  <c r="P4" i="36" s="1"/>
  <c r="Y14" i="39"/>
  <c r="I14" i="39"/>
  <c r="I44" i="39" s="1"/>
  <c r="AF33" i="22"/>
  <c r="AG33" i="22"/>
  <c r="AH33" i="22" s="1"/>
  <c r="X14" i="39"/>
  <c r="F14" i="39"/>
  <c r="F44" i="39" s="1"/>
  <c r="AB9" i="39"/>
  <c r="AB109" i="22"/>
  <c r="AB71" i="22"/>
  <c r="AF66" i="22"/>
  <c r="AF71" i="22" s="1"/>
  <c r="O66" i="22"/>
  <c r="M71" i="22"/>
  <c r="Z14" i="39"/>
  <c r="AB12" i="39"/>
  <c r="V14" i="39"/>
  <c r="H14" i="39"/>
  <c r="H44" i="39" s="1"/>
  <c r="E14" i="39"/>
  <c r="E44" i="39" s="1"/>
  <c r="D14" i="39"/>
  <c r="D44" i="39" s="1"/>
  <c r="J9" i="36"/>
  <c r="AE14" i="39"/>
  <c r="I9" i="36"/>
  <c r="AA11" i="39"/>
  <c r="W14" i="39"/>
  <c r="N14" i="39"/>
  <c r="N44" i="39" s="1"/>
  <c r="AB13" i="39"/>
  <c r="U14" i="39"/>
  <c r="J25" i="36" l="1"/>
  <c r="J113" i="90"/>
  <c r="AG10" i="79"/>
  <c r="AH10" i="79" s="1"/>
  <c r="M107" i="79"/>
  <c r="K46" i="90"/>
  <c r="AD46" i="90"/>
  <c r="AD12" i="81"/>
  <c r="AF12" i="81" s="1"/>
  <c r="AG12" i="81" s="1"/>
  <c r="AH12" i="81" s="1"/>
  <c r="AF107" i="79"/>
  <c r="AF46" i="90" s="1"/>
  <c r="J44" i="90"/>
  <c r="J111" i="90" s="1"/>
  <c r="J10" i="81"/>
  <c r="K10" i="81" s="1"/>
  <c r="M10" i="81" s="1"/>
  <c r="O10" i="81" s="1"/>
  <c r="K105" i="79"/>
  <c r="AD105" i="79"/>
  <c r="J112" i="90"/>
  <c r="AG11" i="99"/>
  <c r="AH11" i="99" s="1"/>
  <c r="AD47" i="90"/>
  <c r="AF13" i="99"/>
  <c r="AG13" i="99" s="1"/>
  <c r="AH13" i="99" s="1"/>
  <c r="N29" i="94"/>
  <c r="L25" i="36"/>
  <c r="K25" i="36"/>
  <c r="I33" i="36"/>
  <c r="P29" i="36"/>
  <c r="J14" i="90"/>
  <c r="J28" i="93"/>
  <c r="AB14" i="90"/>
  <c r="AB115" i="90" s="1"/>
  <c r="K21" i="94"/>
  <c r="K29" i="94" s="1"/>
  <c r="AA14" i="90"/>
  <c r="AA115" i="90" s="1"/>
  <c r="L147" i="22"/>
  <c r="M147" i="22" s="1"/>
  <c r="AG12" i="75"/>
  <c r="AH12" i="75" s="1"/>
  <c r="AG11" i="79"/>
  <c r="AH11" i="79" s="1"/>
  <c r="AF106" i="79"/>
  <c r="AD45" i="90"/>
  <c r="AD11" i="81"/>
  <c r="AF11" i="81" s="1"/>
  <c r="AG11" i="81" s="1"/>
  <c r="AH11" i="81" s="1"/>
  <c r="M106" i="79"/>
  <c r="K45" i="90"/>
  <c r="F19" i="64"/>
  <c r="H19" i="64"/>
  <c r="F20" i="64"/>
  <c r="G20" i="64"/>
  <c r="F21" i="64"/>
  <c r="H21" i="64"/>
  <c r="AG13" i="82"/>
  <c r="AH13" i="82" s="1"/>
  <c r="AG12" i="82"/>
  <c r="AH12" i="82" s="1"/>
  <c r="M108" i="75"/>
  <c r="K30" i="90"/>
  <c r="J109" i="79"/>
  <c r="J48" i="90" s="1"/>
  <c r="J43" i="90"/>
  <c r="J110" i="90" s="1"/>
  <c r="AD13" i="39"/>
  <c r="AF13" i="39" s="1"/>
  <c r="AG13" i="39" s="1"/>
  <c r="AH13" i="39" s="1"/>
  <c r="AD13" i="90"/>
  <c r="M108" i="22"/>
  <c r="K13" i="90"/>
  <c r="M107" i="22"/>
  <c r="O107" i="22" s="1"/>
  <c r="K12" i="90"/>
  <c r="AD12" i="39"/>
  <c r="AF12" i="39" s="1"/>
  <c r="AG12" i="39" s="1"/>
  <c r="AH12" i="39" s="1"/>
  <c r="AD12" i="90"/>
  <c r="M107" i="75"/>
  <c r="M29" i="90" s="1"/>
  <c r="K29" i="90"/>
  <c r="M106" i="75"/>
  <c r="O106" i="75" s="1"/>
  <c r="O28" i="90" s="1"/>
  <c r="K28" i="90"/>
  <c r="M106" i="22"/>
  <c r="K11" i="90"/>
  <c r="AD11" i="39"/>
  <c r="AF11" i="39" s="1"/>
  <c r="AG11" i="39" s="1"/>
  <c r="AH11" i="39" s="1"/>
  <c r="AD11" i="90"/>
  <c r="M105" i="22"/>
  <c r="K10" i="90"/>
  <c r="AF10" i="82"/>
  <c r="AG10" i="82" s="1"/>
  <c r="AH10" i="82" s="1"/>
  <c r="AD10" i="90"/>
  <c r="M105" i="75"/>
  <c r="M27" i="90" s="1"/>
  <c r="K27" i="90"/>
  <c r="AF104" i="22"/>
  <c r="AD9" i="90"/>
  <c r="M104" i="22"/>
  <c r="K9" i="90"/>
  <c r="H23" i="64"/>
  <c r="F23" i="64"/>
  <c r="G23" i="64"/>
  <c r="AF107" i="22"/>
  <c r="G19" i="64"/>
  <c r="H22" i="64"/>
  <c r="F22" i="64"/>
  <c r="G22" i="64"/>
  <c r="E24" i="64"/>
  <c r="M14" i="75"/>
  <c r="O14" i="75"/>
  <c r="K14" i="75"/>
  <c r="AG10" i="75"/>
  <c r="AH10" i="75" s="1"/>
  <c r="AD14" i="79"/>
  <c r="AD14" i="75"/>
  <c r="AF14" i="75"/>
  <c r="K14" i="79"/>
  <c r="AG9" i="79"/>
  <c r="AH9" i="79" s="1"/>
  <c r="J9" i="81"/>
  <c r="K9" i="81" s="1"/>
  <c r="M9" i="81" s="1"/>
  <c r="O9" i="81" s="1"/>
  <c r="K104" i="79"/>
  <c r="AD104" i="79"/>
  <c r="J14" i="39"/>
  <c r="J44" i="39" s="1"/>
  <c r="AF108" i="22"/>
  <c r="N20" i="94" s="1"/>
  <c r="O28" i="94" s="1"/>
  <c r="AF106" i="22"/>
  <c r="N18" i="94" s="1"/>
  <c r="O26" i="94" s="1"/>
  <c r="AF105" i="22"/>
  <c r="N17" i="94" s="1"/>
  <c r="O25" i="94" s="1"/>
  <c r="AD10" i="39"/>
  <c r="AF10" i="39" s="1"/>
  <c r="AG10" i="39" s="1"/>
  <c r="AH10" i="39" s="1"/>
  <c r="K9" i="39"/>
  <c r="M9" i="39" s="1"/>
  <c r="O9" i="39" s="1"/>
  <c r="O14" i="39" s="1"/>
  <c r="AF14" i="22"/>
  <c r="AG14" i="22"/>
  <c r="AH14" i="22" s="1"/>
  <c r="AD9" i="39"/>
  <c r="AD109" i="75"/>
  <c r="AD31" i="90" s="1"/>
  <c r="K109" i="22"/>
  <c r="AD109" i="22"/>
  <c r="K109" i="75"/>
  <c r="K31" i="90" s="1"/>
  <c r="M108" i="79"/>
  <c r="M47" i="90" s="1"/>
  <c r="AD10" i="76"/>
  <c r="AF10" i="76" s="1"/>
  <c r="AG10" i="76" s="1"/>
  <c r="AH10" i="76" s="1"/>
  <c r="AF105" i="75"/>
  <c r="J14" i="76"/>
  <c r="J44" i="76" s="1"/>
  <c r="O104" i="75"/>
  <c r="O26" i="90" s="1"/>
  <c r="AD13" i="76"/>
  <c r="AF13" i="76" s="1"/>
  <c r="AG13" i="76" s="1"/>
  <c r="AH13" i="76" s="1"/>
  <c r="AF108" i="75"/>
  <c r="AF14" i="79"/>
  <c r="AF9" i="76"/>
  <c r="M9" i="82"/>
  <c r="K14" i="82"/>
  <c r="K44" i="82" s="1"/>
  <c r="AD13" i="81"/>
  <c r="AF47" i="90"/>
  <c r="AD11" i="76"/>
  <c r="AF11" i="76" s="1"/>
  <c r="AG11" i="76" s="1"/>
  <c r="AH11" i="76" s="1"/>
  <c r="AF106" i="75"/>
  <c r="O13" i="79"/>
  <c r="O14" i="79" s="1"/>
  <c r="M14" i="79"/>
  <c r="AG9" i="75"/>
  <c r="AH9" i="75" s="1"/>
  <c r="N9" i="83"/>
  <c r="O23" i="36" s="1"/>
  <c r="O24" i="36" s="1"/>
  <c r="O3" i="83"/>
  <c r="P3" i="83" s="1"/>
  <c r="K13" i="81"/>
  <c r="AD12" i="76"/>
  <c r="AF12" i="76" s="1"/>
  <c r="AG12" i="76" s="1"/>
  <c r="AH12" i="76" s="1"/>
  <c r="AF107" i="75"/>
  <c r="M9" i="76"/>
  <c r="K14" i="76"/>
  <c r="L147" i="75"/>
  <c r="M147" i="75" s="1"/>
  <c r="M14" i="22"/>
  <c r="O7" i="36"/>
  <c r="P7" i="36" s="1"/>
  <c r="N9" i="36"/>
  <c r="O71" i="22"/>
  <c r="AG66" i="22"/>
  <c r="AH66" i="22" s="1"/>
  <c r="Y16" i="39"/>
  <c r="AB14" i="39"/>
  <c r="AA14" i="39"/>
  <c r="O14" i="22"/>
  <c r="O25" i="36" l="1"/>
  <c r="AD113" i="90"/>
  <c r="O107" i="79"/>
  <c r="O46" i="90" s="1"/>
  <c r="M46" i="90"/>
  <c r="AF10" i="99"/>
  <c r="AG10" i="99" s="1"/>
  <c r="AH10" i="99" s="1"/>
  <c r="AF105" i="79"/>
  <c r="AD10" i="81"/>
  <c r="AF10" i="81" s="1"/>
  <c r="AG10" i="81" s="1"/>
  <c r="AH10" i="81" s="1"/>
  <c r="AD44" i="90"/>
  <c r="AD111" i="90" s="1"/>
  <c r="K44" i="90"/>
  <c r="K111" i="90" s="1"/>
  <c r="M105" i="79"/>
  <c r="AD114" i="90"/>
  <c r="AD112" i="90"/>
  <c r="K114" i="90"/>
  <c r="K113" i="90"/>
  <c r="K112" i="90"/>
  <c r="J115" i="90"/>
  <c r="AD14" i="99"/>
  <c r="AF9" i="99"/>
  <c r="Q29" i="36"/>
  <c r="Q33" i="36" s="1"/>
  <c r="P33" i="36"/>
  <c r="P35" i="36" s="1"/>
  <c r="AF12" i="90"/>
  <c r="N19" i="94"/>
  <c r="O27" i="94" s="1"/>
  <c r="M11" i="90"/>
  <c r="M25" i="93"/>
  <c r="M34" i="93" s="1"/>
  <c r="AG107" i="22"/>
  <c r="M26" i="93"/>
  <c r="M35" i="93" s="1"/>
  <c r="M13" i="90"/>
  <c r="M27" i="93"/>
  <c r="M36" i="93" s="1"/>
  <c r="M9" i="90"/>
  <c r="M23" i="93"/>
  <c r="M32" i="93" s="1"/>
  <c r="O105" i="22"/>
  <c r="AG105" i="22" s="1"/>
  <c r="M24" i="93"/>
  <c r="M33" i="93" s="1"/>
  <c r="AD14" i="90"/>
  <c r="M21" i="94"/>
  <c r="M29" i="94" s="1"/>
  <c r="K14" i="90"/>
  <c r="K28" i="93"/>
  <c r="AF9" i="90"/>
  <c r="N16" i="94"/>
  <c r="O24" i="94" s="1"/>
  <c r="O106" i="79"/>
  <c r="O45" i="90" s="1"/>
  <c r="M45" i="90"/>
  <c r="AF45" i="90"/>
  <c r="O108" i="22"/>
  <c r="O104" i="22"/>
  <c r="O105" i="75"/>
  <c r="O27" i="90" s="1"/>
  <c r="O106" i="22"/>
  <c r="AF14" i="82"/>
  <c r="AF30" i="90"/>
  <c r="M28" i="90"/>
  <c r="O108" i="75"/>
  <c r="O30" i="90" s="1"/>
  <c r="M30" i="90"/>
  <c r="O107" i="75"/>
  <c r="O29" i="90" s="1"/>
  <c r="M12" i="90"/>
  <c r="M10" i="90"/>
  <c r="M109" i="22"/>
  <c r="M109" i="75"/>
  <c r="M31" i="90" s="1"/>
  <c r="M104" i="79"/>
  <c r="O104" i="79" s="1"/>
  <c r="O43" i="90" s="1"/>
  <c r="K43" i="90"/>
  <c r="K110" i="90" s="1"/>
  <c r="AD109" i="79"/>
  <c r="AD48" i="90" s="1"/>
  <c r="AD43" i="90"/>
  <c r="AD110" i="90" s="1"/>
  <c r="AF13" i="90"/>
  <c r="AF29" i="90"/>
  <c r="AF11" i="90"/>
  <c r="AG106" i="75"/>
  <c r="AH106" i="75" s="1"/>
  <c r="AF28" i="90"/>
  <c r="AF10" i="90"/>
  <c r="AF27" i="90"/>
  <c r="H24" i="64"/>
  <c r="G24" i="64"/>
  <c r="F24" i="64"/>
  <c r="J14" i="81"/>
  <c r="J45" i="81" s="1"/>
  <c r="K109" i="79"/>
  <c r="AD9" i="81"/>
  <c r="AF9" i="81" s="1"/>
  <c r="AG9" i="81" s="1"/>
  <c r="AH9" i="81" s="1"/>
  <c r="AF104" i="79"/>
  <c r="AF109" i="22"/>
  <c r="K14" i="39"/>
  <c r="K44" i="39" s="1"/>
  <c r="AD14" i="39"/>
  <c r="M14" i="39"/>
  <c r="K44" i="76"/>
  <c r="AF9" i="39"/>
  <c r="AG9" i="39" s="1"/>
  <c r="AH9" i="39" s="1"/>
  <c r="AG13" i="79"/>
  <c r="AH13" i="79" s="1"/>
  <c r="AF13" i="81"/>
  <c r="AD14" i="76"/>
  <c r="O108" i="79"/>
  <c r="O47" i="90" s="1"/>
  <c r="M13" i="81"/>
  <c r="K14" i="81"/>
  <c r="AG14" i="75"/>
  <c r="AH14" i="75" s="1"/>
  <c r="O9" i="82"/>
  <c r="M14" i="82"/>
  <c r="M44" i="82" s="1"/>
  <c r="AG104" i="75"/>
  <c r="AH104" i="75" s="1"/>
  <c r="M14" i="76"/>
  <c r="O9" i="76"/>
  <c r="O14" i="76" s="1"/>
  <c r="O9" i="83"/>
  <c r="P9" i="83" s="1"/>
  <c r="AF14" i="76"/>
  <c r="AF109" i="75"/>
  <c r="AF31" i="90" s="1"/>
  <c r="O9" i="36"/>
  <c r="P9" i="36" s="1"/>
  <c r="AG71" i="22"/>
  <c r="AH71" i="22" s="1"/>
  <c r="M113" i="90" l="1"/>
  <c r="O105" i="79"/>
  <c r="M44" i="90"/>
  <c r="M111" i="90" s="1"/>
  <c r="AF44" i="90"/>
  <c r="AF111" i="90" s="1"/>
  <c r="AD115" i="90"/>
  <c r="AF114" i="90"/>
  <c r="M114" i="90"/>
  <c r="M112" i="90"/>
  <c r="AF112" i="90"/>
  <c r="AF113" i="90"/>
  <c r="K48" i="90"/>
  <c r="K115" i="90" s="1"/>
  <c r="AF14" i="99"/>
  <c r="AG9" i="99"/>
  <c r="AH107" i="22"/>
  <c r="O19" i="94"/>
  <c r="O13" i="90"/>
  <c r="O114" i="90" s="1"/>
  <c r="O27" i="93"/>
  <c r="O36" i="93" s="1"/>
  <c r="M14" i="90"/>
  <c r="M28" i="93"/>
  <c r="AF14" i="90"/>
  <c r="N21" i="94"/>
  <c r="O29" i="94" s="1"/>
  <c r="O12" i="90"/>
  <c r="O113" i="90" s="1"/>
  <c r="O26" i="93"/>
  <c r="O35" i="93" s="1"/>
  <c r="AH105" i="22"/>
  <c r="O17" i="94"/>
  <c r="O11" i="90"/>
  <c r="O112" i="90" s="1"/>
  <c r="O25" i="93"/>
  <c r="O34" i="93" s="1"/>
  <c r="O10" i="90"/>
  <c r="O24" i="93"/>
  <c r="O33" i="93" s="1"/>
  <c r="O9" i="90"/>
  <c r="O110" i="90" s="1"/>
  <c r="O109" i="22"/>
  <c r="O28" i="93" s="1"/>
  <c r="O23" i="93"/>
  <c r="O32" i="93" s="1"/>
  <c r="AG14" i="79"/>
  <c r="AH14" i="79" s="1"/>
  <c r="AG26" i="90"/>
  <c r="AG106" i="79"/>
  <c r="AG104" i="22"/>
  <c r="AG108" i="22"/>
  <c r="AG107" i="75"/>
  <c r="AH107" i="75" s="1"/>
  <c r="AG106" i="22"/>
  <c r="AG105" i="75"/>
  <c r="AH105" i="75" s="1"/>
  <c r="M109" i="79"/>
  <c r="O109" i="75"/>
  <c r="O31" i="90" s="1"/>
  <c r="M43" i="90"/>
  <c r="M110" i="90" s="1"/>
  <c r="AG108" i="75"/>
  <c r="AH108" i="75" s="1"/>
  <c r="M44" i="76"/>
  <c r="M44" i="39"/>
  <c r="AG12" i="90"/>
  <c r="AG28" i="90"/>
  <c r="AG10" i="90"/>
  <c r="AG104" i="79"/>
  <c r="AH104" i="79" s="1"/>
  <c r="AF43" i="90"/>
  <c r="AF110" i="90" s="1"/>
  <c r="K45" i="81"/>
  <c r="AD14" i="81"/>
  <c r="AF109" i="79"/>
  <c r="AF48" i="90" s="1"/>
  <c r="AF14" i="39"/>
  <c r="AG108" i="79"/>
  <c r="AG9" i="76"/>
  <c r="AH9" i="76" s="1"/>
  <c r="O14" i="82"/>
  <c r="O44" i="82" s="1"/>
  <c r="AG9" i="82"/>
  <c r="AH9" i="82" s="1"/>
  <c r="O13" i="81"/>
  <c r="O14" i="81" s="1"/>
  <c r="M14" i="81"/>
  <c r="AF14" i="81"/>
  <c r="AG14" i="39"/>
  <c r="AH14" i="39" s="1"/>
  <c r="O44" i="90" l="1"/>
  <c r="O111" i="90" s="1"/>
  <c r="O109" i="79"/>
  <c r="AG105" i="79"/>
  <c r="AG109" i="79" s="1"/>
  <c r="AH109" i="79" s="1"/>
  <c r="AF115" i="90"/>
  <c r="AH9" i="99"/>
  <c r="AG14" i="99"/>
  <c r="AH14" i="99" s="1"/>
  <c r="M48" i="90"/>
  <c r="M115" i="90" s="1"/>
  <c r="AH108" i="22"/>
  <c r="O20" i="94"/>
  <c r="AH104" i="22"/>
  <c r="O16" i="94"/>
  <c r="AH106" i="22"/>
  <c r="O18" i="94"/>
  <c r="O44" i="39"/>
  <c r="AG47" i="90"/>
  <c r="AH108" i="79"/>
  <c r="AG45" i="90"/>
  <c r="AH106" i="79"/>
  <c r="AG27" i="90"/>
  <c r="AG9" i="90"/>
  <c r="AG13" i="90"/>
  <c r="AG29" i="90"/>
  <c r="AG113" i="90" s="1"/>
  <c r="O14" i="90"/>
  <c r="AG11" i="90"/>
  <c r="AG109" i="22"/>
  <c r="AG109" i="75"/>
  <c r="AH109" i="75" s="1"/>
  <c r="M45" i="81"/>
  <c r="O44" i="76"/>
  <c r="AG30" i="90"/>
  <c r="AG43" i="90"/>
  <c r="AG14" i="82"/>
  <c r="AH14" i="82" s="1"/>
  <c r="AG14" i="76"/>
  <c r="AH14" i="76" s="1"/>
  <c r="AG13" i="81"/>
  <c r="AH13" i="81" s="1"/>
  <c r="O48" i="90" l="1"/>
  <c r="O115" i="90" s="1"/>
  <c r="O45" i="81"/>
  <c r="AH105" i="79"/>
  <c r="AG44" i="90"/>
  <c r="AG111" i="90" s="1"/>
  <c r="AG112" i="90"/>
  <c r="AG114" i="90"/>
  <c r="AG110" i="90"/>
  <c r="AH109" i="22"/>
  <c r="O21" i="94"/>
  <c r="AG14" i="90"/>
  <c r="AG31" i="90"/>
  <c r="AG48" i="90"/>
  <c r="AG14" i="81"/>
  <c r="AH14" i="81" s="1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<sst xmlns="http://schemas.openxmlformats.org/spreadsheetml/2006/main" count="7521" uniqueCount="346">
  <si>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</si>
  <si>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</si>
  <si>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</si>
  <si>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</si>
  <si>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</si>
  <si>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</si>
  <si>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</si>
  <si>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</si>
  <si>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</si>
  <si>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</si>
  <si>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</si>
  <si>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</si>
  <si>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</si>
  <si>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</si>
  <si>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</si>
  <si>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</si>
  <si>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</si>
  <si>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</si>
  <si>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</si>
  <si>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</si>
  <si>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</si>
  <si>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</si>
  <si>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</si>
  <si>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</si>
  <si>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</si>
  <si>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</si>
  <si>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</si>
  <si>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</si>
  <si>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</si>
  <si>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</si>
  <si>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</si>
  <si>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</si>
  <si>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</si>
  <si>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</si>
  <si>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</si>
  <si>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</si>
  <si>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</si>
  <si>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</si>
  <si>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</si>
  <si>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</si>
  <si>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</si>
  <si>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</si>
  <si>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</si>
  <si>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</si>
  <si>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</si>
  <si>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</si>
  <si>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</si>
  <si>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</si>
  <si>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</si>
  <si>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</si>
  <si>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</si>
  <si>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</si>
  <si>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</si>
  <si>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</si>
  <si>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</si>
  <si>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</si>
  <si>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</si>
  <si>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</si>
  <si>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</si>
  <si>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</si>
  <si>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</si>
  <si>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</si>
  <si>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</si>
  <si>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</si>
  <si>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</si>
  <si>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</si>
  <si>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</si>
  <si>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</si>
  <si>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</si>
  <si>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</si>
  <si>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</si>
  <si>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</si>
  <si>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</si>
  <si>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</si>
  <si>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</si>
  <si>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</si>
  <si>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</si>
  <si>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</si>
  <si>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</si>
  <si>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</si>
  <si>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</si>
  <si>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</si>
  <si>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</si>
  <si>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</si>
  <si>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</si>
  <si>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</si>
  <si>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</si>
  <si>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</si>
  <si>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</si>
  <si>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</si>
  <si>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</si>
  <si>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</si>
  <si>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</si>
  <si>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</si>
  <si>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</si>
  <si>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</si>
  <si>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</si>
  <si>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</si>
  <si>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</si>
  <si>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</si>
  <si>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</si>
  <si>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</si>
  <si>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</si>
  <si>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</si>
  <si>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</si>
  <si>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</si>
  <si>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</si>
  <si>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</si>
  <si>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</si>
  <si>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</si>
  <si>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</si>
  <si>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</si>
  <si>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</si>
  <si>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</si>
  <si>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</si>
  <si>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</si>
  <si>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</si>
  <si>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</si>
  <si>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</si>
  <si>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</si>
  <si>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</si>
  <si>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</si>
  <si>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</si>
  <si>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</si>
  <si>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</si>
  <si>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</si>
  <si>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</si>
  <si>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</si>
  <si>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</si>
  <si>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</si>
  <si>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</si>
  <si>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</si>
  <si>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</si>
  <si>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</si>
  <si>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</si>
  <si>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</si>
  <si>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</si>
  <si>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</si>
  <si>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</si>
  <si>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</si>
  <si>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</si>
  <si>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</si>
  <si>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</si>
  <si>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</si>
  <si>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</si>
  <si>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</si>
  <si>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</si>
  <si>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</si>
  <si>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</si>
  <si>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</si>
  <si>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</si>
  <si>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</si>
  <si>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</si>
  <si>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</si>
  <si>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</si>
  <si>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</si>
  <si>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</si>
  <si>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</si>
  <si>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</si>
  <si>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</si>
  <si>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</si>
  <si>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</si>
  <si>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</si>
  <si>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</si>
  <si>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</si>
  <si>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RECIPRCIDAD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</si>
  <si>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</si>
  <si>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</si>
  <si>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</si>
  <si>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</si>
  <si>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</si>
  <si>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</si>
  <si>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</si>
  <si>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</si>
  <si>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</si>
  <si>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</si>
  <si>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</si>
  <si>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</si>
  <si>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</si>
  <si>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</si>
  <si>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</si>
  <si>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</si>
  <si>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</si>
  <si>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</si>
  <si>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</si>
  <si>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</si>
  <si>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</si>
  <si>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</si>
  <si>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</si>
  <si>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</si>
  <si>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</si>
  <si>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</si>
  <si>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</si>
  <si>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</si>
  <si>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</si>
  <si>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</si>
  <si>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</si>
  <si>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</si>
  <si>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</si>
  <si>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</si>
  <si>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</si>
  <si>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</si>
  <si>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</si>
  <si>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</si>
  <si>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</si>
  <si>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</si>
  <si>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</si>
  <si>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</si>
  <si>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</si>
  <si>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</si>
  <si>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</si>
  <si>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</si>
  <si>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</si>
  <si>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</si>
  <si>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</si>
  <si>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</si>
  <si>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</si>
  <si>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</si>
  <si>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</si>
  <si>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</si>
  <si>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</si>
  <si>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</si>
  <si>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</si>
  <si>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</si>
  <si>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</si>
  <si>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</si>
  <si>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</si>
  <si>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</si>
  <si>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</si>
  <si>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</si>
  <si>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</si>
  <si>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</si>
  <si>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</si>
  <si>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</si>
  <si>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</si>
  <si>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</si>
  <si>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</si>
  <si>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</si>
  <si>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</si>
  <si>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</si>
  <si>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</si>
  <si>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</si>
  <si>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</si>
  <si>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</si>
  <si>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</si>
  <si>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</si>
  <si>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</si>
  <si>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</si>
  <si>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</si>
  <si>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</si>
  <si>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</si>
  <si>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</si>
  <si>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</si>
  <si>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</si>
  <si>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</si>
  <si>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</si>
  <si>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</si>
  <si>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</si>
  <si>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</si>
  <si>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</si>
  <si>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</si>
  <si>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</si>
  <si>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</si>
  <si>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</si>
  <si>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</si>
  <si>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</si>
  <si>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</si>
  <si>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</si>
  <si>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</si>
  <si>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</si>
  <si>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</si>
  <si>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</si>
  <si>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</si>
  <si>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</si>
  <si>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</si>
  <si>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</si>
  <si>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</si>
  <si>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</si>
  <si>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</si>
  <si>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</si>
  <si>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</si>
  <si>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</si>
  <si>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</si>
  <si>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</si>
  <si>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</si>
  <si>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</si>
  <si>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</si>
  <si>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</si>
  <si>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</si>
  <si>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</si>
  <si>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</si>
  <si>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</si>
  <si>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</si>
  <si>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</si>
  <si>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</si>
  <si>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</si>
  <si>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</si>
  <si>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</si>
  <si>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</si>
  <si>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</si>
  <si>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</si>
  <si>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</si>
  <si>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</si>
  <si>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</si>
  <si>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</si>
  <si>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</si>
  <si>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</si>
  <si>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</si>
  <si>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</si>
  <si>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</si>
  <si>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</si>
  <si>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</si>
  <si>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</si>
  <si>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</si>
  <si>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</si>
  <si>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</si>
  <si>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</si>
  <si>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</si>
  <si>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</si>
  <si>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</si>
  <si>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</si>
  <si>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</si>
  <si>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</si>
  <si>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* Costos de Interventoría: remuneración 2026031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</si>
  <si>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</si>
  <si>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</si>
  <si>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</si>
  <si>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</si>
  <si>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</si>
  <si>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</si>
  <si>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</si>
  <si>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</si>
  <si>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A</t>
  </si>
  <si>
    <t>QUINCENA</t>
  </si>
  <si>
    <t>OJO/// DILIGENCIAR</t>
  </si>
  <si>
    <t>Recaudo ENERBIT - ASE 1</t>
  </si>
  <si>
    <t>Recaudo ENERBIT - ASE 2</t>
  </si>
  <si>
    <t>Recaudo ENERBIT - ASE 3</t>
  </si>
  <si>
    <t>Recaudo ENERBIT - ASE 4</t>
  </si>
  <si>
    <t>OK</t>
  </si>
  <si>
    <t>ENEL / RECIP.</t>
  </si>
  <si>
    <t>2026092</t>
  </si>
  <si>
    <t>02/10/2026</t>
  </si>
  <si>
    <t>10:43 AM</t>
  </si>
  <si>
    <t>16/09/2026</t>
  </si>
  <si>
    <t>30/09/2026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</si>
</sst>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6" formatCode="&quot;$&quot;\ #,##0;[Red]\-&quot;$&quot;\ #,##0"/>
    <numFmt numFmtId="8" formatCode="&quot;$&quot;\ #,##0.00;[Red]\-&quot;$&quot;\ #,##0.00"/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[$€]* #,##0.00_);_([$€]* \(#,##0.00\);_([$€]* &quot;-&quot;??_);_(@_)"/>
    <numFmt numFmtId="167" formatCode="_ &quot;$&quot;\ * #,##0.00_ ;_ &quot;$&quot;\ * \-#,##0.00_ ;_ &quot;$&quot;\ * &quot;-&quot;??_ ;_ @_ "/>
    <numFmt numFmtId="168" formatCode="_(&quot;$&quot;* #,##0.00_);_(&quot;$&quot;* \(#,##0.00\);_(&quot;$&quot;* &quot;-&quot;??_);_(@_)"/>
    <numFmt numFmtId="169" formatCode="_-* #,##0.0_-;\-* #,##0.0_-;_-* &quot;-&quot;?_-;_-@_-"/>
    <numFmt numFmtId="170" formatCode="_-* #,##0.0_-;\-* #,##0.0_-;_-* &quot;-&quot;_-;_-@_-"/>
    <numFmt numFmtId="171" formatCode="_-* #,##0.00_-;\-* #,##0.00_-;_-* &quot;-&quot;_-;_-@_-"/>
    <numFmt numFmtId="172" formatCode="[$-F400]h:mm\ AM/PM"/>
    <numFmt numFmtId="173" formatCode="#,##0_ ;[Red]\-#,##0\ "/>
    <numFmt numFmtId="174" formatCode="#,##0.0_ ;[Red]\-#,##0.0\ "/>
    <numFmt numFmtId="175" formatCode="_-* #,##0.000000_-;\-* #,##0.000000_-;_-* &quot;-&quot;??_-;_-@_-"/>
    <numFmt numFmtId="176" formatCode="_-* #,##0.000_-;\-* #,##0.000_-;_-* &quot;-&quot;??_-;_-@_-"/>
    <numFmt numFmtId="177" formatCode="_-* #,##0.000_-;\-* #,##0.000_-;_-* &quot;-&quot;???_-;_-@_-"/>
    <numFmt numFmtId="178" formatCode="_-* #,##0.000000000_-;\-* #,##0.000000000_-;_-* &quot;-&quot;_-;_-@_-"/>
    <numFmt numFmtId="179" formatCode="_-* #,##0.0000000000_-;\-* #,##0.0000000000_-;_-* &quot;-&quot;_-;_-@_-"/>
    <numFmt numFmtId="180" formatCode="_-* #,##0.0_-;\-* #,##0.0_-;_-* &quot;-&quot;??_-;_-@_-"/>
    <numFmt numFmtId="181" formatCode="#,##0.0000"/>
    <numFmt numFmtId="182" formatCode="#,##0.00_ ;[Red]\-#,##0.00\ "/>
    <numFmt numFmtId="183" formatCode="_-* #,##0.000_-;\-* #,##0.000_-;_-* &quot;-&quot;?_-;_-@_-"/>
    <numFmt numFmtId="184" formatCode="#,##0.0"/>
    <numFmt numFmtId="185" formatCode="_-* #,##0.000000000000_-;\-* #,##0.000000000000_-;_-* &quot;-&quot;??_-;_-@_-"/>
    <numFmt numFmtId="186" formatCode="#,##0.00;[Red]#,##0.00"/>
    <numFmt numFmtId="187" formatCode="#,##0.0;[Red]#,##0.0"/>
    <numFmt numFmtId="188" formatCode="#,##0.000000000"/>
    <numFmt numFmtId="189" formatCode="#,##0.0000000000"/>
    <numFmt numFmtId="190" formatCode="_-* #,##0.00000_-;\-* #,##0.00000_-;_-* &quot;-&quot;??_-;_-@_-"/>
    <numFmt numFmtId="191" formatCode="#,##0.000"/>
    <numFmt numFmtId="192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6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164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7" fillId="31" borderId="0" applyNumberFormat="0" applyBorder="0" applyAlignment="0" applyProtection="0"/>
    <xf numFmtId="164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6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6" fillId="31" borderId="0" applyNumberFormat="0" applyBorder="0" applyAlignment="0" applyProtection="0"/>
    <xf numFmtId="164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6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164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6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6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164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43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6" fontId="43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3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43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30" borderId="0" applyNumberFormat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6" fontId="4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4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4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4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6" fontId="4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31" borderId="0" applyNumberFormat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6" fontId="4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4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6" fontId="4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31" borderId="0" applyNumberFormat="0" applyBorder="0" applyAlignment="0" applyProtection="0"/>
    <xf numFmtId="164" fontId="45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6" fontId="4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6" fontId="4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5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168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0" fontId="63" fillId="0" borderId="0"/>
    <xf numFmtId="43" fontId="64" fillId="0" borderId="0" applyFont="0" applyFill="0" applyBorder="0" applyAlignment="0" applyProtection="0"/>
    <xf numFmtId="0" fontId="19" fillId="0" borderId="0"/>
    <xf numFmtId="0" fontId="66" fillId="0" borderId="0"/>
  </cellStyleXfs>
  <cellXfs count="784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5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5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5" fontId="20" fillId="0" borderId="14" xfId="2599" applyNumberFormat="1" applyFont="1" applyBorder="1"/>
    <xf numFmtId="165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5" fontId="20" fillId="35" borderId="21" xfId="2599" applyNumberFormat="1" applyFont="1" applyFill="1" applyBorder="1"/>
    <xf numFmtId="165" fontId="20" fillId="35" borderId="22" xfId="2599" applyNumberFormat="1" applyFont="1" applyFill="1" applyBorder="1"/>
    <xf numFmtId="165" fontId="20" fillId="35" borderId="11" xfId="2599" applyNumberFormat="1" applyFont="1" applyFill="1" applyBorder="1"/>
    <xf numFmtId="165" fontId="25" fillId="0" borderId="2" xfId="2599" applyNumberFormat="1" applyFont="1" applyBorder="1"/>
    <xf numFmtId="0" fontId="20" fillId="33" borderId="0" xfId="0" applyFont="1" applyFill="1"/>
    <xf numFmtId="165" fontId="25" fillId="33" borderId="0" xfId="2599" applyNumberFormat="1" applyFont="1" applyFill="1"/>
    <xf numFmtId="0" fontId="23" fillId="0" borderId="0" xfId="0" applyFont="1"/>
    <xf numFmtId="165" fontId="25" fillId="0" borderId="37" xfId="2599" applyNumberFormat="1" applyFont="1" applyBorder="1"/>
    <xf numFmtId="165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5" fontId="20" fillId="35" borderId="23" xfId="2599" applyNumberFormat="1" applyFont="1" applyFill="1" applyBorder="1"/>
    <xf numFmtId="0" fontId="49" fillId="0" borderId="0" xfId="0" applyFont="1"/>
    <xf numFmtId="165" fontId="20" fillId="0" borderId="0" xfId="2599" applyNumberFormat="1" applyFont="1"/>
    <xf numFmtId="165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5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5" fontId="25" fillId="37" borderId="0" xfId="2599" applyNumberFormat="1" applyFont="1" applyFill="1"/>
    <xf numFmtId="165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5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5" fontId="25" fillId="0" borderId="15" xfId="2599" applyNumberFormat="1" applyFont="1" applyBorder="1"/>
    <xf numFmtId="165" fontId="25" fillId="0" borderId="22" xfId="2599" applyNumberFormat="1" applyFont="1" applyBorder="1"/>
    <xf numFmtId="165" fontId="20" fillId="38" borderId="11" xfId="2599" applyNumberFormat="1" applyFont="1" applyFill="1" applyBorder="1"/>
    <xf numFmtId="165" fontId="20" fillId="38" borderId="21" xfId="2599" applyNumberFormat="1" applyFont="1" applyFill="1" applyBorder="1"/>
    <xf numFmtId="165" fontId="20" fillId="38" borderId="22" xfId="2599" applyNumberFormat="1" applyFont="1" applyFill="1" applyBorder="1"/>
    <xf numFmtId="171" fontId="25" fillId="0" borderId="12" xfId="2601" applyNumberFormat="1" applyFont="1" applyBorder="1"/>
    <xf numFmtId="171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5" fontId="25" fillId="0" borderId="41" xfId="2599" applyNumberFormat="1" applyFont="1" applyBorder="1"/>
    <xf numFmtId="43" fontId="25" fillId="0" borderId="21" xfId="2599" applyFont="1" applyBorder="1"/>
    <xf numFmtId="165" fontId="22" fillId="35" borderId="11" xfId="2599" applyNumberFormat="1" applyFont="1" applyFill="1" applyBorder="1"/>
    <xf numFmtId="165" fontId="25" fillId="0" borderId="17" xfId="2599" applyNumberFormat="1" applyFont="1" applyBorder="1"/>
    <xf numFmtId="165" fontId="25" fillId="0" borderId="18" xfId="2599" applyNumberFormat="1" applyFont="1" applyBorder="1"/>
    <xf numFmtId="165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5" fontId="25" fillId="0" borderId="16" xfId="2599" applyNumberFormat="1" applyFont="1" applyBorder="1"/>
    <xf numFmtId="165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5" fontId="20" fillId="39" borderId="11" xfId="2599" applyNumberFormat="1" applyFont="1" applyFill="1" applyBorder="1"/>
    <xf numFmtId="165" fontId="25" fillId="0" borderId="47" xfId="2599" applyNumberFormat="1" applyFont="1" applyBorder="1"/>
    <xf numFmtId="165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41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5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5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5" fontId="25" fillId="0" borderId="40" xfId="2599" applyNumberFormat="1" applyFont="1" applyBorder="1"/>
    <xf numFmtId="165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5" fontId="20" fillId="38" borderId="54" xfId="2599" applyNumberFormat="1" applyFont="1" applyFill="1" applyBorder="1"/>
    <xf numFmtId="165" fontId="20" fillId="38" borderId="55" xfId="2599" applyNumberFormat="1" applyFont="1" applyFill="1" applyBorder="1"/>
    <xf numFmtId="170" fontId="25" fillId="0" borderId="21" xfId="2601" applyNumberFormat="1" applyFont="1" applyBorder="1"/>
    <xf numFmtId="170" fontId="25" fillId="0" borderId="22" xfId="2601" applyNumberFormat="1" applyFont="1" applyBorder="1"/>
    <xf numFmtId="170" fontId="25" fillId="0" borderId="23" xfId="2601" applyNumberFormat="1" applyFont="1" applyBorder="1"/>
    <xf numFmtId="170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41" fontId="41" fillId="38" borderId="20" xfId="2601" applyFont="1" applyFill="1" applyBorder="1" applyAlignment="1">
      <alignment horizontal="center"/>
    </xf>
    <xf numFmtId="41" fontId="41" fillId="38" borderId="45" xfId="2601" applyFont="1" applyFill="1" applyBorder="1" applyAlignment="1">
      <alignment horizontal="center"/>
    </xf>
    <xf numFmtId="43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5" fontId="25" fillId="0" borderId="58" xfId="2599" applyNumberFormat="1" applyFont="1" applyBorder="1"/>
    <xf numFmtId="165" fontId="25" fillId="0" borderId="63" xfId="2599" applyNumberFormat="1" applyFont="1" applyBorder="1"/>
    <xf numFmtId="165" fontId="25" fillId="0" borderId="60" xfId="2599" applyNumberFormat="1" applyFont="1" applyBorder="1"/>
    <xf numFmtId="43" fontId="0" fillId="0" borderId="0" xfId="0" applyNumberFormat="1"/>
    <xf numFmtId="0" fontId="20" fillId="0" borderId="58" xfId="0" applyFont="1" applyBorder="1"/>
    <xf numFmtId="165" fontId="25" fillId="0" borderId="64" xfId="2599" applyNumberFormat="1" applyFont="1" applyBorder="1"/>
    <xf numFmtId="165" fontId="25" fillId="0" borderId="51" xfId="2599" applyNumberFormat="1" applyFont="1" applyBorder="1"/>
    <xf numFmtId="165" fontId="0" fillId="0" borderId="0" xfId="0" applyNumberFormat="1"/>
    <xf numFmtId="0" fontId="19" fillId="0" borderId="0" xfId="0" applyFont="1"/>
    <xf numFmtId="41" fontId="0" fillId="0" borderId="0" xfId="2601" applyFont="1"/>
    <xf numFmtId="171" fontId="0" fillId="0" borderId="0" xfId="2601" applyNumberFormat="1" applyFont="1"/>
    <xf numFmtId="171" fontId="0" fillId="41" borderId="0" xfId="2601" applyNumberFormat="1" applyFont="1" applyFill="1" applyAlignment="1">
      <alignment vertical="top"/>
    </xf>
    <xf numFmtId="171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6" fontId="25" fillId="0" borderId="0" xfId="0" applyNumberFormat="1" applyFont="1"/>
    <xf numFmtId="0" fontId="19" fillId="0" borderId="0" xfId="2"/>
    <xf numFmtId="41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41" fontId="22" fillId="40" borderId="34" xfId="2604" applyFont="1" applyFill="1" applyBorder="1" applyAlignment="1">
      <alignment horizontal="center"/>
    </xf>
    <xf numFmtId="41" fontId="22" fillId="40" borderId="20" xfId="2604" applyFont="1" applyFill="1" applyBorder="1" applyAlignment="1">
      <alignment horizontal="center"/>
    </xf>
    <xf numFmtId="41" fontId="22" fillId="40" borderId="45" xfId="2604" applyFont="1" applyFill="1" applyBorder="1" applyAlignment="1">
      <alignment horizontal="center"/>
    </xf>
    <xf numFmtId="41" fontId="22" fillId="0" borderId="0" xfId="2604" applyFont="1" applyAlignment="1">
      <alignment horizontal="center"/>
    </xf>
    <xf numFmtId="41" fontId="0" fillId="0" borderId="21" xfId="2604" applyFont="1" applyBorder="1"/>
    <xf numFmtId="41" fontId="0" fillId="0" borderId="15" xfId="2604" applyFont="1" applyBorder="1"/>
    <xf numFmtId="41" fontId="0" fillId="0" borderId="4" xfId="2604" applyFont="1" applyBorder="1"/>
    <xf numFmtId="41" fontId="0" fillId="0" borderId="41" xfId="2604" applyFont="1" applyBorder="1"/>
    <xf numFmtId="41" fontId="0" fillId="0" borderId="22" xfId="2604" applyFont="1" applyBorder="1"/>
    <xf numFmtId="41" fontId="0" fillId="0" borderId="16" xfId="2604" applyFont="1" applyBorder="1"/>
    <xf numFmtId="41" fontId="0" fillId="0" borderId="3" xfId="2604" applyFont="1" applyBorder="1"/>
    <xf numFmtId="41" fontId="0" fillId="0" borderId="49" xfId="2604" applyFont="1" applyBorder="1"/>
    <xf numFmtId="41" fontId="0" fillId="0" borderId="23" xfId="2604" applyFont="1" applyBorder="1" applyAlignment="1">
      <alignment horizontal="right"/>
    </xf>
    <xf numFmtId="41" fontId="0" fillId="0" borderId="17" xfId="2604" applyFont="1" applyBorder="1"/>
    <xf numFmtId="41" fontId="0" fillId="0" borderId="18" xfId="2604" applyFont="1" applyBorder="1"/>
    <xf numFmtId="41" fontId="0" fillId="0" borderId="46" xfId="2604" applyFont="1" applyBorder="1"/>
    <xf numFmtId="41" fontId="22" fillId="40" borderId="11" xfId="2604" applyFont="1" applyFill="1" applyBorder="1"/>
    <xf numFmtId="41" fontId="22" fillId="40" borderId="57" xfId="2604" applyFont="1" applyFill="1" applyBorder="1" applyAlignment="1">
      <alignment horizontal="center"/>
    </xf>
    <xf numFmtId="41" fontId="22" fillId="40" borderId="65" xfId="2604" applyFont="1" applyFill="1" applyBorder="1" applyAlignment="1">
      <alignment horizontal="center"/>
    </xf>
    <xf numFmtId="0" fontId="22" fillId="0" borderId="0" xfId="2" applyFont="1"/>
    <xf numFmtId="41" fontId="0" fillId="0" borderId="54" xfId="2604" applyFont="1" applyBorder="1"/>
    <xf numFmtId="41" fontId="0" fillId="0" borderId="40" xfId="2604" applyFont="1" applyBorder="1"/>
    <xf numFmtId="41" fontId="0" fillId="0" borderId="52" xfId="2604" applyFont="1" applyBorder="1"/>
    <xf numFmtId="41" fontId="0" fillId="0" borderId="55" xfId="2604" applyFont="1" applyBorder="1"/>
    <xf numFmtId="41" fontId="0" fillId="0" borderId="68" xfId="2604" applyFont="1" applyBorder="1" applyAlignment="1">
      <alignment horizontal="right"/>
    </xf>
    <xf numFmtId="41" fontId="0" fillId="40" borderId="17" xfId="2604" applyFont="1" applyFill="1" applyBorder="1"/>
    <xf numFmtId="41" fontId="0" fillId="40" borderId="18" xfId="2604" applyFont="1" applyFill="1" applyBorder="1"/>
    <xf numFmtId="41" fontId="0" fillId="40" borderId="46" xfId="2604" applyFont="1" applyFill="1" applyBorder="1"/>
    <xf numFmtId="41" fontId="22" fillId="40" borderId="13" xfId="2604" applyFont="1" applyFill="1" applyBorder="1"/>
    <xf numFmtId="41" fontId="22" fillId="39" borderId="19" xfId="2604" applyFont="1" applyFill="1" applyBorder="1" applyAlignment="1">
      <alignment horizontal="center"/>
    </xf>
    <xf numFmtId="41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41" fontId="0" fillId="0" borderId="59" xfId="2604" applyFont="1" applyBorder="1"/>
    <xf numFmtId="41" fontId="0" fillId="0" borderId="60" xfId="2604" applyFont="1" applyBorder="1"/>
    <xf numFmtId="41" fontId="22" fillId="39" borderId="19" xfId="2604" applyFont="1" applyFill="1" applyBorder="1"/>
    <xf numFmtId="41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41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2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41" fontId="0" fillId="0" borderId="3" xfId="2601" applyFont="1" applyBorder="1" applyAlignment="1">
      <alignment vertical="top"/>
    </xf>
    <xf numFmtId="41" fontId="0" fillId="0" borderId="3" xfId="2601" applyFont="1" applyBorder="1"/>
    <xf numFmtId="41" fontId="0" fillId="51" borderId="3" xfId="2601" applyFont="1" applyFill="1" applyBorder="1" applyAlignment="1">
      <alignment vertical="top"/>
    </xf>
    <xf numFmtId="41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41" fontId="0" fillId="0" borderId="3" xfId="0" applyNumberFormat="1" applyBorder="1"/>
    <xf numFmtId="41" fontId="22" fillId="0" borderId="3" xfId="0" applyNumberFormat="1" applyFont="1" applyBorder="1"/>
    <xf numFmtId="41" fontId="0" fillId="34" borderId="0" xfId="0" applyNumberFormat="1" applyFill="1"/>
    <xf numFmtId="41" fontId="19" fillId="0" borderId="63" xfId="0" applyNumberFormat="1" applyFont="1" applyBorder="1"/>
    <xf numFmtId="41" fontId="22" fillId="0" borderId="19" xfId="0" applyNumberFormat="1" applyFont="1" applyBorder="1"/>
    <xf numFmtId="41" fontId="22" fillId="0" borderId="20" xfId="0" applyNumberFormat="1" applyFont="1" applyBorder="1"/>
    <xf numFmtId="41" fontId="22" fillId="0" borderId="45" xfId="0" applyNumberFormat="1" applyFont="1" applyBorder="1"/>
    <xf numFmtId="41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41" fontId="22" fillId="0" borderId="16" xfId="0" applyNumberFormat="1" applyFont="1" applyBorder="1"/>
    <xf numFmtId="41" fontId="22" fillId="0" borderId="49" xfId="0" applyNumberFormat="1" applyFont="1" applyBorder="1"/>
    <xf numFmtId="171" fontId="0" fillId="0" borderId="49" xfId="2601" applyNumberFormat="1" applyFont="1" applyBorder="1"/>
    <xf numFmtId="171" fontId="0" fillId="0" borderId="46" xfId="2601" applyNumberFormat="1" applyFont="1" applyBorder="1"/>
    <xf numFmtId="171" fontId="0" fillId="0" borderId="11" xfId="2601" applyNumberFormat="1" applyFont="1" applyBorder="1"/>
    <xf numFmtId="171" fontId="22" fillId="0" borderId="11" xfId="2601" applyNumberFormat="1" applyFont="1" applyBorder="1"/>
    <xf numFmtId="171" fontId="0" fillId="34" borderId="0" xfId="2601" applyNumberFormat="1" applyFont="1" applyFill="1"/>
    <xf numFmtId="171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69" fontId="0" fillId="0" borderId="0" xfId="0" applyNumberFormat="1"/>
    <xf numFmtId="170" fontId="25" fillId="0" borderId="0" xfId="2601" applyNumberFormat="1" applyFont="1"/>
    <xf numFmtId="170" fontId="20" fillId="0" borderId="0" xfId="2601" applyNumberFormat="1" applyFont="1"/>
    <xf numFmtId="170" fontId="20" fillId="0" borderId="0" xfId="2601" applyNumberFormat="1" applyFont="1" applyAlignment="1">
      <alignment horizontal="center" vertical="center" wrapText="1"/>
    </xf>
    <xf numFmtId="170" fontId="25" fillId="33" borderId="0" xfId="2601" applyNumberFormat="1" applyFont="1" applyFill="1"/>
    <xf numFmtId="170" fontId="25" fillId="37" borderId="0" xfId="2601" applyNumberFormat="1" applyFont="1" applyFill="1"/>
    <xf numFmtId="6" fontId="0" fillId="0" borderId="0" xfId="0" applyNumberFormat="1"/>
    <xf numFmtId="41" fontId="0" fillId="0" borderId="15" xfId="2604" applyFont="1" applyFill="1" applyBorder="1"/>
    <xf numFmtId="41" fontId="0" fillId="0" borderId="16" xfId="2604" applyFont="1" applyFill="1" applyBorder="1"/>
    <xf numFmtId="41" fontId="0" fillId="0" borderId="17" xfId="2604" applyFont="1" applyFill="1" applyBorder="1"/>
    <xf numFmtId="41" fontId="0" fillId="0" borderId="0" xfId="2604" applyFont="1" applyFill="1"/>
    <xf numFmtId="41" fontId="0" fillId="0" borderId="51" xfId="2604" applyFont="1" applyFill="1" applyBorder="1"/>
    <xf numFmtId="41" fontId="0" fillId="0" borderId="4" xfId="2604" applyFont="1" applyFill="1" applyBorder="1"/>
    <xf numFmtId="41" fontId="0" fillId="0" borderId="3" xfId="2604" applyFont="1" applyFill="1" applyBorder="1"/>
    <xf numFmtId="41" fontId="0" fillId="45" borderId="23" xfId="2604" applyFont="1" applyFill="1" applyBorder="1" applyAlignment="1">
      <alignment horizontal="right"/>
    </xf>
    <xf numFmtId="41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3" fontId="25" fillId="0" borderId="41" xfId="2599" applyNumberFormat="1" applyFont="1" applyBorder="1"/>
    <xf numFmtId="173" fontId="25" fillId="0" borderId="46" xfId="2599" applyNumberFormat="1" applyFont="1" applyBorder="1"/>
    <xf numFmtId="173" fontId="20" fillId="0" borderId="11" xfId="2599" applyNumberFormat="1" applyFont="1" applyBorder="1"/>
    <xf numFmtId="173" fontId="25" fillId="0" borderId="15" xfId="2599" applyNumberFormat="1" applyFont="1" applyBorder="1"/>
    <xf numFmtId="173" fontId="25" fillId="0" borderId="4" xfId="2599" applyNumberFormat="1" applyFont="1" applyBorder="1"/>
    <xf numFmtId="173" fontId="20" fillId="35" borderId="21" xfId="2599" applyNumberFormat="1" applyFont="1" applyFill="1" applyBorder="1"/>
    <xf numFmtId="173" fontId="25" fillId="0" borderId="37" xfId="2599" applyNumberFormat="1" applyFont="1" applyBorder="1"/>
    <xf numFmtId="173" fontId="20" fillId="35" borderId="22" xfId="2599" applyNumberFormat="1" applyFont="1" applyFill="1" applyBorder="1"/>
    <xf numFmtId="173" fontId="25" fillId="0" borderId="17" xfId="2599" applyNumberFormat="1" applyFont="1" applyBorder="1"/>
    <xf numFmtId="173" fontId="25" fillId="0" borderId="18" xfId="2599" applyNumberFormat="1" applyFont="1" applyBorder="1"/>
    <xf numFmtId="173" fontId="20" fillId="35" borderId="23" xfId="2599" applyNumberFormat="1" applyFont="1" applyFill="1" applyBorder="1"/>
    <xf numFmtId="173" fontId="25" fillId="0" borderId="38" xfId="2599" applyNumberFormat="1" applyFont="1" applyBorder="1"/>
    <xf numFmtId="173" fontId="20" fillId="35" borderId="11" xfId="2599" applyNumberFormat="1" applyFont="1" applyFill="1" applyBorder="1"/>
    <xf numFmtId="173" fontId="20" fillId="0" borderId="14" xfId="2599" applyNumberFormat="1" applyFont="1" applyBorder="1"/>
    <xf numFmtId="173" fontId="22" fillId="35" borderId="11" xfId="2599" applyNumberFormat="1" applyFont="1" applyFill="1" applyBorder="1"/>
    <xf numFmtId="173" fontId="20" fillId="0" borderId="15" xfId="0" applyNumberFormat="1" applyFont="1" applyBorder="1" applyAlignment="1">
      <alignment horizontal="center"/>
    </xf>
    <xf numFmtId="173" fontId="20" fillId="0" borderId="35" xfId="0" applyNumberFormat="1" applyFont="1" applyBorder="1"/>
    <xf numFmtId="173" fontId="25" fillId="0" borderId="0" xfId="0" applyNumberFormat="1" applyFont="1"/>
    <xf numFmtId="173" fontId="25" fillId="33" borderId="0" xfId="0" applyNumberFormat="1" applyFont="1" applyFill="1"/>
    <xf numFmtId="173" fontId="25" fillId="0" borderId="51" xfId="2599" applyNumberFormat="1" applyFont="1" applyBorder="1"/>
    <xf numFmtId="173" fontId="25" fillId="0" borderId="40" xfId="2599" applyNumberFormat="1" applyFont="1" applyBorder="1"/>
    <xf numFmtId="173" fontId="25" fillId="0" borderId="52" xfId="2599" applyNumberFormat="1" applyFont="1" applyBorder="1"/>
    <xf numFmtId="173" fontId="25" fillId="0" borderId="47" xfId="2599" applyNumberFormat="1" applyFont="1" applyBorder="1"/>
    <xf numFmtId="173" fontId="25" fillId="0" borderId="21" xfId="2601" applyNumberFormat="1" applyFont="1" applyBorder="1"/>
    <xf numFmtId="173" fontId="25" fillId="0" borderId="21" xfId="2599" applyNumberFormat="1" applyFont="1" applyBorder="1"/>
    <xf numFmtId="173" fontId="20" fillId="38" borderId="54" xfId="2599" applyNumberFormat="1" applyFont="1" applyFill="1" applyBorder="1"/>
    <xf numFmtId="173" fontId="20" fillId="0" borderId="16" xfId="0" applyNumberFormat="1" applyFont="1" applyBorder="1" applyAlignment="1">
      <alignment horizontal="center"/>
    </xf>
    <xf numFmtId="173" fontId="20" fillId="0" borderId="36" xfId="0" applyNumberFormat="1" applyFont="1" applyBorder="1"/>
    <xf numFmtId="173" fontId="25" fillId="0" borderId="16" xfId="2599" applyNumberFormat="1" applyFont="1" applyBorder="1"/>
    <xf numFmtId="173" fontId="25" fillId="0" borderId="3" xfId="2599" applyNumberFormat="1" applyFont="1" applyBorder="1"/>
    <xf numFmtId="173" fontId="25" fillId="0" borderId="49" xfId="2599" applyNumberFormat="1" applyFont="1" applyBorder="1"/>
    <xf numFmtId="173" fontId="25" fillId="0" borderId="48" xfId="2599" applyNumberFormat="1" applyFont="1" applyBorder="1"/>
    <xf numFmtId="173" fontId="25" fillId="0" borderId="22" xfId="2599" applyNumberFormat="1" applyFont="1" applyBorder="1"/>
    <xf numFmtId="173" fontId="25" fillId="0" borderId="43" xfId="2599" applyNumberFormat="1" applyFont="1" applyBorder="1"/>
    <xf numFmtId="173" fontId="20" fillId="38" borderId="55" xfId="2599" applyNumberFormat="1" applyFont="1" applyFill="1" applyBorder="1"/>
    <xf numFmtId="173" fontId="25" fillId="0" borderId="22" xfId="2601" applyNumberFormat="1" applyFont="1" applyBorder="1"/>
    <xf numFmtId="173" fontId="20" fillId="0" borderId="17" xfId="0" applyNumberFormat="1" applyFont="1" applyBorder="1" applyAlignment="1">
      <alignment horizontal="center"/>
    </xf>
    <xf numFmtId="173" fontId="20" fillId="0" borderId="39" xfId="0" applyNumberFormat="1" applyFont="1" applyBorder="1"/>
    <xf numFmtId="173" fontId="25" fillId="0" borderId="23" xfId="2601" applyNumberFormat="1" applyFont="1" applyBorder="1"/>
    <xf numFmtId="173" fontId="20" fillId="0" borderId="5" xfId="0" applyNumberFormat="1" applyFont="1" applyBorder="1"/>
    <xf numFmtId="173" fontId="20" fillId="0" borderId="11" xfId="0" applyNumberFormat="1" applyFont="1" applyBorder="1" applyAlignment="1">
      <alignment horizontal="center"/>
    </xf>
    <xf numFmtId="173" fontId="20" fillId="0" borderId="0" xfId="0" applyNumberFormat="1" applyFont="1"/>
    <xf numFmtId="173" fontId="20" fillId="0" borderId="13" xfId="2599" applyNumberFormat="1" applyFont="1" applyBorder="1"/>
    <xf numFmtId="173" fontId="20" fillId="38" borderId="11" xfId="2599" applyNumberFormat="1" applyFont="1" applyFill="1" applyBorder="1"/>
    <xf numFmtId="173" fontId="20" fillId="0" borderId="13" xfId="2601" applyNumberFormat="1" applyFont="1" applyBorder="1"/>
    <xf numFmtId="173" fontId="25" fillId="0" borderId="0" xfId="2601" applyNumberFormat="1" applyFont="1"/>
    <xf numFmtId="173" fontId="20" fillId="0" borderId="51" xfId="0" applyNumberFormat="1" applyFont="1" applyBorder="1" applyAlignment="1">
      <alignment horizontal="center"/>
    </xf>
    <xf numFmtId="173" fontId="20" fillId="0" borderId="40" xfId="0" applyNumberFormat="1" applyFont="1" applyBorder="1"/>
    <xf numFmtId="173" fontId="25" fillId="0" borderId="21" xfId="2604" applyNumberFormat="1" applyFont="1" applyBorder="1"/>
    <xf numFmtId="173" fontId="25" fillId="0" borderId="9" xfId="0" applyNumberFormat="1" applyFont="1" applyBorder="1"/>
    <xf numFmtId="173" fontId="20" fillId="0" borderId="3" xfId="0" applyNumberFormat="1" applyFont="1" applyBorder="1"/>
    <xf numFmtId="173" fontId="25" fillId="0" borderId="22" xfId="2604" applyNumberFormat="1" applyFont="1" applyBorder="1"/>
    <xf numFmtId="173" fontId="25" fillId="0" borderId="61" xfId="2599" applyNumberFormat="1" applyFont="1" applyBorder="1"/>
    <xf numFmtId="173" fontId="20" fillId="0" borderId="59" xfId="0" applyNumberFormat="1" applyFont="1" applyBorder="1" applyAlignment="1">
      <alignment horizontal="center"/>
    </xf>
    <xf numFmtId="173" fontId="20" fillId="0" borderId="58" xfId="0" applyNumberFormat="1" applyFont="1" applyBorder="1"/>
    <xf numFmtId="173" fontId="25" fillId="0" borderId="63" xfId="2599" applyNumberFormat="1" applyFont="1" applyBorder="1"/>
    <xf numFmtId="173" fontId="25" fillId="0" borderId="64" xfId="2599" applyNumberFormat="1" applyFont="1" applyBorder="1"/>
    <xf numFmtId="173" fontId="20" fillId="0" borderId="18" xfId="0" applyNumberFormat="1" applyFont="1" applyBorder="1"/>
    <xf numFmtId="173" fontId="25" fillId="0" borderId="23" xfId="2599" applyNumberFormat="1" applyFont="1" applyBorder="1"/>
    <xf numFmtId="173" fontId="25" fillId="0" borderId="66" xfId="2599" applyNumberFormat="1" applyFont="1" applyBorder="1"/>
    <xf numFmtId="173" fontId="20" fillId="0" borderId="50" xfId="0" applyNumberFormat="1" applyFont="1" applyBorder="1"/>
    <xf numFmtId="173" fontId="20" fillId="0" borderId="13" xfId="0" applyNumberFormat="1" applyFont="1" applyBorder="1" applyAlignment="1">
      <alignment horizontal="center"/>
    </xf>
    <xf numFmtId="173" fontId="20" fillId="34" borderId="13" xfId="2599" applyNumberFormat="1" applyFont="1" applyFill="1" applyBorder="1"/>
    <xf numFmtId="173" fontId="25" fillId="0" borderId="2" xfId="0" applyNumberFormat="1" applyFont="1" applyBorder="1"/>
    <xf numFmtId="173" fontId="25" fillId="0" borderId="10" xfId="0" applyNumberFormat="1" applyFont="1" applyBorder="1"/>
    <xf numFmtId="173" fontId="25" fillId="0" borderId="35" xfId="2599" applyNumberFormat="1" applyFont="1" applyBorder="1"/>
    <xf numFmtId="173" fontId="53" fillId="34" borderId="0" xfId="0" applyNumberFormat="1" applyFont="1" applyFill="1"/>
    <xf numFmtId="173" fontId="0" fillId="0" borderId="0" xfId="0" applyNumberFormat="1"/>
    <xf numFmtId="173" fontId="25" fillId="0" borderId="58" xfId="2599" applyNumberFormat="1" applyFont="1" applyBorder="1"/>
    <xf numFmtId="173" fontId="25" fillId="0" borderId="62" xfId="2599" applyNumberFormat="1" applyFont="1" applyBorder="1"/>
    <xf numFmtId="173" fontId="25" fillId="0" borderId="60" xfId="2599" applyNumberFormat="1" applyFont="1" applyBorder="1"/>
    <xf numFmtId="173" fontId="20" fillId="36" borderId="11" xfId="2599" applyNumberFormat="1" applyFont="1" applyFill="1" applyBorder="1"/>
    <xf numFmtId="173" fontId="25" fillId="0" borderId="0" xfId="2599" applyNumberFormat="1" applyFont="1"/>
    <xf numFmtId="173" fontId="25" fillId="33" borderId="0" xfId="2599" applyNumberFormat="1" applyFont="1" applyFill="1"/>
    <xf numFmtId="173" fontId="20" fillId="34" borderId="11" xfId="2599" applyNumberFormat="1" applyFont="1" applyFill="1" applyBorder="1"/>
    <xf numFmtId="173" fontId="20" fillId="38" borderId="21" xfId="2599" applyNumberFormat="1" applyFont="1" applyFill="1" applyBorder="1"/>
    <xf numFmtId="173" fontId="25" fillId="0" borderId="12" xfId="2601" applyNumberFormat="1" applyFont="1" applyBorder="1"/>
    <xf numFmtId="173" fontId="20" fillId="38" borderId="22" xfId="2599" applyNumberFormat="1" applyFont="1" applyFill="1" applyBorder="1"/>
    <xf numFmtId="173" fontId="25" fillId="0" borderId="44" xfId="2601" applyNumberFormat="1" applyFont="1" applyBorder="1"/>
    <xf numFmtId="173" fontId="20" fillId="0" borderId="70" xfId="0" applyNumberFormat="1" applyFont="1" applyBorder="1"/>
    <xf numFmtId="173" fontId="20" fillId="0" borderId="69" xfId="0" applyNumberFormat="1" applyFont="1" applyBorder="1"/>
    <xf numFmtId="41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5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5" fontId="20" fillId="0" borderId="13" xfId="2599" applyNumberFormat="1" applyFont="1" applyBorder="1"/>
    <xf numFmtId="43" fontId="25" fillId="0" borderId="22" xfId="2599" applyFont="1" applyBorder="1"/>
    <xf numFmtId="43" fontId="25" fillId="0" borderId="23" xfId="2599" applyFont="1" applyBorder="1"/>
    <xf numFmtId="0" fontId="19" fillId="0" borderId="0" xfId="0" applyFont="1" applyAlignment="1">
      <alignment vertical="top"/>
    </xf>
    <xf numFmtId="173" fontId="25" fillId="0" borderId="40" xfId="2599" applyNumberFormat="1" applyFont="1" applyFill="1" applyBorder="1"/>
    <xf numFmtId="173" fontId="25" fillId="0" borderId="15" xfId="2599" applyNumberFormat="1" applyFont="1" applyFill="1" applyBorder="1"/>
    <xf numFmtId="173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0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0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2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0" fontId="20" fillId="0" borderId="0" xfId="2612" applyNumberFormat="1" applyFont="1" applyAlignment="1">
      <alignment horizontal="center" vertical="center" wrapText="1"/>
    </xf>
    <xf numFmtId="173" fontId="20" fillId="0" borderId="15" xfId="2611" applyNumberFormat="1" applyFont="1" applyBorder="1" applyAlignment="1">
      <alignment horizontal="center"/>
    </xf>
    <xf numFmtId="173" fontId="20" fillId="0" borderId="35" xfId="2611" applyNumberFormat="1" applyFont="1" applyBorder="1"/>
    <xf numFmtId="173" fontId="25" fillId="0" borderId="15" xfId="2602" applyNumberFormat="1" applyFont="1" applyBorder="1"/>
    <xf numFmtId="173" fontId="25" fillId="0" borderId="4" xfId="2602" applyNumberFormat="1" applyFont="1" applyBorder="1"/>
    <xf numFmtId="173" fontId="20" fillId="35" borderId="22" xfId="2602" applyNumberFormat="1" applyFont="1" applyFill="1" applyBorder="1"/>
    <xf numFmtId="173" fontId="25" fillId="0" borderId="0" xfId="2611" applyNumberFormat="1" applyFont="1"/>
    <xf numFmtId="173" fontId="25" fillId="33" borderId="0" xfId="2611" applyNumberFormat="1" applyFont="1" applyFill="1"/>
    <xf numFmtId="173" fontId="25" fillId="0" borderId="51" xfId="2602" applyNumberFormat="1" applyFont="1" applyBorder="1"/>
    <xf numFmtId="173" fontId="25" fillId="0" borderId="40" xfId="2602" applyNumberFormat="1" applyFont="1" applyBorder="1"/>
    <xf numFmtId="173" fontId="25" fillId="0" borderId="0" xfId="2612" applyNumberFormat="1" applyFont="1"/>
    <xf numFmtId="173" fontId="20" fillId="0" borderId="16" xfId="2611" applyNumberFormat="1" applyFont="1" applyBorder="1" applyAlignment="1">
      <alignment horizontal="center"/>
    </xf>
    <xf numFmtId="173" fontId="20" fillId="0" borderId="36" xfId="2611" applyNumberFormat="1" applyFont="1" applyBorder="1"/>
    <xf numFmtId="173" fontId="25" fillId="0" borderId="16" xfId="2602" applyNumberFormat="1" applyFont="1" applyBorder="1"/>
    <xf numFmtId="173" fontId="25" fillId="0" borderId="3" xfId="2602" applyNumberFormat="1" applyFont="1" applyBorder="1"/>
    <xf numFmtId="173" fontId="20" fillId="0" borderId="17" xfId="2611" applyNumberFormat="1" applyFont="1" applyBorder="1" applyAlignment="1">
      <alignment horizontal="center"/>
    </xf>
    <xf numFmtId="173" fontId="20" fillId="0" borderId="39" xfId="2611" applyNumberFormat="1" applyFont="1" applyBorder="1"/>
    <xf numFmtId="173" fontId="25" fillId="0" borderId="17" xfId="2602" applyNumberFormat="1" applyFont="1" applyBorder="1"/>
    <xf numFmtId="173" fontId="25" fillId="0" borderId="18" xfId="2602" applyNumberFormat="1" applyFont="1" applyBorder="1"/>
    <xf numFmtId="173" fontId="20" fillId="0" borderId="5" xfId="2611" applyNumberFormat="1" applyFont="1" applyBorder="1"/>
    <xf numFmtId="173" fontId="20" fillId="0" borderId="11" xfId="2611" applyNumberFormat="1" applyFont="1" applyBorder="1" applyAlignment="1">
      <alignment horizontal="center"/>
    </xf>
    <xf numFmtId="173" fontId="20" fillId="0" borderId="11" xfId="2602" applyNumberFormat="1" applyFont="1" applyBorder="1"/>
    <xf numFmtId="173" fontId="20" fillId="35" borderId="11" xfId="2602" applyNumberFormat="1" applyFont="1" applyFill="1" applyBorder="1"/>
    <xf numFmtId="173" fontId="20" fillId="0" borderId="0" xfId="2611" applyNumberFormat="1" applyFont="1"/>
    <xf numFmtId="173" fontId="20" fillId="0" borderId="13" xfId="2602" applyNumberFormat="1" applyFont="1" applyBorder="1"/>
    <xf numFmtId="173" fontId="20" fillId="0" borderId="13" xfId="2612" applyNumberFormat="1" applyFont="1" applyBorder="1"/>
    <xf numFmtId="6" fontId="25" fillId="0" borderId="0" xfId="2611" applyNumberFormat="1" applyFont="1"/>
    <xf numFmtId="165" fontId="25" fillId="0" borderId="0" xfId="2602" applyNumberFormat="1" applyFont="1"/>
    <xf numFmtId="165" fontId="20" fillId="39" borderId="11" xfId="2602" applyNumberFormat="1" applyFont="1" applyFill="1" applyBorder="1"/>
    <xf numFmtId="165" fontId="25" fillId="0" borderId="2" xfId="2602" applyNumberFormat="1" applyFont="1" applyBorder="1"/>
    <xf numFmtId="165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5" fontId="25" fillId="37" borderId="0" xfId="2602" applyNumberFormat="1" applyFont="1" applyFill="1"/>
    <xf numFmtId="170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3" fontId="20" fillId="34" borderId="13" xfId="2602" applyNumberFormat="1" applyFont="1" applyFill="1" applyBorder="1"/>
    <xf numFmtId="173" fontId="20" fillId="34" borderId="3" xfId="2602" applyNumberFormat="1" applyFont="1" applyFill="1" applyBorder="1"/>
    <xf numFmtId="173" fontId="20" fillId="34" borderId="40" xfId="2602" applyNumberFormat="1" applyFont="1" applyFill="1" applyBorder="1"/>
    <xf numFmtId="173" fontId="25" fillId="0" borderId="52" xfId="2612" applyNumberFormat="1" applyFont="1" applyBorder="1"/>
    <xf numFmtId="173" fontId="25" fillId="0" borderId="49" xfId="2612" applyNumberFormat="1" applyFont="1" applyBorder="1"/>
    <xf numFmtId="173" fontId="20" fillId="34" borderId="18" xfId="2602" applyNumberFormat="1" applyFont="1" applyFill="1" applyBorder="1"/>
    <xf numFmtId="173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3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5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0" fontId="25" fillId="0" borderId="15" xfId="2604" applyNumberFormat="1" applyFont="1" applyBorder="1"/>
    <xf numFmtId="170" fontId="25" fillId="0" borderId="0" xfId="2604" applyNumberFormat="1" applyFont="1"/>
    <xf numFmtId="170" fontId="25" fillId="33" borderId="0" xfId="2604" applyNumberFormat="1" applyFont="1" applyFill="1"/>
    <xf numFmtId="170" fontId="20" fillId="0" borderId="15" xfId="2604" applyNumberFormat="1" applyFont="1" applyBorder="1" applyAlignment="1">
      <alignment horizontal="center"/>
    </xf>
    <xf numFmtId="170" fontId="20" fillId="0" borderId="35" xfId="2604" applyNumberFormat="1" applyFont="1" applyBorder="1"/>
    <xf numFmtId="170" fontId="20" fillId="0" borderId="16" xfId="2604" applyNumberFormat="1" applyFont="1" applyBorder="1" applyAlignment="1">
      <alignment horizontal="center"/>
    </xf>
    <xf numFmtId="170" fontId="20" fillId="0" borderId="36" xfId="2604" applyNumberFormat="1" applyFont="1" applyBorder="1"/>
    <xf numFmtId="170" fontId="20" fillId="0" borderId="17" xfId="2604" applyNumberFormat="1" applyFont="1" applyBorder="1" applyAlignment="1">
      <alignment horizontal="center"/>
    </xf>
    <xf numFmtId="170" fontId="20" fillId="0" borderId="39" xfId="2604" applyNumberFormat="1" applyFont="1" applyBorder="1"/>
    <xf numFmtId="170" fontId="20" fillId="0" borderId="0" xfId="2604" applyNumberFormat="1" applyFont="1"/>
    <xf numFmtId="170" fontId="20" fillId="0" borderId="5" xfId="2604" applyNumberFormat="1" applyFont="1" applyBorder="1"/>
    <xf numFmtId="170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41" fontId="0" fillId="37" borderId="0" xfId="2604" applyFont="1" applyFill="1"/>
    <xf numFmtId="0" fontId="0" fillId="37" borderId="0" xfId="0" applyFill="1" applyAlignment="1">
      <alignment horizontal="center"/>
    </xf>
    <xf numFmtId="41" fontId="0" fillId="37" borderId="0" xfId="2601" applyFont="1" applyFill="1"/>
    <xf numFmtId="43" fontId="0" fillId="37" borderId="0" xfId="0" applyNumberFormat="1" applyFill="1"/>
    <xf numFmtId="41" fontId="41" fillId="0" borderId="0" xfId="2601" applyFont="1" applyFill="1" applyBorder="1" applyAlignment="1">
      <alignment horizontal="center"/>
    </xf>
    <xf numFmtId="171" fontId="0" fillId="0" borderId="0" xfId="2601" applyNumberFormat="1" applyFont="1" applyFill="1" applyBorder="1"/>
    <xf numFmtId="171" fontId="0" fillId="0" borderId="0" xfId="2601" applyNumberFormat="1" applyFont="1" applyFill="1"/>
    <xf numFmtId="171" fontId="22" fillId="0" borderId="0" xfId="2601" applyNumberFormat="1" applyFont="1" applyFill="1" applyBorder="1"/>
    <xf numFmtId="41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1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41" fontId="41" fillId="38" borderId="19" xfId="2601" applyFont="1" applyFill="1" applyBorder="1" applyAlignment="1">
      <alignment horizontal="center"/>
    </xf>
    <xf numFmtId="41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1" fontId="0" fillId="0" borderId="54" xfId="2601" applyNumberFormat="1" applyFont="1" applyBorder="1"/>
    <xf numFmtId="0" fontId="0" fillId="0" borderId="40" xfId="0" applyBorder="1"/>
    <xf numFmtId="171" fontId="0" fillId="0" borderId="52" xfId="2601" applyNumberFormat="1" applyFont="1" applyBorder="1"/>
    <xf numFmtId="171" fontId="0" fillId="0" borderId="55" xfId="2601" applyNumberFormat="1" applyFont="1" applyBorder="1"/>
    <xf numFmtId="171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4" fontId="25" fillId="0" borderId="21" xfId="2601" applyNumberFormat="1" applyFont="1" applyBorder="1"/>
    <xf numFmtId="174" fontId="25" fillId="0" borderId="22" xfId="2601" applyNumberFormat="1" applyFont="1" applyBorder="1"/>
    <xf numFmtId="174" fontId="25" fillId="0" borderId="23" xfId="2601" applyNumberFormat="1" applyFont="1" applyBorder="1"/>
    <xf numFmtId="174" fontId="20" fillId="0" borderId="13" xfId="2601" applyNumberFormat="1" applyFont="1" applyBorder="1"/>
    <xf numFmtId="176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41" fontId="0" fillId="0" borderId="11" xfId="2601" applyFont="1" applyBorder="1" applyAlignment="1">
      <alignment horizontal="center"/>
    </xf>
    <xf numFmtId="41" fontId="0" fillId="55" borderId="40" xfId="2601" applyFont="1" applyFill="1" applyBorder="1"/>
    <xf numFmtId="41" fontId="0" fillId="0" borderId="65" xfId="2601" applyFont="1" applyBorder="1"/>
    <xf numFmtId="41" fontId="0" fillId="55" borderId="3" xfId="2601" applyFont="1" applyFill="1" applyBorder="1"/>
    <xf numFmtId="41" fontId="0" fillId="0" borderId="4" xfId="2601" applyFont="1" applyBorder="1"/>
    <xf numFmtId="41" fontId="0" fillId="0" borderId="64" xfId="2601" applyFont="1" applyBorder="1"/>
    <xf numFmtId="41" fontId="0" fillId="0" borderId="58" xfId="2601" applyFont="1" applyBorder="1"/>
    <xf numFmtId="41" fontId="41" fillId="34" borderId="64" xfId="2601" applyFont="1" applyFill="1" applyBorder="1"/>
    <xf numFmtId="41" fontId="0" fillId="55" borderId="18" xfId="2601" applyFont="1" applyFill="1" applyBorder="1"/>
    <xf numFmtId="41" fontId="41" fillId="34" borderId="73" xfId="2601" applyFont="1" applyFill="1" applyBorder="1"/>
    <xf numFmtId="41" fontId="41" fillId="55" borderId="51" xfId="2601" applyFont="1" applyFill="1" applyBorder="1" applyAlignment="1">
      <alignment horizontal="left"/>
    </xf>
    <xf numFmtId="41" fontId="0" fillId="55" borderId="57" xfId="2601" applyFont="1" applyFill="1" applyBorder="1"/>
    <xf numFmtId="41" fontId="41" fillId="55" borderId="16" xfId="2601" applyFont="1" applyFill="1" applyBorder="1" applyAlignment="1">
      <alignment horizontal="left"/>
    </xf>
    <xf numFmtId="41" fontId="0" fillId="55" borderId="4" xfId="2601" applyFont="1" applyFill="1" applyBorder="1"/>
    <xf numFmtId="41" fontId="41" fillId="54" borderId="16" xfId="2601" applyFont="1" applyFill="1" applyBorder="1" applyAlignment="1">
      <alignment horizontal="left"/>
    </xf>
    <xf numFmtId="41" fontId="0" fillId="54" borderId="3" xfId="2601" applyFont="1" applyFill="1" applyBorder="1"/>
    <xf numFmtId="41" fontId="0" fillId="54" borderId="58" xfId="2601" applyFont="1" applyFill="1" applyBorder="1"/>
    <xf numFmtId="41" fontId="0" fillId="54" borderId="4" xfId="2601" applyFont="1" applyFill="1" applyBorder="1"/>
    <xf numFmtId="41" fontId="41" fillId="0" borderId="16" xfId="2601" applyFont="1" applyFill="1" applyBorder="1" applyAlignment="1">
      <alignment horizontal="left"/>
    </xf>
    <xf numFmtId="41" fontId="0" fillId="0" borderId="3" xfId="2601" applyFont="1" applyFill="1" applyBorder="1"/>
    <xf numFmtId="41" fontId="41" fillId="55" borderId="17" xfId="2601" applyFont="1" applyFill="1" applyBorder="1" applyAlignment="1">
      <alignment horizontal="left"/>
    </xf>
    <xf numFmtId="175" fontId="25" fillId="0" borderId="0" xfId="2599" applyNumberFormat="1" applyFont="1"/>
    <xf numFmtId="165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0" fontId="25" fillId="0" borderId="51" xfId="2604" applyNumberFormat="1" applyFont="1" applyBorder="1"/>
    <xf numFmtId="170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2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3" fontId="20" fillId="0" borderId="5" xfId="0" applyNumberFormat="1" applyFont="1" applyBorder="1" applyAlignment="1">
      <alignment horizontal="center"/>
    </xf>
    <xf numFmtId="173" fontId="20" fillId="0" borderId="10" xfId="2599" applyNumberFormat="1" applyFont="1" applyBorder="1"/>
    <xf numFmtId="173" fontId="25" fillId="0" borderId="47" xfId="2601" applyNumberFormat="1" applyFont="1" applyBorder="1"/>
    <xf numFmtId="173" fontId="25" fillId="0" borderId="77" xfId="2601" applyNumberFormat="1" applyFont="1" applyBorder="1"/>
    <xf numFmtId="173" fontId="25" fillId="0" borderId="71" xfId="2601" applyNumberFormat="1" applyFont="1" applyBorder="1"/>
    <xf numFmtId="173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3" fontId="25" fillId="0" borderId="66" xfId="2601" applyNumberFormat="1" applyFont="1" applyBorder="1"/>
    <xf numFmtId="173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41" fontId="25" fillId="0" borderId="0" xfId="2601" applyFont="1"/>
    <xf numFmtId="177" fontId="25" fillId="0" borderId="0" xfId="0" applyNumberFormat="1" applyFont="1"/>
    <xf numFmtId="3" fontId="63" fillId="0" borderId="3" xfId="2614" applyNumberFormat="1" applyBorder="1" applyAlignment="1">
      <alignment vertical="top"/>
    </xf>
    <xf numFmtId="43" fontId="25" fillId="0" borderId="0" xfId="2615" applyFont="1"/>
    <xf numFmtId="171" fontId="0" fillId="0" borderId="4" xfId="2604" applyNumberFormat="1" applyFont="1" applyBorder="1" applyAlignment="1">
      <alignment vertical="top"/>
    </xf>
    <xf numFmtId="171" fontId="0" fillId="0" borderId="49" xfId="2604" applyNumberFormat="1" applyFont="1" applyBorder="1"/>
    <xf numFmtId="171" fontId="0" fillId="0" borderId="46" xfId="2604" applyNumberFormat="1" applyFont="1" applyBorder="1"/>
    <xf numFmtId="179" fontId="0" fillId="34" borderId="0" xfId="2601" applyNumberFormat="1" applyFont="1" applyFill="1"/>
    <xf numFmtId="178" fontId="65" fillId="0" borderId="0" xfId="2601" applyNumberFormat="1" applyFont="1" applyFill="1"/>
    <xf numFmtId="180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5" fontId="0" fillId="0" borderId="0" xfId="2615" applyNumberFormat="1" applyFont="1"/>
    <xf numFmtId="171" fontId="0" fillId="0" borderId="3" xfId="2604" applyNumberFormat="1" applyFont="1" applyFill="1" applyBorder="1" applyAlignment="1">
      <alignment vertical="top"/>
    </xf>
    <xf numFmtId="171" fontId="0" fillId="0" borderId="42" xfId="2604" applyNumberFormat="1" applyFont="1" applyFill="1" applyBorder="1" applyAlignment="1">
      <alignment vertical="top"/>
    </xf>
    <xf numFmtId="173" fontId="25" fillId="0" borderId="76" xfId="2599" applyNumberFormat="1" applyFont="1" applyBorder="1"/>
    <xf numFmtId="173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3" fontId="20" fillId="0" borderId="53" xfId="2599" applyNumberFormat="1" applyFont="1" applyBorder="1"/>
    <xf numFmtId="173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1" fontId="66" fillId="0" borderId="0" xfId="2617" applyNumberFormat="1"/>
    <xf numFmtId="171" fontId="0" fillId="0" borderId="41" xfId="2601" applyNumberFormat="1" applyFont="1" applyBorder="1" applyAlignment="1">
      <alignment horizontal="right"/>
    </xf>
    <xf numFmtId="171" fontId="0" fillId="0" borderId="49" xfId="2601" applyNumberFormat="1" applyFont="1" applyBorder="1" applyAlignment="1">
      <alignment horizontal="right"/>
    </xf>
    <xf numFmtId="171" fontId="0" fillId="0" borderId="46" xfId="2601" applyNumberFormat="1" applyFont="1" applyBorder="1" applyAlignment="1">
      <alignment horizontal="right"/>
    </xf>
    <xf numFmtId="41" fontId="0" fillId="0" borderId="0" xfId="2601" applyFont="1" applyAlignment="1">
      <alignment horizontal="right"/>
    </xf>
    <xf numFmtId="182" fontId="0" fillId="0" borderId="0" xfId="0" applyNumberFormat="1"/>
    <xf numFmtId="182" fontId="22" fillId="0" borderId="0" xfId="0" applyNumberFormat="1" applyFont="1"/>
    <xf numFmtId="182" fontId="0" fillId="0" borderId="0" xfId="0" applyNumberFormat="1" applyAlignment="1">
      <alignment vertical="top"/>
    </xf>
    <xf numFmtId="182" fontId="19" fillId="36" borderId="0" xfId="0" applyNumberFormat="1" applyFont="1" applyFill="1" applyAlignment="1">
      <alignment vertical="top"/>
    </xf>
    <xf numFmtId="182" fontId="19" fillId="0" borderId="0" xfId="0" applyNumberFormat="1" applyFont="1" applyAlignment="1">
      <alignment vertical="top"/>
    </xf>
    <xf numFmtId="182" fontId="0" fillId="55" borderId="0" xfId="0" applyNumberFormat="1" applyFill="1"/>
    <xf numFmtId="182" fontId="0" fillId="55" borderId="0" xfId="0" applyNumberFormat="1" applyFill="1" applyAlignment="1">
      <alignment vertical="top"/>
    </xf>
    <xf numFmtId="182" fontId="0" fillId="54" borderId="0" xfId="0" applyNumberFormat="1" applyFill="1"/>
    <xf numFmtId="182" fontId="0" fillId="54" borderId="0" xfId="0" applyNumberFormat="1" applyFill="1" applyAlignment="1">
      <alignment vertical="top"/>
    </xf>
    <xf numFmtId="182" fontId="0" fillId="38" borderId="0" xfId="0" applyNumberFormat="1" applyFill="1"/>
    <xf numFmtId="182" fontId="0" fillId="38" borderId="0" xfId="0" applyNumberFormat="1" applyFill="1" applyAlignment="1">
      <alignment vertical="top"/>
    </xf>
    <xf numFmtId="182" fontId="19" fillId="38" borderId="0" xfId="0" applyNumberFormat="1" applyFont="1" applyFill="1" applyAlignment="1">
      <alignment vertical="top"/>
    </xf>
    <xf numFmtId="182" fontId="0" fillId="33" borderId="0" xfId="0" applyNumberFormat="1" applyFill="1" applyAlignment="1">
      <alignment vertical="top"/>
    </xf>
    <xf numFmtId="182" fontId="19" fillId="33" borderId="0" xfId="0" applyNumberFormat="1" applyFont="1" applyFill="1" applyAlignment="1">
      <alignment vertical="top"/>
    </xf>
    <xf numFmtId="182" fontId="0" fillId="41" borderId="0" xfId="0" applyNumberFormat="1" applyFill="1" applyAlignment="1">
      <alignment vertical="top"/>
    </xf>
    <xf numFmtId="182" fontId="0" fillId="41" borderId="0" xfId="0" applyNumberFormat="1" applyFill="1"/>
    <xf numFmtId="182" fontId="0" fillId="46" borderId="0" xfId="0" applyNumberFormat="1" applyFill="1" applyAlignment="1">
      <alignment vertical="top"/>
    </xf>
    <xf numFmtId="182" fontId="0" fillId="39" borderId="0" xfId="0" applyNumberFormat="1" applyFill="1" applyAlignment="1">
      <alignment vertical="top"/>
    </xf>
    <xf numFmtId="182" fontId="0" fillId="48" borderId="0" xfId="0" applyNumberFormat="1" applyFill="1" applyAlignment="1">
      <alignment vertical="top"/>
    </xf>
    <xf numFmtId="182" fontId="0" fillId="37" borderId="0" xfId="0" applyNumberFormat="1" applyFill="1"/>
    <xf numFmtId="182" fontId="19" fillId="54" borderId="0" xfId="0" applyNumberFormat="1" applyFont="1" applyFill="1" applyAlignment="1">
      <alignment vertical="top"/>
    </xf>
    <xf numFmtId="182" fontId="0" fillId="39" borderId="0" xfId="0" applyNumberFormat="1" applyFill="1"/>
    <xf numFmtId="4" fontId="53" fillId="0" borderId="0" xfId="0" applyNumberFormat="1" applyFont="1"/>
    <xf numFmtId="165" fontId="25" fillId="0" borderId="0" xfId="2599" applyNumberFormat="1" applyFont="1" applyAlignment="1"/>
    <xf numFmtId="165" fontId="25" fillId="0" borderId="0" xfId="2602" applyNumberFormat="1" applyFont="1" applyBorder="1"/>
    <xf numFmtId="49" fontId="0" fillId="0" borderId="3" xfId="0" applyNumberFormat="1" applyBorder="1"/>
    <xf numFmtId="6" fontId="0" fillId="0" borderId="3" xfId="0" applyNumberFormat="1" applyBorder="1" applyAlignment="1">
      <alignment horizontal="center" vertical="center"/>
    </xf>
    <xf numFmtId="183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69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3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5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1" fontId="0" fillId="0" borderId="0" xfId="0" applyNumberFormat="1"/>
    <xf numFmtId="184" fontId="66" fillId="0" borderId="3" xfId="2617" applyNumberFormat="1" applyBorder="1"/>
    <xf numFmtId="0" fontId="69" fillId="0" borderId="0" xfId="0" applyFont="1" applyAlignment="1">
      <alignment wrapText="1"/>
    </xf>
    <xf numFmtId="171" fontId="55" fillId="0" borderId="0" xfId="2604" applyNumberFormat="1" applyFont="1"/>
    <xf numFmtId="171" fontId="62" fillId="0" borderId="12" xfId="2604" applyNumberFormat="1" applyFont="1" applyBorder="1" applyAlignment="1">
      <alignment horizontal="center" vertical="center" wrapText="1"/>
    </xf>
    <xf numFmtId="170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41" fontId="55" fillId="59" borderId="72" xfId="2604" applyFont="1" applyFill="1" applyBorder="1"/>
    <xf numFmtId="41" fontId="55" fillId="59" borderId="43" xfId="2604" applyFont="1" applyFill="1" applyBorder="1"/>
    <xf numFmtId="41" fontId="55" fillId="0" borderId="43" xfId="2604" applyFont="1" applyFill="1" applyBorder="1"/>
    <xf numFmtId="41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41" fontId="55" fillId="59" borderId="55" xfId="2604" applyFont="1" applyFill="1" applyBorder="1"/>
    <xf numFmtId="41" fontId="55" fillId="59" borderId="22" xfId="2604" applyFont="1" applyFill="1" applyBorder="1"/>
    <xf numFmtId="41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41" fontId="55" fillId="59" borderId="79" xfId="2604" applyFont="1" applyFill="1" applyBorder="1"/>
    <xf numFmtId="41" fontId="55" fillId="59" borderId="23" xfId="2604" applyFont="1" applyFill="1" applyBorder="1"/>
    <xf numFmtId="41" fontId="55" fillId="0" borderId="23" xfId="2604" applyFont="1" applyFill="1" applyBorder="1"/>
    <xf numFmtId="41" fontId="55" fillId="0" borderId="80" xfId="2604" applyFont="1" applyFill="1" applyBorder="1"/>
    <xf numFmtId="170" fontId="62" fillId="36" borderId="11" xfId="2604" applyNumberFormat="1" applyFont="1" applyFill="1" applyBorder="1"/>
    <xf numFmtId="41" fontId="62" fillId="59" borderId="11" xfId="2604" applyFont="1" applyFill="1" applyBorder="1"/>
    <xf numFmtId="41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41" fontId="55" fillId="36" borderId="41" xfId="2604" applyFont="1" applyFill="1" applyBorder="1"/>
    <xf numFmtId="41" fontId="55" fillId="36" borderId="49" xfId="2604" applyFont="1" applyFill="1" applyBorder="1"/>
    <xf numFmtId="41" fontId="19" fillId="0" borderId="3" xfId="2604" applyFont="1" applyBorder="1"/>
    <xf numFmtId="41" fontId="55" fillId="36" borderId="46" xfId="2604" applyFont="1" applyFill="1" applyBorder="1"/>
    <xf numFmtId="41" fontId="19" fillId="0" borderId="3" xfId="2604" applyFont="1" applyFill="1" applyBorder="1"/>
    <xf numFmtId="41" fontId="62" fillId="36" borderId="11" xfId="2604" applyFont="1" applyFill="1" applyBorder="1"/>
    <xf numFmtId="41" fontId="22" fillId="0" borderId="3" xfId="2604" applyFont="1" applyBorder="1"/>
    <xf numFmtId="165" fontId="0" fillId="0" borderId="0" xfId="2598" applyNumberFormat="1" applyFont="1"/>
    <xf numFmtId="41" fontId="0" fillId="34" borderId="3" xfId="0" applyNumberFormat="1" applyFill="1" applyBorder="1"/>
    <xf numFmtId="41" fontId="66" fillId="0" borderId="0" xfId="2617" applyNumberFormat="1"/>
    <xf numFmtId="41" fontId="66" fillId="0" borderId="3" xfId="2617" applyNumberFormat="1" applyBorder="1"/>
    <xf numFmtId="8" fontId="66" fillId="0" borderId="0" xfId="2617" applyNumberFormat="1"/>
    <xf numFmtId="185" fontId="66" fillId="0" borderId="0" xfId="0" applyNumberFormat="1" applyFont="1" applyAlignment="1">
      <alignment vertical="center"/>
    </xf>
    <xf numFmtId="0" fontId="22" fillId="36" borderId="0" xfId="0" applyFont="1" applyFill="1"/>
    <xf numFmtId="165" fontId="0" fillId="42" borderId="0" xfId="0" applyNumberFormat="1" applyFill="1"/>
    <xf numFmtId="186" fontId="0" fillId="0" borderId="0" xfId="2598" applyNumberFormat="1" applyFont="1"/>
    <xf numFmtId="186" fontId="0" fillId="0" borderId="0" xfId="0" applyNumberFormat="1"/>
    <xf numFmtId="187" fontId="0" fillId="0" borderId="0" xfId="2598" applyNumberFormat="1" applyFont="1"/>
    <xf numFmtId="165" fontId="0" fillId="42" borderId="0" xfId="2598" applyNumberFormat="1" applyFont="1" applyFill="1"/>
    <xf numFmtId="187" fontId="0" fillId="53" borderId="0" xfId="2598" applyNumberFormat="1" applyFont="1" applyFill="1"/>
    <xf numFmtId="165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88" fontId="66" fillId="0" borderId="3" xfId="2617" applyNumberFormat="1" applyBorder="1"/>
    <xf numFmtId="189" fontId="66" fillId="0" borderId="3" xfId="2617" applyNumberFormat="1" applyBorder="1"/>
    <xf numFmtId="190" fontId="25" fillId="0" borderId="0" xfId="2599" applyNumberFormat="1" applyFont="1"/>
    <xf numFmtId="182" fontId="19" fillId="46" borderId="0" xfId="0" applyNumberFormat="1" applyFont="1" applyFill="1" applyAlignment="1">
      <alignment vertical="top"/>
    </xf>
    <xf numFmtId="191" fontId="66" fillId="0" borderId="3" xfId="2617" applyNumberFormat="1" applyBorder="1"/>
    <xf numFmtId="192" fontId="0" fillId="0" borderId="3" xfId="0" applyNumberFormat="1" applyBorder="1"/>
    <xf numFmtId="41" fontId="0" fillId="0" borderId="72" xfId="2604" applyFont="1" applyBorder="1"/>
    <xf numFmtId="171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2" fontId="0" fillId="53" borderId="0" xfId="0" applyNumberFormat="1" applyFill="1" applyAlignment="1">
      <alignment vertical="top"/>
    </xf>
    <xf numFmtId="182" fontId="0" fillId="0" borderId="0" xfId="0" applyNumberFormat="1" applyAlignment="1">
      <alignment horizontal="center" vertical="center"/>
    </xf>
    <xf numFmtId="182" fontId="22" fillId="0" borderId="0" xfId="0" applyNumberFormat="1" applyFont="1" applyAlignment="1">
      <alignment horizontal="center" vertical="center"/>
    </xf>
    <xf numFmtId="0" fontId="0" fillId="52" borderId="0" xfId="0" applyFill="1"/>
    <xf numFmtId="43" fontId="20" fillId="38" borderId="22" xfId="2599" applyFont="1" applyFill="1" applyBorder="1"/>
    <xf numFmtId="176" fontId="25" fillId="0" borderId="15" xfId="2599" applyNumberFormat="1" applyFont="1" applyBorder="1"/>
    <xf numFmtId="176" fontId="20" fillId="35" borderId="22" xfId="2599" applyNumberFormat="1" applyFont="1" applyFill="1" applyBorder="1"/>
    <xf numFmtId="41" fontId="22" fillId="0" borderId="0" xfId="2604" applyFont="1" applyAlignment="1"/>
    <xf numFmtId="41" fontId="0" fillId="0" borderId="0" xfId="2604" applyFont="1" applyAlignment="1"/>
    <xf numFmtId="0" fontId="22" fillId="0" borderId="0" xfId="0" applyFont="1" applyAlignment="1">
      <alignment horizontal="left"/>
    </xf>
    <xf numFmtId="41" fontId="0" fillId="0" borderId="17" xfId="0" applyNumberFormat="1" applyBorder="1"/>
    <xf numFmtId="41" fontId="0" fillId="0" borderId="18" xfId="0" applyNumberFormat="1" applyBorder="1"/>
    <xf numFmtId="0" fontId="56" fillId="0" borderId="1" xfId="0" applyFont="1" applyBorder="1"/>
    <xf numFmtId="41" fontId="0" fillId="0" borderId="16" xfId="0" applyNumberFormat="1" applyBorder="1"/>
    <xf numFmtId="41" fontId="22" fillId="0" borderId="17" xfId="0" applyNumberFormat="1" applyFont="1" applyBorder="1"/>
    <xf numFmtId="41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41" fontId="0" fillId="61" borderId="3" xfId="2604" applyFont="1" applyFill="1" applyBorder="1"/>
    <xf numFmtId="41" fontId="0" fillId="61" borderId="3" xfId="0" applyNumberFormat="1" applyFill="1" applyBorder="1"/>
    <xf numFmtId="0" fontId="0" fillId="53" borderId="3" xfId="0" applyFill="1" applyBorder="1"/>
    <xf numFmtId="41" fontId="0" fillId="53" borderId="3" xfId="2604" applyFont="1" applyFill="1" applyBorder="1"/>
    <xf numFmtId="41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2" fontId="0" fillId="33" borderId="0" xfId="0" applyNumberFormat="1" applyFill="1"/>
    <xf numFmtId="182" fontId="0" fillId="35" borderId="0" xfId="0" applyNumberFormat="1" applyFill="1"/>
    <xf numFmtId="182" fontId="19" fillId="35" borderId="0" xfId="0" applyNumberFormat="1" applyFont="1" applyFill="1" applyAlignment="1">
      <alignment vertical="top"/>
    </xf>
    <xf numFmtId="182" fontId="0" fillId="35" borderId="0" xfId="0" applyNumberFormat="1" applyFill="1" applyAlignment="1">
      <alignment vertical="top"/>
    </xf>
    <xf numFmtId="41" fontId="0" fillId="0" borderId="63" xfId="2601" applyFont="1" applyBorder="1"/>
    <xf numFmtId="41" fontId="19" fillId="51" borderId="0" xfId="2604" applyFont="1" applyFill="1"/>
    <xf numFmtId="165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41" fontId="55" fillId="0" borderId="0" xfId="2601" applyFont="1"/>
    <xf numFmtId="182" fontId="0" fillId="47" borderId="0" xfId="0" applyNumberFormat="1" applyFill="1"/>
    <xf numFmtId="182" fontId="0" fillId="47" borderId="0" xfId="0" applyNumberFormat="1" applyFill="1" applyAlignment="1">
      <alignment vertical="top"/>
    </xf>
    <xf numFmtId="182" fontId="19" fillId="47" borderId="0" xfId="0" applyNumberFormat="1" applyFont="1" applyFill="1" applyAlignment="1">
      <alignment vertical="top"/>
    </xf>
    <xf numFmtId="182" fontId="0" fillId="42" borderId="0" xfId="0" applyNumberFormat="1" applyFill="1" applyAlignment="1">
      <alignment vertical="top"/>
    </xf>
    <xf numFmtId="182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4" fontId="19" fillId="33" borderId="0" xfId="0" applyNumberFormat="1" applyFont="1" applyFill="1" applyAlignment="1">
      <alignment vertical="top"/>
    </xf>
    <xf numFmtId="0" fontId="19" fillId="48" borderId="0" xfId="0" applyFont="1" applyFill="1" applyAlignment="1">
      <alignment vertical="top"/>
    </xf>
    <xf numFmtId="0" fontId="62" fillId="34" borderId="53" xfId="0" applyFont="1" applyFill="1" applyBorder="1" applyAlignment="1">
      <alignment horizontal="center" vertical="center"/>
    </xf>
    <xf numFmtId="171" fontId="0" fillId="61" borderId="3" xfId="0" applyNumberFormat="1" applyFill="1" applyBorder="1"/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182" fontId="22" fillId="0" borderId="0" xfId="0" applyNumberFormat="1" applyFont="1" applyAlignment="1">
      <alignment horizontal="center" vertical="center" wrapText="1"/>
    </xf>
    <xf numFmtId="182" fontId="0" fillId="0" borderId="0" xfId="0" applyNumberFormat="1" applyAlignment="1">
      <alignment horizontal="center" vertical="center"/>
    </xf>
    <xf numFmtId="182" fontId="22" fillId="0" borderId="0" xfId="0" applyNumberFormat="1" applyFont="1" applyAlignment="1">
      <alignment horizontal="center" vertical="center"/>
    </xf>
    <xf numFmtId="182" fontId="22" fillId="34" borderId="0" xfId="0" applyNumberFormat="1" applyFont="1" applyFill="1" applyAlignment="1">
      <alignment horizontal="center" vertical="center"/>
    </xf>
    <xf numFmtId="41" fontId="62" fillId="0" borderId="5" xfId="0" applyNumberFormat="1" applyFont="1" applyBorder="1" applyAlignment="1">
      <alignment horizontal="center"/>
    </xf>
    <xf numFmtId="41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DATCAL\Comercial\Mis%20documentos\Comercial%20Aseo\Estudio%20Tarifa\Buga\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INFORMACION%20DOS%20EMPRESAS\TARIFAS%20SICO\A&#209;O%202011\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W3datcal\comercial\Comercial%20Aseo\Marco%20regulario2006\ESTIMACION%20TARIFAS\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NETPAL\Operaciones\HOJAS%202003\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>
      <selection activeCell="F21" sqref="F21:G25"/>
    </sheetView>
  </sheetViews>
  <sheetFormatPr baseColWidth="10" defaultRowHeight="12.5" x14ac:dyDescent="0.25"/>
  <cols>
    <col min="1" max="1" width="2.1796875" customWidth="1"/>
    <col min="2" max="2" width="12.81640625" bestFit="1" customWidth="1"/>
    <col min="3" max="3" width="7.1796875" customWidth="1"/>
    <col min="4" max="4" width="15.1796875" style="167" customWidth="1"/>
    <col min="5" max="5" width="20.453125" style="167" customWidth="1"/>
    <col min="6" max="6" width="15.1796875" style="167" customWidth="1"/>
    <col min="7" max="7" width="20.1796875" style="167" customWidth="1"/>
    <col min="8" max="8" width="3.81640625" style="167" customWidth="1"/>
    <col min="9" max="10" width="26.54296875" style="167" bestFit="1" customWidth="1"/>
    <col min="11" max="13" width="19.81640625" style="167" customWidth="1"/>
  </cols>
  <sheetData>
    <row r="1" spans="2:13" ht="13" thickBot="1" x14ac:dyDescent="0.3"/>
    <row r="2" spans="2:13" s="102" customFormat="1" ht="13.5" thickBot="1" x14ac:dyDescent="0.35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179">
        <v>11627730</v>
      </c>
      <c r="E4" s="180">
        <v>116</v>
      </c>
      <c r="F4" s="180">
        <v>4390091</v>
      </c>
      <c r="G4" s="181">
        <v>56</v>
      </c>
      <c r="J4" s="728"/>
    </row>
    <row r="5" spans="2:13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3.5" customHeight="1" x14ac:dyDescent="0.25">
      <c r="C6" s="178">
        <v>4</v>
      </c>
      <c r="D6" s="179">
        <v>7382710</v>
      </c>
      <c r="E6" s="180">
        <v>66</v>
      </c>
      <c r="F6" s="180">
        <v>1814000</v>
      </c>
      <c r="G6" s="181">
        <v>24</v>
      </c>
      <c r="J6" s="728"/>
    </row>
    <row r="7" spans="2:13" ht="13.5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8"/>
    </row>
    <row r="8" spans="2:13" ht="13" thickBot="1" x14ac:dyDescent="0.3">
      <c r="C8" s="182" t="s">
        <v>89</v>
      </c>
      <c r="D8" s="183"/>
      <c r="E8" s="184"/>
      <c r="F8" s="184"/>
      <c r="G8" s="185"/>
      <c r="J8" s="728"/>
    </row>
    <row r="9" spans="2:13" ht="13.5" thickBot="1" x14ac:dyDescent="0.35">
      <c r="D9" s="186">
        <v>19010440</v>
      </c>
      <c r="E9" s="186">
        <v>182</v>
      </c>
      <c r="F9" s="186">
        <v>6204091</v>
      </c>
      <c r="G9" s="186">
        <v>80</v>
      </c>
      <c r="J9" s="728"/>
    </row>
    <row r="10" spans="2:13" ht="13" thickBot="1" x14ac:dyDescent="0.3"/>
    <row r="11" spans="2:13" s="102" customFormat="1" ht="13.5" thickBot="1" x14ac:dyDescent="0.35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3" x14ac:dyDescent="0.3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" thickBot="1" x14ac:dyDescent="0.3">
      <c r="C17" s="182" t="s">
        <v>89</v>
      </c>
      <c r="D17" s="183"/>
      <c r="E17" s="184"/>
      <c r="F17" s="184"/>
      <c r="G17" s="185"/>
    </row>
    <row r="18" spans="1:11" ht="13.5" thickBot="1" x14ac:dyDescent="0.35">
      <c r="D18" s="186">
        <v>0</v>
      </c>
      <c r="E18" s="186">
        <v>0</v>
      </c>
      <c r="F18" s="186">
        <v>0</v>
      </c>
      <c r="G18" s="186">
        <v>0</v>
      </c>
    </row>
    <row r="19" spans="1:11" ht="13" thickBot="1" x14ac:dyDescent="0.3"/>
    <row r="20" spans="1:11" ht="13.5" thickBot="1" x14ac:dyDescent="0.35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3" x14ac:dyDescent="0.3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5">
      <c r="B22"/>
      <c r="C22" s="178">
        <v>2</v>
      </c>
      <c r="D22" s="179">
        <v>11627730</v>
      </c>
      <c r="E22" s="180">
        <v>116</v>
      </c>
      <c r="F22" s="180">
        <v>4390091</v>
      </c>
      <c r="G22" s="181">
        <v>56</v>
      </c>
      <c r="I22" s="179">
        <v>16017821</v>
      </c>
      <c r="J22" s="181">
        <v>172</v>
      </c>
    </row>
    <row r="23" spans="1:11" s="167" customForma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5">
      <c r="B24"/>
      <c r="C24" s="178">
        <v>4</v>
      </c>
      <c r="D24" s="179">
        <v>7382710</v>
      </c>
      <c r="E24" s="180">
        <v>66</v>
      </c>
      <c r="F24" s="180">
        <v>1814000</v>
      </c>
      <c r="G24" s="181">
        <v>24</v>
      </c>
      <c r="I24" s="179">
        <v>9196710</v>
      </c>
      <c r="J24" s="181">
        <v>90</v>
      </c>
    </row>
    <row r="25" spans="1:11" s="167" customForma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5" thickBot="1" x14ac:dyDescent="0.35">
      <c r="D27" s="186">
        <v>19010440</v>
      </c>
      <c r="E27" s="186">
        <v>182</v>
      </c>
      <c r="F27" s="186">
        <v>6204091</v>
      </c>
      <c r="G27" s="186">
        <v>80</v>
      </c>
      <c r="I27" s="204">
        <v>25214531</v>
      </c>
      <c r="J27" s="205">
        <v>262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ht="13" x14ac:dyDescent="0.3">
      <c r="B31" s="102" t="s">
        <v>132</v>
      </c>
      <c r="D31" s="167" t="b">
        <f>D9=SUM(D3:D8)</f>
        <v>1</v>
      </c>
      <c r="E31" s="167" t="b">
        <f t="shared" ref="E31:F31" si="0">E9=SUM(E3:E8)</f>
        <v>1</v>
      </c>
      <c r="F31" s="167" t="b">
        <f t="shared" si="0"/>
        <v>1</v>
      </c>
      <c r="G31" s="167" t="b">
        <f>G9=SUM(G3:G8)</f>
        <v>1</v>
      </c>
    </row>
    <row r="33" spans="2:10" ht="13" x14ac:dyDescent="0.3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ht="13" x14ac:dyDescent="0.3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/>
  </sheetViews>
  <sheetFormatPr baseColWidth="10" defaultRowHeight="12.5" x14ac:dyDescent="0.25"/>
  <cols>
    <col min="1" max="1" width="2.1796875" customWidth="1"/>
    <col min="2" max="2" width="12.81640625" bestFit="1" customWidth="1"/>
    <col min="3" max="3" width="7.1796875" customWidth="1"/>
    <col min="4" max="4" width="16" style="167" bestFit="1" customWidth="1"/>
    <col min="5" max="5" width="20.453125" style="167" customWidth="1"/>
    <col min="6" max="6" width="16" style="167" bestFit="1" customWidth="1"/>
    <col min="7" max="7" width="20.1796875" style="167" customWidth="1"/>
    <col min="8" max="8" width="3.81640625" style="167" customWidth="1"/>
    <col min="9" max="10" width="26.54296875" style="167" bestFit="1" customWidth="1"/>
    <col min="11" max="13" width="19.81640625" style="167" customWidth="1"/>
  </cols>
  <sheetData>
    <row r="1" spans="2:13" ht="14.5" customHeight="1" thickBot="1" x14ac:dyDescent="0.3"/>
    <row r="2" spans="2:13" s="102" customFormat="1" ht="12.65" customHeight="1" thickBot="1" x14ac:dyDescent="0.35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5" customHeight="1" x14ac:dyDescent="0.25">
      <c r="C3" s="174">
        <v>1</v>
      </c>
      <c r="D3" s="175">
        <v>16745673525</v>
      </c>
      <c r="E3" s="176">
        <v>356945</v>
      </c>
      <c r="F3" s="176">
        <v>15131451516</v>
      </c>
      <c r="G3" s="177">
        <v>257196</v>
      </c>
      <c r="J3" s="728"/>
    </row>
    <row r="4" spans="2:13" ht="12.65" customHeight="1" x14ac:dyDescent="0.25">
      <c r="C4" s="178">
        <v>2</v>
      </c>
      <c r="D4" s="179">
        <v>12677941411</v>
      </c>
      <c r="E4" s="180">
        <v>247628</v>
      </c>
      <c r="F4" s="180">
        <v>20191843481</v>
      </c>
      <c r="G4" s="181">
        <v>415819</v>
      </c>
      <c r="J4" s="728"/>
    </row>
    <row r="5" spans="2:13" ht="12.65" customHeight="1" x14ac:dyDescent="0.25">
      <c r="C5" s="178">
        <v>3</v>
      </c>
      <c r="D5" s="179">
        <v>10157711962</v>
      </c>
      <c r="E5" s="180">
        <v>233934</v>
      </c>
      <c r="F5" s="180">
        <v>13824429136</v>
      </c>
      <c r="G5" s="181">
        <v>269019</v>
      </c>
      <c r="J5" s="728"/>
    </row>
    <row r="6" spans="2:13" ht="12.65" customHeight="1" x14ac:dyDescent="0.25">
      <c r="C6" s="178">
        <v>4</v>
      </c>
      <c r="D6" s="179">
        <v>10972037248</v>
      </c>
      <c r="E6" s="180">
        <v>193770</v>
      </c>
      <c r="F6" s="180">
        <v>6638974137</v>
      </c>
      <c r="G6" s="181">
        <v>116956</v>
      </c>
    </row>
    <row r="7" spans="2:13" ht="12.65" customHeight="1" x14ac:dyDescent="0.25">
      <c r="C7" s="178">
        <v>5</v>
      </c>
      <c r="D7" s="179">
        <v>8639656940</v>
      </c>
      <c r="E7" s="180">
        <v>172542</v>
      </c>
      <c r="F7" s="180">
        <v>12022816376</v>
      </c>
      <c r="G7" s="181">
        <v>242887</v>
      </c>
    </row>
    <row r="8" spans="2:13" ht="12.65" customHeight="1" thickBot="1" x14ac:dyDescent="0.3">
      <c r="C8" s="182" t="s">
        <v>89</v>
      </c>
      <c r="D8" s="183"/>
      <c r="E8" s="184"/>
      <c r="F8" s="184"/>
      <c r="G8" s="185"/>
    </row>
    <row r="9" spans="2:13" ht="12.65" customHeight="1" thickBot="1" x14ac:dyDescent="0.35">
      <c r="D9" s="186">
        <v>59193021086</v>
      </c>
      <c r="E9" s="186">
        <v>1204819</v>
      </c>
      <c r="F9" s="186">
        <v>67809514646</v>
      </c>
      <c r="G9" s="186">
        <v>1301877</v>
      </c>
    </row>
    <row r="10" spans="2:13" ht="12.65" customHeight="1" thickBot="1" x14ac:dyDescent="0.3"/>
    <row r="11" spans="2:13" s="102" customFormat="1" ht="12.65" customHeight="1" thickBot="1" x14ac:dyDescent="0.35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5" customHeight="1" x14ac:dyDescent="0.3">
      <c r="B12" s="97" t="s">
        <v>140</v>
      </c>
      <c r="C12" s="174">
        <v>1</v>
      </c>
      <c r="D12" s="175">
        <v>202711553</v>
      </c>
      <c r="E12" s="176">
        <v>2558</v>
      </c>
      <c r="F12" s="176">
        <v>175327928</v>
      </c>
      <c r="G12" s="177">
        <v>2824</v>
      </c>
    </row>
    <row r="13" spans="2:13" ht="12.65" customHeight="1" x14ac:dyDescent="0.25">
      <c r="C13" s="178">
        <v>2</v>
      </c>
      <c r="D13" s="179">
        <v>73096641</v>
      </c>
      <c r="E13" s="180">
        <v>1473</v>
      </c>
      <c r="F13" s="180">
        <v>49072267</v>
      </c>
      <c r="G13" s="181">
        <v>722</v>
      </c>
    </row>
    <row r="14" spans="2:13" ht="12.65" customHeight="1" x14ac:dyDescent="0.25">
      <c r="C14" s="178">
        <v>3</v>
      </c>
      <c r="D14" s="179">
        <v>51248640</v>
      </c>
      <c r="E14" s="180">
        <v>963</v>
      </c>
      <c r="F14" s="180">
        <v>67822789</v>
      </c>
      <c r="G14" s="181">
        <v>1184</v>
      </c>
    </row>
    <row r="15" spans="2:13" ht="12.65" customHeight="1" x14ac:dyDescent="0.25">
      <c r="C15" s="178">
        <v>4</v>
      </c>
      <c r="D15" s="179">
        <v>62236830</v>
      </c>
      <c r="E15" s="180">
        <v>857</v>
      </c>
      <c r="F15" s="180">
        <v>72481595</v>
      </c>
      <c r="G15" s="181">
        <v>1595</v>
      </c>
    </row>
    <row r="16" spans="2:13" ht="12.65" customHeight="1" x14ac:dyDescent="0.25">
      <c r="C16" s="178">
        <v>5</v>
      </c>
      <c r="D16" s="179">
        <v>158575115</v>
      </c>
      <c r="E16" s="180">
        <v>2854</v>
      </c>
      <c r="F16" s="180">
        <v>25848890</v>
      </c>
      <c r="G16" s="181">
        <v>515</v>
      </c>
    </row>
    <row r="17" spans="1:11" ht="12.65" customHeight="1" thickBot="1" x14ac:dyDescent="0.3">
      <c r="C17" s="182" t="s">
        <v>89</v>
      </c>
      <c r="D17" s="183"/>
      <c r="E17" s="184"/>
      <c r="F17" s="184"/>
      <c r="G17" s="185"/>
    </row>
    <row r="18" spans="1:11" ht="12.65" customHeight="1" thickBot="1" x14ac:dyDescent="0.35">
      <c r="D18" s="186">
        <v>547868779</v>
      </c>
      <c r="E18" s="186">
        <v>8705</v>
      </c>
      <c r="F18" s="186">
        <v>390553469</v>
      </c>
      <c r="G18" s="186">
        <v>6840</v>
      </c>
    </row>
    <row r="19" spans="1:11" ht="12.65" customHeight="1" thickBot="1" x14ac:dyDescent="0.3"/>
    <row r="20" spans="1:11" ht="12.65" customHeight="1" thickBot="1" x14ac:dyDescent="0.35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5" customHeight="1" x14ac:dyDescent="0.3">
      <c r="B21" s="207" t="s">
        <v>2</v>
      </c>
      <c r="C21" s="174">
        <v>1</v>
      </c>
      <c r="D21" s="175">
        <v>16948385078</v>
      </c>
      <c r="E21" s="176">
        <v>359503</v>
      </c>
      <c r="F21" s="176">
        <v>15306779444</v>
      </c>
      <c r="G21" s="177">
        <v>260020</v>
      </c>
      <c r="I21" s="175">
        <v>32255164522</v>
      </c>
      <c r="J21" s="177">
        <v>619523</v>
      </c>
    </row>
    <row r="22" spans="1:11" s="167" customFormat="1" ht="12.65" customHeight="1" x14ac:dyDescent="0.25">
      <c r="B22"/>
      <c r="C22" s="178">
        <v>2</v>
      </c>
      <c r="D22" s="179">
        <v>12751038052</v>
      </c>
      <c r="E22" s="180">
        <v>249101</v>
      </c>
      <c r="F22" s="180">
        <v>20240915748</v>
      </c>
      <c r="G22" s="181">
        <v>416541</v>
      </c>
      <c r="I22" s="179">
        <v>32991953800</v>
      </c>
      <c r="J22" s="181">
        <v>665642</v>
      </c>
    </row>
    <row r="23" spans="1:11" s="167" customFormat="1" ht="12.65" customHeight="1" x14ac:dyDescent="0.25">
      <c r="B23"/>
      <c r="C23" s="178">
        <v>3</v>
      </c>
      <c r="D23" s="179">
        <v>10208960602</v>
      </c>
      <c r="E23" s="180">
        <v>234897</v>
      </c>
      <c r="F23" s="180">
        <v>13892251925</v>
      </c>
      <c r="G23" s="181">
        <v>270203</v>
      </c>
      <c r="I23" s="179">
        <v>24101212527</v>
      </c>
      <c r="J23" s="181">
        <v>505100</v>
      </c>
    </row>
    <row r="24" spans="1:11" s="167" customFormat="1" ht="12.65" customHeight="1" x14ac:dyDescent="0.25">
      <c r="B24"/>
      <c r="C24" s="178">
        <v>4</v>
      </c>
      <c r="D24" s="179">
        <v>11034274078</v>
      </c>
      <c r="E24" s="180">
        <v>194627</v>
      </c>
      <c r="F24" s="180">
        <v>6711455732</v>
      </c>
      <c r="G24" s="181">
        <v>118551</v>
      </c>
      <c r="I24" s="179">
        <v>17745729810</v>
      </c>
      <c r="J24" s="181">
        <v>313178</v>
      </c>
    </row>
    <row r="25" spans="1:11" s="167" customFormat="1" ht="12.65" customHeight="1" x14ac:dyDescent="0.25">
      <c r="B25"/>
      <c r="C25" s="178">
        <v>5</v>
      </c>
      <c r="D25" s="179">
        <v>8798232055</v>
      </c>
      <c r="E25" s="180">
        <v>175396</v>
      </c>
      <c r="F25" s="180">
        <v>12048665266</v>
      </c>
      <c r="G25" s="181">
        <v>243402</v>
      </c>
      <c r="I25" s="179">
        <v>20846897321</v>
      </c>
      <c r="J25" s="181">
        <v>418798</v>
      </c>
    </row>
    <row r="26" spans="1:11" ht="12.65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5" customHeight="1" thickBot="1" x14ac:dyDescent="0.35">
      <c r="D27" s="186">
        <v>59740889865</v>
      </c>
      <c r="E27" s="186">
        <v>1213524</v>
      </c>
      <c r="F27" s="186">
        <v>68200068115</v>
      </c>
      <c r="G27" s="186">
        <v>1308717</v>
      </c>
      <c r="I27" s="204">
        <v>127940957980</v>
      </c>
      <c r="J27" s="205">
        <v>2522241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ht="13" x14ac:dyDescent="0.3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ht="13" x14ac:dyDescent="0.3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ht="13" x14ac:dyDescent="0.3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/>
  </sheetViews>
  <sheetFormatPr baseColWidth="10" defaultRowHeight="12.5" x14ac:dyDescent="0.25"/>
  <cols>
    <col min="1" max="1" width="2.1796875" customWidth="1"/>
    <col min="2" max="2" width="12.81640625" bestFit="1" customWidth="1"/>
    <col min="3" max="3" width="7.1796875" customWidth="1"/>
    <col min="4" max="4" width="16" style="167" bestFit="1" customWidth="1"/>
    <col min="5" max="5" width="20.453125" style="167" customWidth="1"/>
    <col min="6" max="6" width="16" style="167" bestFit="1" customWidth="1"/>
    <col min="7" max="7" width="20.1796875" style="167" customWidth="1"/>
    <col min="8" max="8" width="3.81640625" style="167" customWidth="1"/>
    <col min="9" max="10" width="26.54296875" style="167" bestFit="1" customWidth="1"/>
    <col min="11" max="13" width="19.81640625" style="167" customWidth="1"/>
  </cols>
  <sheetData>
    <row r="1" spans="2:13" ht="14.5" customHeight="1" thickBot="1" x14ac:dyDescent="0.3"/>
    <row r="2" spans="2:13" s="102" customFormat="1" ht="12.65" customHeight="1" thickBot="1" x14ac:dyDescent="0.35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5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5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5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5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5" customHeight="1" x14ac:dyDescent="0.25">
      <c r="C7" s="178">
        <v>5</v>
      </c>
      <c r="D7" s="179">
        <v>137371512</v>
      </c>
      <c r="E7" s="180">
        <v>3020</v>
      </c>
      <c r="F7" s="180">
        <v>33627704</v>
      </c>
      <c r="G7" s="181">
        <v>521</v>
      </c>
    </row>
    <row r="8" spans="2:13" ht="12.65" customHeight="1" thickBot="1" x14ac:dyDescent="0.3">
      <c r="C8" s="182" t="s">
        <v>89</v>
      </c>
      <c r="D8" s="183"/>
      <c r="E8" s="184"/>
      <c r="F8" s="184"/>
      <c r="G8" s="185"/>
    </row>
    <row r="9" spans="2:13" ht="12.65" customHeight="1" thickBot="1" x14ac:dyDescent="0.35">
      <c r="D9" s="186">
        <v>137371512</v>
      </c>
      <c r="E9" s="186">
        <v>3020</v>
      </c>
      <c r="F9" s="186">
        <v>33627704</v>
      </c>
      <c r="G9" s="186">
        <v>521</v>
      </c>
    </row>
    <row r="10" spans="2:13" ht="12.65" customHeight="1" thickBot="1" x14ac:dyDescent="0.3"/>
    <row r="11" spans="2:13" s="102" customFormat="1" ht="12.65" customHeight="1" thickBot="1" x14ac:dyDescent="0.35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5" customHeight="1" x14ac:dyDescent="0.3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5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5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5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5" customHeight="1" x14ac:dyDescent="0.25">
      <c r="C16" s="178">
        <v>5</v>
      </c>
      <c r="D16" s="179">
        <v>1179300</v>
      </c>
      <c r="E16" s="180">
        <v>6</v>
      </c>
      <c r="F16" s="180">
        <v>5242682</v>
      </c>
      <c r="G16" s="181">
        <v>76</v>
      </c>
    </row>
    <row r="17" spans="1:11" ht="12.65" customHeight="1" thickBot="1" x14ac:dyDescent="0.3">
      <c r="C17" s="182" t="s">
        <v>89</v>
      </c>
      <c r="D17" s="183"/>
      <c r="E17" s="184"/>
      <c r="F17" s="184"/>
      <c r="G17" s="185"/>
    </row>
    <row r="18" spans="1:11" ht="12.65" customHeight="1" thickBot="1" x14ac:dyDescent="0.35">
      <c r="D18" s="186">
        <v>1179300</v>
      </c>
      <c r="E18" s="186">
        <v>6</v>
      </c>
      <c r="F18" s="186">
        <v>5242682</v>
      </c>
      <c r="G18" s="186">
        <v>76</v>
      </c>
    </row>
    <row r="19" spans="1:11" ht="12.65" customHeight="1" thickBot="1" x14ac:dyDescent="0.3"/>
    <row r="20" spans="1:11" ht="12.65" customHeight="1" thickBot="1" x14ac:dyDescent="0.35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5" customHeight="1" x14ac:dyDescent="0.3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5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5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5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5" customHeight="1" x14ac:dyDescent="0.25">
      <c r="B25"/>
      <c r="C25" s="178">
        <v>5</v>
      </c>
      <c r="D25" s="179">
        <v>138550812</v>
      </c>
      <c r="E25" s="180">
        <v>3026</v>
      </c>
      <c r="F25" s="180">
        <v>38870386</v>
      </c>
      <c r="G25" s="181">
        <v>597</v>
      </c>
      <c r="I25" s="179">
        <v>177421198</v>
      </c>
      <c r="J25" s="181">
        <v>3623</v>
      </c>
    </row>
    <row r="26" spans="1:11" ht="12.65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5" customHeight="1" thickBot="1" x14ac:dyDescent="0.35">
      <c r="D27" s="186">
        <v>138550812</v>
      </c>
      <c r="E27" s="186">
        <v>3026</v>
      </c>
      <c r="F27" s="186">
        <v>38870386</v>
      </c>
      <c r="G27" s="186">
        <v>597</v>
      </c>
      <c r="I27" s="204">
        <v>177421198</v>
      </c>
      <c r="J27" s="205">
        <v>3623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ht="13" x14ac:dyDescent="0.3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ht="13" x14ac:dyDescent="0.3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ht="13" x14ac:dyDescent="0.3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selection activeCell="G41" sqref="G41"/>
    </sheetView>
  </sheetViews>
  <sheetFormatPr baseColWidth="10" defaultColWidth="11.453125" defaultRowHeight="12.5" x14ac:dyDescent="0.25"/>
  <cols>
    <col min="1" max="1" width="2.1796875" style="213" customWidth="1"/>
    <col min="2" max="2" width="25" style="213" bestFit="1" customWidth="1"/>
    <col min="3" max="3" width="4.81640625" style="213" bestFit="1" customWidth="1"/>
    <col min="4" max="4" width="13.81640625" style="167" bestFit="1" customWidth="1"/>
    <col min="5" max="5" width="19" style="167" bestFit="1" customWidth="1"/>
    <col min="6" max="6" width="13.81640625" style="167" bestFit="1" customWidth="1"/>
    <col min="7" max="7" width="19" style="167" bestFit="1" customWidth="1"/>
    <col min="8" max="8" width="3.81640625" style="167" customWidth="1"/>
    <col min="9" max="9" width="20" style="167" bestFit="1" customWidth="1"/>
    <col min="10" max="10" width="26.54296875" style="167" bestFit="1" customWidth="1"/>
    <col min="11" max="13" width="19.81640625" style="167" customWidth="1"/>
    <col min="14" max="16384" width="11.453125" style="213"/>
  </cols>
  <sheetData>
    <row r="1" spans="2:13" ht="13" thickBot="1" x14ac:dyDescent="0.3"/>
    <row r="2" spans="2:13" s="214" customFormat="1" ht="13.5" thickBot="1" x14ac:dyDescent="0.35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5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5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5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5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5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" thickBot="1" x14ac:dyDescent="0.3">
      <c r="C8" s="182" t="s">
        <v>89</v>
      </c>
      <c r="D8" s="183"/>
      <c r="E8" s="184"/>
      <c r="F8" s="184"/>
      <c r="G8" s="185"/>
    </row>
    <row r="9" spans="2:13" ht="13.5" thickBot="1" x14ac:dyDescent="0.35">
      <c r="D9" s="186">
        <v>0</v>
      </c>
      <c r="E9" s="186">
        <v>0</v>
      </c>
      <c r="F9" s="186">
        <v>0</v>
      </c>
      <c r="G9" s="186">
        <v>0</v>
      </c>
    </row>
    <row r="10" spans="2:13" ht="13" thickBot="1" x14ac:dyDescent="0.3"/>
    <row r="11" spans="2:13" s="214" customFormat="1" ht="13.5" thickBot="1" x14ac:dyDescent="0.35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3" x14ac:dyDescent="0.3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5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" thickBot="1" x14ac:dyDescent="0.3">
      <c r="C17" s="182" t="s">
        <v>89</v>
      </c>
      <c r="D17" s="183"/>
      <c r="E17" s="184"/>
      <c r="F17" s="184"/>
      <c r="G17" s="185"/>
    </row>
    <row r="18" spans="1:13" ht="13.5" thickBot="1" x14ac:dyDescent="0.35">
      <c r="D18" s="186">
        <v>0</v>
      </c>
      <c r="E18" s="186">
        <v>0</v>
      </c>
      <c r="F18" s="186">
        <v>0</v>
      </c>
      <c r="G18" s="186">
        <v>0</v>
      </c>
    </row>
    <row r="19" spans="1:13" ht="13" thickBot="1" x14ac:dyDescent="0.3"/>
    <row r="20" spans="1:13" ht="13.5" thickBot="1" x14ac:dyDescent="0.35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ht="13" x14ac:dyDescent="0.3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5" thickBot="1" x14ac:dyDescent="0.35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ht="13" x14ac:dyDescent="0.3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ht="13" x14ac:dyDescent="0.3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ht="13" x14ac:dyDescent="0.3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/>
  </sheetViews>
  <sheetFormatPr baseColWidth="10" defaultColWidth="11.453125" defaultRowHeight="12.5" x14ac:dyDescent="0.25"/>
  <cols>
    <col min="1" max="1" width="2.1796875" style="166" customWidth="1"/>
    <col min="2" max="2" width="12.81640625" style="166" bestFit="1" customWidth="1"/>
    <col min="3" max="3" width="7.1796875" style="166" customWidth="1"/>
    <col min="4" max="4" width="15.1796875" style="167" customWidth="1"/>
    <col min="5" max="5" width="20.453125" style="167" customWidth="1"/>
    <col min="6" max="6" width="15.1796875" style="167" customWidth="1"/>
    <col min="7" max="7" width="20.1796875" style="167" customWidth="1"/>
    <col min="8" max="8" width="3.81640625" style="167" customWidth="1"/>
    <col min="9" max="10" width="26.54296875" style="167" bestFit="1" customWidth="1"/>
    <col min="11" max="13" width="19.81640625" style="167" customWidth="1"/>
    <col min="14" max="16384" width="11.453125" style="166"/>
  </cols>
  <sheetData>
    <row r="1" spans="2:13" ht="13" thickBot="1" x14ac:dyDescent="0.3"/>
    <row r="2" spans="2:13" s="168" customFormat="1" ht="13.5" thickBot="1" x14ac:dyDescent="0.35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277">
        <v>510782327</v>
      </c>
      <c r="E3" s="176">
        <v>2083</v>
      </c>
      <c r="F3" s="176">
        <v>659215777</v>
      </c>
      <c r="G3" s="177">
        <v>2359</v>
      </c>
      <c r="J3" s="728"/>
    </row>
    <row r="4" spans="2:13" x14ac:dyDescent="0.25">
      <c r="C4" s="178">
        <v>2</v>
      </c>
      <c r="D4" s="278">
        <v>1360190364</v>
      </c>
      <c r="E4" s="180">
        <v>4795</v>
      </c>
      <c r="F4" s="180">
        <v>1939956060</v>
      </c>
      <c r="G4" s="181">
        <v>8702</v>
      </c>
      <c r="J4" s="728"/>
    </row>
    <row r="5" spans="2:13" x14ac:dyDescent="0.25">
      <c r="C5" s="178">
        <v>3</v>
      </c>
      <c r="D5" s="278">
        <v>650826874</v>
      </c>
      <c r="E5" s="180">
        <v>1469</v>
      </c>
      <c r="F5" s="180">
        <v>1048706515</v>
      </c>
      <c r="G5" s="181">
        <v>1996</v>
      </c>
      <c r="J5" s="728"/>
    </row>
    <row r="6" spans="2:13" x14ac:dyDescent="0.25">
      <c r="C6" s="178">
        <v>4</v>
      </c>
      <c r="D6" s="278">
        <v>515587332</v>
      </c>
      <c r="E6" s="180">
        <v>3012</v>
      </c>
      <c r="F6" s="180">
        <v>920907421</v>
      </c>
      <c r="G6" s="181">
        <v>4189</v>
      </c>
    </row>
    <row r="7" spans="2:13" x14ac:dyDescent="0.25">
      <c r="C7" s="178">
        <v>5</v>
      </c>
      <c r="D7" s="278">
        <v>224557157</v>
      </c>
      <c r="E7" s="180">
        <v>1221</v>
      </c>
      <c r="F7" s="180">
        <v>278031281</v>
      </c>
      <c r="G7" s="181">
        <v>1447</v>
      </c>
    </row>
    <row r="8" spans="2:13" ht="13" thickBot="1" x14ac:dyDescent="0.3">
      <c r="C8" s="182" t="s">
        <v>89</v>
      </c>
      <c r="D8" s="279">
        <v>0</v>
      </c>
      <c r="E8" s="184">
        <v>0</v>
      </c>
      <c r="F8" s="184">
        <v>437900</v>
      </c>
      <c r="G8" s="185">
        <v>1</v>
      </c>
    </row>
    <row r="9" spans="2:13" ht="13.5" thickBot="1" x14ac:dyDescent="0.35">
      <c r="D9" s="186">
        <v>3261944054</v>
      </c>
      <c r="E9" s="186">
        <v>12580</v>
      </c>
      <c r="F9" s="186">
        <v>4847254954</v>
      </c>
      <c r="G9" s="186">
        <v>18694</v>
      </c>
    </row>
    <row r="10" spans="2:13" ht="13" thickBot="1" x14ac:dyDescent="0.3">
      <c r="D10" s="280"/>
    </row>
    <row r="11" spans="2:13" s="168" customFormat="1" ht="13.5" thickBot="1" x14ac:dyDescent="0.35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ht="13" x14ac:dyDescent="0.3">
      <c r="B12" s="189" t="s">
        <v>140</v>
      </c>
      <c r="C12" s="190">
        <v>1</v>
      </c>
      <c r="D12" s="281">
        <v>23795111</v>
      </c>
      <c r="E12" s="191">
        <v>50</v>
      </c>
      <c r="F12" s="191">
        <v>118038698</v>
      </c>
      <c r="G12" s="192">
        <v>431</v>
      </c>
    </row>
    <row r="13" spans="2:13" x14ac:dyDescent="0.25">
      <c r="C13" s="193">
        <v>2</v>
      </c>
      <c r="D13" s="278">
        <v>62759499</v>
      </c>
      <c r="E13" s="180">
        <v>134</v>
      </c>
      <c r="F13" s="180">
        <v>234466650</v>
      </c>
      <c r="G13" s="181">
        <v>488</v>
      </c>
    </row>
    <row r="14" spans="2:13" x14ac:dyDescent="0.25">
      <c r="C14" s="193">
        <v>3</v>
      </c>
      <c r="D14" s="278">
        <v>48196023</v>
      </c>
      <c r="E14" s="180">
        <v>55</v>
      </c>
      <c r="F14" s="180">
        <v>422530889</v>
      </c>
      <c r="G14" s="181">
        <v>69</v>
      </c>
    </row>
    <row r="15" spans="2:13" x14ac:dyDescent="0.25">
      <c r="C15" s="193">
        <v>4</v>
      </c>
      <c r="D15" s="278">
        <v>5014320</v>
      </c>
      <c r="E15" s="180">
        <v>32</v>
      </c>
      <c r="F15" s="180">
        <v>111430406</v>
      </c>
      <c r="G15" s="181">
        <v>150</v>
      </c>
    </row>
    <row r="16" spans="2:13" x14ac:dyDescent="0.25">
      <c r="C16" s="193">
        <v>5</v>
      </c>
      <c r="D16" s="278">
        <v>14004529</v>
      </c>
      <c r="E16" s="180">
        <v>30</v>
      </c>
      <c r="F16" s="180">
        <v>2852410</v>
      </c>
      <c r="G16" s="181">
        <v>32</v>
      </c>
    </row>
    <row r="17" spans="1:13" ht="13" thickBot="1" x14ac:dyDescent="0.3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5" thickBot="1" x14ac:dyDescent="0.35">
      <c r="D18" s="198">
        <v>153769482</v>
      </c>
      <c r="E18" s="198">
        <v>301</v>
      </c>
      <c r="F18" s="198">
        <v>889319053</v>
      </c>
      <c r="G18" s="198">
        <v>1170</v>
      </c>
    </row>
    <row r="19" spans="1:13" ht="13" thickBot="1" x14ac:dyDescent="0.3"/>
    <row r="20" spans="1:13" ht="13.5" thickBot="1" x14ac:dyDescent="0.35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ht="13" x14ac:dyDescent="0.3">
      <c r="B21" s="201" t="s">
        <v>2</v>
      </c>
      <c r="C21" s="174">
        <v>1</v>
      </c>
      <c r="D21" s="277">
        <v>534577438</v>
      </c>
      <c r="E21" s="282">
        <v>2133</v>
      </c>
      <c r="F21" s="176">
        <v>777254475</v>
      </c>
      <c r="G21" s="177">
        <v>2790</v>
      </c>
      <c r="I21" s="175">
        <v>1311831913</v>
      </c>
      <c r="J21" s="177">
        <v>4923</v>
      </c>
    </row>
    <row r="22" spans="1:13" s="167" customFormat="1" x14ac:dyDescent="0.25">
      <c r="B22" s="166"/>
      <c r="C22" s="178">
        <v>2</v>
      </c>
      <c r="D22" s="278">
        <v>1422949863</v>
      </c>
      <c r="E22" s="283">
        <v>4929</v>
      </c>
      <c r="F22" s="180">
        <v>2174422710</v>
      </c>
      <c r="G22" s="181">
        <v>9190</v>
      </c>
      <c r="I22" s="179">
        <v>3597372573</v>
      </c>
      <c r="J22" s="181">
        <v>14119</v>
      </c>
    </row>
    <row r="23" spans="1:13" s="167" customFormat="1" x14ac:dyDescent="0.25">
      <c r="B23" s="166"/>
      <c r="C23" s="178">
        <v>3</v>
      </c>
      <c r="D23" s="278">
        <v>699022897</v>
      </c>
      <c r="E23" s="283">
        <v>1524</v>
      </c>
      <c r="F23" s="180">
        <v>1471237404</v>
      </c>
      <c r="G23" s="181">
        <v>2065</v>
      </c>
      <c r="I23" s="179">
        <v>2170260301</v>
      </c>
      <c r="J23" s="181">
        <v>3589</v>
      </c>
    </row>
    <row r="24" spans="1:13" s="167" customFormat="1" x14ac:dyDescent="0.25">
      <c r="B24" s="166"/>
      <c r="C24" s="178">
        <v>4</v>
      </c>
      <c r="D24" s="278">
        <v>520601652</v>
      </c>
      <c r="E24" s="283">
        <v>3044</v>
      </c>
      <c r="F24" s="180">
        <v>1032337827</v>
      </c>
      <c r="G24" s="181">
        <v>4339</v>
      </c>
      <c r="I24" s="179">
        <v>1552939479</v>
      </c>
      <c r="J24" s="181">
        <v>7383</v>
      </c>
    </row>
    <row r="25" spans="1:13" s="167" customFormat="1" x14ac:dyDescent="0.25">
      <c r="B25" s="166"/>
      <c r="C25" s="178">
        <v>5</v>
      </c>
      <c r="D25" s="278">
        <v>238561686</v>
      </c>
      <c r="E25" s="283">
        <v>1251</v>
      </c>
      <c r="F25" s="180">
        <v>280883691</v>
      </c>
      <c r="G25" s="181">
        <v>1479</v>
      </c>
      <c r="I25" s="179">
        <v>519445377</v>
      </c>
      <c r="J25" s="181">
        <v>2730</v>
      </c>
    </row>
    <row r="26" spans="1:13" ht="13" thickBot="1" x14ac:dyDescent="0.3">
      <c r="C26" s="284" t="s">
        <v>89</v>
      </c>
      <c r="D26" s="285">
        <v>0</v>
      </c>
      <c r="E26" s="283">
        <v>0</v>
      </c>
      <c r="F26" s="180">
        <v>437900</v>
      </c>
      <c r="G26" s="181">
        <v>1</v>
      </c>
      <c r="I26" s="202">
        <v>437900</v>
      </c>
      <c r="J26" s="203">
        <v>1</v>
      </c>
    </row>
    <row r="27" spans="1:13" ht="13.5" thickBot="1" x14ac:dyDescent="0.35">
      <c r="D27" s="186">
        <v>3415713536</v>
      </c>
      <c r="E27" s="186">
        <v>12881</v>
      </c>
      <c r="F27" s="186">
        <v>5736574007</v>
      </c>
      <c r="G27" s="186">
        <v>19864</v>
      </c>
      <c r="I27" s="204">
        <v>9152287543</v>
      </c>
      <c r="J27" s="205">
        <v>32745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ht="13" x14ac:dyDescent="0.3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ht="13" x14ac:dyDescent="0.3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ht="13" x14ac:dyDescent="0.3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5">
      <c r="E69" s="167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zoomScale="90" zoomScaleNormal="90" workbookViewId="0">
      <selection activeCell="B2" sqref="B2"/>
    </sheetView>
  </sheetViews>
  <sheetFormatPr baseColWidth="10" defaultRowHeight="12.5" x14ac:dyDescent="0.25"/>
  <cols>
    <col min="1" max="1" width="6" customWidth="1"/>
    <col min="2" max="2" width="47.81640625" bestFit="1" customWidth="1"/>
    <col min="3" max="9" width="22.7265625" customWidth="1"/>
    <col min="10" max="10" width="17.81640625" customWidth="1"/>
  </cols>
  <sheetData>
    <row r="1" spans="1:10" ht="13" x14ac:dyDescent="0.25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326</v>
      </c>
      <c r="H1" s="248" t="s">
        <v>119</v>
      </c>
      <c r="I1" s="248" t="s">
        <v>70</v>
      </c>
    </row>
    <row r="2" spans="1:10" ht="13" x14ac:dyDescent="0.3">
      <c r="B2" t="s">
        <v>97</v>
      </c>
      <c r="C2" s="249">
        <f>C13+C23+C32+C41+C51</f>
        <v>68070277487</v>
      </c>
      <c r="D2" s="249">
        <f t="shared" ref="D2:H2" si="0">D13+D23+D32+D41+D51</f>
        <v>0</v>
      </c>
      <c r="E2" s="249">
        <f t="shared" si="0"/>
        <v>0</v>
      </c>
      <c r="F2" s="249">
        <f t="shared" si="0"/>
        <v>2329750</v>
      </c>
      <c r="G2" s="249">
        <f t="shared" si="0"/>
        <v>34785208</v>
      </c>
      <c r="H2" s="249">
        <f t="shared" si="0"/>
        <v>5305405239.5900002</v>
      </c>
      <c r="I2" s="250">
        <f>SUM(C2:H2)</f>
        <v>73412797684.589996</v>
      </c>
    </row>
    <row r="3" spans="1:10" ht="13" x14ac:dyDescent="0.3">
      <c r="B3" t="s">
        <v>98</v>
      </c>
      <c r="C3" s="249">
        <f>C14+C24+C33+C42+C52</f>
        <v>135065158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3874341</v>
      </c>
      <c r="G3" s="249">
        <f t="shared" ref="G3" si="2">G14+G24+G33+G42+G52</f>
        <v>4085178</v>
      </c>
      <c r="H3" s="249">
        <f t="shared" si="1"/>
        <v>381197398.85000002</v>
      </c>
      <c r="I3" s="250">
        <f>SUM(C3:H3)</f>
        <v>524222075.85000002</v>
      </c>
      <c r="J3" s="252" t="s">
        <v>1</v>
      </c>
    </row>
    <row r="4" spans="1:10" ht="13" x14ac:dyDescent="0.3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3">G15+G25+G34+G43+G53</f>
        <v>0</v>
      </c>
      <c r="H4" s="249">
        <f t="shared" si="1"/>
        <v>49533468.559999995</v>
      </c>
      <c r="I4" s="250">
        <f>SUM(C4:H4)</f>
        <v>49533468.559999995</v>
      </c>
    </row>
    <row r="5" spans="1:10" ht="13" x14ac:dyDescent="0.3">
      <c r="B5" t="s">
        <v>169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4">G16+G26+G35+G44+G54</f>
        <v>0</v>
      </c>
      <c r="H5" s="249">
        <f t="shared" si="1"/>
        <v>0</v>
      </c>
      <c r="I5" s="250">
        <f>SUM(C5:H5)</f>
        <v>0</v>
      </c>
    </row>
    <row r="6" spans="1:10" ht="13" x14ac:dyDescent="0.3">
      <c r="B6" t="s">
        <v>70</v>
      </c>
      <c r="C6" s="250">
        <f>SUM(C2:C5)</f>
        <v>68205342645</v>
      </c>
      <c r="D6" s="250">
        <f t="shared" ref="D6:H6" si="5">SUM(D2:D5)</f>
        <v>0</v>
      </c>
      <c r="E6" s="250">
        <f t="shared" si="5"/>
        <v>0</v>
      </c>
      <c r="F6" s="250">
        <f t="shared" si="5"/>
        <v>6204091</v>
      </c>
      <c r="G6" s="250">
        <f t="shared" si="5"/>
        <v>38870386</v>
      </c>
      <c r="H6" s="250">
        <f t="shared" si="5"/>
        <v>5736136107.000001</v>
      </c>
      <c r="I6" s="250">
        <f>SUM(I2:I5)</f>
        <v>73986553229</v>
      </c>
    </row>
    <row r="7" spans="1:10" x14ac:dyDescent="0.25">
      <c r="C7" s="251" t="b">
        <f>C6=(C17+C27+C36+C45+C55)</f>
        <v>1</v>
      </c>
      <c r="D7" s="251" t="b">
        <f t="shared" ref="D7:H7" si="6">D6=(D17+D27+D36+D45+D55)</f>
        <v>1</v>
      </c>
      <c r="E7" s="251" t="b">
        <f t="shared" si="6"/>
        <v>1</v>
      </c>
      <c r="F7" s="251" t="b">
        <f t="shared" si="6"/>
        <v>1</v>
      </c>
      <c r="G7" s="251"/>
      <c r="H7" s="251" t="b">
        <f t="shared" si="6"/>
        <v>1</v>
      </c>
      <c r="I7" s="251" t="b">
        <f>I6=(I17+I27+I36+I45+I55)</f>
        <v>1</v>
      </c>
    </row>
    <row r="8" spans="1:10" x14ac:dyDescent="0.25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ht="13" x14ac:dyDescent="0.3">
      <c r="B10" s="97" t="s">
        <v>99</v>
      </c>
      <c r="H10" s="212"/>
    </row>
    <row r="11" spans="1:10" x14ac:dyDescent="0.25">
      <c r="B11" s="114" t="s">
        <v>96</v>
      </c>
    </row>
    <row r="12" spans="1:10" x14ac:dyDescent="0.25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326</v>
      </c>
      <c r="H12" s="89" t="s">
        <v>119</v>
      </c>
      <c r="I12" s="89" t="s">
        <v>70</v>
      </c>
    </row>
    <row r="13" spans="1:10" x14ac:dyDescent="0.25">
      <c r="B13" t="s">
        <v>97</v>
      </c>
      <c r="C13" s="244">
        <v>15275852337</v>
      </c>
      <c r="D13" s="244"/>
      <c r="E13" s="244"/>
      <c r="F13" s="244"/>
      <c r="G13" s="244"/>
      <c r="H13" s="244">
        <v>729513718.11000001</v>
      </c>
      <c r="I13" s="246">
        <f>SUM(C13:H13)</f>
        <v>16005366055.110001</v>
      </c>
      <c r="J13" s="251" t="b">
        <f>SUM(C13:H13)=I13</f>
        <v>1</v>
      </c>
    </row>
    <row r="14" spans="1:10" x14ac:dyDescent="0.25">
      <c r="B14" s="89" t="s">
        <v>98</v>
      </c>
      <c r="C14" s="244">
        <v>30927107</v>
      </c>
      <c r="D14" s="244"/>
      <c r="E14" s="244"/>
      <c r="F14" s="244"/>
      <c r="G14" s="244"/>
      <c r="H14" s="244">
        <v>34356275.700000003</v>
      </c>
      <c r="I14" s="246">
        <f t="shared" ref="I14:I16" si="7">SUM(C14:H14)</f>
        <v>65283382.700000003</v>
      </c>
      <c r="J14" s="251" t="b">
        <f t="shared" ref="J14:J17" si="8">SUM(C14:H14)=I14</f>
        <v>1</v>
      </c>
    </row>
    <row r="15" spans="1:10" x14ac:dyDescent="0.25">
      <c r="B15" t="s">
        <v>131</v>
      </c>
      <c r="C15" s="244">
        <v>0</v>
      </c>
      <c r="D15" s="244"/>
      <c r="E15" s="244"/>
      <c r="F15" s="244"/>
      <c r="G15" s="244"/>
      <c r="H15" s="244">
        <v>13384481.189999999</v>
      </c>
      <c r="I15" s="246">
        <f t="shared" si="7"/>
        <v>13384481.189999999</v>
      </c>
      <c r="J15" s="251" t="b">
        <f t="shared" si="8"/>
        <v>1</v>
      </c>
    </row>
    <row r="16" spans="1:10" x14ac:dyDescent="0.25">
      <c r="B16" t="s">
        <v>169</v>
      </c>
      <c r="C16" s="244">
        <v>0</v>
      </c>
      <c r="D16" s="244"/>
      <c r="E16" s="244"/>
      <c r="F16" s="244"/>
      <c r="G16" s="244"/>
      <c r="H16" s="244"/>
      <c r="I16" s="246">
        <f t="shared" si="7"/>
        <v>0</v>
      </c>
      <c r="J16" s="251" t="b">
        <f t="shared" si="8"/>
        <v>1</v>
      </c>
    </row>
    <row r="17" spans="2:11" x14ac:dyDescent="0.25">
      <c r="B17" s="89" t="s">
        <v>70</v>
      </c>
      <c r="C17" s="244">
        <f>SUM(C13:C16)</f>
        <v>15306779444</v>
      </c>
      <c r="D17" s="244">
        <f t="shared" ref="D17:I17" si="9">SUM(D13:D16)</f>
        <v>0</v>
      </c>
      <c r="E17" s="244">
        <f t="shared" si="9"/>
        <v>0</v>
      </c>
      <c r="F17" s="244">
        <f t="shared" si="9"/>
        <v>0</v>
      </c>
      <c r="G17" s="244">
        <f t="shared" si="9"/>
        <v>0</v>
      </c>
      <c r="H17" s="244">
        <f>SUM(H13:H16)</f>
        <v>777254475.00000012</v>
      </c>
      <c r="I17" s="247">
        <f t="shared" si="9"/>
        <v>16084033919.000002</v>
      </c>
      <c r="J17" s="251" t="b">
        <f t="shared" si="8"/>
        <v>1</v>
      </c>
      <c r="K17" s="122"/>
    </row>
    <row r="18" spans="2:11" x14ac:dyDescent="0.25">
      <c r="B18" s="89"/>
      <c r="C18" s="113"/>
      <c r="D18" s="113"/>
      <c r="E18" s="113"/>
      <c r="F18" s="113"/>
      <c r="G18" s="113"/>
      <c r="H18" s="113"/>
      <c r="I18" s="113"/>
    </row>
    <row r="19" spans="2:11" x14ac:dyDescent="0.25">
      <c r="C19" s="143"/>
      <c r="D19" s="212"/>
      <c r="I19" s="212"/>
    </row>
    <row r="20" spans="2:11" x14ac:dyDescent="0.25">
      <c r="B20" t="s">
        <v>100</v>
      </c>
    </row>
    <row r="21" spans="2:11" x14ac:dyDescent="0.25">
      <c r="B21" s="114" t="s">
        <v>96</v>
      </c>
    </row>
    <row r="22" spans="2:11" x14ac:dyDescent="0.25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326</v>
      </c>
      <c r="H22" s="89" t="s">
        <v>119</v>
      </c>
      <c r="I22" t="s">
        <v>70</v>
      </c>
    </row>
    <row r="23" spans="2:11" x14ac:dyDescent="0.25">
      <c r="B23" t="s">
        <v>97</v>
      </c>
      <c r="C23" s="244">
        <v>20206354631</v>
      </c>
      <c r="D23" s="244"/>
      <c r="E23" s="244">
        <v>0</v>
      </c>
      <c r="F23" s="244">
        <v>1778140</v>
      </c>
      <c r="G23" s="244"/>
      <c r="H23" s="244">
        <v>2049433961.0999999</v>
      </c>
      <c r="I23" s="246">
        <f>SUM(C23:H23)</f>
        <v>22257566732.099998</v>
      </c>
      <c r="J23" s="251" t="b">
        <f t="shared" ref="J23:J26" si="10">SUM(C23:H23)=I23</f>
        <v>1</v>
      </c>
    </row>
    <row r="24" spans="2:11" x14ac:dyDescent="0.25">
      <c r="B24" s="89" t="s">
        <v>98</v>
      </c>
      <c r="C24" s="244">
        <v>37168207</v>
      </c>
      <c r="D24" s="244"/>
      <c r="E24" s="244">
        <v>0</v>
      </c>
      <c r="F24" s="244">
        <v>2611951</v>
      </c>
      <c r="G24" s="244"/>
      <c r="H24" s="244">
        <v>117066108.01000001</v>
      </c>
      <c r="I24" s="246">
        <f t="shared" ref="I24:I26" si="11">SUM(C24:H24)</f>
        <v>156846266.00999999</v>
      </c>
      <c r="J24" s="251" t="b">
        <f t="shared" si="10"/>
        <v>1</v>
      </c>
    </row>
    <row r="25" spans="2:11" x14ac:dyDescent="0.25">
      <c r="B25" s="89" t="s">
        <v>131</v>
      </c>
      <c r="C25" s="244">
        <v>0</v>
      </c>
      <c r="D25" s="244"/>
      <c r="E25" s="244">
        <v>0</v>
      </c>
      <c r="F25" s="244">
        <v>0</v>
      </c>
      <c r="G25" s="244"/>
      <c r="H25" s="244">
        <v>7922640.8899999997</v>
      </c>
      <c r="I25" s="246">
        <f t="shared" si="11"/>
        <v>7922640.8899999997</v>
      </c>
      <c r="J25" s="251" t="b">
        <f t="shared" si="10"/>
        <v>1</v>
      </c>
    </row>
    <row r="26" spans="2:11" x14ac:dyDescent="0.25">
      <c r="B26" s="89" t="s">
        <v>169</v>
      </c>
      <c r="C26" s="244"/>
      <c r="D26" s="244"/>
      <c r="E26" s="244"/>
      <c r="F26" s="244">
        <v>0</v>
      </c>
      <c r="G26" s="244"/>
      <c r="H26" s="244">
        <v>0</v>
      </c>
      <c r="I26" s="246">
        <f t="shared" si="11"/>
        <v>0</v>
      </c>
      <c r="J26" s="251" t="b">
        <f t="shared" si="10"/>
        <v>1</v>
      </c>
    </row>
    <row r="27" spans="2:11" x14ac:dyDescent="0.25">
      <c r="B27" s="89" t="s">
        <v>70</v>
      </c>
      <c r="C27" s="244">
        <f>SUM(C23:C26)</f>
        <v>20243522838</v>
      </c>
      <c r="D27" s="244">
        <f t="shared" ref="D27:E27" si="12">SUM(D23:D26)</f>
        <v>0</v>
      </c>
      <c r="E27" s="244">
        <f t="shared" si="12"/>
        <v>0</v>
      </c>
      <c r="F27" s="244">
        <f>SUM(F23:F26)</f>
        <v>4390091</v>
      </c>
      <c r="G27" s="244">
        <f>SUM(G23:G26)</f>
        <v>0</v>
      </c>
      <c r="H27" s="244">
        <f>SUM(H23:H26)</f>
        <v>2174422710</v>
      </c>
      <c r="I27" s="247">
        <f>SUM(I23:I26)</f>
        <v>22422335638.999996</v>
      </c>
      <c r="J27" s="251" t="b">
        <f>SUM(C27:H27)=I27</f>
        <v>1</v>
      </c>
    </row>
    <row r="29" spans="2:11" x14ac:dyDescent="0.25">
      <c r="B29" t="s">
        <v>101</v>
      </c>
      <c r="H29" s="212"/>
      <c r="I29" s="212"/>
    </row>
    <row r="30" spans="2:11" x14ac:dyDescent="0.25">
      <c r="B30" s="114" t="s">
        <v>96</v>
      </c>
    </row>
    <row r="31" spans="2:11" x14ac:dyDescent="0.25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326</v>
      </c>
      <c r="H31" s="89" t="s">
        <v>119</v>
      </c>
      <c r="I31" t="s">
        <v>70</v>
      </c>
    </row>
    <row r="32" spans="2:11" x14ac:dyDescent="0.25">
      <c r="B32" s="89" t="s">
        <v>97</v>
      </c>
      <c r="C32" s="244">
        <v>13883027309</v>
      </c>
      <c r="D32" s="244"/>
      <c r="E32" s="244"/>
      <c r="F32" s="244">
        <v>0</v>
      </c>
      <c r="G32" s="244"/>
      <c r="H32" s="244">
        <v>1276054492.3</v>
      </c>
      <c r="I32" s="246">
        <f>SUM(C32:H32)</f>
        <v>15159081801.299999</v>
      </c>
      <c r="J32" s="251" t="b">
        <f>SUM(C32:H32)=I32</f>
        <v>1</v>
      </c>
    </row>
    <row r="33" spans="2:10" x14ac:dyDescent="0.25">
      <c r="B33" s="89" t="s">
        <v>98</v>
      </c>
      <c r="C33" s="244">
        <v>10762026</v>
      </c>
      <c r="D33" s="244"/>
      <c r="E33" s="244"/>
      <c r="F33" s="244">
        <v>0</v>
      </c>
      <c r="G33" s="244"/>
      <c r="H33" s="244">
        <v>190183129.15000001</v>
      </c>
      <c r="I33" s="246">
        <f>SUM(C33:H33)</f>
        <v>200945155.15000001</v>
      </c>
      <c r="J33" s="251" t="b">
        <f t="shared" ref="J33:J36" si="13">SUM(C33:H33)=I33</f>
        <v>1</v>
      </c>
    </row>
    <row r="34" spans="2:10" x14ac:dyDescent="0.25">
      <c r="B34" s="89" t="s">
        <v>131</v>
      </c>
      <c r="C34" s="244">
        <v>0</v>
      </c>
      <c r="D34" s="244"/>
      <c r="E34" s="244"/>
      <c r="F34" s="244">
        <v>0</v>
      </c>
      <c r="G34" s="244"/>
      <c r="H34" s="244">
        <v>4999782.55</v>
      </c>
      <c r="I34" s="246">
        <f t="shared" ref="I34:I35" si="14">SUM(C34:H34)</f>
        <v>4999782.55</v>
      </c>
      <c r="J34" s="251" t="b">
        <f t="shared" si="13"/>
        <v>1</v>
      </c>
    </row>
    <row r="35" spans="2:10" x14ac:dyDescent="0.25">
      <c r="B35" s="89" t="s">
        <v>169</v>
      </c>
      <c r="C35" s="244">
        <v>0</v>
      </c>
      <c r="D35" s="244"/>
      <c r="E35" s="244"/>
      <c r="F35" s="244">
        <v>0</v>
      </c>
      <c r="G35" s="244"/>
      <c r="H35" s="244"/>
      <c r="I35" s="246">
        <f t="shared" si="14"/>
        <v>0</v>
      </c>
      <c r="J35" s="251" t="b">
        <f t="shared" si="13"/>
        <v>1</v>
      </c>
    </row>
    <row r="36" spans="2:10" x14ac:dyDescent="0.25">
      <c r="B36" s="89" t="s">
        <v>70</v>
      </c>
      <c r="C36" s="244">
        <f>SUM(C32:C35)</f>
        <v>13893789335</v>
      </c>
      <c r="D36" s="244">
        <f t="shared" ref="D36:G36" si="15">SUM(D32:D35)</f>
        <v>0</v>
      </c>
      <c r="E36" s="244">
        <f t="shared" si="15"/>
        <v>0</v>
      </c>
      <c r="F36" s="244">
        <f t="shared" si="15"/>
        <v>0</v>
      </c>
      <c r="G36" s="244">
        <f t="shared" si="15"/>
        <v>0</v>
      </c>
      <c r="H36" s="244">
        <f>SUM(H32:H35)</f>
        <v>1471237404</v>
      </c>
      <c r="I36" s="247">
        <f>SUM(I32:I35)</f>
        <v>15365026738.999998</v>
      </c>
      <c r="J36" s="251" t="b">
        <f t="shared" si="13"/>
        <v>1</v>
      </c>
    </row>
    <row r="38" spans="2:10" x14ac:dyDescent="0.25">
      <c r="B38" t="s">
        <v>102</v>
      </c>
    </row>
    <row r="39" spans="2:10" x14ac:dyDescent="0.25">
      <c r="B39" s="114" t="s">
        <v>96</v>
      </c>
    </row>
    <row r="40" spans="2:10" x14ac:dyDescent="0.25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326</v>
      </c>
      <c r="H40" s="89" t="s">
        <v>119</v>
      </c>
      <c r="I40" s="89" t="s">
        <v>70</v>
      </c>
    </row>
    <row r="41" spans="2:10" x14ac:dyDescent="0.25">
      <c r="B41" s="89" t="s">
        <v>97</v>
      </c>
      <c r="C41" s="244">
        <v>6664014596</v>
      </c>
      <c r="D41" s="244"/>
      <c r="E41" s="244">
        <v>0</v>
      </c>
      <c r="F41" s="244">
        <v>551610</v>
      </c>
      <c r="G41" s="244"/>
      <c r="H41" s="244">
        <v>985740696.39999998</v>
      </c>
      <c r="I41" s="246">
        <f t="shared" ref="I41:I44" si="16">SUM(C41:H41)</f>
        <v>7650306902.3999996</v>
      </c>
      <c r="J41" s="251" t="b">
        <f>SUM(C41:H41)=I41</f>
        <v>1</v>
      </c>
    </row>
    <row r="42" spans="2:10" x14ac:dyDescent="0.25">
      <c r="B42" s="89" t="s">
        <v>98</v>
      </c>
      <c r="C42" s="244">
        <v>48073886</v>
      </c>
      <c r="D42" s="244"/>
      <c r="E42" s="244">
        <v>0</v>
      </c>
      <c r="F42" s="244">
        <v>1262390</v>
      </c>
      <c r="G42" s="244"/>
      <c r="H42" s="244">
        <v>24854027.989999998</v>
      </c>
      <c r="I42" s="246">
        <f t="shared" si="16"/>
        <v>74190303.989999995</v>
      </c>
      <c r="J42" s="251" t="b">
        <f t="shared" ref="J42:J45" si="17">SUM(C42:H42)=I42</f>
        <v>1</v>
      </c>
    </row>
    <row r="43" spans="2:10" x14ac:dyDescent="0.25">
      <c r="B43" s="89" t="s">
        <v>131</v>
      </c>
      <c r="C43" s="244">
        <v>0</v>
      </c>
      <c r="D43" s="244"/>
      <c r="E43" s="244">
        <v>0</v>
      </c>
      <c r="F43" s="244">
        <v>0</v>
      </c>
      <c r="G43" s="244"/>
      <c r="H43" s="244">
        <v>21743102.609999999</v>
      </c>
      <c r="I43" s="246">
        <f t="shared" si="16"/>
        <v>21743102.609999999</v>
      </c>
      <c r="J43" s="251" t="b">
        <f t="shared" si="17"/>
        <v>1</v>
      </c>
    </row>
    <row r="44" spans="2:10" x14ac:dyDescent="0.25">
      <c r="B44" s="89" t="s">
        <v>169</v>
      </c>
      <c r="C44" s="244"/>
      <c r="D44" s="244"/>
      <c r="E44" s="244"/>
      <c r="F44" s="244"/>
      <c r="G44" s="244"/>
      <c r="H44" s="244"/>
      <c r="I44" s="246">
        <f t="shared" si="16"/>
        <v>0</v>
      </c>
      <c r="J44" s="251" t="b">
        <f t="shared" si="17"/>
        <v>1</v>
      </c>
    </row>
    <row r="45" spans="2:10" x14ac:dyDescent="0.25">
      <c r="B45" s="89" t="s">
        <v>70</v>
      </c>
      <c r="C45" s="244">
        <f>SUM(C41:C44)</f>
        <v>6712088482</v>
      </c>
      <c r="D45" s="244">
        <f t="shared" ref="D45:E45" si="18">SUM(D41:D44)</f>
        <v>0</v>
      </c>
      <c r="E45" s="244">
        <f t="shared" si="18"/>
        <v>0</v>
      </c>
      <c r="F45" s="244">
        <f>SUM(F41:F44)</f>
        <v>1814000</v>
      </c>
      <c r="G45" s="244">
        <f>SUM(G41:G44)</f>
        <v>0</v>
      </c>
      <c r="H45" s="244">
        <f>SUM(H41:H44)</f>
        <v>1032337827</v>
      </c>
      <c r="I45" s="247">
        <f>SUM(I41:I44)</f>
        <v>7746240308.999999</v>
      </c>
      <c r="J45" s="251" t="b">
        <f t="shared" si="17"/>
        <v>1</v>
      </c>
    </row>
    <row r="46" spans="2:10" x14ac:dyDescent="0.25">
      <c r="B46" s="89"/>
      <c r="C46" s="113"/>
      <c r="D46" s="113"/>
      <c r="E46" s="113"/>
      <c r="F46" s="113"/>
      <c r="G46" s="113"/>
      <c r="H46" s="113"/>
    </row>
    <row r="47" spans="2:10" x14ac:dyDescent="0.25">
      <c r="F47" s="212"/>
      <c r="G47" s="212"/>
    </row>
    <row r="48" spans="2:10" x14ac:dyDescent="0.25">
      <c r="B48" t="s">
        <v>103</v>
      </c>
    </row>
    <row r="49" spans="2:10" x14ac:dyDescent="0.25">
      <c r="B49" s="114" t="s">
        <v>96</v>
      </c>
    </row>
    <row r="50" spans="2:10" x14ac:dyDescent="0.25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326</v>
      </c>
      <c r="H50" s="89" t="s">
        <v>119</v>
      </c>
      <c r="I50" s="89" t="s">
        <v>70</v>
      </c>
    </row>
    <row r="51" spans="2:10" x14ac:dyDescent="0.25">
      <c r="B51" t="s">
        <v>97</v>
      </c>
      <c r="C51" s="590">
        <v>12041028614</v>
      </c>
      <c r="D51" s="244"/>
      <c r="E51" s="244"/>
      <c r="F51" s="244"/>
      <c r="G51" s="244">
        <v>34785208</v>
      </c>
      <c r="H51" s="590">
        <v>264662371.68000001</v>
      </c>
      <c r="I51" s="246">
        <f t="shared" ref="I51:I54" si="19">SUM(C51:H51)</f>
        <v>12340476193.68</v>
      </c>
      <c r="J51" s="251" t="b">
        <f>SUM(C51:H51)=I51</f>
        <v>1</v>
      </c>
    </row>
    <row r="52" spans="2:10" x14ac:dyDescent="0.25">
      <c r="B52" s="89" t="s">
        <v>98</v>
      </c>
      <c r="C52" s="590">
        <v>8133932</v>
      </c>
      <c r="D52" s="244"/>
      <c r="E52" s="244"/>
      <c r="F52" s="244"/>
      <c r="G52" s="244">
        <v>4085178</v>
      </c>
      <c r="H52" s="590">
        <v>14737858</v>
      </c>
      <c r="I52" s="246">
        <f>SUM(C52:H52)</f>
        <v>26956968</v>
      </c>
      <c r="J52" s="251" t="b">
        <f t="shared" ref="J52:J55" si="20">SUM(C52:H52)=I52</f>
        <v>1</v>
      </c>
    </row>
    <row r="53" spans="2:10" x14ac:dyDescent="0.25">
      <c r="B53" s="89" t="s">
        <v>131</v>
      </c>
      <c r="C53" s="590">
        <v>0</v>
      </c>
      <c r="D53" s="244"/>
      <c r="E53" s="244"/>
      <c r="F53" s="244"/>
      <c r="G53" s="244">
        <v>0</v>
      </c>
      <c r="H53" s="590">
        <v>1483461.32</v>
      </c>
      <c r="I53" s="246">
        <f t="shared" si="19"/>
        <v>1483461.32</v>
      </c>
      <c r="J53" s="251" t="b">
        <f t="shared" si="20"/>
        <v>1</v>
      </c>
    </row>
    <row r="54" spans="2:10" x14ac:dyDescent="0.25">
      <c r="B54" s="89" t="s">
        <v>169</v>
      </c>
      <c r="C54" s="244">
        <v>0</v>
      </c>
      <c r="D54" s="244"/>
      <c r="E54" s="244"/>
      <c r="F54" s="244"/>
      <c r="G54" s="244"/>
      <c r="H54" s="244"/>
      <c r="I54" s="246">
        <f t="shared" si="19"/>
        <v>0</v>
      </c>
      <c r="J54" s="251" t="b">
        <f t="shared" si="20"/>
        <v>1</v>
      </c>
    </row>
    <row r="55" spans="2:10" x14ac:dyDescent="0.25">
      <c r="B55" s="89" t="s">
        <v>70</v>
      </c>
      <c r="C55" s="244">
        <f>SUM(C51:C54)</f>
        <v>12049162546</v>
      </c>
      <c r="D55" s="244">
        <f t="shared" ref="D55:G55" si="21">SUM(D51:D54)</f>
        <v>0</v>
      </c>
      <c r="E55" s="244">
        <f t="shared" si="21"/>
        <v>0</v>
      </c>
      <c r="F55" s="244">
        <f t="shared" si="21"/>
        <v>0</v>
      </c>
      <c r="G55" s="244">
        <f t="shared" si="21"/>
        <v>38870386</v>
      </c>
      <c r="H55" s="244">
        <f>SUM(H51:H54)</f>
        <v>280883691</v>
      </c>
      <c r="I55" s="247">
        <f>SUM(I51:I54)</f>
        <v>12368916623</v>
      </c>
      <c r="J55" s="251" t="b">
        <f t="shared" si="20"/>
        <v>1</v>
      </c>
    </row>
    <row r="57" spans="2:10" x14ac:dyDescent="0.25">
      <c r="H57" s="212"/>
      <c r="I57" s="212"/>
    </row>
    <row r="58" spans="2:10" x14ac:dyDescent="0.25">
      <c r="F58" s="212"/>
      <c r="G58" s="212"/>
      <c r="H58" s="212"/>
      <c r="I58" s="212"/>
    </row>
    <row r="59" spans="2:10" ht="13" x14ac:dyDescent="0.3">
      <c r="B59" s="743" t="s">
        <v>333</v>
      </c>
      <c r="C59" s="209">
        <v>2</v>
      </c>
      <c r="D59" s="744" t="s">
        <v>334</v>
      </c>
      <c r="H59" s="167"/>
    </row>
    <row r="60" spans="2:10" x14ac:dyDescent="0.25">
      <c r="H60" s="212"/>
    </row>
    <row r="61" spans="2:10" x14ac:dyDescent="0.25">
      <c r="B61" t="s">
        <v>1</v>
      </c>
      <c r="C61" s="143"/>
      <c r="E61" s="142"/>
    </row>
    <row r="62" spans="2:10" x14ac:dyDescent="0.25">
      <c r="B62" s="745" t="s">
        <v>207</v>
      </c>
      <c r="C62" s="746">
        <f>IF($C$59=1,'Recaudo ENEL'!D21,'Recaudo ENEL'!F21)</f>
        <v>15306779444</v>
      </c>
      <c r="D62" s="745" t="b">
        <f>C17=C62</f>
        <v>1</v>
      </c>
      <c r="E62" s="747">
        <f>C17-C62</f>
        <v>0</v>
      </c>
      <c r="F62" s="212"/>
    </row>
    <row r="63" spans="2:10" x14ac:dyDescent="0.25">
      <c r="B63" s="745" t="s">
        <v>335</v>
      </c>
      <c r="C63" s="746">
        <f>IF($C$59=1,'Recaudo ENERBIT'!D21,'Recaudo ENERBIT'!F21)</f>
        <v>0</v>
      </c>
      <c r="D63" s="745" t="b">
        <f>G17=C63</f>
        <v>1</v>
      </c>
      <c r="E63" s="747">
        <f>G17-C63</f>
        <v>0</v>
      </c>
    </row>
    <row r="64" spans="2:10" x14ac:dyDescent="0.25">
      <c r="B64" s="748" t="s">
        <v>209</v>
      </c>
      <c r="C64" s="749">
        <f>IF($C$59=1,'Recaudo EAAB Reciprocidad'!D22,'Recaudo EAAB Reciprocidad'!F22)</f>
        <v>4390091</v>
      </c>
      <c r="D64" s="748" t="b">
        <f>F27=C64</f>
        <v>1</v>
      </c>
      <c r="E64" s="750">
        <f>F27-C64</f>
        <v>0</v>
      </c>
      <c r="H64" s="167"/>
    </row>
    <row r="65" spans="2:7" x14ac:dyDescent="0.25">
      <c r="B65" s="748" t="s">
        <v>324</v>
      </c>
      <c r="C65" s="749">
        <f>IF($C$59=1,'Recaudo ENEL'!D22,'Recaudo ENEL'!F22)</f>
        <v>20240915748</v>
      </c>
      <c r="D65" s="748" t="b">
        <f>C27=C65</f>
        <v>0</v>
      </c>
      <c r="E65" s="750">
        <f>C27-C65</f>
        <v>2607090</v>
      </c>
      <c r="F65" s="142" t="s">
        <v>339</v>
      </c>
    </row>
    <row r="66" spans="2:7" x14ac:dyDescent="0.25">
      <c r="B66" s="748" t="s">
        <v>336</v>
      </c>
      <c r="C66" s="749">
        <f>IF($C$59=1,'Recaudo ENERBIT'!D22,'Recaudo ENERBIT'!F22)</f>
        <v>0</v>
      </c>
      <c r="D66" s="748" t="b">
        <f>G27=C66</f>
        <v>1</v>
      </c>
      <c r="E66" s="750">
        <f>G27-C66</f>
        <v>0</v>
      </c>
    </row>
    <row r="67" spans="2:7" x14ac:dyDescent="0.25">
      <c r="B67" s="745" t="s">
        <v>211</v>
      </c>
      <c r="C67" s="746">
        <f>IF($C$59=1,'Recaudo ENEL'!D23,'Recaudo ENEL'!F23)</f>
        <v>13892251925</v>
      </c>
      <c r="D67" s="745" t="b">
        <f>C36=C67</f>
        <v>0</v>
      </c>
      <c r="E67" s="747">
        <f>C36-C67</f>
        <v>1537410</v>
      </c>
      <c r="F67" s="760" t="s">
        <v>339</v>
      </c>
    </row>
    <row r="68" spans="2:7" x14ac:dyDescent="0.25">
      <c r="B68" s="745" t="s">
        <v>337</v>
      </c>
      <c r="C68" s="746">
        <f>IF($C$59=1,'Recaudo ENERBIT'!D23,'Recaudo ENERBIT'!F23)</f>
        <v>0</v>
      </c>
      <c r="D68" s="745" t="b">
        <f>G36=C68</f>
        <v>1</v>
      </c>
      <c r="E68" s="747">
        <f>G36-C68</f>
        <v>0</v>
      </c>
    </row>
    <row r="69" spans="2:7" x14ac:dyDescent="0.25">
      <c r="B69" s="748" t="s">
        <v>210</v>
      </c>
      <c r="C69" s="749">
        <f>IF($C$59=1,'Recaudo EAAB Reciprocidad'!D24,'Recaudo EAAB Reciprocidad'!F24)</f>
        <v>1814000</v>
      </c>
      <c r="D69" s="748" t="b">
        <f>F45=C69</f>
        <v>1</v>
      </c>
      <c r="E69" s="750">
        <f>F45-C69</f>
        <v>0</v>
      </c>
    </row>
    <row r="70" spans="2:7" x14ac:dyDescent="0.25">
      <c r="B70" s="748" t="s">
        <v>325</v>
      </c>
      <c r="C70" s="749">
        <f>IF($C$59=1,'Recaudo ENEL'!D24,'Recaudo ENEL'!F24)</f>
        <v>6711455732</v>
      </c>
      <c r="D70" s="748" t="b">
        <f>C45=C70</f>
        <v>0</v>
      </c>
      <c r="E70" s="750">
        <f>C45-C70</f>
        <v>632750</v>
      </c>
      <c r="F70" s="142" t="s">
        <v>339</v>
      </c>
    </row>
    <row r="71" spans="2:7" x14ac:dyDescent="0.25">
      <c r="B71" s="748" t="s">
        <v>338</v>
      </c>
      <c r="C71" s="749">
        <f>IF($C$59=1,'Recaudo ENERBIT'!D24,'Recaudo ENERBIT'!F24)</f>
        <v>0</v>
      </c>
      <c r="D71" s="748" t="b">
        <f>G45=C71</f>
        <v>1</v>
      </c>
      <c r="E71" s="750">
        <f>G45-C71</f>
        <v>0</v>
      </c>
      <c r="F71" s="212"/>
    </row>
    <row r="72" spans="2:7" x14ac:dyDescent="0.25">
      <c r="B72" s="745" t="s">
        <v>208</v>
      </c>
      <c r="C72" s="746">
        <f>IF($C$59=1,'Recaudo ENEL'!D25,'Recaudo ENEL'!F25)</f>
        <v>12048665266</v>
      </c>
      <c r="D72" s="745" t="b">
        <f>C55=C72</f>
        <v>0</v>
      </c>
      <c r="E72" s="747">
        <f>C55-C72</f>
        <v>497280</v>
      </c>
      <c r="F72" s="142" t="s">
        <v>339</v>
      </c>
    </row>
    <row r="73" spans="2:7" x14ac:dyDescent="0.25">
      <c r="B73" s="745" t="s">
        <v>327</v>
      </c>
      <c r="C73" s="746">
        <f>IF($C$59=1,'Recaudo ENERBIT'!D25,'Recaudo ENERBIT'!F25)</f>
        <v>38870386</v>
      </c>
      <c r="D73" s="745" t="b">
        <f>G55=C73</f>
        <v>1</v>
      </c>
      <c r="E73" s="747">
        <f>G55-C73</f>
        <v>0</v>
      </c>
    </row>
    <row r="74" spans="2:7" x14ac:dyDescent="0.25">
      <c r="C74" s="167"/>
    </row>
    <row r="75" spans="2:7" x14ac:dyDescent="0.25">
      <c r="B75" s="745" t="s">
        <v>260</v>
      </c>
      <c r="C75" s="746">
        <f>IF($C$59=1,'Recaudo Directa Occidente'!D21,'Recaudo Directa Occidente'!F21)</f>
        <v>777254475</v>
      </c>
      <c r="D75" s="745" t="b">
        <f>C75=H17</f>
        <v>1</v>
      </c>
      <c r="E75" s="772">
        <f>C75-H17</f>
        <v>0</v>
      </c>
      <c r="F75" s="695"/>
      <c r="G75" s="695"/>
    </row>
    <row r="76" spans="2:7" x14ac:dyDescent="0.25">
      <c r="B76" s="748" t="s">
        <v>261</v>
      </c>
      <c r="C76" s="749">
        <f>IF($C$59=1,'Recaudo Directa Occidente'!D22,'Recaudo Directa Occidente'!F22)</f>
        <v>2174422710</v>
      </c>
      <c r="D76" s="748" t="b">
        <f>C76=H27</f>
        <v>1</v>
      </c>
      <c r="E76" s="750">
        <f>C76-H27</f>
        <v>0</v>
      </c>
    </row>
    <row r="77" spans="2:7" x14ac:dyDescent="0.25">
      <c r="B77" s="745" t="s">
        <v>262</v>
      </c>
      <c r="C77" s="746">
        <f>IF($C$59=1,'Recaudo Directa Occidente'!D23,'Recaudo Directa Occidente'!F23)</f>
        <v>1471237404</v>
      </c>
      <c r="D77" s="745" t="b">
        <f>C77=H36</f>
        <v>1</v>
      </c>
      <c r="E77" s="747">
        <f>C77-H36</f>
        <v>0</v>
      </c>
      <c r="F77" s="212"/>
      <c r="G77" s="212"/>
    </row>
    <row r="78" spans="2:7" x14ac:dyDescent="0.25">
      <c r="B78" s="748" t="s">
        <v>263</v>
      </c>
      <c r="C78" s="749">
        <f>IF($C$59=1,'Recaudo Directa Occidente'!D24,'Recaudo Directa Occidente'!F24)</f>
        <v>1032337827</v>
      </c>
      <c r="D78" s="748" t="b">
        <f>C78=H45</f>
        <v>1</v>
      </c>
      <c r="E78" s="750">
        <f>C78-H45</f>
        <v>0</v>
      </c>
    </row>
    <row r="79" spans="2:7" x14ac:dyDescent="0.25">
      <c r="B79" s="745" t="s">
        <v>264</v>
      </c>
      <c r="C79" s="746">
        <f>IF($C$59=1,'Recaudo Directa Occidente'!D25,'Recaudo Directa Occidente'!F25)</f>
        <v>280883691</v>
      </c>
      <c r="D79" s="745" t="b">
        <f>C79=H55</f>
        <v>1</v>
      </c>
      <c r="E79" s="747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Normal="100" workbookViewId="0">
      <selection activeCell="J13" sqref="J13"/>
    </sheetView>
  </sheetViews>
  <sheetFormatPr baseColWidth="10" defaultRowHeight="12.5" x14ac:dyDescent="0.25"/>
  <cols>
    <col min="1" max="1" width="3.453125" customWidth="1"/>
    <col min="2" max="2" width="20.81640625" bestFit="1" customWidth="1"/>
    <col min="3" max="3" width="13.1796875" bestFit="1" customWidth="1"/>
    <col min="4" max="6" width="12.81640625" bestFit="1" customWidth="1"/>
    <col min="7" max="7" width="12.54296875" customWidth="1"/>
    <col min="8" max="14" width="12.81640625" bestFit="1" customWidth="1"/>
    <col min="16" max="16" width="12.81640625" bestFit="1" customWidth="1"/>
  </cols>
  <sheetData>
    <row r="1" spans="1:16" ht="13.5" thickBot="1" x14ac:dyDescent="0.35">
      <c r="C1" s="773" t="s">
        <v>99</v>
      </c>
      <c r="D1" s="773"/>
      <c r="E1" s="773" t="s">
        <v>100</v>
      </c>
      <c r="F1" s="773"/>
      <c r="G1" s="773" t="s">
        <v>101</v>
      </c>
      <c r="H1" s="773"/>
      <c r="I1" s="773" t="s">
        <v>102</v>
      </c>
      <c r="J1" s="773"/>
      <c r="K1" s="773" t="s">
        <v>103</v>
      </c>
      <c r="L1" s="773"/>
      <c r="M1" s="773" t="s">
        <v>2</v>
      </c>
      <c r="N1" s="773"/>
    </row>
    <row r="2" spans="1:16" ht="13" x14ac:dyDescent="0.3">
      <c r="C2" s="257" t="s">
        <v>149</v>
      </c>
      <c r="D2" s="732" t="s">
        <v>150</v>
      </c>
      <c r="E2" s="732" t="s">
        <v>149</v>
      </c>
      <c r="F2" s="732" t="s">
        <v>150</v>
      </c>
      <c r="G2" s="732" t="s">
        <v>149</v>
      </c>
      <c r="H2" s="732" t="s">
        <v>150</v>
      </c>
      <c r="I2" s="732" t="s">
        <v>149</v>
      </c>
      <c r="J2" s="732" t="s">
        <v>150</v>
      </c>
      <c r="K2" s="732" t="s">
        <v>149</v>
      </c>
      <c r="L2" s="732" t="s">
        <v>150</v>
      </c>
      <c r="M2" s="257" t="s">
        <v>149</v>
      </c>
      <c r="N2" s="258" t="s">
        <v>150</v>
      </c>
    </row>
    <row r="3" spans="1:16" ht="13" x14ac:dyDescent="0.3">
      <c r="B3" s="210" t="s">
        <v>151</v>
      </c>
      <c r="C3" s="733">
        <f>C11+C19+C27+C35+C43</f>
        <v>40070</v>
      </c>
      <c r="D3" s="249">
        <f>D11+D19+D27+D35+D43</f>
        <v>-1285060</v>
      </c>
      <c r="E3" s="249">
        <f t="shared" ref="E3:K3" si="0">E11+E19+E27+E35+E43</f>
        <v>18014168</v>
      </c>
      <c r="F3" s="249">
        <f>F11+F19+F27+F35+F43</f>
        <v>-45230052</v>
      </c>
      <c r="G3" s="249">
        <f t="shared" si="0"/>
        <v>388550</v>
      </c>
      <c r="H3" s="249">
        <f t="shared" si="0"/>
        <v>-7715664</v>
      </c>
      <c r="I3" s="249">
        <f t="shared" si="0"/>
        <v>83364801.269999996</v>
      </c>
      <c r="J3" s="249">
        <f t="shared" si="0"/>
        <v>-178619709.53</v>
      </c>
      <c r="K3" s="249">
        <f t="shared" si="0"/>
        <v>0</v>
      </c>
      <c r="L3" s="249">
        <f>L11+L19+L27+L35+L43</f>
        <v>-4790099</v>
      </c>
      <c r="M3" s="259">
        <f>C3+E3+G3+I3+K3</f>
        <v>101807589.27</v>
      </c>
      <c r="N3" s="260">
        <f>D3+F3+H3+J3+L3</f>
        <v>-237640584.53</v>
      </c>
      <c r="P3" s="209" t="b">
        <f>N3=(-VALIDACION_TOTAL!M9)</f>
        <v>1</v>
      </c>
    </row>
    <row r="4" spans="1:16" ht="13.5" thickBot="1" x14ac:dyDescent="0.35">
      <c r="B4" s="210" t="s">
        <v>152</v>
      </c>
      <c r="C4" s="730">
        <f>C12+C20+C28+C36+C44</f>
        <v>691640</v>
      </c>
      <c r="D4" s="731">
        <f>D12+D20+D28+D36+D44</f>
        <v>-137440</v>
      </c>
      <c r="E4" s="731">
        <f t="shared" ref="E4:K4" si="1">E12+E20+E28+E36+E44</f>
        <v>12142859</v>
      </c>
      <c r="F4" s="731">
        <f t="shared" si="1"/>
        <v>-139792</v>
      </c>
      <c r="G4" s="731">
        <f t="shared" si="1"/>
        <v>1272990</v>
      </c>
      <c r="H4" s="731">
        <f t="shared" si="1"/>
        <v>-541790</v>
      </c>
      <c r="I4" s="731">
        <f t="shared" si="1"/>
        <v>91642041.730000004</v>
      </c>
      <c r="J4" s="731">
        <f t="shared" si="1"/>
        <v>-780507.47</v>
      </c>
      <c r="K4" s="731">
        <f t="shared" si="1"/>
        <v>0</v>
      </c>
      <c r="L4" s="731">
        <f>L12+L20+L28+L36+L44</f>
        <v>0</v>
      </c>
      <c r="M4" s="734">
        <f>C4+E4+G4+I4+K4</f>
        <v>105749530.73</v>
      </c>
      <c r="N4" s="735">
        <f>D4+F4+H4+J4+L4</f>
        <v>-1599529.47</v>
      </c>
      <c r="P4" s="209" t="b">
        <f>N4=(-'CONSOLIDADO_TOTAL RECAUDO'!L131)</f>
        <v>1</v>
      </c>
    </row>
    <row r="5" spans="1:16" ht="13.5" thickBot="1" x14ac:dyDescent="0.35">
      <c r="B5" s="211" t="s">
        <v>2</v>
      </c>
      <c r="C5" s="253">
        <f>SUM(C3:C4)</f>
        <v>731710</v>
      </c>
      <c r="D5" s="254">
        <f t="shared" ref="D5:L5" si="2">SUM(D3:D4)</f>
        <v>-1422500</v>
      </c>
      <c r="E5" s="254">
        <f t="shared" si="2"/>
        <v>30157027</v>
      </c>
      <c r="F5" s="254">
        <f t="shared" si="2"/>
        <v>-45369844</v>
      </c>
      <c r="G5" s="254">
        <f t="shared" si="2"/>
        <v>1661540</v>
      </c>
      <c r="H5" s="254">
        <f t="shared" si="2"/>
        <v>-8257454</v>
      </c>
      <c r="I5" s="254">
        <f t="shared" si="2"/>
        <v>175006843</v>
      </c>
      <c r="J5" s="254">
        <f t="shared" si="2"/>
        <v>-179400217</v>
      </c>
      <c r="K5" s="254">
        <f>SUM(K3:K4)</f>
        <v>0</v>
      </c>
      <c r="L5" s="256">
        <f t="shared" si="2"/>
        <v>-4790099</v>
      </c>
      <c r="M5" s="253">
        <f t="shared" ref="M5" si="3">SUM(M3:M4)</f>
        <v>207557120</v>
      </c>
      <c r="N5" s="255">
        <f>SUM(N3:N4)</f>
        <v>-239240114</v>
      </c>
    </row>
    <row r="6" spans="1:16" x14ac:dyDescent="0.25">
      <c r="C6" s="209" t="b">
        <f t="shared" ref="C6:K6" si="4">C5=(C13+C21+C29+C37+C45)</f>
        <v>1</v>
      </c>
      <c r="D6" s="209" t="b">
        <f t="shared" si="4"/>
        <v>1</v>
      </c>
      <c r="E6" s="209" t="b">
        <f t="shared" si="4"/>
        <v>1</v>
      </c>
      <c r="F6" s="209" t="b">
        <f t="shared" si="4"/>
        <v>1</v>
      </c>
      <c r="G6" s="209" t="b">
        <f t="shared" si="4"/>
        <v>1</v>
      </c>
      <c r="H6" s="209" t="b">
        <f t="shared" si="4"/>
        <v>1</v>
      </c>
      <c r="I6" s="209" t="b">
        <f t="shared" si="4"/>
        <v>1</v>
      </c>
      <c r="J6" s="209" t="b">
        <f t="shared" si="4"/>
        <v>1</v>
      </c>
      <c r="K6" s="209" t="b">
        <f t="shared" si="4"/>
        <v>1</v>
      </c>
      <c r="L6" s="209" t="b">
        <f>L5=(L13+L21+L29+L37+L45)</f>
        <v>1</v>
      </c>
      <c r="M6" s="209" t="b">
        <f t="shared" ref="M6" si="5">M5=(M13+M21+M29+M37+M45)</f>
        <v>1</v>
      </c>
      <c r="N6" s="209" t="b">
        <f>N5=(N13+N21+N29+N37+N45)</f>
        <v>1</v>
      </c>
    </row>
    <row r="7" spans="1:16" x14ac:dyDescent="0.25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4.5" x14ac:dyDescent="0.35">
      <c r="B8" s="208" t="s">
        <v>148</v>
      </c>
      <c r="C8" s="209"/>
    </row>
    <row r="9" spans="1:16" ht="13" x14ac:dyDescent="0.3">
      <c r="C9" s="773" t="s">
        <v>99</v>
      </c>
      <c r="D9" s="773"/>
      <c r="E9" s="773" t="s">
        <v>100</v>
      </c>
      <c r="F9" s="773"/>
      <c r="G9" s="773" t="s">
        <v>101</v>
      </c>
      <c r="H9" s="773"/>
      <c r="I9" s="773" t="s">
        <v>102</v>
      </c>
      <c r="J9" s="773"/>
      <c r="K9" s="773" t="s">
        <v>103</v>
      </c>
      <c r="L9" s="773"/>
      <c r="M9" s="773" t="s">
        <v>2</v>
      </c>
      <c r="N9" s="773"/>
    </row>
    <row r="10" spans="1:16" ht="13" x14ac:dyDescent="0.3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ht="13" x14ac:dyDescent="0.3">
      <c r="B11" s="210" t="s">
        <v>151</v>
      </c>
      <c r="C11" s="245">
        <v>40070</v>
      </c>
      <c r="D11" s="245">
        <v>-40070</v>
      </c>
      <c r="E11" s="245">
        <v>1003966</v>
      </c>
      <c r="F11" s="245">
        <v>-3643056</v>
      </c>
      <c r="G11" s="245">
        <v>0</v>
      </c>
      <c r="H11" s="245">
        <v>0</v>
      </c>
      <c r="I11" s="245">
        <v>5075866</v>
      </c>
      <c r="J11" s="245">
        <v>-9398936.8699999992</v>
      </c>
      <c r="K11" s="244">
        <v>0</v>
      </c>
      <c r="L11" s="245">
        <v>0</v>
      </c>
      <c r="M11" s="249">
        <f>C11+E11+G11+I11+K11</f>
        <v>6119902</v>
      </c>
      <c r="N11" s="245">
        <f>D11+F11+H11+J11+L11</f>
        <v>-13082062.869999999</v>
      </c>
    </row>
    <row r="12" spans="1:16" ht="13" x14ac:dyDescent="0.3">
      <c r="B12" s="210" t="s">
        <v>152</v>
      </c>
      <c r="C12" s="245">
        <v>0</v>
      </c>
      <c r="D12" s="245">
        <v>0</v>
      </c>
      <c r="E12" s="245">
        <v>2673592</v>
      </c>
      <c r="F12" s="245">
        <v>-34502</v>
      </c>
      <c r="G12" s="245">
        <v>0</v>
      </c>
      <c r="H12" s="245">
        <v>0</v>
      </c>
      <c r="I12" s="245">
        <v>4396815</v>
      </c>
      <c r="J12" s="245">
        <v>-73744.13</v>
      </c>
      <c r="K12" s="244">
        <v>0</v>
      </c>
      <c r="L12" s="245">
        <v>0</v>
      </c>
      <c r="M12" s="249">
        <f>C12+E12+G12+I12+K12</f>
        <v>7070407</v>
      </c>
      <c r="N12" s="245">
        <f>D12+F12+H12+J12+L12</f>
        <v>-108246.13</v>
      </c>
    </row>
    <row r="13" spans="1:16" ht="13" x14ac:dyDescent="0.3">
      <c r="B13" s="211" t="s">
        <v>2</v>
      </c>
      <c r="C13" s="249">
        <f>SUM(C11:C12)</f>
        <v>40070</v>
      </c>
      <c r="D13" s="249">
        <f t="shared" ref="D13:N13" si="6">SUM(D11:D12)</f>
        <v>-40070</v>
      </c>
      <c r="E13" s="249">
        <f t="shared" si="6"/>
        <v>3677558</v>
      </c>
      <c r="F13" s="249">
        <f t="shared" si="6"/>
        <v>-3677558</v>
      </c>
      <c r="G13" s="249">
        <f>SUM(G11:G12)</f>
        <v>0</v>
      </c>
      <c r="H13" s="249">
        <f>SUM(H11:H12)</f>
        <v>0</v>
      </c>
      <c r="I13" s="249">
        <f t="shared" si="6"/>
        <v>9472681</v>
      </c>
      <c r="J13" s="249">
        <f t="shared" si="6"/>
        <v>-9472681</v>
      </c>
      <c r="K13" s="249">
        <f t="shared" si="6"/>
        <v>0</v>
      </c>
      <c r="L13" s="249">
        <f t="shared" si="6"/>
        <v>0</v>
      </c>
      <c r="M13" s="249">
        <f t="shared" si="6"/>
        <v>13190309</v>
      </c>
      <c r="N13" s="249">
        <f t="shared" si="6"/>
        <v>-13190309</v>
      </c>
    </row>
    <row r="14" spans="1:16" x14ac:dyDescent="0.25">
      <c r="E14" s="212"/>
    </row>
    <row r="16" spans="1:16" ht="14.5" x14ac:dyDescent="0.35">
      <c r="B16" s="208" t="s">
        <v>153</v>
      </c>
      <c r="C16" s="209"/>
    </row>
    <row r="17" spans="2:14" ht="13" x14ac:dyDescent="0.3">
      <c r="C17" s="773" t="s">
        <v>99</v>
      </c>
      <c r="D17" s="773"/>
      <c r="E17" s="773" t="s">
        <v>100</v>
      </c>
      <c r="F17" s="773"/>
      <c r="G17" s="773" t="s">
        <v>101</v>
      </c>
      <c r="H17" s="773"/>
      <c r="I17" s="773" t="s">
        <v>102</v>
      </c>
      <c r="J17" s="773"/>
      <c r="K17" s="773" t="s">
        <v>103</v>
      </c>
      <c r="L17" s="773"/>
      <c r="M17" s="773" t="s">
        <v>2</v>
      </c>
      <c r="N17" s="773"/>
    </row>
    <row r="18" spans="2:14" ht="13" x14ac:dyDescent="0.3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ht="13" x14ac:dyDescent="0.3">
      <c r="B19" s="210" t="s">
        <v>151</v>
      </c>
      <c r="C19" s="245">
        <v>0</v>
      </c>
      <c r="D19" s="245">
        <v>0</v>
      </c>
      <c r="E19" s="245">
        <v>0</v>
      </c>
      <c r="F19" s="245">
        <v>-46130</v>
      </c>
      <c r="G19" s="245">
        <v>0</v>
      </c>
      <c r="H19" s="245">
        <v>0</v>
      </c>
      <c r="I19" s="245">
        <v>477310</v>
      </c>
      <c r="J19" s="245">
        <v>-1564160</v>
      </c>
      <c r="K19" s="244">
        <v>0</v>
      </c>
      <c r="L19" s="245">
        <v>0</v>
      </c>
      <c r="M19" s="245">
        <f>C19+E19+G19+I19+K19</f>
        <v>477310</v>
      </c>
      <c r="N19" s="245">
        <f>D19+F19+H19+J19+L19</f>
        <v>-1610290</v>
      </c>
    </row>
    <row r="20" spans="2:14" ht="13" x14ac:dyDescent="0.3">
      <c r="B20" s="210" t="s">
        <v>152</v>
      </c>
      <c r="C20" s="245">
        <v>0</v>
      </c>
      <c r="D20" s="245">
        <v>0</v>
      </c>
      <c r="E20" s="245">
        <v>46130</v>
      </c>
      <c r="F20" s="245">
        <v>0</v>
      </c>
      <c r="G20" s="245">
        <v>0</v>
      </c>
      <c r="H20" s="245">
        <v>0</v>
      </c>
      <c r="I20" s="245">
        <v>1086850</v>
      </c>
      <c r="J20" s="546"/>
      <c r="K20" s="244">
        <v>0</v>
      </c>
      <c r="L20" s="245">
        <v>0</v>
      </c>
      <c r="M20" s="245">
        <f>C20+E20+G20+I20+K20</f>
        <v>1132980</v>
      </c>
      <c r="N20" s="245">
        <f>D20+F20+H20+J20+L20</f>
        <v>0</v>
      </c>
    </row>
    <row r="21" spans="2:14" ht="13" x14ac:dyDescent="0.3">
      <c r="B21" s="211" t="s">
        <v>2</v>
      </c>
      <c r="C21" s="249">
        <f>SUM(C19:C20)</f>
        <v>0</v>
      </c>
      <c r="D21" s="249">
        <f t="shared" ref="D21:L21" si="7">SUM(D19:D20)</f>
        <v>0</v>
      </c>
      <c r="E21" s="249">
        <f t="shared" si="7"/>
        <v>46130</v>
      </c>
      <c r="F21" s="249">
        <f t="shared" si="7"/>
        <v>-46130</v>
      </c>
      <c r="G21" s="249">
        <f t="shared" si="7"/>
        <v>0</v>
      </c>
      <c r="H21" s="249">
        <f t="shared" si="7"/>
        <v>0</v>
      </c>
      <c r="I21" s="249">
        <f t="shared" si="7"/>
        <v>1564160</v>
      </c>
      <c r="J21" s="249">
        <f t="shared" si="7"/>
        <v>-1564160</v>
      </c>
      <c r="K21" s="249">
        <f t="shared" si="7"/>
        <v>0</v>
      </c>
      <c r="L21" s="249">
        <f t="shared" si="7"/>
        <v>0</v>
      </c>
      <c r="M21" s="249">
        <f>C21+E21+G21+I21+K21</f>
        <v>1610290</v>
      </c>
      <c r="N21" s="249">
        <f t="shared" ref="N21" si="8">SUM(N19:N20)</f>
        <v>-1610290</v>
      </c>
    </row>
    <row r="24" spans="2:14" ht="14.5" x14ac:dyDescent="0.35">
      <c r="B24" s="208" t="s">
        <v>154</v>
      </c>
      <c r="C24" s="209"/>
    </row>
    <row r="25" spans="2:14" ht="13" x14ac:dyDescent="0.3">
      <c r="C25" s="773" t="s">
        <v>99</v>
      </c>
      <c r="D25" s="773"/>
      <c r="E25" s="773" t="s">
        <v>100</v>
      </c>
      <c r="F25" s="773"/>
      <c r="G25" s="773" t="s">
        <v>101</v>
      </c>
      <c r="H25" s="773"/>
      <c r="I25" s="773" t="s">
        <v>102</v>
      </c>
      <c r="J25" s="773"/>
      <c r="K25" s="773" t="s">
        <v>103</v>
      </c>
      <c r="L25" s="773"/>
      <c r="M25" s="773" t="s">
        <v>2</v>
      </c>
      <c r="N25" s="773"/>
    </row>
    <row r="26" spans="2:14" ht="13" x14ac:dyDescent="0.3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ht="13" x14ac:dyDescent="0.3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ht="13" x14ac:dyDescent="0.3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ht="13" x14ac:dyDescent="0.3">
      <c r="B29" s="211" t="s">
        <v>2</v>
      </c>
      <c r="C29" s="249">
        <f t="shared" ref="C29:N29" si="9">SUM(C27:C28)</f>
        <v>0</v>
      </c>
      <c r="D29" s="249">
        <f t="shared" si="9"/>
        <v>0</v>
      </c>
      <c r="E29" s="249">
        <f t="shared" si="9"/>
        <v>0</v>
      </c>
      <c r="F29" s="249">
        <f t="shared" si="9"/>
        <v>0</v>
      </c>
      <c r="G29" s="249">
        <f t="shared" si="9"/>
        <v>0</v>
      </c>
      <c r="H29" s="249">
        <f t="shared" si="9"/>
        <v>0</v>
      </c>
      <c r="I29" s="249">
        <f t="shared" si="9"/>
        <v>0</v>
      </c>
      <c r="J29" s="249">
        <f t="shared" si="9"/>
        <v>0</v>
      </c>
      <c r="K29" s="249">
        <f t="shared" si="9"/>
        <v>0</v>
      </c>
      <c r="L29" s="249">
        <f t="shared" si="9"/>
        <v>0</v>
      </c>
      <c r="M29" s="249">
        <f t="shared" si="9"/>
        <v>0</v>
      </c>
      <c r="N29" s="249">
        <f t="shared" si="9"/>
        <v>0</v>
      </c>
    </row>
    <row r="32" spans="2:14" x14ac:dyDescent="0.25">
      <c r="B32" s="209" t="s">
        <v>155</v>
      </c>
    </row>
    <row r="33" spans="2:14" ht="13" x14ac:dyDescent="0.3">
      <c r="C33" s="773" t="s">
        <v>99</v>
      </c>
      <c r="D33" s="773"/>
      <c r="E33" s="773" t="s">
        <v>100</v>
      </c>
      <c r="F33" s="773"/>
      <c r="G33" s="773" t="s">
        <v>101</v>
      </c>
      <c r="H33" s="773"/>
      <c r="I33" s="773" t="s">
        <v>102</v>
      </c>
      <c r="J33" s="773"/>
      <c r="K33" s="773" t="s">
        <v>103</v>
      </c>
      <c r="L33" s="773"/>
      <c r="M33" s="773" t="s">
        <v>2</v>
      </c>
      <c r="N33" s="773"/>
    </row>
    <row r="34" spans="2:14" ht="13" x14ac:dyDescent="0.3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ht="13" x14ac:dyDescent="0.3">
      <c r="B35" s="210" t="s">
        <v>151</v>
      </c>
      <c r="C35" s="245">
        <v>0</v>
      </c>
      <c r="D35" s="245">
        <v>-1244990</v>
      </c>
      <c r="E35" s="245">
        <v>17010202</v>
      </c>
      <c r="F35" s="245">
        <v>-41540866</v>
      </c>
      <c r="G35" s="245">
        <v>388550</v>
      </c>
      <c r="H35" s="245">
        <v>-7715664</v>
      </c>
      <c r="I35" s="245">
        <v>77811625.269999996</v>
      </c>
      <c r="J35" s="245">
        <v>-167656612.66</v>
      </c>
      <c r="K35" s="244">
        <v>0</v>
      </c>
      <c r="L35" s="245">
        <v>-4790099</v>
      </c>
      <c r="M35" s="245">
        <f>C35+E35+G35+I35+K35</f>
        <v>95210377.269999996</v>
      </c>
      <c r="N35" s="245">
        <f>D35+F35+H35+J35+L35</f>
        <v>-222948231.66</v>
      </c>
    </row>
    <row r="36" spans="2:14" ht="13" x14ac:dyDescent="0.3">
      <c r="B36" s="210" t="s">
        <v>152</v>
      </c>
      <c r="C36" s="245">
        <v>691640</v>
      </c>
      <c r="D36" s="245">
        <v>-137440</v>
      </c>
      <c r="E36" s="245">
        <v>9423137</v>
      </c>
      <c r="F36" s="245">
        <v>-105290</v>
      </c>
      <c r="G36" s="245">
        <v>1272990</v>
      </c>
      <c r="H36" s="245">
        <v>-541790</v>
      </c>
      <c r="I36" s="245">
        <v>86158376.730000004</v>
      </c>
      <c r="J36" s="245">
        <v>-706763.34</v>
      </c>
      <c r="K36" s="244">
        <v>0</v>
      </c>
      <c r="L36" s="245">
        <v>0</v>
      </c>
      <c r="M36" s="245">
        <f>C36+E36+G36+I36+K36</f>
        <v>97546143.730000004</v>
      </c>
      <c r="N36" s="245">
        <f>D36+F36+H36+J36+L36</f>
        <v>-1491283.3399999999</v>
      </c>
    </row>
    <row r="37" spans="2:14" ht="13" x14ac:dyDescent="0.3">
      <c r="B37" s="211" t="s">
        <v>2</v>
      </c>
      <c r="C37" s="249">
        <f>SUM(C35:C36)</f>
        <v>691640</v>
      </c>
      <c r="D37" s="249">
        <f t="shared" ref="D37:L37" si="10">SUM(D35:D36)</f>
        <v>-1382430</v>
      </c>
      <c r="E37" s="249">
        <f t="shared" si="10"/>
        <v>26433339</v>
      </c>
      <c r="F37" s="249">
        <f t="shared" si="10"/>
        <v>-41646156</v>
      </c>
      <c r="G37" s="249">
        <f t="shared" si="10"/>
        <v>1661540</v>
      </c>
      <c r="H37" s="249">
        <f t="shared" si="10"/>
        <v>-8257454</v>
      </c>
      <c r="I37" s="249">
        <f t="shared" si="10"/>
        <v>163970002</v>
      </c>
      <c r="J37" s="249">
        <f t="shared" si="10"/>
        <v>-168363376</v>
      </c>
      <c r="K37" s="249">
        <f t="shared" si="10"/>
        <v>0</v>
      </c>
      <c r="L37" s="249">
        <f t="shared" si="10"/>
        <v>-4790099</v>
      </c>
      <c r="M37" s="249">
        <f>SUM(M35:M36)</f>
        <v>192756521</v>
      </c>
      <c r="N37" s="249">
        <f t="shared" ref="N37" si="11">SUM(N35:N36)</f>
        <v>-224439515</v>
      </c>
    </row>
    <row r="39" spans="2:14" x14ac:dyDescent="0.25">
      <c r="L39" s="212"/>
    </row>
    <row r="40" spans="2:14" x14ac:dyDescent="0.25">
      <c r="B40" s="742" t="s">
        <v>326</v>
      </c>
    </row>
    <row r="41" spans="2:14" ht="13" x14ac:dyDescent="0.3">
      <c r="C41" s="773" t="s">
        <v>99</v>
      </c>
      <c r="D41" s="773"/>
      <c r="E41" s="773" t="s">
        <v>100</v>
      </c>
      <c r="F41" s="773"/>
      <c r="G41" s="773" t="s">
        <v>101</v>
      </c>
      <c r="H41" s="773"/>
      <c r="I41" s="773" t="s">
        <v>102</v>
      </c>
      <c r="J41" s="773"/>
      <c r="K41" s="773" t="s">
        <v>103</v>
      </c>
      <c r="L41" s="773"/>
      <c r="M41" s="773" t="s">
        <v>2</v>
      </c>
      <c r="N41" s="773"/>
    </row>
    <row r="42" spans="2:14" ht="13" x14ac:dyDescent="0.3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ht="13" x14ac:dyDescent="0.3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ht="13" x14ac:dyDescent="0.3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ht="13" x14ac:dyDescent="0.3">
      <c r="B45" s="211" t="s">
        <v>2</v>
      </c>
      <c r="C45" s="249">
        <f>SUM(C43:C44)</f>
        <v>0</v>
      </c>
      <c r="D45" s="249">
        <f t="shared" ref="D45:J45" si="12">SUM(D43:D44)</f>
        <v>0</v>
      </c>
      <c r="E45" s="249">
        <f t="shared" si="12"/>
        <v>0</v>
      </c>
      <c r="F45" s="249">
        <f t="shared" si="12"/>
        <v>0</v>
      </c>
      <c r="G45" s="249">
        <f t="shared" si="12"/>
        <v>0</v>
      </c>
      <c r="H45" s="249">
        <f t="shared" si="12"/>
        <v>0</v>
      </c>
      <c r="I45" s="249">
        <f t="shared" si="12"/>
        <v>0</v>
      </c>
      <c r="J45" s="249">
        <f t="shared" si="12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 t="shared" ref="N45" si="13">SUM(N43:N44)</f>
        <v>0</v>
      </c>
    </row>
  </sheetData>
  <mergeCells count="36">
    <mergeCell ref="M41:N41"/>
    <mergeCell ref="C41:D41"/>
    <mergeCell ref="E41:F41"/>
    <mergeCell ref="G41:H41"/>
    <mergeCell ref="I41:J41"/>
    <mergeCell ref="K41:L41"/>
    <mergeCell ref="M1:N1"/>
    <mergeCell ref="C1:D1"/>
    <mergeCell ref="E1:F1"/>
    <mergeCell ref="G1:H1"/>
    <mergeCell ref="I1:J1"/>
    <mergeCell ref="K1:L1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9:N9"/>
    <mergeCell ref="C9:D9"/>
    <mergeCell ref="E9:F9"/>
    <mergeCell ref="G9:H9"/>
    <mergeCell ref="I9:J9"/>
    <mergeCell ref="K9:L9"/>
    <mergeCell ref="M33:N33"/>
    <mergeCell ref="C33:D33"/>
    <mergeCell ref="E33:F33"/>
    <mergeCell ref="G33:H33"/>
    <mergeCell ref="I33:J33"/>
    <mergeCell ref="K33:L33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workbookViewId="0">
      <selection activeCell="C24" sqref="C24"/>
    </sheetView>
  </sheetViews>
  <sheetFormatPr baseColWidth="10" defaultRowHeight="12.5" x14ac:dyDescent="0.25"/>
  <cols>
    <col min="1" max="1" width="2.453125" customWidth="1"/>
    <col min="2" max="2" width="8" customWidth="1"/>
    <col min="3" max="3" width="15.81640625" bestFit="1" customWidth="1"/>
    <col min="4" max="4" width="1.81640625" style="238" customWidth="1"/>
    <col min="5" max="5" width="14.81640625" customWidth="1"/>
    <col min="6" max="6" width="15.81640625" bestFit="1" customWidth="1"/>
    <col min="7" max="7" width="1.81640625" style="238" customWidth="1"/>
    <col min="8" max="8" width="9.1796875" customWidth="1"/>
    <col min="9" max="9" width="15.81640625" bestFit="1" customWidth="1"/>
    <col min="10" max="10" width="1.81640625" style="238" customWidth="1"/>
    <col min="11" max="11" width="14.1796875" customWidth="1"/>
    <col min="12" max="12" width="17.453125" customWidth="1"/>
    <col min="13" max="13" width="1.81640625" style="238" customWidth="1"/>
    <col min="14" max="14" width="14.1796875" customWidth="1"/>
    <col min="15" max="15" width="17.453125" customWidth="1"/>
    <col min="16" max="16" width="1.81640625" style="238" customWidth="1"/>
    <col min="17" max="17" width="20.1796875" customWidth="1"/>
    <col min="18" max="18" width="15.81640625" bestFit="1" customWidth="1"/>
    <col min="19" max="19" width="3.54296875" customWidth="1"/>
    <col min="20" max="20" width="48.453125" bestFit="1" customWidth="1"/>
  </cols>
  <sheetData>
    <row r="1" spans="2:20" ht="13" thickBot="1" x14ac:dyDescent="0.3">
      <c r="B1" s="142" t="s">
        <v>2</v>
      </c>
      <c r="E1" t="s">
        <v>165</v>
      </c>
      <c r="H1" t="s">
        <v>155</v>
      </c>
      <c r="K1" s="723" t="s">
        <v>326</v>
      </c>
      <c r="L1" s="723"/>
      <c r="N1" t="s">
        <v>119</v>
      </c>
      <c r="Q1" t="s">
        <v>166</v>
      </c>
    </row>
    <row r="2" spans="2:20" ht="35" thickBot="1" x14ac:dyDescent="0.3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5">
      <c r="B3" s="14">
        <v>1</v>
      </c>
      <c r="C3" s="15">
        <f>'REPORTE RECAUDO x BANCO'!I14</f>
        <v>65283382.700000003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30927107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34356275.700000003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5">
      <c r="B4" s="16">
        <v>2</v>
      </c>
      <c r="C4" s="15">
        <f>'REPORTE RECAUDO x BANCO'!I24</f>
        <v>156846266.00999999</v>
      </c>
      <c r="E4" s="16">
        <v>2</v>
      </c>
      <c r="F4" s="15">
        <f>'REPORTE RECAUDO x BANCO'!F24</f>
        <v>2611951</v>
      </c>
      <c r="H4" s="16">
        <v>2</v>
      </c>
      <c r="I4" s="15">
        <f>'REPORTE RECAUDO x BANCO'!C24</f>
        <v>37168207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117066108.01000001</v>
      </c>
      <c r="Q4" s="16">
        <v>2</v>
      </c>
      <c r="R4" s="15">
        <f>'REPORTE RECAUDO x BANCO'!D24+'REPORTE RECAUDO x BANCO'!E24</f>
        <v>0</v>
      </c>
    </row>
    <row r="5" spans="2:20" x14ac:dyDescent="0.25">
      <c r="B5" s="16">
        <v>3</v>
      </c>
      <c r="C5" s="15">
        <f>'REPORTE RECAUDO x BANCO'!I33</f>
        <v>200945155.15000001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10762026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190183129.15000001</v>
      </c>
      <c r="Q5" s="16">
        <v>3</v>
      </c>
      <c r="R5" s="15">
        <f>'REPORTE RECAUDO x BANCO'!D33+'REPORTE RECAUDO x BANCO'!E33</f>
        <v>0</v>
      </c>
    </row>
    <row r="6" spans="2:20" x14ac:dyDescent="0.25">
      <c r="B6" s="16">
        <v>4</v>
      </c>
      <c r="C6" s="15">
        <f>'REPORTE RECAUDO x BANCO'!I42</f>
        <v>74190303.989999995</v>
      </c>
      <c r="E6" s="16">
        <v>4</v>
      </c>
      <c r="F6" s="15">
        <f>'REPORTE RECAUDO x BANCO'!F42</f>
        <v>1262390</v>
      </c>
      <c r="H6" s="16">
        <v>4</v>
      </c>
      <c r="I6" s="15">
        <f>'REPORTE RECAUDO x BANCO'!C42</f>
        <v>48073886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24854027.989999998</v>
      </c>
      <c r="Q6" s="16">
        <v>4</v>
      </c>
      <c r="R6" s="15">
        <f>'REPORTE RECAUDO x BANCO'!D42+'REPORTE RECAUDO x BANCO'!E42</f>
        <v>0</v>
      </c>
    </row>
    <row r="7" spans="2:20" ht="13" thickBot="1" x14ac:dyDescent="0.3">
      <c r="B7" s="19">
        <v>5</v>
      </c>
      <c r="C7" s="15">
        <f>'REPORTE RECAUDO x BANCO'!I52</f>
        <v>26956968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8133932</v>
      </c>
      <c r="K7" s="19">
        <v>5</v>
      </c>
      <c r="L7" s="15">
        <f>'REPORTE RECAUDO x BANCO'!G52</f>
        <v>4085178</v>
      </c>
      <c r="N7" s="19">
        <v>5</v>
      </c>
      <c r="O7" s="15">
        <f>'REPORTE RECAUDO x BANCO'!H52</f>
        <v>14737858</v>
      </c>
      <c r="Q7" s="19">
        <v>5</v>
      </c>
      <c r="R7" s="15">
        <f>'REPORTE RECAUDO x BANCO'!D52+'REPORTE RECAUDO x BANCO'!E52</f>
        <v>0</v>
      </c>
    </row>
    <row r="8" spans="2:20" ht="13" thickBot="1" x14ac:dyDescent="0.3">
      <c r="B8" s="21"/>
      <c r="C8" s="47">
        <f>SUM(C3:C7)</f>
        <v>524222075.85000002</v>
      </c>
      <c r="E8" s="21"/>
      <c r="F8" s="47">
        <f>SUM(F3:F7)</f>
        <v>3874341</v>
      </c>
      <c r="H8" s="21"/>
      <c r="I8" s="47">
        <f>SUM(I3:I7)</f>
        <v>135065158</v>
      </c>
      <c r="K8" s="21"/>
      <c r="L8" s="47">
        <f>SUM(L3:L7)</f>
        <v>4085178</v>
      </c>
      <c r="N8" s="21"/>
      <c r="O8" s="47">
        <f>SUM(O3:O7)</f>
        <v>381197398.85000002</v>
      </c>
      <c r="Q8" s="21"/>
      <c r="R8" s="47">
        <f>SUM(R3:R7)</f>
        <v>0</v>
      </c>
    </row>
    <row r="9" spans="2:20" x14ac:dyDescent="0.25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" thickBot="1" x14ac:dyDescent="0.3"/>
    <row r="11" spans="2:20" ht="58" thickBot="1" x14ac:dyDescent="0.3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5">
      <c r="B12" s="14">
        <v>1</v>
      </c>
      <c r="C12" s="15">
        <f>'ANT EXT-REV'!C4</f>
        <v>691640</v>
      </c>
      <c r="E12" s="14">
        <v>1</v>
      </c>
      <c r="F12" s="15">
        <f>'ANT EXT-REV'!C20</f>
        <v>0</v>
      </c>
      <c r="H12" s="14">
        <v>1</v>
      </c>
      <c r="I12" s="15">
        <f>'ANT EXT-REV'!C36</f>
        <v>691640</v>
      </c>
      <c r="K12" s="14">
        <v>1</v>
      </c>
      <c r="L12" s="15">
        <f>'ANT EXT-REV'!C44</f>
        <v>0</v>
      </c>
      <c r="N12" s="14">
        <v>1</v>
      </c>
      <c r="O12" s="15">
        <f>'ANT EXT-REV'!C12</f>
        <v>0</v>
      </c>
      <c r="Q12" s="14">
        <v>1</v>
      </c>
      <c r="R12" s="15">
        <f>'ANT EXT-REV'!C28</f>
        <v>0</v>
      </c>
      <c r="T12" s="142" t="s">
        <v>147</v>
      </c>
    </row>
    <row r="13" spans="2:20" x14ac:dyDescent="0.25">
      <c r="B13" s="16">
        <v>2</v>
      </c>
      <c r="C13" s="15">
        <f>'ANT EXT-REV'!E4</f>
        <v>12142859</v>
      </c>
      <c r="E13" s="16">
        <v>2</v>
      </c>
      <c r="F13" s="15">
        <f>'ANT EXT-REV'!E20</f>
        <v>46130</v>
      </c>
      <c r="H13" s="16">
        <v>2</v>
      </c>
      <c r="I13" s="15">
        <f>'ANT EXT-REV'!E36</f>
        <v>9423137</v>
      </c>
      <c r="K13" s="16">
        <v>2</v>
      </c>
      <c r="L13" s="15">
        <f>'ANT EXT-REV'!E44</f>
        <v>0</v>
      </c>
      <c r="N13" s="16">
        <v>2</v>
      </c>
      <c r="O13" s="15">
        <f>'ANT EXT-REV'!E12</f>
        <v>2673592</v>
      </c>
      <c r="Q13" s="16">
        <v>2</v>
      </c>
      <c r="R13" s="15">
        <f>'ANT EXT-REV'!E28</f>
        <v>0</v>
      </c>
    </row>
    <row r="14" spans="2:20" x14ac:dyDescent="0.25">
      <c r="B14" s="16">
        <v>3</v>
      </c>
      <c r="C14" s="15">
        <f>'ANT EXT-REV'!G4</f>
        <v>1272990</v>
      </c>
      <c r="E14" s="16">
        <v>3</v>
      </c>
      <c r="F14" s="15">
        <f>'ANT EXT-REV'!G20</f>
        <v>0</v>
      </c>
      <c r="H14" s="16">
        <v>3</v>
      </c>
      <c r="I14" s="15">
        <f>'ANT EXT-REV'!G36</f>
        <v>1272990</v>
      </c>
      <c r="K14" s="16">
        <v>3</v>
      </c>
      <c r="L14" s="15">
        <f>'ANT EXT-REV'!G44</f>
        <v>0</v>
      </c>
      <c r="N14" s="16">
        <v>3</v>
      </c>
      <c r="O14" s="15">
        <f>'ANT EXT-REV'!G12</f>
        <v>0</v>
      </c>
      <c r="Q14" s="16">
        <v>3</v>
      </c>
      <c r="R14" s="15">
        <f>'ANT EXT-REV'!G28</f>
        <v>0</v>
      </c>
    </row>
    <row r="15" spans="2:20" x14ac:dyDescent="0.25">
      <c r="B15" s="16">
        <v>4</v>
      </c>
      <c r="C15" s="15">
        <f>'ANT EXT-REV'!I4</f>
        <v>91642041.730000004</v>
      </c>
      <c r="E15" s="16">
        <v>4</v>
      </c>
      <c r="F15" s="15">
        <f>'ANT EXT-REV'!I20</f>
        <v>1086850</v>
      </c>
      <c r="H15" s="16">
        <v>4</v>
      </c>
      <c r="I15" s="15">
        <f>'ANT EXT-REV'!I36</f>
        <v>86158376.730000004</v>
      </c>
      <c r="K15" s="16">
        <v>4</v>
      </c>
      <c r="L15" s="15">
        <f>'ANT EXT-REV'!I44</f>
        <v>0</v>
      </c>
      <c r="N15" s="16">
        <v>4</v>
      </c>
      <c r="O15" s="15">
        <f>'ANT EXT-REV'!I12</f>
        <v>4396815</v>
      </c>
      <c r="Q15" s="16">
        <v>4</v>
      </c>
      <c r="R15" s="15">
        <f>'ANT EXT-REV'!I28</f>
        <v>0</v>
      </c>
    </row>
    <row r="16" spans="2:20" ht="13" thickBot="1" x14ac:dyDescent="0.3">
      <c r="B16" s="19">
        <v>5</v>
      </c>
      <c r="C16" s="15">
        <f>'ANT EXT-REV'!K4</f>
        <v>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0</v>
      </c>
      <c r="Q16" s="19">
        <v>5</v>
      </c>
      <c r="R16" s="15">
        <f>'ANT EXT-REV'!K28</f>
        <v>0</v>
      </c>
    </row>
    <row r="17" spans="2:20" ht="13" thickBot="1" x14ac:dyDescent="0.3">
      <c r="B17" s="21"/>
      <c r="C17" s="47">
        <f>SUM(C12:C16)</f>
        <v>105749530.73</v>
      </c>
      <c r="E17" s="21"/>
      <c r="F17" s="47">
        <f>SUM(F12:F16)</f>
        <v>1132980</v>
      </c>
      <c r="H17" s="21"/>
      <c r="I17" s="47">
        <f>SUM(I12:I16)</f>
        <v>97546143.730000004</v>
      </c>
      <c r="K17" s="21"/>
      <c r="L17" s="47">
        <f>SUM(L12:L16)</f>
        <v>0</v>
      </c>
      <c r="N17" s="21"/>
      <c r="O17" s="47">
        <f>SUM(O12:O16)</f>
        <v>7070407</v>
      </c>
      <c r="Q17" s="21"/>
      <c r="R17" s="47">
        <f>SUM(R12:R16)</f>
        <v>0</v>
      </c>
    </row>
    <row r="18" spans="2:20" x14ac:dyDescent="0.25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" thickBot="1" x14ac:dyDescent="0.3"/>
    <row r="20" spans="2:20" ht="35" thickBot="1" x14ac:dyDescent="0.3">
      <c r="B20" s="11" t="s">
        <v>3</v>
      </c>
      <c r="C20" s="12" t="s">
        <v>170</v>
      </c>
      <c r="E20" s="11" t="s">
        <v>3</v>
      </c>
      <c r="F20" s="12" t="s">
        <v>170</v>
      </c>
      <c r="H20" s="11" t="s">
        <v>3</v>
      </c>
      <c r="I20" s="12" t="s">
        <v>170</v>
      </c>
      <c r="K20" s="11" t="s">
        <v>3</v>
      </c>
      <c r="L20" s="12" t="s">
        <v>170</v>
      </c>
      <c r="N20" s="11" t="s">
        <v>3</v>
      </c>
      <c r="O20" s="12" t="s">
        <v>170</v>
      </c>
      <c r="Q20" s="11" t="s">
        <v>3</v>
      </c>
      <c r="R20" s="12" t="s">
        <v>170</v>
      </c>
      <c r="T20" s="142" t="s">
        <v>171</v>
      </c>
    </row>
    <row r="21" spans="2:20" x14ac:dyDescent="0.25">
      <c r="B21" s="14">
        <v>1</v>
      </c>
      <c r="C21" s="15">
        <f>'ANT EXT-REV'!D4</f>
        <v>-137440</v>
      </c>
      <c r="E21" s="14">
        <v>1</v>
      </c>
      <c r="F21" s="15">
        <f>'ANT EXT-REV'!D20</f>
        <v>0</v>
      </c>
      <c r="H21" s="14">
        <v>1</v>
      </c>
      <c r="I21" s="15">
        <f>'ANT EXT-REV'!D36</f>
        <v>-137440</v>
      </c>
      <c r="K21" s="14">
        <v>1</v>
      </c>
      <c r="L21" s="15">
        <f>'ANT EXT-REV'!D44</f>
        <v>0</v>
      </c>
      <c r="N21" s="14">
        <v>1</v>
      </c>
      <c r="O21" s="15">
        <f>'ANT EXT-REV'!D12</f>
        <v>0</v>
      </c>
      <c r="Q21" s="14">
        <v>1</v>
      </c>
      <c r="R21" s="15">
        <f>'ANT EXT-REV'!D28</f>
        <v>0</v>
      </c>
      <c r="T21" s="142" t="s">
        <v>147</v>
      </c>
    </row>
    <row r="22" spans="2:20" x14ac:dyDescent="0.25">
      <c r="B22" s="16">
        <v>2</v>
      </c>
      <c r="C22" s="15">
        <f>'ANT EXT-REV'!F4</f>
        <v>-139792</v>
      </c>
      <c r="E22" s="16">
        <v>2</v>
      </c>
      <c r="F22" s="15">
        <f>'ANT EXT-REV'!F20</f>
        <v>0</v>
      </c>
      <c r="H22" s="16">
        <v>2</v>
      </c>
      <c r="I22" s="15">
        <f>'ANT EXT-REV'!F36</f>
        <v>-105290</v>
      </c>
      <c r="K22" s="16">
        <v>2</v>
      </c>
      <c r="L22" s="15">
        <f>'ANT EXT-REV'!F44</f>
        <v>0</v>
      </c>
      <c r="N22" s="16">
        <v>2</v>
      </c>
      <c r="O22" s="15">
        <f>'ANT EXT-REV'!F12</f>
        <v>-34502</v>
      </c>
      <c r="Q22" s="16">
        <v>2</v>
      </c>
      <c r="R22" s="15">
        <f>'ANT EXT-REV'!F28</f>
        <v>0</v>
      </c>
    </row>
    <row r="23" spans="2:20" x14ac:dyDescent="0.25">
      <c r="B23" s="16">
        <v>3</v>
      </c>
      <c r="C23" s="15">
        <f>'ANT EXT-REV'!H4</f>
        <v>-541790</v>
      </c>
      <c r="E23" s="16">
        <v>3</v>
      </c>
      <c r="F23" s="15">
        <f>'ANT EXT-REV'!H20</f>
        <v>0</v>
      </c>
      <c r="H23" s="16">
        <v>3</v>
      </c>
      <c r="I23" s="15">
        <f>'ANT EXT-REV'!H36</f>
        <v>-541790</v>
      </c>
      <c r="K23" s="16">
        <v>3</v>
      </c>
      <c r="L23" s="15">
        <f>'ANT EXT-REV'!H44</f>
        <v>0</v>
      </c>
      <c r="N23" s="16">
        <v>3</v>
      </c>
      <c r="O23" s="15">
        <f>'ANT EXT-REV'!H12</f>
        <v>0</v>
      </c>
      <c r="Q23" s="16">
        <v>3</v>
      </c>
      <c r="R23" s="15">
        <f>'ANT EXT-REV'!H28</f>
        <v>0</v>
      </c>
    </row>
    <row r="24" spans="2:20" x14ac:dyDescent="0.25">
      <c r="B24" s="16">
        <v>4</v>
      </c>
      <c r="C24" s="15">
        <f>'ANT EXT-REV'!J4</f>
        <v>-780507.47</v>
      </c>
      <c r="E24" s="16">
        <v>4</v>
      </c>
      <c r="F24" s="15">
        <f>'ANT EXT-REV'!J20</f>
        <v>0</v>
      </c>
      <c r="H24" s="16">
        <v>4</v>
      </c>
      <c r="I24" s="15">
        <f>'ANT EXT-REV'!J36</f>
        <v>-706763.34</v>
      </c>
      <c r="K24" s="16">
        <v>4</v>
      </c>
      <c r="L24" s="15">
        <f>'ANT EXT-REV'!J44</f>
        <v>0</v>
      </c>
      <c r="N24" s="16">
        <v>4</v>
      </c>
      <c r="O24" s="15">
        <f>'ANT EXT-REV'!J12</f>
        <v>-73744.13</v>
      </c>
      <c r="Q24" s="16">
        <v>4</v>
      </c>
      <c r="R24" s="15">
        <f>'ANT EXT-REV'!J28</f>
        <v>0</v>
      </c>
    </row>
    <row r="25" spans="2:20" ht="13" thickBot="1" x14ac:dyDescent="0.3">
      <c r="B25" s="19">
        <v>5</v>
      </c>
      <c r="C25" s="15">
        <f>'ANT EXT-REV'!L4</f>
        <v>0</v>
      </c>
      <c r="E25" s="19">
        <v>5</v>
      </c>
      <c r="F25" s="15">
        <f>'ANT EXT-REV'!L20</f>
        <v>0</v>
      </c>
      <c r="H25" s="19">
        <v>5</v>
      </c>
      <c r="I25" s="15">
        <f>'ANT EXT-REV'!L36</f>
        <v>0</v>
      </c>
      <c r="K25" s="19">
        <v>5</v>
      </c>
      <c r="L25" s="15">
        <f>'ANT EXT-REV'!L44</f>
        <v>0</v>
      </c>
      <c r="N25" s="19">
        <v>5</v>
      </c>
      <c r="O25" s="15">
        <f>'ANT EXT-REV'!L12</f>
        <v>0</v>
      </c>
      <c r="Q25" s="19">
        <v>5</v>
      </c>
      <c r="R25" s="15">
        <f>'ANT EXT-REV'!L28</f>
        <v>0</v>
      </c>
    </row>
    <row r="26" spans="2:20" ht="13" thickBot="1" x14ac:dyDescent="0.3">
      <c r="B26" s="21"/>
      <c r="C26" s="47">
        <f t="shared" ref="C26" si="0">SUM(C21:C25)</f>
        <v>-1599529.47</v>
      </c>
      <c r="E26" s="21"/>
      <c r="F26" s="47">
        <f t="shared" ref="F26" si="1">SUM(F21:F25)</f>
        <v>0</v>
      </c>
      <c r="H26" s="21"/>
      <c r="I26" s="47">
        <f t="shared" ref="I26" si="2">SUM(I21:I25)</f>
        <v>-1491283.3399999999</v>
      </c>
      <c r="K26" s="21"/>
      <c r="L26" s="47">
        <f t="shared" ref="L26:O26" si="3">SUM(L21:L25)</f>
        <v>0</v>
      </c>
      <c r="N26" s="21"/>
      <c r="O26" s="47">
        <f t="shared" si="3"/>
        <v>-108246.13</v>
      </c>
      <c r="Q26" s="21"/>
      <c r="R26" s="47">
        <f t="shared" ref="R26" si="4">SUM(R21:R25)</f>
        <v>0</v>
      </c>
    </row>
    <row r="27" spans="2:20" x14ac:dyDescent="0.25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G34" sqref="G34"/>
    </sheetView>
  </sheetViews>
  <sheetFormatPr baseColWidth="10" defaultRowHeight="12.5" x14ac:dyDescent="0.25"/>
  <cols>
    <col min="3" max="3" width="11.453125" style="123"/>
    <col min="4" max="4" width="19.1796875" customWidth="1"/>
    <col min="5" max="5" width="18.1796875" customWidth="1"/>
    <col min="6" max="7" width="18" customWidth="1"/>
    <col min="8" max="8" width="27.81640625" customWidth="1"/>
    <col min="9" max="9" width="33.54296875" customWidth="1"/>
    <col min="13" max="13" width="28.453125" customWidth="1"/>
    <col min="17" max="17" width="12.81640625" bestFit="1" customWidth="1"/>
  </cols>
  <sheetData>
    <row r="1" spans="1:17" ht="13" thickBot="1" x14ac:dyDescent="0.3">
      <c r="H1" s="503" t="s">
        <v>1</v>
      </c>
    </row>
    <row r="2" spans="1:17" ht="15" thickBot="1" x14ac:dyDescent="0.4">
      <c r="C2" s="127" t="s">
        <v>3</v>
      </c>
      <c r="D2" s="128" t="s">
        <v>110</v>
      </c>
      <c r="E2" s="128" t="s">
        <v>109</v>
      </c>
      <c r="F2" s="129" t="s">
        <v>111</v>
      </c>
      <c r="G2" s="498"/>
      <c r="H2" s="502" t="s">
        <v>197</v>
      </c>
      <c r="M2" s="729"/>
      <c r="Q2" s="596"/>
    </row>
    <row r="3" spans="1:17" x14ac:dyDescent="0.25">
      <c r="C3" s="126">
        <v>1</v>
      </c>
      <c r="D3" s="592">
        <v>-6605539132.0299997</v>
      </c>
      <c r="E3" s="592">
        <v>2104037571.6800001</v>
      </c>
      <c r="F3" s="593">
        <f>D3+E3</f>
        <v>-4501501560.3499994</v>
      </c>
      <c r="G3" s="499"/>
      <c r="H3" s="612">
        <f>DetRetri2026092!J9</f>
        <v>-4501501560</v>
      </c>
      <c r="I3" s="276">
        <f>F3-H3</f>
        <v>-0.34999942779541016</v>
      </c>
    </row>
    <row r="4" spans="1:17" x14ac:dyDescent="0.25">
      <c r="C4" s="124">
        <v>2</v>
      </c>
      <c r="D4" s="602">
        <v>-5508937940.4300003</v>
      </c>
      <c r="E4" s="602">
        <v>1958630031.95</v>
      </c>
      <c r="F4" s="593">
        <f>D4+E4</f>
        <v>-3550307908.4800005</v>
      </c>
      <c r="G4" s="499"/>
      <c r="H4" s="613">
        <f>DetRetri2026092!J10</f>
        <v>-3550307908</v>
      </c>
      <c r="I4" s="276">
        <f t="shared" ref="I4:I7" si="0">F4-H4</f>
        <v>-0.48000049591064453</v>
      </c>
    </row>
    <row r="5" spans="1:17" x14ac:dyDescent="0.25">
      <c r="C5" s="124">
        <v>3</v>
      </c>
      <c r="D5" s="602">
        <v>-2064265725.78</v>
      </c>
      <c r="E5" s="602">
        <v>1313675966.1800001</v>
      </c>
      <c r="F5" s="593">
        <f>D5+E5</f>
        <v>-750589759.5999999</v>
      </c>
      <c r="G5" s="499"/>
      <c r="H5" s="613">
        <f>DetRetri2026092!J11</f>
        <v>-750589760</v>
      </c>
      <c r="I5" s="276">
        <f t="shared" si="0"/>
        <v>0.40000009536743164</v>
      </c>
    </row>
    <row r="6" spans="1:17" x14ac:dyDescent="0.25">
      <c r="C6" s="124">
        <v>4</v>
      </c>
      <c r="D6" s="602">
        <v>-2588275637.5999999</v>
      </c>
      <c r="E6" s="602">
        <v>1874134698.24</v>
      </c>
      <c r="F6" s="593">
        <f>D6+E6</f>
        <v>-714140939.3599999</v>
      </c>
      <c r="G6" s="499"/>
      <c r="H6" s="613">
        <f>DetRetri2026092!J12</f>
        <v>-714140939</v>
      </c>
      <c r="I6" s="276">
        <f t="shared" si="0"/>
        <v>-0.3599998950958252</v>
      </c>
    </row>
    <row r="7" spans="1:17" ht="13" thickBot="1" x14ac:dyDescent="0.3">
      <c r="C7" s="125">
        <v>5</v>
      </c>
      <c r="D7" s="603">
        <v>-1235874660.54</v>
      </c>
      <c r="E7" s="603">
        <v>1137635768.5999999</v>
      </c>
      <c r="F7" s="594">
        <f>D7+E7</f>
        <v>-98238891.940000057</v>
      </c>
      <c r="G7" s="499"/>
      <c r="H7" s="614">
        <f>DetRetri2026092!J13</f>
        <v>-98238892</v>
      </c>
      <c r="I7" s="276">
        <f t="shared" si="0"/>
        <v>5.9999942779541016E-2</v>
      </c>
    </row>
    <row r="8" spans="1:17" ht="13" thickBot="1" x14ac:dyDescent="0.3">
      <c r="D8" s="144"/>
      <c r="E8" s="144"/>
      <c r="F8" s="144"/>
      <c r="G8" s="500"/>
      <c r="H8" s="143"/>
      <c r="I8" s="276"/>
    </row>
    <row r="9" spans="1:17" ht="13" thickBot="1" x14ac:dyDescent="0.3">
      <c r="D9" s="144"/>
      <c r="E9" s="144"/>
      <c r="F9" s="263">
        <f>SUM(F3:F7)</f>
        <v>-9614779059.7300014</v>
      </c>
      <c r="G9" s="499"/>
      <c r="H9" s="615">
        <f>SUM(H3:H7)</f>
        <v>-9614779059</v>
      </c>
      <c r="I9" s="276">
        <f>F9-H9</f>
        <v>-0.73000144958496094</v>
      </c>
    </row>
    <row r="10" spans="1:17" ht="13" thickBot="1" x14ac:dyDescent="0.3">
      <c r="D10" s="144"/>
      <c r="E10" s="144"/>
      <c r="F10" s="144"/>
      <c r="G10" s="500"/>
      <c r="H10" s="265" t="b">
        <f>H9=DetRetri2026092!J14</f>
        <v>1</v>
      </c>
    </row>
    <row r="11" spans="1:17" ht="13.5" thickBot="1" x14ac:dyDescent="0.35">
      <c r="D11" s="264">
        <f>SUM(D3:D7)</f>
        <v>-18002893096.380001</v>
      </c>
      <c r="E11" s="264">
        <f t="shared" ref="E11" si="1">SUM(E3:E7)</f>
        <v>8388114036.6499996</v>
      </c>
      <c r="F11" s="264">
        <f>SUM(D3:E7)</f>
        <v>-9614779059.7299976</v>
      </c>
      <c r="G11" s="501"/>
      <c r="H11" s="144"/>
    </row>
    <row r="12" spans="1:17" x14ac:dyDescent="0.25">
      <c r="D12" s="144"/>
      <c r="E12" s="144"/>
      <c r="F12" s="265" t="b">
        <f>ROUND(F11,2)=ROUND(F9,2)</f>
        <v>1</v>
      </c>
      <c r="H12" s="144"/>
    </row>
    <row r="13" spans="1:17" x14ac:dyDescent="0.25">
      <c r="D13" s="144"/>
      <c r="E13" s="144"/>
      <c r="F13" s="595">
        <f>ROUND(F11,2)-ROUND(F9,2)</f>
        <v>0</v>
      </c>
      <c r="G13" s="500"/>
      <c r="H13" s="144"/>
    </row>
    <row r="14" spans="1:17" x14ac:dyDescent="0.25">
      <c r="H14" s="143"/>
      <c r="I14" s="137"/>
    </row>
    <row r="15" spans="1:17" x14ac:dyDescent="0.25">
      <c r="H15" s="143"/>
      <c r="I15" s="137"/>
    </row>
    <row r="16" spans="1:17" x14ac:dyDescent="0.25">
      <c r="A16" s="238"/>
      <c r="B16" s="238"/>
      <c r="C16" s="495"/>
      <c r="D16" s="238"/>
      <c r="E16" s="238"/>
      <c r="F16" s="238"/>
      <c r="G16" s="238"/>
      <c r="H16" s="496"/>
      <c r="I16" s="497"/>
      <c r="J16" s="238"/>
    </row>
    <row r="17" spans="4:9" ht="13" thickBot="1" x14ac:dyDescent="0.3">
      <c r="D17" s="266"/>
      <c r="E17" s="266"/>
      <c r="F17" s="266"/>
      <c r="G17" s="266"/>
      <c r="H17" s="143"/>
      <c r="I17" s="137"/>
    </row>
    <row r="18" spans="4:9" ht="15" thickBot="1" x14ac:dyDescent="0.4">
      <c r="D18" s="127" t="s">
        <v>3</v>
      </c>
      <c r="E18" s="504" t="s">
        <v>196</v>
      </c>
      <c r="F18" s="508" t="s">
        <v>200</v>
      </c>
      <c r="G18" s="129" t="s">
        <v>199</v>
      </c>
      <c r="H18" s="509" t="s">
        <v>198</v>
      </c>
      <c r="I18" s="137"/>
    </row>
    <row r="19" spans="4:9" x14ac:dyDescent="0.25">
      <c r="D19" s="510">
        <v>1</v>
      </c>
      <c r="E19" s="513">
        <f>'CONSOLIDADO_TOTAL RECAUDO'!J104</f>
        <v>-4501501560.3499994</v>
      </c>
      <c r="F19" s="514" t="b">
        <f>E19=F3</f>
        <v>1</v>
      </c>
      <c r="G19" s="514" t="b">
        <f>E19=H3</f>
        <v>0</v>
      </c>
      <c r="H19" s="515">
        <f>E19-H3</f>
        <v>-0.34999942779541016</v>
      </c>
      <c r="I19" s="137"/>
    </row>
    <row r="20" spans="4:9" x14ac:dyDescent="0.25">
      <c r="D20" s="511">
        <v>2</v>
      </c>
      <c r="E20" s="516">
        <f>'CONSOLIDADO_TOTAL RECAUDO'!J105</f>
        <v>-3550307908.4800005</v>
      </c>
      <c r="F20" s="505" t="b">
        <f t="shared" ref="F20:F23" si="2">E20=F4</f>
        <v>1</v>
      </c>
      <c r="G20" s="505" t="b">
        <f t="shared" ref="G20:G23" si="3">E20=H4</f>
        <v>0</v>
      </c>
      <c r="H20" s="261">
        <f t="shared" ref="H20:H23" si="4">E20-H4</f>
        <v>-0.48000049591064453</v>
      </c>
      <c r="I20" s="137"/>
    </row>
    <row r="21" spans="4:9" x14ac:dyDescent="0.25">
      <c r="D21" s="511">
        <v>3</v>
      </c>
      <c r="E21" s="516">
        <f>'CONSOLIDADO_TOTAL RECAUDO'!J106</f>
        <v>-750589759.5999999</v>
      </c>
      <c r="F21" s="505" t="b">
        <f t="shared" si="2"/>
        <v>1</v>
      </c>
      <c r="G21" s="505" t="b">
        <f t="shared" si="3"/>
        <v>0</v>
      </c>
      <c r="H21" s="261">
        <f t="shared" si="4"/>
        <v>0.40000009536743164</v>
      </c>
    </row>
    <row r="22" spans="4:9" x14ac:dyDescent="0.25">
      <c r="D22" s="511">
        <v>4</v>
      </c>
      <c r="E22" s="516">
        <f>'CONSOLIDADO_TOTAL RECAUDO'!J107</f>
        <v>-714140939.3599999</v>
      </c>
      <c r="F22" s="505" t="b">
        <f t="shared" si="2"/>
        <v>1</v>
      </c>
      <c r="G22" s="505" t="b">
        <f t="shared" si="3"/>
        <v>0</v>
      </c>
      <c r="H22" s="261">
        <f t="shared" si="4"/>
        <v>-0.3599998950958252</v>
      </c>
    </row>
    <row r="23" spans="4:9" ht="13" thickBot="1" x14ac:dyDescent="0.3">
      <c r="D23" s="512">
        <v>5</v>
      </c>
      <c r="E23" s="517">
        <f>'CONSOLIDADO_TOTAL RECAUDO'!J108</f>
        <v>-98238891.940000057</v>
      </c>
      <c r="F23" s="518" t="b">
        <f t="shared" si="2"/>
        <v>1</v>
      </c>
      <c r="G23" s="518" t="b">
        <f t="shared" si="3"/>
        <v>0</v>
      </c>
      <c r="H23" s="262">
        <f t="shared" si="4"/>
        <v>5.9999942779541016E-2</v>
      </c>
    </row>
    <row r="24" spans="4:9" ht="13.5" thickBot="1" x14ac:dyDescent="0.35">
      <c r="E24" s="264">
        <f>SUM(E19:E23)</f>
        <v>-9614779059.7300014</v>
      </c>
      <c r="F24" s="506" t="b">
        <f>E24=F9</f>
        <v>1</v>
      </c>
      <c r="G24" s="507" t="b">
        <f>E24=H9</f>
        <v>0</v>
      </c>
      <c r="H24" s="263">
        <f>E24-H9</f>
        <v>-0.73000144958496094</v>
      </c>
    </row>
    <row r="26" spans="4:9" x14ac:dyDescent="0.25">
      <c r="F26" s="137"/>
    </row>
    <row r="28" spans="4:9" x14ac:dyDescent="0.25">
      <c r="F28" s="266"/>
    </row>
    <row r="29" spans="4:9" x14ac:dyDescent="0.25">
      <c r="F29" s="266"/>
    </row>
    <row r="30" spans="4:9" x14ac:dyDescent="0.25">
      <c r="F30" s="266"/>
    </row>
    <row r="31" spans="4:9" x14ac:dyDescent="0.25">
      <c r="F31" s="266"/>
    </row>
    <row r="32" spans="4:9" x14ac:dyDescent="0.25">
      <c r="F32" s="266"/>
    </row>
    <row r="33" spans="6:7" x14ac:dyDescent="0.25">
      <c r="F33" s="266"/>
    </row>
    <row r="34" spans="6:7" x14ac:dyDescent="0.25">
      <c r="F34" s="266"/>
      <c r="G34" s="137"/>
    </row>
    <row r="35" spans="6:7" x14ac:dyDescent="0.25">
      <c r="F35" s="266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583"/>
  <sheetViews>
    <sheetView zoomScale="90" zoomScaleNormal="90" workbookViewId="0">
      <pane ySplit="5" topLeftCell="A6" activePane="bottomLeft" state="frozen"/>
      <selection activeCell="D22" sqref="D22"/>
      <selection pane="bottomLeft" activeCell="A6" sqref="A6"/>
    </sheetView>
  </sheetViews>
  <sheetFormatPr baseColWidth="10" defaultRowHeight="12.5" x14ac:dyDescent="0.25"/>
  <cols>
    <col min="1" max="1" width="13.81640625" customWidth="1"/>
    <col min="2" max="2" width="16.81640625" customWidth="1"/>
    <col min="3" max="3" width="15.81640625" bestFit="1" customWidth="1"/>
    <col min="4" max="4" width="16.81640625" bestFit="1" customWidth="1"/>
    <col min="5" max="5" width="17" bestFit="1" customWidth="1"/>
    <col min="6" max="6" width="17.453125" bestFit="1" customWidth="1"/>
    <col min="7" max="7" width="16.81640625" bestFit="1" customWidth="1"/>
    <col min="8" max="8" width="16.1796875" bestFit="1" customWidth="1"/>
    <col min="9" max="9" width="19.1796875" customWidth="1"/>
    <col min="10" max="10" width="17" customWidth="1"/>
    <col min="11" max="11" width="17.1796875" bestFit="1" customWidth="1"/>
    <col min="12" max="12" width="22.453125" bestFit="1" customWidth="1"/>
    <col min="13" max="13" width="16.81640625" bestFit="1" customWidth="1"/>
    <col min="14" max="14" width="20.453125" bestFit="1" customWidth="1"/>
    <col min="15" max="15" width="20.453125" customWidth="1"/>
    <col min="16" max="16" width="20.453125" bestFit="1" customWidth="1"/>
    <col min="17" max="17" width="25.1796875" customWidth="1"/>
    <col min="18" max="18" width="17.1796875" customWidth="1"/>
    <col min="19" max="19" width="24" customWidth="1"/>
    <col min="20" max="22" width="23.81640625" customWidth="1"/>
    <col min="23" max="24" width="20" bestFit="1" customWidth="1"/>
    <col min="25" max="25" width="18.81640625" customWidth="1"/>
    <col min="26" max="26" width="14.1796875" bestFit="1" customWidth="1"/>
  </cols>
  <sheetData>
    <row r="1" spans="1:26" x14ac:dyDescent="0.25">
      <c r="F1" s="638"/>
    </row>
    <row r="3" spans="1:26" s="238" customFormat="1" x14ac:dyDescent="0.25"/>
    <row r="4" spans="1:26" ht="13.5" customHeight="1" x14ac:dyDescent="0.3">
      <c r="B4" s="97" t="s">
        <v>74</v>
      </c>
    </row>
    <row r="5" spans="1:26" ht="12" customHeight="1" x14ac:dyDescent="0.25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173</v>
      </c>
      <c r="V5" s="89" t="s">
        <v>222</v>
      </c>
      <c r="W5" s="89" t="s">
        <v>173</v>
      </c>
      <c r="X5" t="s">
        <v>173</v>
      </c>
      <c r="Y5" s="89" t="s">
        <v>135</v>
      </c>
      <c r="Z5" s="89" t="s">
        <v>167</v>
      </c>
    </row>
    <row r="6" spans="1:26" ht="12.75" customHeight="1" x14ac:dyDescent="0.25">
      <c r="E6" s="89" t="s">
        <v>72</v>
      </c>
      <c r="F6" s="371">
        <v>-17225.21</v>
      </c>
      <c r="G6" s="90">
        <v>-1127.52</v>
      </c>
      <c r="H6" s="90">
        <v>-479</v>
      </c>
      <c r="I6" s="90">
        <v>-209.2</v>
      </c>
      <c r="J6" s="90">
        <v>-3072.3</v>
      </c>
      <c r="K6" s="90">
        <v>-198.78</v>
      </c>
      <c r="L6" s="90">
        <v>0</v>
      </c>
      <c r="M6" s="90">
        <v>-1743.38</v>
      </c>
      <c r="N6" s="90">
        <v>-1458.17</v>
      </c>
      <c r="O6" s="90">
        <v>-5823.96</v>
      </c>
      <c r="P6" s="90">
        <v>-2788.6</v>
      </c>
      <c r="Q6" s="90">
        <v>-324.3</v>
      </c>
      <c r="R6" s="90">
        <v>0</v>
      </c>
      <c r="S6" s="90">
        <v>0</v>
      </c>
      <c r="T6" s="90">
        <v>0</v>
      </c>
      <c r="U6" s="90">
        <v>0</v>
      </c>
      <c r="V6" s="90">
        <v>0</v>
      </c>
      <c r="W6" s="90">
        <v>0</v>
      </c>
      <c r="X6" s="90">
        <v>0</v>
      </c>
      <c r="Y6" s="90">
        <v>0</v>
      </c>
      <c r="Z6" s="90">
        <v>0</v>
      </c>
    </row>
    <row r="7" spans="1:26" ht="12.75" customHeight="1" x14ac:dyDescent="0.25">
      <c r="D7" t="s">
        <v>86</v>
      </c>
      <c r="E7" s="89" t="s">
        <v>70</v>
      </c>
      <c r="F7" s="371">
        <v>-17225.21</v>
      </c>
      <c r="G7" s="90">
        <v>-1127.52</v>
      </c>
      <c r="H7" s="90">
        <v>-479</v>
      </c>
      <c r="I7" s="90">
        <v>-209.2</v>
      </c>
      <c r="J7" s="90">
        <v>-3072.3</v>
      </c>
      <c r="K7" s="90">
        <v>-198.78</v>
      </c>
      <c r="L7" s="90">
        <v>0</v>
      </c>
      <c r="M7" s="90">
        <v>-1743.38</v>
      </c>
      <c r="N7" s="90">
        <v>-1458.17</v>
      </c>
      <c r="O7" s="90">
        <v>-5823.96</v>
      </c>
      <c r="P7" s="90">
        <v>-2788.6</v>
      </c>
      <c r="Q7" s="90">
        <v>-324.3</v>
      </c>
      <c r="R7" s="90">
        <v>0</v>
      </c>
      <c r="S7" s="90">
        <v>0</v>
      </c>
      <c r="T7" s="90">
        <v>0</v>
      </c>
      <c r="U7" s="90">
        <v>0</v>
      </c>
      <c r="V7" s="90">
        <v>0</v>
      </c>
      <c r="W7" s="90">
        <v>0</v>
      </c>
      <c r="X7" s="90">
        <v>0</v>
      </c>
      <c r="Y7" s="90">
        <v>0</v>
      </c>
      <c r="Z7" s="90">
        <v>0</v>
      </c>
    </row>
    <row r="8" spans="1:26" s="94" customFormat="1" ht="12.75" customHeight="1" x14ac:dyDescent="0.25">
      <c r="C8" s="101" t="s">
        <v>119</v>
      </c>
      <c r="D8" s="101" t="s">
        <v>70</v>
      </c>
      <c r="F8" s="93">
        <v>-17225.21</v>
      </c>
      <c r="G8" s="93">
        <v>-1127.52</v>
      </c>
      <c r="H8" s="93">
        <v>-479</v>
      </c>
      <c r="I8" s="93">
        <v>-209.2</v>
      </c>
      <c r="J8" s="93">
        <v>-3072.3</v>
      </c>
      <c r="K8" s="93">
        <v>-198.78</v>
      </c>
      <c r="L8" s="93">
        <v>0</v>
      </c>
      <c r="M8" s="93">
        <v>-1743.38</v>
      </c>
      <c r="N8" s="93">
        <v>-1458.17</v>
      </c>
      <c r="O8" s="93">
        <v>-5823.96</v>
      </c>
      <c r="P8" s="93">
        <v>-2788.6</v>
      </c>
      <c r="Q8" s="93">
        <v>-324.3</v>
      </c>
      <c r="R8" s="93">
        <v>0</v>
      </c>
      <c r="S8" s="93">
        <v>0</v>
      </c>
      <c r="T8" s="93">
        <v>0</v>
      </c>
      <c r="U8" s="93">
        <v>0</v>
      </c>
      <c r="V8" s="93">
        <v>0</v>
      </c>
      <c r="W8" s="93">
        <v>0</v>
      </c>
      <c r="X8" s="93">
        <v>0</v>
      </c>
      <c r="Y8" s="93">
        <v>0</v>
      </c>
      <c r="Z8" s="93">
        <v>0</v>
      </c>
    </row>
    <row r="9" spans="1:26" ht="12.75" customHeight="1" x14ac:dyDescent="0.25">
      <c r="B9" t="s">
        <v>112</v>
      </c>
      <c r="C9" t="s">
        <v>70</v>
      </c>
      <c r="E9" s="89"/>
      <c r="F9" s="371">
        <v>-17225.21</v>
      </c>
      <c r="G9" s="90">
        <v>-1127.52</v>
      </c>
      <c r="H9" s="90">
        <v>-479</v>
      </c>
      <c r="I9" s="90">
        <v>-209.2</v>
      </c>
      <c r="J9" s="90">
        <v>-3072.3</v>
      </c>
      <c r="K9" s="90">
        <v>-198.78</v>
      </c>
      <c r="L9" s="90">
        <v>0</v>
      </c>
      <c r="M9" s="90">
        <v>-1743.38</v>
      </c>
      <c r="N9" s="90">
        <v>-1458.17</v>
      </c>
      <c r="O9" s="90">
        <v>-5823.96</v>
      </c>
      <c r="P9" s="90">
        <v>-2788.6</v>
      </c>
      <c r="Q9" s="90">
        <v>-324.3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</row>
    <row r="10" spans="1:26" s="458" customFormat="1" ht="12.75" customHeight="1" x14ac:dyDescent="0.25">
      <c r="A10" s="458" t="s">
        <v>186</v>
      </c>
      <c r="B10" s="458" t="s">
        <v>70</v>
      </c>
      <c r="F10" s="458">
        <v>-17225.21</v>
      </c>
      <c r="G10" s="458">
        <v>-1127.52</v>
      </c>
      <c r="H10" s="458">
        <v>-479</v>
      </c>
      <c r="I10" s="458">
        <v>-209.2</v>
      </c>
      <c r="J10" s="458">
        <v>-3072.3</v>
      </c>
      <c r="K10" s="458">
        <v>-198.78</v>
      </c>
      <c r="L10" s="458">
        <v>0</v>
      </c>
      <c r="M10" s="458">
        <v>-1743.38</v>
      </c>
      <c r="N10" s="458">
        <v>-1458.17</v>
      </c>
      <c r="O10" s="458">
        <v>-5823.96</v>
      </c>
      <c r="P10" s="458">
        <v>-2788.6</v>
      </c>
      <c r="Q10" s="458">
        <v>-324.3</v>
      </c>
      <c r="R10" s="458">
        <v>0</v>
      </c>
      <c r="S10" s="458">
        <v>0</v>
      </c>
      <c r="T10" s="458">
        <v>0</v>
      </c>
      <c r="U10" s="458">
        <v>0</v>
      </c>
      <c r="V10" s="458">
        <v>0</v>
      </c>
      <c r="W10" s="458">
        <v>0</v>
      </c>
      <c r="X10" s="458">
        <v>0</v>
      </c>
      <c r="Y10" s="458">
        <v>0</v>
      </c>
      <c r="Z10" s="458">
        <v>0</v>
      </c>
    </row>
    <row r="11" spans="1:26" ht="12.75" customHeight="1" x14ac:dyDescent="0.25">
      <c r="E11" s="89" t="s">
        <v>72</v>
      </c>
      <c r="F11" s="371">
        <v>40070</v>
      </c>
      <c r="G11" s="90">
        <v>1956.64</v>
      </c>
      <c r="H11" s="90">
        <v>1090.23</v>
      </c>
      <c r="I11" s="90">
        <v>579.83000000000004</v>
      </c>
      <c r="J11" s="90">
        <v>9781.0400000000009</v>
      </c>
      <c r="K11" s="90">
        <v>359.68</v>
      </c>
      <c r="L11" s="90">
        <v>0</v>
      </c>
      <c r="M11" s="90">
        <v>3155.11</v>
      </c>
      <c r="N11" s="90">
        <v>3024.18</v>
      </c>
      <c r="O11" s="90">
        <v>14196.18</v>
      </c>
      <c r="P11" s="90">
        <v>5344.07</v>
      </c>
      <c r="Q11" s="90">
        <v>586.85</v>
      </c>
      <c r="R11" s="90">
        <v>-3.81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</row>
    <row r="12" spans="1:26" ht="12.75" customHeight="1" x14ac:dyDescent="0.25">
      <c r="D12" t="s">
        <v>87</v>
      </c>
      <c r="E12" s="89" t="s">
        <v>70</v>
      </c>
      <c r="F12" s="371">
        <v>40070</v>
      </c>
      <c r="G12" s="90">
        <v>1956.64</v>
      </c>
      <c r="H12" s="90">
        <v>1090.23</v>
      </c>
      <c r="I12" s="90">
        <v>579.83000000000004</v>
      </c>
      <c r="J12" s="90">
        <v>9781.0400000000009</v>
      </c>
      <c r="K12" s="90">
        <v>359.68</v>
      </c>
      <c r="L12" s="90">
        <v>0</v>
      </c>
      <c r="M12" s="90">
        <v>3155.11</v>
      </c>
      <c r="N12" s="90">
        <v>3024.18</v>
      </c>
      <c r="O12" s="90">
        <v>14196.18</v>
      </c>
      <c r="P12" s="90">
        <v>5344.07</v>
      </c>
      <c r="Q12" s="90">
        <v>586.85</v>
      </c>
      <c r="R12" s="90">
        <v>-3.81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1:26" s="94" customFormat="1" ht="12.75" customHeight="1" x14ac:dyDescent="0.25">
      <c r="C13" s="101" t="s">
        <v>119</v>
      </c>
      <c r="D13" s="101" t="s">
        <v>70</v>
      </c>
      <c r="F13" s="93">
        <v>40070</v>
      </c>
      <c r="G13" s="93">
        <v>1956.64</v>
      </c>
      <c r="H13" s="93">
        <v>1090.23</v>
      </c>
      <c r="I13" s="93">
        <v>579.83000000000004</v>
      </c>
      <c r="J13" s="93">
        <v>9781.0400000000009</v>
      </c>
      <c r="K13" s="93">
        <v>359.68</v>
      </c>
      <c r="L13" s="93">
        <v>0</v>
      </c>
      <c r="M13" s="93">
        <v>3155.11</v>
      </c>
      <c r="N13" s="93">
        <v>3024.18</v>
      </c>
      <c r="O13" s="93">
        <v>14196.18</v>
      </c>
      <c r="P13" s="93">
        <v>5344.07</v>
      </c>
      <c r="Q13" s="93">
        <v>586.85</v>
      </c>
      <c r="R13" s="93">
        <v>-3.81</v>
      </c>
      <c r="S13" s="93">
        <v>0</v>
      </c>
      <c r="T13" s="93">
        <v>0</v>
      </c>
      <c r="U13" s="93">
        <v>0</v>
      </c>
      <c r="V13" s="93">
        <v>0</v>
      </c>
      <c r="W13" s="93">
        <v>0</v>
      </c>
      <c r="X13" s="93">
        <v>0</v>
      </c>
      <c r="Y13" s="93">
        <v>0</v>
      </c>
      <c r="Z13" s="93">
        <v>0</v>
      </c>
    </row>
    <row r="14" spans="1:26" s="378" customFormat="1" ht="12.75" customHeight="1" x14ac:dyDescent="0.25">
      <c r="B14" s="378" t="s">
        <v>122</v>
      </c>
      <c r="C14" s="378" t="s">
        <v>70</v>
      </c>
      <c r="E14" s="376"/>
      <c r="F14" s="710">
        <v>40070</v>
      </c>
      <c r="G14" s="377">
        <v>1956.64</v>
      </c>
      <c r="H14" s="377">
        <v>1090.23</v>
      </c>
      <c r="I14" s="377">
        <v>579.83000000000004</v>
      </c>
      <c r="J14" s="377">
        <v>9781.0400000000009</v>
      </c>
      <c r="K14" s="377">
        <v>359.68</v>
      </c>
      <c r="L14" s="377">
        <v>0</v>
      </c>
      <c r="M14" s="377">
        <v>3155.11</v>
      </c>
      <c r="N14" s="377">
        <v>3024.18</v>
      </c>
      <c r="O14" s="377">
        <v>14196.18</v>
      </c>
      <c r="P14" s="377">
        <v>5344.07</v>
      </c>
      <c r="Q14" s="377">
        <v>586.85</v>
      </c>
      <c r="R14" s="377">
        <v>-3.81</v>
      </c>
      <c r="S14" s="377">
        <v>0</v>
      </c>
      <c r="T14" s="377">
        <v>0</v>
      </c>
      <c r="U14" s="377">
        <v>0</v>
      </c>
      <c r="V14" s="377">
        <v>0</v>
      </c>
      <c r="W14" s="377">
        <v>0</v>
      </c>
      <c r="X14" s="377">
        <v>0</v>
      </c>
      <c r="Y14" s="377">
        <v>0</v>
      </c>
      <c r="Z14" s="377">
        <v>0</v>
      </c>
    </row>
    <row r="15" spans="1:26" ht="12.75" customHeight="1" x14ac:dyDescent="0.25">
      <c r="E15" s="89" t="s">
        <v>72</v>
      </c>
      <c r="F15" s="371">
        <v>13820608192.74</v>
      </c>
      <c r="G15" s="90">
        <v>726090787.30999994</v>
      </c>
      <c r="H15" s="90">
        <v>404617594.93000001</v>
      </c>
      <c r="I15" s="90">
        <v>215076778.56999999</v>
      </c>
      <c r="J15" s="90">
        <v>3251668960.1399999</v>
      </c>
      <c r="K15" s="90">
        <v>122204718.22</v>
      </c>
      <c r="L15" s="90">
        <v>8899784.5500000007</v>
      </c>
      <c r="M15" s="90">
        <v>1075306961.1600001</v>
      </c>
      <c r="N15" s="90">
        <v>1024459465.2</v>
      </c>
      <c r="O15" s="90">
        <v>4817580295.6899996</v>
      </c>
      <c r="P15" s="90">
        <v>1975185728.6800001</v>
      </c>
      <c r="Q15" s="90">
        <v>199408785.74000001</v>
      </c>
      <c r="R15" s="90">
        <v>108332.55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  <c r="Z15" s="90">
        <v>0</v>
      </c>
    </row>
    <row r="16" spans="1:26" ht="12.75" customHeight="1" x14ac:dyDescent="0.25">
      <c r="E16" s="89" t="s">
        <v>81</v>
      </c>
      <c r="F16" s="90">
        <v>2775510.52</v>
      </c>
      <c r="G16" s="90">
        <v>173184.52</v>
      </c>
      <c r="H16" s="90">
        <v>90025.64</v>
      </c>
      <c r="I16" s="90">
        <v>45834.86</v>
      </c>
      <c r="J16" s="90">
        <v>593178.71</v>
      </c>
      <c r="K16" s="90">
        <v>25683.52</v>
      </c>
      <c r="L16" s="90">
        <v>1137.27</v>
      </c>
      <c r="M16" s="90">
        <v>223805.96</v>
      </c>
      <c r="N16" s="90">
        <v>203715.02</v>
      </c>
      <c r="O16" s="90">
        <v>915969.2</v>
      </c>
      <c r="P16" s="90">
        <v>460731.85</v>
      </c>
      <c r="Q16" s="90">
        <v>41886.910000000003</v>
      </c>
      <c r="R16" s="90">
        <v>287.49</v>
      </c>
      <c r="S16" s="90">
        <v>0</v>
      </c>
      <c r="T16" s="90">
        <v>69.569999999999993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</row>
    <row r="17" spans="1:26" ht="12.75" customHeight="1" x14ac:dyDescent="0.25">
      <c r="D17" t="s">
        <v>156</v>
      </c>
      <c r="E17" s="89" t="s">
        <v>70</v>
      </c>
      <c r="F17" s="89">
        <v>13823383703.26</v>
      </c>
      <c r="G17" s="90">
        <v>726263971.83000004</v>
      </c>
      <c r="H17" s="90">
        <v>404707620.56999999</v>
      </c>
      <c r="I17" s="90">
        <v>215122613.43000001</v>
      </c>
      <c r="J17" s="90">
        <v>3252262138.8499999</v>
      </c>
      <c r="K17" s="90">
        <v>122230401.73999999</v>
      </c>
      <c r="L17" s="90">
        <v>8900921.8200000003</v>
      </c>
      <c r="M17" s="90">
        <v>1075530767.1199999</v>
      </c>
      <c r="N17" s="90">
        <v>1024663180.22</v>
      </c>
      <c r="O17" s="90">
        <v>4818496264.8900003</v>
      </c>
      <c r="P17" s="90">
        <v>1975646460.53</v>
      </c>
      <c r="Q17" s="90">
        <v>199450672.65000001</v>
      </c>
      <c r="R17" s="90">
        <v>108620.04</v>
      </c>
      <c r="S17" s="90">
        <v>0</v>
      </c>
      <c r="T17" s="90">
        <v>69.569999999999993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  <c r="Z17" s="90">
        <v>0</v>
      </c>
    </row>
    <row r="18" spans="1:26" s="286" customFormat="1" ht="12.75" customHeight="1" x14ac:dyDescent="0.25">
      <c r="C18" s="286" t="s">
        <v>155</v>
      </c>
      <c r="D18" s="286" t="s">
        <v>70</v>
      </c>
      <c r="E18" s="229"/>
      <c r="F18" s="229">
        <v>13823383703.26</v>
      </c>
      <c r="G18" s="230">
        <v>726263971.83000004</v>
      </c>
      <c r="H18" s="230">
        <v>404707620.56999999</v>
      </c>
      <c r="I18" s="230">
        <v>215122613.43000001</v>
      </c>
      <c r="J18" s="230">
        <v>3252262138.8499999</v>
      </c>
      <c r="K18" s="230">
        <v>122230401.73999999</v>
      </c>
      <c r="L18" s="230">
        <v>8900921.8200000003</v>
      </c>
      <c r="M18" s="230">
        <v>1075530767.1199999</v>
      </c>
      <c r="N18" s="230">
        <v>1024663180.22</v>
      </c>
      <c r="O18" s="230">
        <v>4818496264.8900003</v>
      </c>
      <c r="P18" s="230">
        <v>1975646460.53</v>
      </c>
      <c r="Q18" s="230">
        <v>199450672.65000001</v>
      </c>
      <c r="R18" s="230">
        <v>108620.04</v>
      </c>
      <c r="S18" s="230">
        <v>0</v>
      </c>
      <c r="T18" s="230">
        <v>69.569999999999993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Z18" s="230">
        <v>0</v>
      </c>
    </row>
    <row r="19" spans="1:26" ht="12.75" customHeight="1" x14ac:dyDescent="0.25">
      <c r="E19" s="89" t="s">
        <v>72</v>
      </c>
      <c r="F19" s="89">
        <v>32423892.02</v>
      </c>
      <c r="G19" s="90">
        <v>2094905.09</v>
      </c>
      <c r="H19" s="90">
        <v>1163712.19</v>
      </c>
      <c r="I19" s="90">
        <v>616207.44999999995</v>
      </c>
      <c r="J19" s="90">
        <v>6735190.7800000003</v>
      </c>
      <c r="K19" s="90">
        <v>225631.74</v>
      </c>
      <c r="L19" s="90">
        <v>0</v>
      </c>
      <c r="M19" s="90">
        <v>1960612.4</v>
      </c>
      <c r="N19" s="90">
        <v>2382394.71</v>
      </c>
      <c r="O19" s="90">
        <v>11164315.84</v>
      </c>
      <c r="P19" s="90">
        <v>5712544.1900000004</v>
      </c>
      <c r="Q19" s="90">
        <v>368628.92</v>
      </c>
      <c r="R19" s="90">
        <v>-251.29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  <c r="Z19" s="90">
        <v>0</v>
      </c>
    </row>
    <row r="20" spans="1:26" ht="12.75" customHeight="1" x14ac:dyDescent="0.25">
      <c r="E20" s="89" t="s">
        <v>81</v>
      </c>
      <c r="F20" s="90">
        <v>103289.61</v>
      </c>
      <c r="G20" s="90">
        <v>6294.04</v>
      </c>
      <c r="H20" s="90">
        <v>3163.57</v>
      </c>
      <c r="I20" s="90">
        <v>1714.05</v>
      </c>
      <c r="J20" s="90">
        <v>22356.07</v>
      </c>
      <c r="K20" s="90">
        <v>784.39</v>
      </c>
      <c r="L20" s="90">
        <v>0</v>
      </c>
      <c r="M20" s="90">
        <v>6905.15</v>
      </c>
      <c r="N20" s="90">
        <v>7794.49</v>
      </c>
      <c r="O20" s="90">
        <v>35934.39</v>
      </c>
      <c r="P20" s="90">
        <v>17009.189999999999</v>
      </c>
      <c r="Q20" s="90">
        <v>1280.21</v>
      </c>
      <c r="R20" s="90">
        <v>53.94</v>
      </c>
      <c r="S20" s="90">
        <v>0</v>
      </c>
      <c r="T20" s="90">
        <v>0.12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  <c r="Z20" s="90">
        <v>0</v>
      </c>
    </row>
    <row r="21" spans="1:26" ht="12.75" customHeight="1" x14ac:dyDescent="0.25">
      <c r="D21" s="89" t="s">
        <v>82</v>
      </c>
      <c r="E21" s="89" t="s">
        <v>70</v>
      </c>
      <c r="F21" s="90">
        <v>32527181.629999999</v>
      </c>
      <c r="G21" s="90">
        <v>2101199.13</v>
      </c>
      <c r="H21" s="90">
        <v>1166875.76</v>
      </c>
      <c r="I21" s="90">
        <v>617921.5</v>
      </c>
      <c r="J21" s="90">
        <v>6757546.8499999996</v>
      </c>
      <c r="K21" s="90">
        <v>226416.13</v>
      </c>
      <c r="L21" s="90">
        <v>0</v>
      </c>
      <c r="M21" s="90">
        <v>1967517.55</v>
      </c>
      <c r="N21" s="90">
        <v>2390189.2000000002</v>
      </c>
      <c r="O21" s="90">
        <v>11200250.23</v>
      </c>
      <c r="P21" s="90">
        <v>5729553.3799999999</v>
      </c>
      <c r="Q21" s="90">
        <v>369909.13</v>
      </c>
      <c r="R21" s="90">
        <v>-197.35</v>
      </c>
      <c r="S21" s="90">
        <v>0</v>
      </c>
      <c r="T21" s="90">
        <v>0.12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  <c r="Z21" s="90">
        <v>0</v>
      </c>
    </row>
    <row r="22" spans="1:26" ht="12.75" customHeight="1" x14ac:dyDescent="0.25">
      <c r="E22" s="89" t="s">
        <v>72</v>
      </c>
      <c r="F22" s="90">
        <v>95497576.430000007</v>
      </c>
      <c r="G22" s="90">
        <v>11573780.65</v>
      </c>
      <c r="H22" s="90">
        <v>6315699.4000000004</v>
      </c>
      <c r="I22" s="90">
        <v>3344368.98</v>
      </c>
      <c r="J22" s="90">
        <v>11196861.92</v>
      </c>
      <c r="K22" s="90">
        <v>506065.73</v>
      </c>
      <c r="L22" s="90">
        <v>135643.06</v>
      </c>
      <c r="M22" s="90">
        <v>4492396.42</v>
      </c>
      <c r="N22" s="90">
        <v>4604644.28</v>
      </c>
      <c r="O22" s="90">
        <v>20948918.02</v>
      </c>
      <c r="P22" s="90">
        <v>31553962.899999999</v>
      </c>
      <c r="Q22" s="90">
        <v>825687.23</v>
      </c>
      <c r="R22" s="90">
        <v>-452.16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  <c r="Z22" s="90">
        <v>0</v>
      </c>
    </row>
    <row r="23" spans="1:26" ht="12.75" customHeight="1" x14ac:dyDescent="0.25">
      <c r="E23" s="89" t="s">
        <v>81</v>
      </c>
      <c r="F23" s="90">
        <v>165198.17000000001</v>
      </c>
      <c r="G23" s="90">
        <v>9910.5400000000009</v>
      </c>
      <c r="H23" s="90">
        <v>4898.7</v>
      </c>
      <c r="I23" s="90">
        <v>2681.95</v>
      </c>
      <c r="J23" s="90">
        <v>31220.87</v>
      </c>
      <c r="K23" s="90">
        <v>1643.89</v>
      </c>
      <c r="L23" s="90">
        <v>0</v>
      </c>
      <c r="M23" s="90">
        <v>14419.27</v>
      </c>
      <c r="N23" s="90">
        <v>13134.82</v>
      </c>
      <c r="O23" s="90">
        <v>57844.58</v>
      </c>
      <c r="P23" s="90">
        <v>26763.02</v>
      </c>
      <c r="Q23" s="90">
        <v>2681.01</v>
      </c>
      <c r="R23" s="90">
        <v>-0.59</v>
      </c>
      <c r="S23" s="90">
        <v>0</v>
      </c>
      <c r="T23" s="90">
        <v>0.11</v>
      </c>
      <c r="U23" s="90">
        <v>0</v>
      </c>
      <c r="V23" s="90">
        <v>0</v>
      </c>
      <c r="W23" s="90">
        <v>0</v>
      </c>
      <c r="X23" s="90">
        <v>0</v>
      </c>
      <c r="Y23" s="90">
        <v>0</v>
      </c>
      <c r="Z23" s="90">
        <v>0</v>
      </c>
    </row>
    <row r="24" spans="1:26" ht="12.75" customHeight="1" x14ac:dyDescent="0.25">
      <c r="D24" s="89" t="s">
        <v>86</v>
      </c>
      <c r="E24" s="89" t="s">
        <v>70</v>
      </c>
      <c r="F24" s="90">
        <v>95662774.599999994</v>
      </c>
      <c r="G24" s="90">
        <v>11583691.189999999</v>
      </c>
      <c r="H24" s="90">
        <v>6320598.0999999996</v>
      </c>
      <c r="I24" s="90">
        <v>3347050.93</v>
      </c>
      <c r="J24" s="90">
        <v>11228082.789999999</v>
      </c>
      <c r="K24" s="90">
        <v>507709.62</v>
      </c>
      <c r="L24" s="90">
        <v>135643.06</v>
      </c>
      <c r="M24" s="90">
        <v>4506815.6900000004</v>
      </c>
      <c r="N24" s="90">
        <v>4617779.0999999996</v>
      </c>
      <c r="O24" s="90">
        <v>21006762.600000001</v>
      </c>
      <c r="P24" s="90">
        <v>31580725.920000002</v>
      </c>
      <c r="Q24" s="90">
        <v>828368.24</v>
      </c>
      <c r="R24" s="90">
        <v>-452.75</v>
      </c>
      <c r="S24" s="90">
        <v>0</v>
      </c>
      <c r="T24" s="90">
        <v>0.11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  <c r="Z24" s="90">
        <v>0</v>
      </c>
    </row>
    <row r="25" spans="1:26" ht="12.75" customHeight="1" x14ac:dyDescent="0.25">
      <c r="C25" s="89"/>
      <c r="D25" s="89"/>
      <c r="E25" t="s">
        <v>72</v>
      </c>
      <c r="F25" s="90">
        <v>458999415.72000003</v>
      </c>
      <c r="G25" s="90">
        <v>72781451.870000005</v>
      </c>
      <c r="H25" s="90">
        <v>40662719.530000001</v>
      </c>
      <c r="I25" s="90">
        <v>21480324.120000001</v>
      </c>
      <c r="J25" s="90">
        <v>34870260.670000002</v>
      </c>
      <c r="K25" s="90">
        <v>898680.48</v>
      </c>
      <c r="L25" s="90">
        <v>19324973.239999998</v>
      </c>
      <c r="M25" s="90">
        <v>7870315.8700000001</v>
      </c>
      <c r="N25" s="90">
        <v>10737962.68</v>
      </c>
      <c r="O25" s="90">
        <v>50379165.200000003</v>
      </c>
      <c r="P25" s="90">
        <v>198528817.94</v>
      </c>
      <c r="Q25" s="90">
        <v>1466127.88</v>
      </c>
      <c r="R25" s="90">
        <v>-1383.76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</row>
    <row r="26" spans="1:26" ht="12.75" customHeight="1" x14ac:dyDescent="0.25">
      <c r="B26" s="89"/>
      <c r="C26" s="89"/>
      <c r="E26" t="s">
        <v>81</v>
      </c>
      <c r="F26" s="90">
        <v>882023.55</v>
      </c>
      <c r="G26" s="90">
        <v>103988.24</v>
      </c>
      <c r="H26" s="90">
        <v>56003.01</v>
      </c>
      <c r="I26" s="90">
        <v>29383.84</v>
      </c>
      <c r="J26" s="90">
        <v>116356.97</v>
      </c>
      <c r="K26" s="90">
        <v>3816.91</v>
      </c>
      <c r="L26" s="90">
        <v>48754.080000000002</v>
      </c>
      <c r="M26" s="90">
        <v>33492.660000000003</v>
      </c>
      <c r="N26" s="90">
        <v>37349.61</v>
      </c>
      <c r="O26" s="90">
        <v>164534.39000000001</v>
      </c>
      <c r="P26" s="90">
        <v>282106.88</v>
      </c>
      <c r="Q26" s="90">
        <v>6236.98</v>
      </c>
      <c r="R26" s="90">
        <v>-0.08</v>
      </c>
      <c r="S26" s="90">
        <v>0.03</v>
      </c>
      <c r="T26" s="90">
        <v>0.03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</row>
    <row r="27" spans="1:26" ht="12.75" customHeight="1" x14ac:dyDescent="0.25">
      <c r="C27" s="89"/>
      <c r="D27" s="89" t="s">
        <v>87</v>
      </c>
      <c r="E27" t="s">
        <v>70</v>
      </c>
      <c r="F27" s="90">
        <v>459881439.26999998</v>
      </c>
      <c r="G27" s="90">
        <v>72885440.109999999</v>
      </c>
      <c r="H27" s="90">
        <v>40718722.539999999</v>
      </c>
      <c r="I27" s="90">
        <v>21509707.960000001</v>
      </c>
      <c r="J27" s="90">
        <v>34986617.640000001</v>
      </c>
      <c r="K27" s="90">
        <v>902497.39</v>
      </c>
      <c r="L27" s="90">
        <v>19373727.32</v>
      </c>
      <c r="M27" s="90">
        <v>7903808.5300000003</v>
      </c>
      <c r="N27" s="90">
        <v>10775312.289999999</v>
      </c>
      <c r="O27" s="90">
        <v>50543699.590000004</v>
      </c>
      <c r="P27" s="90">
        <v>198810924.81999999</v>
      </c>
      <c r="Q27" s="90">
        <v>1472364.86</v>
      </c>
      <c r="R27" s="90">
        <v>-1383.84</v>
      </c>
      <c r="S27" s="90">
        <v>0.03</v>
      </c>
      <c r="T27" s="90">
        <v>0.03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  <c r="Z27" s="90">
        <v>0</v>
      </c>
    </row>
    <row r="28" spans="1:26" s="94" customFormat="1" ht="12.75" customHeight="1" x14ac:dyDescent="0.25">
      <c r="C28" s="101" t="s">
        <v>119</v>
      </c>
      <c r="D28" s="101" t="s">
        <v>70</v>
      </c>
      <c r="F28" s="93">
        <v>588071395.5</v>
      </c>
      <c r="G28" s="93">
        <v>86570330.430000007</v>
      </c>
      <c r="H28" s="93">
        <v>48206196.399999999</v>
      </c>
      <c r="I28" s="93">
        <v>25474680.390000001</v>
      </c>
      <c r="J28" s="93">
        <v>52972247.280000001</v>
      </c>
      <c r="K28" s="93">
        <v>1636623.14</v>
      </c>
      <c r="L28" s="93">
        <v>19509370.379999999</v>
      </c>
      <c r="M28" s="93">
        <v>14378141.77</v>
      </c>
      <c r="N28" s="93">
        <v>17783280.59</v>
      </c>
      <c r="O28" s="93">
        <v>82750712.420000002</v>
      </c>
      <c r="P28" s="93">
        <v>236121204.12</v>
      </c>
      <c r="Q28" s="93">
        <v>2670642.23</v>
      </c>
      <c r="R28" s="93">
        <v>-2033.94</v>
      </c>
      <c r="S28" s="93">
        <v>0.03</v>
      </c>
      <c r="T28" s="93">
        <v>0.26</v>
      </c>
      <c r="U28" s="93">
        <v>0</v>
      </c>
      <c r="V28" s="93">
        <v>0</v>
      </c>
      <c r="W28" s="93">
        <v>0</v>
      </c>
      <c r="X28" s="93">
        <v>0</v>
      </c>
      <c r="Y28" s="93">
        <v>0</v>
      </c>
      <c r="Z28" s="93">
        <v>0</v>
      </c>
    </row>
    <row r="29" spans="1:26" s="226" customFormat="1" ht="12.75" customHeight="1" x14ac:dyDescent="0.25">
      <c r="B29" s="98" t="s">
        <v>112</v>
      </c>
      <c r="C29" s="98" t="s">
        <v>70</v>
      </c>
      <c r="F29" s="100">
        <v>14411455098.76</v>
      </c>
      <c r="G29" s="100">
        <v>812834302.25999999</v>
      </c>
      <c r="H29" s="100">
        <v>452913816.97000003</v>
      </c>
      <c r="I29" s="100">
        <v>240597293.81999999</v>
      </c>
      <c r="J29" s="100">
        <v>3305234386.1300001</v>
      </c>
      <c r="K29" s="100">
        <v>123867024.88</v>
      </c>
      <c r="L29" s="100">
        <v>28410292.199999999</v>
      </c>
      <c r="M29" s="100">
        <v>1089908908.8900001</v>
      </c>
      <c r="N29" s="100">
        <v>1042446460.8099999</v>
      </c>
      <c r="O29" s="100">
        <v>4901246977.3100004</v>
      </c>
      <c r="P29" s="100">
        <v>2211767664.6500001</v>
      </c>
      <c r="Q29" s="100">
        <v>202121314.88</v>
      </c>
      <c r="R29" s="100">
        <v>106586.1</v>
      </c>
      <c r="S29" s="100">
        <v>0.03</v>
      </c>
      <c r="T29" s="100">
        <v>69.83</v>
      </c>
      <c r="U29" s="100">
        <v>0</v>
      </c>
      <c r="V29" s="100">
        <v>0</v>
      </c>
      <c r="W29" s="100">
        <v>0</v>
      </c>
      <c r="X29" s="100">
        <v>0</v>
      </c>
      <c r="Y29" s="100">
        <v>0</v>
      </c>
      <c r="Z29" s="100">
        <v>0</v>
      </c>
    </row>
    <row r="30" spans="1:26" ht="12.65" customHeight="1" x14ac:dyDescent="0.25">
      <c r="A30" t="s">
        <v>78</v>
      </c>
      <c r="B30" t="s">
        <v>70</v>
      </c>
      <c r="E30" s="89"/>
      <c r="F30" s="89">
        <v>14411495168.76</v>
      </c>
      <c r="G30" s="90">
        <v>812836258.89999998</v>
      </c>
      <c r="H30" s="90">
        <v>452914907.19999999</v>
      </c>
      <c r="I30" s="90">
        <v>240597873.65000001</v>
      </c>
      <c r="J30" s="90">
        <v>3305244167.1700001</v>
      </c>
      <c r="K30" s="90">
        <v>123867384.56</v>
      </c>
      <c r="L30" s="90">
        <v>28410292.199999999</v>
      </c>
      <c r="M30" s="90">
        <v>1089912064</v>
      </c>
      <c r="N30" s="90">
        <v>1042449484.99</v>
      </c>
      <c r="O30" s="90">
        <v>4901261173.4899998</v>
      </c>
      <c r="P30" s="90">
        <v>2211773008.7199998</v>
      </c>
      <c r="Q30" s="90">
        <v>202121901.72999999</v>
      </c>
      <c r="R30" s="90">
        <v>106582.29</v>
      </c>
      <c r="S30" s="90">
        <v>0.03</v>
      </c>
      <c r="T30" s="90">
        <v>69.83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</row>
    <row r="31" spans="1:26" ht="12.75" customHeight="1" x14ac:dyDescent="0.25">
      <c r="E31" s="89" t="s">
        <v>73</v>
      </c>
      <c r="F31" s="384">
        <v>1452468633.74</v>
      </c>
      <c r="G31" s="90">
        <v>142973217.05000001</v>
      </c>
      <c r="H31" s="90">
        <v>79654037.799999997</v>
      </c>
      <c r="I31" s="90">
        <v>42355358.57</v>
      </c>
      <c r="J31" s="90">
        <v>242419027.61000001</v>
      </c>
      <c r="K31" s="90">
        <v>9336364.5399999991</v>
      </c>
      <c r="L31" s="90">
        <v>0</v>
      </c>
      <c r="M31" s="90">
        <v>80865229.079999998</v>
      </c>
      <c r="N31" s="90">
        <v>78214633.329999998</v>
      </c>
      <c r="O31" s="90">
        <v>368499539.92000002</v>
      </c>
      <c r="P31" s="90">
        <v>392918346.63</v>
      </c>
      <c r="Q31" s="90">
        <v>15232879.210000001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</row>
    <row r="32" spans="1:26" ht="12.75" customHeight="1" x14ac:dyDescent="0.25">
      <c r="D32" t="s">
        <v>156</v>
      </c>
      <c r="E32" s="89" t="s">
        <v>70</v>
      </c>
      <c r="F32" s="384">
        <v>1452468633.74</v>
      </c>
      <c r="G32" s="90">
        <v>142973217.05000001</v>
      </c>
      <c r="H32" s="90">
        <v>79654037.799999997</v>
      </c>
      <c r="I32" s="90">
        <v>42355358.57</v>
      </c>
      <c r="J32" s="90">
        <v>242419027.61000001</v>
      </c>
      <c r="K32" s="90">
        <v>9336364.5399999991</v>
      </c>
      <c r="L32" s="90">
        <v>0</v>
      </c>
      <c r="M32" s="90">
        <v>80865229.079999998</v>
      </c>
      <c r="N32" s="90">
        <v>78214633.329999998</v>
      </c>
      <c r="O32" s="90">
        <v>368499539.92000002</v>
      </c>
      <c r="P32" s="90">
        <v>392918346.63</v>
      </c>
      <c r="Q32" s="90">
        <v>15232879.210000001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</row>
    <row r="33" spans="1:42" s="286" customFormat="1" ht="12.75" customHeight="1" x14ac:dyDescent="0.25">
      <c r="C33" s="286" t="s">
        <v>155</v>
      </c>
      <c r="D33" s="286" t="s">
        <v>70</v>
      </c>
      <c r="E33" s="229"/>
      <c r="F33" s="229">
        <v>1452468633.74</v>
      </c>
      <c r="G33" s="230">
        <v>142973217.05000001</v>
      </c>
      <c r="H33" s="230">
        <v>79654037.799999997</v>
      </c>
      <c r="I33" s="230">
        <v>42355358.57</v>
      </c>
      <c r="J33" s="230">
        <v>242419027.61000001</v>
      </c>
      <c r="K33" s="230">
        <v>9336364.5399999991</v>
      </c>
      <c r="L33" s="230">
        <v>0</v>
      </c>
      <c r="M33" s="230">
        <v>80865229.079999998</v>
      </c>
      <c r="N33" s="230">
        <v>78214633.329999998</v>
      </c>
      <c r="O33" s="230">
        <v>368499539.92000002</v>
      </c>
      <c r="P33" s="230">
        <v>392918346.63</v>
      </c>
      <c r="Q33" s="230">
        <v>15232879.210000001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Z33" s="230">
        <v>0</v>
      </c>
    </row>
    <row r="34" spans="1:42" ht="12.75" customHeight="1" x14ac:dyDescent="0.25">
      <c r="D34" s="89"/>
      <c r="E34" s="89" t="s">
        <v>73</v>
      </c>
      <c r="F34" s="90">
        <v>5898418.3700000001</v>
      </c>
      <c r="G34" s="90">
        <v>881999.26</v>
      </c>
      <c r="H34" s="90">
        <v>489087.28</v>
      </c>
      <c r="I34" s="90">
        <v>260611.8</v>
      </c>
      <c r="J34" s="90">
        <v>636049.85</v>
      </c>
      <c r="K34" s="90">
        <v>10462.68</v>
      </c>
      <c r="L34" s="90">
        <v>0</v>
      </c>
      <c r="M34" s="90">
        <v>91956.29</v>
      </c>
      <c r="N34" s="90">
        <v>193499.75</v>
      </c>
      <c r="O34" s="90">
        <v>909344.29</v>
      </c>
      <c r="P34" s="90">
        <v>2408335.8199999998</v>
      </c>
      <c r="Q34" s="90">
        <v>17071.349999999999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</row>
    <row r="35" spans="1:42" ht="12.75" customHeight="1" x14ac:dyDescent="0.25">
      <c r="D35" t="s">
        <v>82</v>
      </c>
      <c r="E35" s="89" t="s">
        <v>70</v>
      </c>
      <c r="F35" s="90">
        <v>5898418.3700000001</v>
      </c>
      <c r="G35" s="90">
        <v>881999.26</v>
      </c>
      <c r="H35" s="90">
        <v>489087.28</v>
      </c>
      <c r="I35" s="90">
        <v>260611.8</v>
      </c>
      <c r="J35" s="90">
        <v>636049.85</v>
      </c>
      <c r="K35" s="90">
        <v>10462.68</v>
      </c>
      <c r="L35" s="90">
        <v>0</v>
      </c>
      <c r="M35" s="90">
        <v>91956.29</v>
      </c>
      <c r="N35" s="90">
        <v>193499.75</v>
      </c>
      <c r="O35" s="90">
        <v>909344.29</v>
      </c>
      <c r="P35" s="90">
        <v>2408335.8199999998</v>
      </c>
      <c r="Q35" s="90">
        <v>17071.349999999999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0</v>
      </c>
      <c r="Z35" s="90">
        <v>0</v>
      </c>
    </row>
    <row r="36" spans="1:42" ht="12.75" customHeight="1" x14ac:dyDescent="0.25">
      <c r="D36" s="89"/>
      <c r="E36" s="89" t="s">
        <v>73</v>
      </c>
      <c r="F36" s="90">
        <v>13098225.91</v>
      </c>
      <c r="G36" s="90">
        <v>2940923.95</v>
      </c>
      <c r="H36" s="90">
        <v>1605818.61</v>
      </c>
      <c r="I36" s="90">
        <v>857242.56</v>
      </c>
      <c r="J36" s="90">
        <v>-362631.74</v>
      </c>
      <c r="K36" s="90">
        <v>-26684.44</v>
      </c>
      <c r="L36" s="90">
        <v>0</v>
      </c>
      <c r="M36" s="90">
        <v>-237386.59</v>
      </c>
      <c r="N36" s="90">
        <v>21203.47</v>
      </c>
      <c r="O36" s="90">
        <v>315579.15000000002</v>
      </c>
      <c r="P36" s="90">
        <v>8027696.6100000003</v>
      </c>
      <c r="Q36" s="90">
        <v>-43535.67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  <c r="Z36" s="90">
        <v>0</v>
      </c>
    </row>
    <row r="37" spans="1:42" ht="12.75" customHeight="1" x14ac:dyDescent="0.25">
      <c r="D37" t="s">
        <v>86</v>
      </c>
      <c r="E37" s="89" t="s">
        <v>70</v>
      </c>
      <c r="F37" s="90">
        <v>13098225.91</v>
      </c>
      <c r="G37" s="90">
        <v>2940923.95</v>
      </c>
      <c r="H37" s="90">
        <v>1605818.61</v>
      </c>
      <c r="I37" s="90">
        <v>857242.56</v>
      </c>
      <c r="J37" s="90">
        <v>-362631.74</v>
      </c>
      <c r="K37" s="90">
        <v>-26684.44</v>
      </c>
      <c r="L37" s="90">
        <v>0</v>
      </c>
      <c r="M37" s="90">
        <v>-237386.59</v>
      </c>
      <c r="N37" s="90">
        <v>21203.47</v>
      </c>
      <c r="O37" s="90">
        <v>315579.15000000002</v>
      </c>
      <c r="P37" s="90">
        <v>8027696.6100000003</v>
      </c>
      <c r="Q37" s="90">
        <v>-43535.67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</row>
    <row r="38" spans="1:42" ht="12.75" customHeight="1" x14ac:dyDescent="0.25">
      <c r="D38" s="89"/>
      <c r="E38" s="89" t="s">
        <v>73</v>
      </c>
      <c r="F38" s="90">
        <v>135847384.72999999</v>
      </c>
      <c r="G38" s="90">
        <v>23857696.969999999</v>
      </c>
      <c r="H38" s="90">
        <v>13350084.32</v>
      </c>
      <c r="I38" s="90">
        <v>7071037.8300000001</v>
      </c>
      <c r="J38" s="90">
        <v>8488542.9199999999</v>
      </c>
      <c r="K38" s="90">
        <v>229087.23</v>
      </c>
      <c r="L38" s="90">
        <v>0</v>
      </c>
      <c r="M38" s="90">
        <v>2009970.87</v>
      </c>
      <c r="N38" s="90">
        <v>2694316.73</v>
      </c>
      <c r="O38" s="90">
        <v>12601162.630000001</v>
      </c>
      <c r="P38" s="90">
        <v>65171707.640000001</v>
      </c>
      <c r="Q38" s="90">
        <v>373777.59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0</v>
      </c>
    </row>
    <row r="39" spans="1:42" ht="12.75" customHeight="1" x14ac:dyDescent="0.25">
      <c r="C39" s="89"/>
      <c r="D39" s="89" t="s">
        <v>87</v>
      </c>
      <c r="E39" t="s">
        <v>70</v>
      </c>
      <c r="F39" s="90">
        <v>135847384.72999999</v>
      </c>
      <c r="G39" s="90">
        <v>23857696.969999999</v>
      </c>
      <c r="H39" s="90">
        <v>13350084.32</v>
      </c>
      <c r="I39" s="90">
        <v>7071037.8300000001</v>
      </c>
      <c r="J39" s="90">
        <v>8488542.9199999999</v>
      </c>
      <c r="K39" s="90">
        <v>229087.23</v>
      </c>
      <c r="L39" s="90">
        <v>0</v>
      </c>
      <c r="M39" s="90">
        <v>2009970.87</v>
      </c>
      <c r="N39" s="90">
        <v>2694316.73</v>
      </c>
      <c r="O39" s="90">
        <v>12601162.630000001</v>
      </c>
      <c r="P39" s="90">
        <v>65171707.640000001</v>
      </c>
      <c r="Q39" s="90">
        <v>373777.59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</row>
    <row r="40" spans="1:42" s="94" customFormat="1" ht="12.75" customHeight="1" x14ac:dyDescent="0.25">
      <c r="C40" s="101" t="s">
        <v>119</v>
      </c>
      <c r="D40" s="101" t="s">
        <v>70</v>
      </c>
      <c r="F40" s="93">
        <v>154844029.00999999</v>
      </c>
      <c r="G40" s="93">
        <v>27680620.18</v>
      </c>
      <c r="H40" s="93">
        <v>15444990.210000001</v>
      </c>
      <c r="I40" s="93">
        <v>8188892.1900000004</v>
      </c>
      <c r="J40" s="93">
        <v>8761961.0299999993</v>
      </c>
      <c r="K40" s="93">
        <v>212865.47</v>
      </c>
      <c r="L40" s="93">
        <v>0</v>
      </c>
      <c r="M40" s="93">
        <v>1864540.57</v>
      </c>
      <c r="N40" s="93">
        <v>2909019.95</v>
      </c>
      <c r="O40" s="93">
        <v>13826086.07</v>
      </c>
      <c r="P40" s="93">
        <v>75607740.069999993</v>
      </c>
      <c r="Q40" s="93">
        <v>347313.27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0</v>
      </c>
      <c r="X40" s="93">
        <v>0</v>
      </c>
      <c r="Y40" s="93">
        <v>0</v>
      </c>
      <c r="Z40" s="93">
        <v>0</v>
      </c>
    </row>
    <row r="41" spans="1:42" s="226" customFormat="1" ht="12.75" customHeight="1" x14ac:dyDescent="0.25">
      <c r="B41" s="98" t="s">
        <v>112</v>
      </c>
      <c r="C41" s="98" t="s">
        <v>70</v>
      </c>
      <c r="F41" s="100">
        <v>1607312662.75</v>
      </c>
      <c r="G41" s="100">
        <v>170653837.22999999</v>
      </c>
      <c r="H41" s="100">
        <v>95099028.010000005</v>
      </c>
      <c r="I41" s="100">
        <v>50544250.759999998</v>
      </c>
      <c r="J41" s="100">
        <v>251180988.63999999</v>
      </c>
      <c r="K41" s="100">
        <v>9549230.0099999998</v>
      </c>
      <c r="L41" s="100">
        <v>0</v>
      </c>
      <c r="M41" s="100">
        <v>82729769.650000006</v>
      </c>
      <c r="N41" s="100">
        <v>81123653.280000001</v>
      </c>
      <c r="O41" s="100">
        <v>382325625.99000001</v>
      </c>
      <c r="P41" s="100">
        <v>468526086.69999999</v>
      </c>
      <c r="Q41" s="100">
        <v>15580192.48</v>
      </c>
      <c r="R41" s="100">
        <v>0</v>
      </c>
      <c r="S41" s="100">
        <v>0</v>
      </c>
      <c r="T41" s="100">
        <v>0</v>
      </c>
      <c r="U41" s="100">
        <v>0</v>
      </c>
      <c r="V41" s="100">
        <v>0</v>
      </c>
      <c r="W41" s="100">
        <v>0</v>
      </c>
      <c r="X41" s="100">
        <v>0</v>
      </c>
      <c r="Y41" s="100">
        <v>0</v>
      </c>
      <c r="Z41" s="100">
        <v>0</v>
      </c>
    </row>
    <row r="42" spans="1:42" ht="12.75" customHeight="1" x14ac:dyDescent="0.25">
      <c r="A42" s="89" t="s">
        <v>79</v>
      </c>
      <c r="B42" t="s">
        <v>70</v>
      </c>
      <c r="F42" s="90">
        <v>1607312662.75</v>
      </c>
      <c r="G42" s="90">
        <v>170653837.22999999</v>
      </c>
      <c r="H42" s="90">
        <v>95099028.010000005</v>
      </c>
      <c r="I42" s="90">
        <v>50544250.759999998</v>
      </c>
      <c r="J42" s="90">
        <v>251180988.63999999</v>
      </c>
      <c r="K42" s="90">
        <v>9549230.0099999998</v>
      </c>
      <c r="L42" s="90">
        <v>0</v>
      </c>
      <c r="M42" s="90">
        <v>82729769.650000006</v>
      </c>
      <c r="N42" s="90">
        <v>81123653.280000001</v>
      </c>
      <c r="O42" s="90">
        <v>382325625.99000001</v>
      </c>
      <c r="P42" s="90">
        <v>468526086.69999999</v>
      </c>
      <c r="Q42" s="90">
        <v>15580192.48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  <c r="Z42" s="90">
        <v>0</v>
      </c>
    </row>
    <row r="43" spans="1:42" ht="12.75" customHeight="1" x14ac:dyDescent="0.25">
      <c r="A43" s="89" t="s">
        <v>70</v>
      </c>
      <c r="F43" s="90">
        <v>16018790606.299999</v>
      </c>
      <c r="G43" s="90">
        <v>983488968.61000001</v>
      </c>
      <c r="H43" s="90">
        <v>548013456.21000004</v>
      </c>
      <c r="I43" s="90">
        <v>291141915.20999998</v>
      </c>
      <c r="J43" s="90">
        <v>3556422083.5100002</v>
      </c>
      <c r="K43" s="90">
        <v>133416415.79000001</v>
      </c>
      <c r="L43" s="90">
        <v>28410292.199999999</v>
      </c>
      <c r="M43" s="90">
        <v>1172640090.27</v>
      </c>
      <c r="N43" s="90">
        <v>1123571680.0999999</v>
      </c>
      <c r="O43" s="90">
        <v>5283580975.5200005</v>
      </c>
      <c r="P43" s="90">
        <v>2680296306.8200002</v>
      </c>
      <c r="Q43" s="90">
        <v>217701769.91</v>
      </c>
      <c r="R43" s="90">
        <v>106582.29</v>
      </c>
      <c r="S43" s="90">
        <v>0.03</v>
      </c>
      <c r="T43">
        <v>69.83</v>
      </c>
      <c r="U43">
        <v>0</v>
      </c>
      <c r="V43">
        <v>0</v>
      </c>
      <c r="W43">
        <v>0</v>
      </c>
      <c r="X43" s="90">
        <v>0</v>
      </c>
      <c r="Y43" s="90">
        <v>0</v>
      </c>
      <c r="Z43">
        <v>0</v>
      </c>
    </row>
    <row r="44" spans="1:42" ht="12.75" customHeight="1" x14ac:dyDescent="0.25">
      <c r="A44" s="89"/>
      <c r="D44" s="143"/>
      <c r="E44" s="137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X44" s="90"/>
      <c r="Y44" s="90"/>
    </row>
    <row r="45" spans="1:42" ht="12.75" customHeight="1" x14ac:dyDescent="0.25">
      <c r="A45" s="89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</row>
    <row r="46" spans="1:42" ht="12.75" customHeight="1" x14ac:dyDescent="0.25">
      <c r="C46" s="776" t="s">
        <v>2</v>
      </c>
      <c r="D46" s="774" t="s">
        <v>132</v>
      </c>
      <c r="E46" s="98" t="s">
        <v>70</v>
      </c>
      <c r="F46" s="100">
        <f>F29+F41+F9-L9-L29</f>
        <v>15990340244.1</v>
      </c>
      <c r="G46" s="100">
        <f t="shared" ref="G46:AP46" si="0">G29+G9</f>
        <v>812833174.74000001</v>
      </c>
      <c r="H46" s="100">
        <f t="shared" si="0"/>
        <v>452913337.97000003</v>
      </c>
      <c r="I46" s="100">
        <f t="shared" si="0"/>
        <v>240597084.62</v>
      </c>
      <c r="J46" s="100">
        <f t="shared" si="0"/>
        <v>3305231313.8299999</v>
      </c>
      <c r="K46" s="100">
        <f t="shared" si="0"/>
        <v>123866826.09999999</v>
      </c>
      <c r="L46" s="100">
        <f t="shared" si="0"/>
        <v>28410292.199999999</v>
      </c>
      <c r="M46" s="100">
        <f t="shared" si="0"/>
        <v>1089907165.51</v>
      </c>
      <c r="N46" s="100">
        <f t="shared" si="0"/>
        <v>1042445002.64</v>
      </c>
      <c r="O46" s="100">
        <f t="shared" si="0"/>
        <v>4901241153.3500004</v>
      </c>
      <c r="P46" s="100">
        <f t="shared" si="0"/>
        <v>2211764876.0500002</v>
      </c>
      <c r="Q46" s="100">
        <f t="shared" si="0"/>
        <v>202120990.57999998</v>
      </c>
      <c r="R46" s="100">
        <f t="shared" si="0"/>
        <v>106586.1</v>
      </c>
      <c r="S46" s="100">
        <f t="shared" si="0"/>
        <v>0.03</v>
      </c>
      <c r="T46" s="100">
        <f t="shared" si="0"/>
        <v>69.83</v>
      </c>
      <c r="U46" s="100">
        <f t="shared" si="0"/>
        <v>0</v>
      </c>
      <c r="V46" s="100">
        <f t="shared" si="0"/>
        <v>0</v>
      </c>
      <c r="W46" s="100">
        <f t="shared" si="0"/>
        <v>0</v>
      </c>
      <c r="X46" s="100">
        <f t="shared" si="0"/>
        <v>0</v>
      </c>
      <c r="Y46" s="100">
        <f t="shared" si="0"/>
        <v>0</v>
      </c>
      <c r="Z46" s="100">
        <f t="shared" si="0"/>
        <v>0</v>
      </c>
      <c r="AA46" s="100">
        <f t="shared" si="0"/>
        <v>0</v>
      </c>
      <c r="AB46" s="100">
        <f t="shared" si="0"/>
        <v>0</v>
      </c>
      <c r="AC46" s="100">
        <f t="shared" si="0"/>
        <v>0</v>
      </c>
      <c r="AD46" s="100">
        <f t="shared" si="0"/>
        <v>0</v>
      </c>
      <c r="AE46" s="100">
        <f t="shared" si="0"/>
        <v>0</v>
      </c>
      <c r="AF46" s="100">
        <f t="shared" si="0"/>
        <v>0</v>
      </c>
      <c r="AG46" s="100">
        <f t="shared" si="0"/>
        <v>0</v>
      </c>
      <c r="AH46" s="100">
        <f t="shared" si="0"/>
        <v>0</v>
      </c>
      <c r="AI46" s="100">
        <f t="shared" si="0"/>
        <v>0</v>
      </c>
      <c r="AJ46" s="100">
        <f t="shared" si="0"/>
        <v>0</v>
      </c>
      <c r="AK46" s="100">
        <f t="shared" si="0"/>
        <v>0</v>
      </c>
      <c r="AL46" s="100">
        <f t="shared" si="0"/>
        <v>0</v>
      </c>
      <c r="AM46" s="100">
        <f t="shared" si="0"/>
        <v>0</v>
      </c>
      <c r="AN46" s="100">
        <f t="shared" si="0"/>
        <v>0</v>
      </c>
      <c r="AO46" s="100">
        <f t="shared" si="0"/>
        <v>0</v>
      </c>
      <c r="AP46" s="100">
        <f t="shared" si="0"/>
        <v>0</v>
      </c>
    </row>
    <row r="47" spans="1:42" ht="12.75" customHeight="1" x14ac:dyDescent="0.25">
      <c r="C47" s="776"/>
      <c r="D47" s="774"/>
      <c r="E47" s="98" t="s">
        <v>73</v>
      </c>
      <c r="F47" s="100">
        <f>F41</f>
        <v>1607312662.75</v>
      </c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</row>
    <row r="48" spans="1:42" ht="12.75" customHeight="1" x14ac:dyDescent="0.25">
      <c r="C48" s="776"/>
      <c r="D48" s="774" t="s">
        <v>133</v>
      </c>
      <c r="E48" s="233" t="s">
        <v>70</v>
      </c>
      <c r="F48" s="234">
        <f>F14-L14</f>
        <v>40070</v>
      </c>
      <c r="G48" s="234">
        <f t="shared" ref="G48:AP48" si="1">G14</f>
        <v>1956.64</v>
      </c>
      <c r="H48" s="234">
        <f t="shared" si="1"/>
        <v>1090.23</v>
      </c>
      <c r="I48" s="234">
        <f t="shared" si="1"/>
        <v>579.83000000000004</v>
      </c>
      <c r="J48" s="234">
        <f t="shared" si="1"/>
        <v>9781.0400000000009</v>
      </c>
      <c r="K48" s="234">
        <f t="shared" si="1"/>
        <v>359.68</v>
      </c>
      <c r="L48" s="234">
        <f t="shared" si="1"/>
        <v>0</v>
      </c>
      <c r="M48" s="234">
        <f t="shared" si="1"/>
        <v>3155.11</v>
      </c>
      <c r="N48" s="234">
        <f t="shared" si="1"/>
        <v>3024.18</v>
      </c>
      <c r="O48" s="234">
        <f t="shared" si="1"/>
        <v>14196.18</v>
      </c>
      <c r="P48" s="234">
        <f t="shared" si="1"/>
        <v>5344.07</v>
      </c>
      <c r="Q48" s="234">
        <f t="shared" si="1"/>
        <v>586.85</v>
      </c>
      <c r="R48" s="234">
        <f t="shared" si="1"/>
        <v>-3.81</v>
      </c>
      <c r="S48" s="234">
        <f t="shared" si="1"/>
        <v>0</v>
      </c>
      <c r="T48" s="234">
        <f t="shared" si="1"/>
        <v>0</v>
      </c>
      <c r="U48" s="234">
        <f t="shared" si="1"/>
        <v>0</v>
      </c>
      <c r="V48" s="234">
        <f t="shared" si="1"/>
        <v>0</v>
      </c>
      <c r="W48" s="234">
        <f t="shared" si="1"/>
        <v>0</v>
      </c>
      <c r="X48" s="234">
        <f t="shared" si="1"/>
        <v>0</v>
      </c>
      <c r="Y48" s="234">
        <f t="shared" si="1"/>
        <v>0</v>
      </c>
      <c r="Z48" s="234">
        <f t="shared" si="1"/>
        <v>0</v>
      </c>
      <c r="AA48" s="234">
        <f t="shared" si="1"/>
        <v>0</v>
      </c>
      <c r="AB48" s="234">
        <f t="shared" si="1"/>
        <v>0</v>
      </c>
      <c r="AC48" s="234">
        <f t="shared" si="1"/>
        <v>0</v>
      </c>
      <c r="AD48" s="234">
        <f t="shared" si="1"/>
        <v>0</v>
      </c>
      <c r="AE48" s="234">
        <f t="shared" si="1"/>
        <v>0</v>
      </c>
      <c r="AF48" s="234">
        <f t="shared" si="1"/>
        <v>0</v>
      </c>
      <c r="AG48" s="234">
        <f t="shared" si="1"/>
        <v>0</v>
      </c>
      <c r="AH48" s="234">
        <f t="shared" si="1"/>
        <v>0</v>
      </c>
      <c r="AI48" s="234">
        <f t="shared" si="1"/>
        <v>0</v>
      </c>
      <c r="AJ48" s="234">
        <f t="shared" si="1"/>
        <v>0</v>
      </c>
      <c r="AK48" s="234">
        <f t="shared" si="1"/>
        <v>0</v>
      </c>
      <c r="AL48" s="234">
        <f t="shared" si="1"/>
        <v>0</v>
      </c>
      <c r="AM48" s="234">
        <f t="shared" si="1"/>
        <v>0</v>
      </c>
      <c r="AN48" s="234">
        <f t="shared" si="1"/>
        <v>0</v>
      </c>
      <c r="AO48" s="234">
        <f t="shared" si="1"/>
        <v>0</v>
      </c>
      <c r="AP48" s="234">
        <f t="shared" si="1"/>
        <v>0</v>
      </c>
    </row>
    <row r="49" spans="1:42" ht="12.75" customHeight="1" x14ac:dyDescent="0.25">
      <c r="C49" s="776"/>
      <c r="D49" s="774"/>
      <c r="E49" s="233" t="s">
        <v>73</v>
      </c>
      <c r="F49" s="234">
        <v>0</v>
      </c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</row>
    <row r="50" spans="1:42" ht="12.75" customHeight="1" x14ac:dyDescent="0.3">
      <c r="A50" s="89"/>
      <c r="C50" s="97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</row>
    <row r="51" spans="1:42" ht="12.75" customHeight="1" x14ac:dyDescent="0.25">
      <c r="C51" s="776" t="s">
        <v>160</v>
      </c>
      <c r="D51" s="774" t="s">
        <v>132</v>
      </c>
      <c r="E51" s="223" t="s">
        <v>70</v>
      </c>
      <c r="F51" s="225">
        <v>0</v>
      </c>
      <c r="G51" s="225">
        <v>0</v>
      </c>
      <c r="H51" s="225">
        <v>0</v>
      </c>
      <c r="I51" s="225">
        <v>0</v>
      </c>
      <c r="J51" s="225">
        <v>0</v>
      </c>
      <c r="K51" s="225">
        <v>0</v>
      </c>
      <c r="L51" s="225">
        <v>0</v>
      </c>
      <c r="M51" s="225">
        <v>0</v>
      </c>
      <c r="N51" s="225">
        <v>0</v>
      </c>
      <c r="O51" s="225">
        <v>0</v>
      </c>
      <c r="P51" s="225">
        <v>0</v>
      </c>
      <c r="Q51" s="225">
        <v>0</v>
      </c>
      <c r="R51" s="225">
        <v>0</v>
      </c>
      <c r="S51" s="225">
        <v>0</v>
      </c>
      <c r="T51" s="225">
        <v>0</v>
      </c>
      <c r="U51" s="225">
        <v>0</v>
      </c>
      <c r="V51" s="225">
        <v>0</v>
      </c>
      <c r="W51" s="225">
        <v>0</v>
      </c>
      <c r="X51" s="225">
        <v>0</v>
      </c>
      <c r="Y51" s="225">
        <v>0</v>
      </c>
      <c r="Z51" s="225">
        <v>0</v>
      </c>
      <c r="AA51" s="225">
        <v>0</v>
      </c>
      <c r="AB51" s="225">
        <v>0</v>
      </c>
      <c r="AC51" s="225">
        <v>0</v>
      </c>
      <c r="AD51" s="225">
        <v>0</v>
      </c>
      <c r="AE51" s="225">
        <v>0</v>
      </c>
      <c r="AF51" s="225">
        <v>0</v>
      </c>
      <c r="AG51" s="225">
        <v>0</v>
      </c>
      <c r="AH51" s="225">
        <v>0</v>
      </c>
      <c r="AI51" s="225">
        <v>0</v>
      </c>
      <c r="AJ51" s="225">
        <v>0</v>
      </c>
      <c r="AK51" s="225">
        <v>0</v>
      </c>
      <c r="AL51" s="225">
        <v>0</v>
      </c>
      <c r="AM51" s="225">
        <v>0</v>
      </c>
      <c r="AN51" s="225">
        <v>0</v>
      </c>
      <c r="AO51" s="225">
        <v>0</v>
      </c>
      <c r="AP51" s="225">
        <v>0</v>
      </c>
    </row>
    <row r="52" spans="1:42" ht="12.75" customHeight="1" x14ac:dyDescent="0.25">
      <c r="C52" s="776"/>
      <c r="D52" s="774"/>
      <c r="E52" s="223" t="s">
        <v>73</v>
      </c>
      <c r="F52" s="225">
        <v>0</v>
      </c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</row>
    <row r="53" spans="1:42" ht="12.75" customHeight="1" x14ac:dyDescent="0.25">
      <c r="C53" s="776"/>
      <c r="D53" s="774" t="s">
        <v>133</v>
      </c>
      <c r="E53" s="227" t="s">
        <v>70</v>
      </c>
      <c r="F53" s="228">
        <v>0</v>
      </c>
      <c r="G53" s="228">
        <v>0</v>
      </c>
      <c r="H53" s="228">
        <v>0</v>
      </c>
      <c r="I53" s="228">
        <v>0</v>
      </c>
      <c r="J53" s="228">
        <v>0</v>
      </c>
      <c r="K53" s="228">
        <v>0</v>
      </c>
      <c r="L53" s="228">
        <v>0</v>
      </c>
      <c r="M53" s="228">
        <v>0</v>
      </c>
      <c r="N53" s="228">
        <v>0</v>
      </c>
      <c r="O53" s="228">
        <v>0</v>
      </c>
      <c r="P53" s="228">
        <v>0</v>
      </c>
      <c r="Q53" s="228">
        <v>0</v>
      </c>
      <c r="R53" s="228">
        <v>0</v>
      </c>
      <c r="S53" s="228">
        <v>0</v>
      </c>
      <c r="T53" s="228">
        <v>0</v>
      </c>
      <c r="U53" s="228">
        <v>0</v>
      </c>
      <c r="V53" s="228">
        <v>0</v>
      </c>
      <c r="W53" s="228">
        <v>0</v>
      </c>
      <c r="X53" s="228">
        <v>0</v>
      </c>
      <c r="Y53" s="228">
        <v>0</v>
      </c>
      <c r="Z53" s="228">
        <v>0</v>
      </c>
      <c r="AA53" s="228">
        <v>0</v>
      </c>
      <c r="AB53" s="228">
        <v>0</v>
      </c>
      <c r="AC53" s="228">
        <v>0</v>
      </c>
      <c r="AD53" s="228">
        <v>0</v>
      </c>
      <c r="AE53" s="228">
        <v>0</v>
      </c>
      <c r="AF53" s="228">
        <v>0</v>
      </c>
      <c r="AG53" s="228">
        <v>0</v>
      </c>
      <c r="AH53" s="228">
        <v>0</v>
      </c>
      <c r="AI53" s="228">
        <v>0</v>
      </c>
      <c r="AJ53" s="228">
        <v>0</v>
      </c>
      <c r="AK53" s="228">
        <v>0</v>
      </c>
      <c r="AL53" s="228">
        <v>0</v>
      </c>
      <c r="AM53" s="228">
        <v>0</v>
      </c>
      <c r="AN53" s="228">
        <v>0</v>
      </c>
      <c r="AO53" s="228">
        <v>0</v>
      </c>
      <c r="AP53" s="228">
        <v>0</v>
      </c>
    </row>
    <row r="54" spans="1:42" ht="12.75" customHeight="1" x14ac:dyDescent="0.25">
      <c r="C54" s="776"/>
      <c r="D54" s="774"/>
      <c r="E54" s="227" t="s">
        <v>73</v>
      </c>
      <c r="F54" s="228">
        <v>0</v>
      </c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</row>
    <row r="55" spans="1:42" ht="12.75" customHeight="1" x14ac:dyDescent="0.3">
      <c r="A55" s="89"/>
      <c r="C55" s="97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</row>
    <row r="56" spans="1:42" ht="12.75" customHeight="1" x14ac:dyDescent="0.25">
      <c r="C56" s="776" t="s">
        <v>155</v>
      </c>
      <c r="D56" s="774" t="s">
        <v>132</v>
      </c>
      <c r="E56" s="221" t="s">
        <v>70</v>
      </c>
      <c r="F56" s="222">
        <f>F33+F18-L18</f>
        <v>15266951415.18</v>
      </c>
      <c r="G56" s="222">
        <f t="shared" ref="G56:AP56" si="2">G18</f>
        <v>726263971.83000004</v>
      </c>
      <c r="H56" s="222">
        <f t="shared" si="2"/>
        <v>404707620.56999999</v>
      </c>
      <c r="I56" s="222">
        <f t="shared" si="2"/>
        <v>215122613.43000001</v>
      </c>
      <c r="J56" s="222">
        <f t="shared" si="2"/>
        <v>3252262138.8499999</v>
      </c>
      <c r="K56" s="222">
        <f t="shared" si="2"/>
        <v>122230401.73999999</v>
      </c>
      <c r="L56" s="222">
        <f t="shared" si="2"/>
        <v>8900921.8200000003</v>
      </c>
      <c r="M56" s="222">
        <f t="shared" si="2"/>
        <v>1075530767.1199999</v>
      </c>
      <c r="N56" s="222">
        <f t="shared" si="2"/>
        <v>1024663180.22</v>
      </c>
      <c r="O56" s="222">
        <f t="shared" si="2"/>
        <v>4818496264.8900003</v>
      </c>
      <c r="P56" s="222">
        <f t="shared" si="2"/>
        <v>1975646460.53</v>
      </c>
      <c r="Q56" s="222">
        <f t="shared" si="2"/>
        <v>199450672.65000001</v>
      </c>
      <c r="R56" s="222">
        <f t="shared" si="2"/>
        <v>108620.04</v>
      </c>
      <c r="S56" s="222">
        <f t="shared" si="2"/>
        <v>0</v>
      </c>
      <c r="T56" s="222">
        <f t="shared" si="2"/>
        <v>69.569999999999993</v>
      </c>
      <c r="U56" s="222">
        <f t="shared" si="2"/>
        <v>0</v>
      </c>
      <c r="V56" s="222">
        <f t="shared" si="2"/>
        <v>0</v>
      </c>
      <c r="W56" s="222">
        <f t="shared" si="2"/>
        <v>0</v>
      </c>
      <c r="X56" s="222">
        <f t="shared" si="2"/>
        <v>0</v>
      </c>
      <c r="Y56" s="222">
        <f t="shared" si="2"/>
        <v>0</v>
      </c>
      <c r="Z56" s="222">
        <f t="shared" si="2"/>
        <v>0</v>
      </c>
      <c r="AA56" s="222">
        <f t="shared" si="2"/>
        <v>0</v>
      </c>
      <c r="AB56" s="222">
        <f t="shared" si="2"/>
        <v>0</v>
      </c>
      <c r="AC56" s="222">
        <f t="shared" si="2"/>
        <v>0</v>
      </c>
      <c r="AD56" s="222">
        <f t="shared" si="2"/>
        <v>0</v>
      </c>
      <c r="AE56" s="222">
        <f t="shared" si="2"/>
        <v>0</v>
      </c>
      <c r="AF56" s="222">
        <f t="shared" si="2"/>
        <v>0</v>
      </c>
      <c r="AG56" s="222">
        <f t="shared" si="2"/>
        <v>0</v>
      </c>
      <c r="AH56" s="222">
        <f t="shared" si="2"/>
        <v>0</v>
      </c>
      <c r="AI56" s="222">
        <f t="shared" si="2"/>
        <v>0</v>
      </c>
      <c r="AJ56" s="222">
        <f t="shared" si="2"/>
        <v>0</v>
      </c>
      <c r="AK56" s="222">
        <f t="shared" si="2"/>
        <v>0</v>
      </c>
      <c r="AL56" s="222">
        <f t="shared" si="2"/>
        <v>0</v>
      </c>
      <c r="AM56" s="222">
        <f t="shared" si="2"/>
        <v>0</v>
      </c>
      <c r="AN56" s="222">
        <f t="shared" si="2"/>
        <v>0</v>
      </c>
      <c r="AO56" s="222">
        <f t="shared" si="2"/>
        <v>0</v>
      </c>
      <c r="AP56" s="222">
        <f t="shared" si="2"/>
        <v>0</v>
      </c>
    </row>
    <row r="57" spans="1:42" ht="12.75" customHeight="1" x14ac:dyDescent="0.25">
      <c r="C57" s="776"/>
      <c r="D57" s="774"/>
      <c r="E57" s="221" t="s">
        <v>73</v>
      </c>
      <c r="F57" s="222">
        <f>F33</f>
        <v>1452468633.74</v>
      </c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</row>
    <row r="58" spans="1:42" ht="12.75" customHeight="1" x14ac:dyDescent="0.25">
      <c r="B58" s="150"/>
      <c r="C58" s="776"/>
      <c r="D58" s="774" t="s">
        <v>133</v>
      </c>
      <c r="E58" s="229" t="s">
        <v>70</v>
      </c>
      <c r="F58" s="230">
        <v>0</v>
      </c>
      <c r="G58" s="230">
        <v>0</v>
      </c>
      <c r="H58" s="230">
        <v>0</v>
      </c>
      <c r="I58" s="230">
        <v>0</v>
      </c>
      <c r="J58" s="230">
        <v>0</v>
      </c>
      <c r="K58" s="230">
        <v>0</v>
      </c>
      <c r="L58" s="230">
        <v>0</v>
      </c>
      <c r="M58" s="230">
        <v>0</v>
      </c>
      <c r="N58" s="230">
        <v>0</v>
      </c>
      <c r="O58" s="230">
        <v>0</v>
      </c>
      <c r="P58" s="230">
        <v>0</v>
      </c>
      <c r="Q58" s="230">
        <v>0</v>
      </c>
      <c r="R58" s="230">
        <v>0</v>
      </c>
      <c r="S58" s="230">
        <v>0</v>
      </c>
      <c r="T58" s="230">
        <v>0</v>
      </c>
      <c r="U58" s="230">
        <v>0</v>
      </c>
      <c r="V58" s="230">
        <v>0</v>
      </c>
      <c r="W58" s="230">
        <v>0</v>
      </c>
      <c r="X58" s="230">
        <v>0</v>
      </c>
      <c r="Y58" s="230">
        <v>0</v>
      </c>
      <c r="Z58" s="230">
        <v>0</v>
      </c>
      <c r="AA58" s="230">
        <v>0</v>
      </c>
      <c r="AB58" s="230">
        <v>0</v>
      </c>
      <c r="AC58" s="230">
        <v>0</v>
      </c>
      <c r="AD58" s="230">
        <v>0</v>
      </c>
      <c r="AE58" s="230">
        <v>0</v>
      </c>
      <c r="AF58" s="230">
        <v>0</v>
      </c>
      <c r="AG58" s="230">
        <v>0</v>
      </c>
      <c r="AH58" s="230">
        <v>0</v>
      </c>
      <c r="AI58" s="230">
        <v>0</v>
      </c>
      <c r="AJ58" s="230">
        <v>0</v>
      </c>
      <c r="AK58" s="230">
        <v>0</v>
      </c>
      <c r="AL58" s="230">
        <v>0</v>
      </c>
      <c r="AM58" s="230">
        <v>0</v>
      </c>
      <c r="AN58" s="230">
        <v>0</v>
      </c>
      <c r="AO58" s="230">
        <v>0</v>
      </c>
      <c r="AP58" s="230">
        <v>0</v>
      </c>
    </row>
    <row r="59" spans="1:42" ht="12.75" customHeight="1" x14ac:dyDescent="0.25">
      <c r="B59" s="150"/>
      <c r="C59" s="776"/>
      <c r="D59" s="774"/>
      <c r="E59" s="229" t="s">
        <v>73</v>
      </c>
      <c r="F59" s="230">
        <v>0</v>
      </c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</row>
    <row r="60" spans="1:42" ht="12.75" customHeight="1" x14ac:dyDescent="0.3">
      <c r="A60" s="89"/>
      <c r="C60" s="97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</row>
    <row r="61" spans="1:42" ht="12.75" customHeight="1" x14ac:dyDescent="0.25">
      <c r="C61" s="777" t="s">
        <v>326</v>
      </c>
      <c r="D61" s="774" t="s">
        <v>132</v>
      </c>
      <c r="E61" s="373" t="s">
        <v>70</v>
      </c>
      <c r="F61" s="374">
        <v>0</v>
      </c>
      <c r="G61" s="374">
        <v>0</v>
      </c>
      <c r="H61" s="374">
        <v>0</v>
      </c>
      <c r="I61" s="374">
        <v>0</v>
      </c>
      <c r="J61" s="374">
        <v>0</v>
      </c>
      <c r="K61" s="374">
        <v>0</v>
      </c>
      <c r="L61" s="374">
        <v>0</v>
      </c>
      <c r="M61" s="374">
        <v>0</v>
      </c>
      <c r="N61" s="374">
        <v>0</v>
      </c>
      <c r="O61" s="374">
        <v>0</v>
      </c>
      <c r="P61" s="374">
        <v>0</v>
      </c>
      <c r="Q61" s="374">
        <v>0</v>
      </c>
      <c r="R61" s="374">
        <v>0</v>
      </c>
      <c r="S61" s="374">
        <v>0</v>
      </c>
      <c r="T61" s="374">
        <v>0</v>
      </c>
      <c r="U61" s="374">
        <v>0</v>
      </c>
      <c r="V61" s="374">
        <v>0</v>
      </c>
      <c r="W61" s="374">
        <v>0</v>
      </c>
      <c r="X61" s="374">
        <v>0</v>
      </c>
      <c r="Y61" s="374">
        <v>0</v>
      </c>
      <c r="Z61" s="374">
        <v>0</v>
      </c>
      <c r="AA61" s="374">
        <v>0</v>
      </c>
      <c r="AB61" s="374">
        <v>0</v>
      </c>
      <c r="AC61" s="374">
        <v>0</v>
      </c>
      <c r="AD61" s="374">
        <v>0</v>
      </c>
      <c r="AE61" s="374">
        <v>0</v>
      </c>
      <c r="AF61" s="374">
        <v>0</v>
      </c>
      <c r="AG61" s="374">
        <v>0</v>
      </c>
      <c r="AH61" s="374">
        <v>0</v>
      </c>
      <c r="AI61" s="374">
        <v>0</v>
      </c>
      <c r="AJ61" s="374">
        <v>0</v>
      </c>
      <c r="AK61" s="374">
        <v>0</v>
      </c>
      <c r="AL61" s="374">
        <v>0</v>
      </c>
      <c r="AM61" s="374">
        <v>0</v>
      </c>
      <c r="AN61" s="374">
        <v>0</v>
      </c>
      <c r="AO61" s="374">
        <v>0</v>
      </c>
    </row>
    <row r="62" spans="1:42" ht="12.75" customHeight="1" x14ac:dyDescent="0.25">
      <c r="C62" s="777"/>
      <c r="D62" s="774"/>
      <c r="E62" s="373" t="s">
        <v>73</v>
      </c>
      <c r="F62" s="374">
        <v>0</v>
      </c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</row>
    <row r="63" spans="1:42" ht="12.75" customHeight="1" x14ac:dyDescent="0.25">
      <c r="C63" s="777"/>
      <c r="D63" s="774" t="s">
        <v>133</v>
      </c>
      <c r="E63" s="242" t="s">
        <v>70</v>
      </c>
      <c r="F63" s="243">
        <v>0</v>
      </c>
      <c r="G63" s="243">
        <v>0</v>
      </c>
      <c r="H63" s="243">
        <v>0</v>
      </c>
      <c r="I63" s="243">
        <v>0</v>
      </c>
      <c r="J63" s="243">
        <v>0</v>
      </c>
      <c r="K63" s="243">
        <v>0</v>
      </c>
      <c r="L63" s="243">
        <v>0</v>
      </c>
      <c r="M63" s="243">
        <v>0</v>
      </c>
      <c r="N63" s="243">
        <v>0</v>
      </c>
      <c r="O63" s="243">
        <v>0</v>
      </c>
      <c r="P63" s="243">
        <v>0</v>
      </c>
      <c r="Q63" s="243">
        <v>0</v>
      </c>
      <c r="R63" s="243">
        <v>0</v>
      </c>
      <c r="S63" s="243">
        <v>0</v>
      </c>
      <c r="T63" s="243">
        <v>0</v>
      </c>
      <c r="U63" s="243">
        <v>0</v>
      </c>
      <c r="V63" s="243">
        <v>0</v>
      </c>
      <c r="W63" s="243">
        <v>0</v>
      </c>
      <c r="X63" s="243">
        <v>0</v>
      </c>
      <c r="Y63" s="243">
        <v>0</v>
      </c>
      <c r="Z63" s="243">
        <v>0</v>
      </c>
      <c r="AA63" s="243">
        <v>0</v>
      </c>
      <c r="AB63" s="243">
        <v>0</v>
      </c>
      <c r="AC63" s="243">
        <v>0</v>
      </c>
      <c r="AD63" s="243">
        <v>0</v>
      </c>
      <c r="AE63" s="243">
        <v>0</v>
      </c>
      <c r="AF63" s="243">
        <v>0</v>
      </c>
      <c r="AG63" s="243">
        <v>0</v>
      </c>
      <c r="AH63" s="243">
        <v>0</v>
      </c>
      <c r="AI63" s="243">
        <v>0</v>
      </c>
      <c r="AJ63" s="243">
        <v>0</v>
      </c>
      <c r="AK63" s="243">
        <v>0</v>
      </c>
      <c r="AL63" s="243">
        <v>0</v>
      </c>
      <c r="AM63" s="243">
        <v>0</v>
      </c>
      <c r="AN63" s="243">
        <v>0</v>
      </c>
      <c r="AO63" s="243">
        <v>0</v>
      </c>
    </row>
    <row r="64" spans="1:42" ht="12.75" customHeight="1" x14ac:dyDescent="0.25">
      <c r="C64" s="777"/>
      <c r="D64" s="774"/>
      <c r="E64" s="242" t="s">
        <v>73</v>
      </c>
      <c r="F64" s="243">
        <v>0</v>
      </c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</row>
    <row r="65" spans="1:42" ht="12.75" customHeight="1" x14ac:dyDescent="0.3">
      <c r="A65" s="89"/>
      <c r="C65" s="97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</row>
    <row r="66" spans="1:42" ht="12.75" customHeight="1" x14ac:dyDescent="0.25">
      <c r="C66" s="776" t="s">
        <v>119</v>
      </c>
      <c r="D66" s="774" t="s">
        <v>132</v>
      </c>
      <c r="E66" s="101" t="s">
        <v>70</v>
      </c>
      <c r="F66" s="93">
        <f>F40+F28+F8-L8-L28</f>
        <v>723388828.91999996</v>
      </c>
      <c r="G66" s="93">
        <f t="shared" ref="G66:AP66" si="3">G28+G8</f>
        <v>86569202.910000011</v>
      </c>
      <c r="H66" s="93">
        <f t="shared" si="3"/>
        <v>48205717.399999999</v>
      </c>
      <c r="I66" s="93">
        <f t="shared" si="3"/>
        <v>25474471.190000001</v>
      </c>
      <c r="J66" s="93">
        <f t="shared" si="3"/>
        <v>52969174.980000004</v>
      </c>
      <c r="K66" s="93">
        <f t="shared" si="3"/>
        <v>1636424.3599999999</v>
      </c>
      <c r="L66" s="93">
        <f t="shared" si="3"/>
        <v>19509370.379999999</v>
      </c>
      <c r="M66" s="93">
        <f t="shared" si="3"/>
        <v>14376398.389999999</v>
      </c>
      <c r="N66" s="93">
        <f t="shared" si="3"/>
        <v>17781822.419999998</v>
      </c>
      <c r="O66" s="93">
        <f t="shared" si="3"/>
        <v>82744888.460000008</v>
      </c>
      <c r="P66" s="93">
        <f t="shared" si="3"/>
        <v>236118415.52000001</v>
      </c>
      <c r="Q66" s="93">
        <f t="shared" si="3"/>
        <v>2670317.9300000002</v>
      </c>
      <c r="R66" s="93">
        <f t="shared" si="3"/>
        <v>-2033.94</v>
      </c>
      <c r="S66" s="93">
        <f t="shared" si="3"/>
        <v>0.03</v>
      </c>
      <c r="T66" s="93">
        <f t="shared" si="3"/>
        <v>0.26</v>
      </c>
      <c r="U66" s="93">
        <f t="shared" si="3"/>
        <v>0</v>
      </c>
      <c r="V66" s="93">
        <f t="shared" si="3"/>
        <v>0</v>
      </c>
      <c r="W66" s="93">
        <f t="shared" si="3"/>
        <v>0</v>
      </c>
      <c r="X66" s="93">
        <f t="shared" si="3"/>
        <v>0</v>
      </c>
      <c r="Y66" s="93">
        <f t="shared" si="3"/>
        <v>0</v>
      </c>
      <c r="Z66" s="93">
        <f t="shared" si="3"/>
        <v>0</v>
      </c>
      <c r="AA66" s="93">
        <f t="shared" si="3"/>
        <v>0</v>
      </c>
      <c r="AB66" s="93">
        <f t="shared" si="3"/>
        <v>0</v>
      </c>
      <c r="AC66" s="93">
        <f t="shared" si="3"/>
        <v>0</v>
      </c>
      <c r="AD66" s="93">
        <f t="shared" si="3"/>
        <v>0</v>
      </c>
      <c r="AE66" s="93">
        <f t="shared" si="3"/>
        <v>0</v>
      </c>
      <c r="AF66" s="93">
        <f t="shared" si="3"/>
        <v>0</v>
      </c>
      <c r="AG66" s="93">
        <f t="shared" si="3"/>
        <v>0</v>
      </c>
      <c r="AH66" s="93">
        <f t="shared" si="3"/>
        <v>0</v>
      </c>
      <c r="AI66" s="93">
        <f t="shared" si="3"/>
        <v>0</v>
      </c>
      <c r="AJ66" s="93">
        <f t="shared" si="3"/>
        <v>0</v>
      </c>
      <c r="AK66" s="93">
        <f t="shared" si="3"/>
        <v>0</v>
      </c>
      <c r="AL66" s="93">
        <f t="shared" si="3"/>
        <v>0</v>
      </c>
      <c r="AM66" s="93">
        <f t="shared" si="3"/>
        <v>0</v>
      </c>
      <c r="AN66" s="93">
        <f t="shared" si="3"/>
        <v>0</v>
      </c>
      <c r="AO66" s="93">
        <f t="shared" si="3"/>
        <v>0</v>
      </c>
      <c r="AP66" s="93">
        <f t="shared" si="3"/>
        <v>0</v>
      </c>
    </row>
    <row r="67" spans="1:42" ht="12.75" customHeight="1" x14ac:dyDescent="0.25">
      <c r="C67" s="776"/>
      <c r="D67" s="774"/>
      <c r="E67" s="101" t="s">
        <v>73</v>
      </c>
      <c r="F67" s="93">
        <f>F40</f>
        <v>154844029.00999999</v>
      </c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</row>
    <row r="68" spans="1:42" ht="12.75" customHeight="1" x14ac:dyDescent="0.25">
      <c r="C68" s="776"/>
      <c r="D68" s="774" t="s">
        <v>133</v>
      </c>
      <c r="E68" s="235" t="s">
        <v>70</v>
      </c>
      <c r="F68" s="236">
        <f>F13-L13</f>
        <v>40070</v>
      </c>
      <c r="G68" s="236">
        <f>G13</f>
        <v>1956.64</v>
      </c>
      <c r="H68" s="236">
        <f t="shared" ref="H68:AP68" si="4">H13</f>
        <v>1090.23</v>
      </c>
      <c r="I68" s="236">
        <f t="shared" si="4"/>
        <v>579.83000000000004</v>
      </c>
      <c r="J68" s="236">
        <f t="shared" si="4"/>
        <v>9781.0400000000009</v>
      </c>
      <c r="K68" s="236">
        <f t="shared" si="4"/>
        <v>359.68</v>
      </c>
      <c r="L68" s="236">
        <f t="shared" si="4"/>
        <v>0</v>
      </c>
      <c r="M68" s="236">
        <f t="shared" si="4"/>
        <v>3155.11</v>
      </c>
      <c r="N68" s="236">
        <f t="shared" si="4"/>
        <v>3024.18</v>
      </c>
      <c r="O68" s="236">
        <f t="shared" si="4"/>
        <v>14196.18</v>
      </c>
      <c r="P68" s="236">
        <f t="shared" si="4"/>
        <v>5344.07</v>
      </c>
      <c r="Q68" s="236">
        <f t="shared" si="4"/>
        <v>586.85</v>
      </c>
      <c r="R68" s="236">
        <f t="shared" si="4"/>
        <v>-3.81</v>
      </c>
      <c r="S68" s="236">
        <f t="shared" si="4"/>
        <v>0</v>
      </c>
      <c r="T68" s="236">
        <f t="shared" si="4"/>
        <v>0</v>
      </c>
      <c r="U68" s="236">
        <f t="shared" si="4"/>
        <v>0</v>
      </c>
      <c r="V68" s="236">
        <f t="shared" si="4"/>
        <v>0</v>
      </c>
      <c r="W68" s="236">
        <f t="shared" si="4"/>
        <v>0</v>
      </c>
      <c r="X68" s="236">
        <f t="shared" si="4"/>
        <v>0</v>
      </c>
      <c r="Y68" s="236">
        <f t="shared" si="4"/>
        <v>0</v>
      </c>
      <c r="Z68" s="236">
        <f t="shared" si="4"/>
        <v>0</v>
      </c>
      <c r="AA68" s="236">
        <f t="shared" si="4"/>
        <v>0</v>
      </c>
      <c r="AB68" s="236">
        <f t="shared" si="4"/>
        <v>0</v>
      </c>
      <c r="AC68" s="236">
        <f t="shared" si="4"/>
        <v>0</v>
      </c>
      <c r="AD68" s="236">
        <f t="shared" si="4"/>
        <v>0</v>
      </c>
      <c r="AE68" s="236">
        <f t="shared" si="4"/>
        <v>0</v>
      </c>
      <c r="AF68" s="236">
        <f t="shared" si="4"/>
        <v>0</v>
      </c>
      <c r="AG68" s="236">
        <f t="shared" si="4"/>
        <v>0</v>
      </c>
      <c r="AH68" s="236">
        <f t="shared" si="4"/>
        <v>0</v>
      </c>
      <c r="AI68" s="236">
        <f t="shared" si="4"/>
        <v>0</v>
      </c>
      <c r="AJ68" s="236">
        <f t="shared" si="4"/>
        <v>0</v>
      </c>
      <c r="AK68" s="236">
        <f t="shared" si="4"/>
        <v>0</v>
      </c>
      <c r="AL68" s="236">
        <f t="shared" si="4"/>
        <v>0</v>
      </c>
      <c r="AM68" s="236">
        <f t="shared" si="4"/>
        <v>0</v>
      </c>
      <c r="AN68" s="236">
        <f t="shared" si="4"/>
        <v>0</v>
      </c>
      <c r="AO68" s="236">
        <f t="shared" si="4"/>
        <v>0</v>
      </c>
      <c r="AP68" s="236">
        <f t="shared" si="4"/>
        <v>0</v>
      </c>
    </row>
    <row r="69" spans="1:42" ht="12.75" customHeight="1" x14ac:dyDescent="0.25">
      <c r="C69" s="776"/>
      <c r="D69" s="774"/>
      <c r="E69" s="235" t="s">
        <v>73</v>
      </c>
      <c r="F69" s="236">
        <v>0</v>
      </c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</row>
    <row r="70" spans="1:42" ht="12.75" customHeight="1" x14ac:dyDescent="0.3">
      <c r="A70" s="89"/>
      <c r="C70" s="97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</row>
    <row r="71" spans="1:42" ht="12.75" customHeight="1" x14ac:dyDescent="0.25">
      <c r="C71" s="775" t="s">
        <v>161</v>
      </c>
      <c r="D71" s="774" t="s">
        <v>132</v>
      </c>
      <c r="E71" s="231" t="s">
        <v>70</v>
      </c>
      <c r="F71" s="232">
        <v>0</v>
      </c>
      <c r="G71" s="232">
        <v>0</v>
      </c>
      <c r="H71" s="232">
        <v>0</v>
      </c>
      <c r="I71" s="232">
        <v>0</v>
      </c>
      <c r="J71" s="232">
        <v>0</v>
      </c>
      <c r="K71" s="232">
        <v>0</v>
      </c>
      <c r="L71" s="232">
        <v>0</v>
      </c>
      <c r="M71" s="232">
        <v>0</v>
      </c>
      <c r="N71" s="232">
        <v>0</v>
      </c>
      <c r="O71" s="232">
        <v>0</v>
      </c>
      <c r="P71" s="232">
        <v>0</v>
      </c>
      <c r="Q71" s="232">
        <v>0</v>
      </c>
      <c r="R71" s="232">
        <v>0</v>
      </c>
      <c r="S71" s="232">
        <v>0</v>
      </c>
      <c r="T71" s="232">
        <v>0</v>
      </c>
      <c r="U71" s="232">
        <v>0</v>
      </c>
      <c r="V71" s="232">
        <v>0</v>
      </c>
      <c r="W71" s="232">
        <v>0</v>
      </c>
      <c r="X71" s="232">
        <v>0</v>
      </c>
      <c r="Y71" s="232">
        <v>0</v>
      </c>
      <c r="Z71" s="232">
        <v>0</v>
      </c>
      <c r="AA71" s="232">
        <v>0</v>
      </c>
      <c r="AB71" s="232">
        <v>0</v>
      </c>
      <c r="AC71" s="232">
        <v>0</v>
      </c>
      <c r="AD71" s="232">
        <v>0</v>
      </c>
      <c r="AE71" s="232">
        <v>0</v>
      </c>
      <c r="AF71" s="232">
        <v>0</v>
      </c>
      <c r="AG71" s="232">
        <v>0</v>
      </c>
      <c r="AH71" s="232">
        <v>0</v>
      </c>
      <c r="AI71" s="232">
        <v>0</v>
      </c>
      <c r="AJ71" s="232">
        <v>0</v>
      </c>
      <c r="AK71" s="232">
        <v>0</v>
      </c>
      <c r="AL71" s="232">
        <v>0</v>
      </c>
      <c r="AM71" s="232">
        <v>0</v>
      </c>
      <c r="AN71" s="232">
        <v>0</v>
      </c>
      <c r="AO71" s="232">
        <v>0</v>
      </c>
      <c r="AP71" s="232">
        <v>0</v>
      </c>
    </row>
    <row r="72" spans="1:42" ht="12.75" customHeight="1" x14ac:dyDescent="0.25">
      <c r="C72" s="775"/>
      <c r="D72" s="774"/>
      <c r="E72" s="231" t="s">
        <v>73</v>
      </c>
      <c r="F72" s="232">
        <v>0</v>
      </c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</row>
    <row r="73" spans="1:42" ht="12.75" customHeight="1" x14ac:dyDescent="0.25">
      <c r="C73" s="775"/>
      <c r="D73" s="774" t="s">
        <v>133</v>
      </c>
      <c r="E73" s="148" t="s">
        <v>70</v>
      </c>
      <c r="F73" s="149">
        <v>0</v>
      </c>
      <c r="G73" s="149">
        <v>0</v>
      </c>
      <c r="H73" s="149">
        <v>0</v>
      </c>
      <c r="I73" s="149">
        <v>0</v>
      </c>
      <c r="J73" s="149">
        <v>0</v>
      </c>
      <c r="K73" s="149">
        <v>0</v>
      </c>
      <c r="L73" s="149">
        <v>0</v>
      </c>
      <c r="M73" s="149">
        <v>0</v>
      </c>
      <c r="N73" s="149">
        <v>0</v>
      </c>
      <c r="O73" s="149">
        <v>0</v>
      </c>
      <c r="P73" s="149">
        <v>0</v>
      </c>
      <c r="Q73" s="149">
        <v>0</v>
      </c>
      <c r="R73" s="149">
        <v>0</v>
      </c>
      <c r="S73" s="149">
        <v>0</v>
      </c>
      <c r="T73" s="149">
        <v>0</v>
      </c>
      <c r="U73" s="149">
        <v>0</v>
      </c>
      <c r="V73" s="149">
        <v>0</v>
      </c>
      <c r="W73" s="149">
        <v>0</v>
      </c>
      <c r="X73" s="149">
        <v>0</v>
      </c>
      <c r="Y73" s="149">
        <v>0</v>
      </c>
      <c r="Z73" s="149">
        <v>0</v>
      </c>
      <c r="AA73" s="149">
        <v>0</v>
      </c>
      <c r="AB73" s="149">
        <v>0</v>
      </c>
      <c r="AC73" s="149">
        <v>0</v>
      </c>
      <c r="AD73" s="149">
        <v>0</v>
      </c>
      <c r="AE73" s="149">
        <v>0</v>
      </c>
      <c r="AF73" s="149">
        <v>0</v>
      </c>
      <c r="AG73" s="149">
        <v>0</v>
      </c>
      <c r="AH73" s="149">
        <v>0</v>
      </c>
      <c r="AI73" s="149">
        <v>0</v>
      </c>
      <c r="AJ73" s="149">
        <v>0</v>
      </c>
      <c r="AK73" s="149">
        <v>0</v>
      </c>
      <c r="AL73" s="149">
        <v>0</v>
      </c>
      <c r="AM73" s="149">
        <v>0</v>
      </c>
      <c r="AN73" s="149">
        <v>0</v>
      </c>
      <c r="AO73" s="149">
        <v>0</v>
      </c>
      <c r="AP73" s="149">
        <v>0</v>
      </c>
    </row>
    <row r="74" spans="1:42" ht="12.75" customHeight="1" x14ac:dyDescent="0.25">
      <c r="C74" s="775"/>
      <c r="D74" s="774"/>
      <c r="E74" s="148" t="s">
        <v>73</v>
      </c>
      <c r="F74" s="149">
        <v>0</v>
      </c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</row>
    <row r="75" spans="1:42" ht="12.75" customHeight="1" x14ac:dyDescent="0.25">
      <c r="C75" s="388"/>
      <c r="D75" s="220"/>
      <c r="E75" s="89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</row>
    <row r="76" spans="1:42" ht="12.75" customHeight="1" x14ac:dyDescent="0.25">
      <c r="D76" s="458" t="s">
        <v>186</v>
      </c>
      <c r="E76" s="459" t="s">
        <v>70</v>
      </c>
      <c r="F76" s="460">
        <f t="shared" ref="F76:AP76" si="5">F10</f>
        <v>-17225.21</v>
      </c>
      <c r="G76" s="460">
        <f t="shared" si="5"/>
        <v>-1127.52</v>
      </c>
      <c r="H76" s="460">
        <f t="shared" si="5"/>
        <v>-479</v>
      </c>
      <c r="I76" s="460">
        <f t="shared" si="5"/>
        <v>-209.2</v>
      </c>
      <c r="J76" s="460">
        <f t="shared" si="5"/>
        <v>-3072.3</v>
      </c>
      <c r="K76" s="460">
        <f t="shared" si="5"/>
        <v>-198.78</v>
      </c>
      <c r="L76" s="460">
        <f t="shared" si="5"/>
        <v>0</v>
      </c>
      <c r="M76" s="460">
        <f t="shared" si="5"/>
        <v>-1743.38</v>
      </c>
      <c r="N76" s="460">
        <f t="shared" si="5"/>
        <v>-1458.17</v>
      </c>
      <c r="O76" s="460">
        <f t="shared" si="5"/>
        <v>-5823.96</v>
      </c>
      <c r="P76" s="460">
        <f t="shared" si="5"/>
        <v>-2788.6</v>
      </c>
      <c r="Q76" s="460">
        <f t="shared" si="5"/>
        <v>-324.3</v>
      </c>
      <c r="R76" s="460">
        <f t="shared" si="5"/>
        <v>0</v>
      </c>
      <c r="S76" s="460">
        <f t="shared" si="5"/>
        <v>0</v>
      </c>
      <c r="T76" s="460">
        <f t="shared" si="5"/>
        <v>0</v>
      </c>
      <c r="U76" s="460">
        <f t="shared" si="5"/>
        <v>0</v>
      </c>
      <c r="V76" s="460">
        <f t="shared" si="5"/>
        <v>0</v>
      </c>
      <c r="W76" s="460">
        <f t="shared" si="5"/>
        <v>0</v>
      </c>
      <c r="X76" s="460">
        <f t="shared" si="5"/>
        <v>0</v>
      </c>
      <c r="Y76" s="460">
        <f t="shared" si="5"/>
        <v>0</v>
      </c>
      <c r="Z76" s="460">
        <f t="shared" si="5"/>
        <v>0</v>
      </c>
      <c r="AA76" s="460">
        <f t="shared" si="5"/>
        <v>0</v>
      </c>
      <c r="AB76" s="460">
        <f t="shared" si="5"/>
        <v>0</v>
      </c>
      <c r="AC76" s="460">
        <f t="shared" si="5"/>
        <v>0</v>
      </c>
      <c r="AD76" s="460">
        <f t="shared" si="5"/>
        <v>0</v>
      </c>
      <c r="AE76" s="460">
        <f t="shared" si="5"/>
        <v>0</v>
      </c>
      <c r="AF76" s="460">
        <f t="shared" si="5"/>
        <v>0</v>
      </c>
      <c r="AG76" s="460">
        <f t="shared" si="5"/>
        <v>0</v>
      </c>
      <c r="AH76" s="460">
        <f t="shared" si="5"/>
        <v>0</v>
      </c>
      <c r="AI76" s="460">
        <f t="shared" si="5"/>
        <v>0</v>
      </c>
      <c r="AJ76" s="460">
        <f t="shared" si="5"/>
        <v>0</v>
      </c>
      <c r="AK76" s="460">
        <f t="shared" si="5"/>
        <v>0</v>
      </c>
      <c r="AL76" s="460">
        <f t="shared" si="5"/>
        <v>0</v>
      </c>
      <c r="AM76" s="460">
        <f t="shared" si="5"/>
        <v>0</v>
      </c>
      <c r="AN76" s="460">
        <f t="shared" si="5"/>
        <v>0</v>
      </c>
      <c r="AO76" s="460">
        <f t="shared" si="5"/>
        <v>0</v>
      </c>
      <c r="AP76" s="460">
        <f t="shared" si="5"/>
        <v>0</v>
      </c>
    </row>
    <row r="77" spans="1:42" ht="12.75" customHeight="1" x14ac:dyDescent="0.25">
      <c r="C77" s="388"/>
      <c r="D77" s="220"/>
      <c r="E77" s="89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</row>
    <row r="78" spans="1:42" s="238" customFormat="1" ht="12.75" customHeight="1" x14ac:dyDescent="0.25">
      <c r="B78" s="239"/>
      <c r="C78" s="239"/>
      <c r="E78" s="240"/>
      <c r="F78" s="240"/>
      <c r="G78" s="240"/>
      <c r="H78" s="240"/>
      <c r="I78" s="240"/>
      <c r="J78" s="240"/>
      <c r="K78" s="240"/>
      <c r="L78" s="240"/>
      <c r="M78" s="240"/>
      <c r="N78" s="240"/>
      <c r="O78" s="240"/>
      <c r="P78" s="240"/>
      <c r="Q78" s="240"/>
      <c r="R78" s="240"/>
    </row>
    <row r="79" spans="1:42" ht="12" customHeight="1" x14ac:dyDescent="0.3">
      <c r="A79" s="89"/>
      <c r="B79" s="97" t="s">
        <v>75</v>
      </c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</row>
    <row r="80" spans="1:42" ht="12.5" customHeight="1" x14ac:dyDescent="0.25">
      <c r="F80" s="89" t="s">
        <v>70</v>
      </c>
      <c r="G80" s="89" t="s">
        <v>64</v>
      </c>
      <c r="H80" s="89" t="s">
        <v>65</v>
      </c>
      <c r="I80" s="218" t="s">
        <v>164</v>
      </c>
      <c r="J80" s="89" t="s">
        <v>69</v>
      </c>
      <c r="K80" s="89" t="s">
        <v>68</v>
      </c>
      <c r="L80" s="89" t="s">
        <v>71</v>
      </c>
      <c r="M80" s="89" t="s">
        <v>66</v>
      </c>
      <c r="N80" s="89" t="s">
        <v>63</v>
      </c>
      <c r="O80" s="89" t="s">
        <v>61</v>
      </c>
      <c r="P80" s="89" t="s">
        <v>62</v>
      </c>
      <c r="Q80" s="89" t="s">
        <v>67</v>
      </c>
      <c r="R80" s="89" t="s">
        <v>77</v>
      </c>
      <c r="S80" s="89" t="s">
        <v>80</v>
      </c>
      <c r="T80" s="89" t="s">
        <v>135</v>
      </c>
      <c r="U80" s="89" t="s">
        <v>173</v>
      </c>
      <c r="V80" s="89" t="s">
        <v>222</v>
      </c>
      <c r="W80" s="89" t="s">
        <v>173</v>
      </c>
      <c r="X80" t="s">
        <v>173</v>
      </c>
      <c r="Y80" s="89" t="s">
        <v>135</v>
      </c>
      <c r="Z80" s="89" t="s">
        <v>167</v>
      </c>
    </row>
    <row r="81" spans="1:26" ht="12.75" customHeight="1" x14ac:dyDescent="0.25">
      <c r="E81" t="s">
        <v>72</v>
      </c>
      <c r="F81" s="384">
        <v>-959960.05</v>
      </c>
      <c r="G81" s="89">
        <v>-83596.03</v>
      </c>
      <c r="H81" s="89">
        <v>-35513.93</v>
      </c>
      <c r="I81" s="664">
        <v>-15509.04</v>
      </c>
      <c r="J81" s="89">
        <v>-193649.93</v>
      </c>
      <c r="K81" s="89">
        <v>-8005.36</v>
      </c>
      <c r="L81" s="89">
        <v>0</v>
      </c>
      <c r="M81" s="89">
        <v>-70404.88</v>
      </c>
      <c r="N81" s="89">
        <v>-88042.57</v>
      </c>
      <c r="O81" s="89">
        <v>-295676.03999999998</v>
      </c>
      <c r="P81" s="89">
        <v>-156499.38</v>
      </c>
      <c r="Q81" s="89">
        <v>-13062.89</v>
      </c>
      <c r="R81" s="89">
        <v>0</v>
      </c>
      <c r="S81" s="89">
        <v>0</v>
      </c>
      <c r="T81" s="89">
        <v>0</v>
      </c>
      <c r="U81" s="89">
        <v>0</v>
      </c>
      <c r="V81" s="89">
        <v>0</v>
      </c>
      <c r="W81" s="89">
        <v>0</v>
      </c>
      <c r="X81">
        <v>0</v>
      </c>
      <c r="Y81" s="89">
        <v>0</v>
      </c>
      <c r="Z81" s="89">
        <v>0</v>
      </c>
    </row>
    <row r="82" spans="1:26" ht="12.75" customHeight="1" x14ac:dyDescent="0.25">
      <c r="D82" t="s">
        <v>156</v>
      </c>
      <c r="E82" t="s">
        <v>70</v>
      </c>
      <c r="F82" s="384">
        <v>-959960.05</v>
      </c>
      <c r="G82" s="89">
        <v>-83596.03</v>
      </c>
      <c r="H82" s="89">
        <v>-35513.93</v>
      </c>
      <c r="I82" s="664">
        <v>-15509.04</v>
      </c>
      <c r="J82" s="89">
        <v>-193649.93</v>
      </c>
      <c r="K82" s="89">
        <v>-8005.36</v>
      </c>
      <c r="L82" s="89">
        <v>0</v>
      </c>
      <c r="M82" s="89">
        <v>-70404.88</v>
      </c>
      <c r="N82" s="89">
        <v>-88042.57</v>
      </c>
      <c r="O82" s="89">
        <v>-295676.03999999998</v>
      </c>
      <c r="P82" s="89">
        <v>-156499.38</v>
      </c>
      <c r="Q82" s="89">
        <v>-13062.89</v>
      </c>
      <c r="R82" s="89">
        <v>0</v>
      </c>
      <c r="S82" s="89">
        <v>0</v>
      </c>
      <c r="T82" s="89">
        <v>0</v>
      </c>
      <c r="U82" s="89">
        <v>0</v>
      </c>
      <c r="V82" s="89">
        <v>0</v>
      </c>
      <c r="W82" s="89">
        <v>0</v>
      </c>
      <c r="X82">
        <v>0</v>
      </c>
      <c r="Y82" s="89">
        <v>0</v>
      </c>
      <c r="Z82" s="89">
        <v>0</v>
      </c>
    </row>
    <row r="83" spans="1:26" s="656" customFormat="1" ht="12.75" customHeight="1" x14ac:dyDescent="0.25">
      <c r="C83" s="656" t="s">
        <v>155</v>
      </c>
      <c r="D83" s="656" t="s">
        <v>70</v>
      </c>
      <c r="F83" s="736">
        <v>-959960.05</v>
      </c>
      <c r="G83" s="657">
        <v>-83596.03</v>
      </c>
      <c r="H83" s="657">
        <v>-35513.93</v>
      </c>
      <c r="I83" s="737">
        <v>-15509.04</v>
      </c>
      <c r="J83" s="657">
        <v>-193649.93</v>
      </c>
      <c r="K83" s="657">
        <v>-8005.36</v>
      </c>
      <c r="L83" s="657">
        <v>0</v>
      </c>
      <c r="M83" s="657">
        <v>-70404.88</v>
      </c>
      <c r="N83" s="657">
        <v>-88042.57</v>
      </c>
      <c r="O83" s="657">
        <v>-295676.03999999998</v>
      </c>
      <c r="P83" s="657">
        <v>-156499.38</v>
      </c>
      <c r="Q83" s="657">
        <v>-13062.89</v>
      </c>
      <c r="R83" s="657">
        <v>0</v>
      </c>
      <c r="S83" s="657">
        <v>0</v>
      </c>
      <c r="T83" s="657">
        <v>0</v>
      </c>
      <c r="U83" s="657">
        <v>0</v>
      </c>
      <c r="V83" s="657">
        <v>0</v>
      </c>
      <c r="W83" s="657">
        <v>0</v>
      </c>
      <c r="X83" s="656">
        <v>0</v>
      </c>
      <c r="Y83" s="657">
        <v>0</v>
      </c>
      <c r="Z83" s="657">
        <v>0</v>
      </c>
    </row>
    <row r="84" spans="1:26" ht="12.75" customHeight="1" x14ac:dyDescent="0.25">
      <c r="E84" s="89" t="s">
        <v>72</v>
      </c>
      <c r="F84" s="90">
        <v>-7651.9</v>
      </c>
      <c r="G84" s="90">
        <v>-673.86</v>
      </c>
      <c r="H84" s="90">
        <v>-286.29000000000002</v>
      </c>
      <c r="I84" s="90">
        <v>-125.01</v>
      </c>
      <c r="J84" s="90">
        <v>-1539.2</v>
      </c>
      <c r="K84" s="90">
        <v>-63.42</v>
      </c>
      <c r="L84" s="90">
        <v>0</v>
      </c>
      <c r="M84" s="90">
        <v>-556.32000000000005</v>
      </c>
      <c r="N84" s="90">
        <v>-697.37</v>
      </c>
      <c r="O84" s="90">
        <v>-2342.4</v>
      </c>
      <c r="P84" s="90">
        <v>-1264.56</v>
      </c>
      <c r="Q84" s="90">
        <v>-103.47</v>
      </c>
      <c r="R84" s="90">
        <v>0</v>
      </c>
      <c r="S84" s="90">
        <v>0</v>
      </c>
      <c r="T84" s="90">
        <v>0</v>
      </c>
      <c r="U84" s="90">
        <v>0</v>
      </c>
      <c r="V84" s="90">
        <v>0</v>
      </c>
      <c r="W84" s="90">
        <v>0</v>
      </c>
      <c r="X84">
        <v>0</v>
      </c>
      <c r="Y84">
        <v>0</v>
      </c>
      <c r="Z84">
        <v>0</v>
      </c>
    </row>
    <row r="85" spans="1:26" ht="12.75" customHeight="1" x14ac:dyDescent="0.25">
      <c r="D85" t="s">
        <v>82</v>
      </c>
      <c r="E85" s="89" t="s">
        <v>70</v>
      </c>
      <c r="F85" s="371">
        <v>-7651.9</v>
      </c>
      <c r="G85" s="90">
        <v>-673.86</v>
      </c>
      <c r="H85" s="90">
        <v>-286.29000000000002</v>
      </c>
      <c r="I85" s="90">
        <v>-125.01</v>
      </c>
      <c r="J85" s="90">
        <v>-1539.2</v>
      </c>
      <c r="K85" s="90">
        <v>-63.42</v>
      </c>
      <c r="L85" s="90">
        <v>0</v>
      </c>
      <c r="M85" s="90">
        <v>-556.32000000000005</v>
      </c>
      <c r="N85" s="90">
        <v>-697.37</v>
      </c>
      <c r="O85" s="90">
        <v>-2342.4</v>
      </c>
      <c r="P85" s="90">
        <v>-1264.56</v>
      </c>
      <c r="Q85" s="90">
        <v>-103.47</v>
      </c>
      <c r="R85" s="90">
        <v>0</v>
      </c>
      <c r="S85" s="90">
        <v>0</v>
      </c>
      <c r="T85" s="90">
        <v>0</v>
      </c>
      <c r="U85" s="90">
        <v>0</v>
      </c>
      <c r="V85" s="90">
        <v>0</v>
      </c>
      <c r="W85" s="90">
        <v>0</v>
      </c>
      <c r="X85">
        <v>0</v>
      </c>
      <c r="Y85">
        <v>0</v>
      </c>
      <c r="Z85">
        <v>0</v>
      </c>
    </row>
    <row r="86" spans="1:26" ht="12.75" customHeight="1" x14ac:dyDescent="0.25">
      <c r="E86" s="89" t="s">
        <v>72</v>
      </c>
      <c r="F86" s="371">
        <v>-25906.78</v>
      </c>
      <c r="G86" s="90">
        <v>-2297.6799999999998</v>
      </c>
      <c r="H86" s="90">
        <v>-976.11</v>
      </c>
      <c r="I86" s="90">
        <v>-426.3</v>
      </c>
      <c r="J86" s="90">
        <v>-5194.83</v>
      </c>
      <c r="K86" s="90">
        <v>-214.04</v>
      </c>
      <c r="L86" s="90">
        <v>0</v>
      </c>
      <c r="M86" s="90">
        <v>-1877.6</v>
      </c>
      <c r="N86" s="90">
        <v>-2353.6</v>
      </c>
      <c r="O86" s="90">
        <v>-7905.6</v>
      </c>
      <c r="P86" s="90">
        <v>-4311.78</v>
      </c>
      <c r="Q86" s="90">
        <v>-349.24</v>
      </c>
      <c r="R86" s="90">
        <v>0</v>
      </c>
      <c r="S86" s="90">
        <v>0</v>
      </c>
      <c r="T86" s="90">
        <v>0</v>
      </c>
      <c r="U86" s="90">
        <v>0</v>
      </c>
      <c r="V86" s="90">
        <v>0</v>
      </c>
      <c r="W86" s="90">
        <v>0</v>
      </c>
      <c r="X86">
        <v>0</v>
      </c>
      <c r="Y86">
        <v>0</v>
      </c>
      <c r="Z86">
        <v>0</v>
      </c>
    </row>
    <row r="87" spans="1:26" ht="12.75" customHeight="1" x14ac:dyDescent="0.25">
      <c r="D87" t="s">
        <v>86</v>
      </c>
      <c r="E87" s="89" t="s">
        <v>70</v>
      </c>
      <c r="F87" s="371">
        <v>-25906.78</v>
      </c>
      <c r="G87" s="90">
        <v>-2297.6799999999998</v>
      </c>
      <c r="H87" s="90">
        <v>-976.11</v>
      </c>
      <c r="I87" s="90">
        <v>-426.3</v>
      </c>
      <c r="J87" s="90">
        <v>-5194.83</v>
      </c>
      <c r="K87" s="90">
        <v>-214.04</v>
      </c>
      <c r="L87" s="90">
        <v>0</v>
      </c>
      <c r="M87" s="90">
        <v>-1877.6</v>
      </c>
      <c r="N87" s="90">
        <v>-2353.6</v>
      </c>
      <c r="O87" s="90">
        <v>-7905.6</v>
      </c>
      <c r="P87" s="90">
        <v>-4311.78</v>
      </c>
      <c r="Q87" s="90">
        <v>-349.24</v>
      </c>
      <c r="R87" s="90">
        <v>0</v>
      </c>
      <c r="S87" s="90">
        <v>0</v>
      </c>
      <c r="T87" s="90">
        <v>0</v>
      </c>
      <c r="U87" s="90">
        <v>0</v>
      </c>
      <c r="V87" s="90">
        <v>0</v>
      </c>
      <c r="W87" s="90">
        <v>0</v>
      </c>
      <c r="X87">
        <v>0</v>
      </c>
      <c r="Y87">
        <v>0</v>
      </c>
      <c r="Z87">
        <v>0</v>
      </c>
    </row>
    <row r="88" spans="1:26" s="94" customFormat="1" ht="12.75" customHeight="1" x14ac:dyDescent="0.25">
      <c r="C88" s="94" t="s">
        <v>119</v>
      </c>
      <c r="D88" s="94" t="s">
        <v>70</v>
      </c>
      <c r="E88" s="101"/>
      <c r="F88" s="93">
        <v>-33558.68</v>
      </c>
      <c r="G88" s="93">
        <v>-2971.54</v>
      </c>
      <c r="H88" s="93">
        <v>-1262.4000000000001</v>
      </c>
      <c r="I88" s="93">
        <v>-551.30999999999995</v>
      </c>
      <c r="J88" s="93">
        <v>-6734.03</v>
      </c>
      <c r="K88" s="93">
        <v>-277.45999999999998</v>
      </c>
      <c r="L88" s="93">
        <v>0</v>
      </c>
      <c r="M88" s="93">
        <v>-2433.92</v>
      </c>
      <c r="N88" s="93">
        <v>-3050.97</v>
      </c>
      <c r="O88" s="93">
        <v>-10248</v>
      </c>
      <c r="P88" s="93">
        <v>-5576.34</v>
      </c>
      <c r="Q88" s="93">
        <v>-452.71</v>
      </c>
      <c r="R88" s="93">
        <v>0</v>
      </c>
      <c r="S88" s="93">
        <v>0</v>
      </c>
      <c r="T88" s="93">
        <v>0</v>
      </c>
      <c r="U88" s="93">
        <v>0</v>
      </c>
      <c r="V88" s="93">
        <v>0</v>
      </c>
      <c r="W88" s="93">
        <v>0</v>
      </c>
      <c r="X88" s="94">
        <v>0</v>
      </c>
      <c r="Y88" s="94">
        <v>0</v>
      </c>
      <c r="Z88" s="94">
        <v>0</v>
      </c>
    </row>
    <row r="89" spans="1:26" ht="12.75" customHeight="1" x14ac:dyDescent="0.25">
      <c r="B89" s="89" t="s">
        <v>112</v>
      </c>
      <c r="C89" s="89" t="s">
        <v>70</v>
      </c>
      <c r="F89" s="90">
        <v>-993518.73</v>
      </c>
      <c r="G89" s="90">
        <v>-86567.57</v>
      </c>
      <c r="H89" s="90">
        <v>-36776.33</v>
      </c>
      <c r="I89" s="90">
        <v>-16060.35</v>
      </c>
      <c r="J89" s="90">
        <v>-200383.96</v>
      </c>
      <c r="K89" s="90">
        <v>-8282.82</v>
      </c>
      <c r="L89" s="90">
        <v>0</v>
      </c>
      <c r="M89" s="90">
        <v>-72838.8</v>
      </c>
      <c r="N89" s="90">
        <v>-91093.54</v>
      </c>
      <c r="O89" s="90">
        <v>-305924.03999999998</v>
      </c>
      <c r="P89" s="90">
        <v>-162075.72</v>
      </c>
      <c r="Q89" s="90">
        <v>-13515.6</v>
      </c>
      <c r="R89" s="90">
        <v>0</v>
      </c>
      <c r="S89" s="90">
        <v>0</v>
      </c>
      <c r="T89">
        <v>0</v>
      </c>
      <c r="U89">
        <v>0</v>
      </c>
      <c r="V89">
        <v>0</v>
      </c>
      <c r="W89">
        <v>0</v>
      </c>
      <c r="X89">
        <v>0</v>
      </c>
      <c r="Y89" s="90">
        <v>0</v>
      </c>
      <c r="Z89">
        <v>0</v>
      </c>
    </row>
    <row r="90" spans="1:26" s="458" customFormat="1" x14ac:dyDescent="0.25">
      <c r="A90" s="458" t="s">
        <v>186</v>
      </c>
      <c r="B90" s="459" t="s">
        <v>70</v>
      </c>
      <c r="C90" s="459"/>
      <c r="F90" s="460">
        <v>-993518.73</v>
      </c>
      <c r="G90" s="460">
        <v>-86567.57</v>
      </c>
      <c r="H90" s="460">
        <v>-36776.33</v>
      </c>
      <c r="I90" s="460">
        <v>-16060.35</v>
      </c>
      <c r="J90" s="460">
        <v>-200383.96</v>
      </c>
      <c r="K90" s="460">
        <v>-8282.82</v>
      </c>
      <c r="L90" s="460">
        <v>0</v>
      </c>
      <c r="M90" s="460">
        <v>-72838.8</v>
      </c>
      <c r="N90" s="460">
        <v>-91093.54</v>
      </c>
      <c r="O90" s="460">
        <v>-305924.03999999998</v>
      </c>
      <c r="P90" s="460">
        <v>-162075.72</v>
      </c>
      <c r="Q90" s="460">
        <v>-13515.6</v>
      </c>
      <c r="R90" s="460">
        <v>0</v>
      </c>
      <c r="S90" s="460">
        <v>0</v>
      </c>
      <c r="T90" s="460">
        <v>0</v>
      </c>
      <c r="U90" s="460">
        <v>0</v>
      </c>
      <c r="V90" s="460">
        <v>0</v>
      </c>
      <c r="W90" s="460">
        <v>0</v>
      </c>
      <c r="X90" s="460">
        <v>0</v>
      </c>
      <c r="Y90" s="460">
        <v>0</v>
      </c>
      <c r="Z90" s="460">
        <v>0</v>
      </c>
    </row>
    <row r="91" spans="1:26" ht="12.75" customHeight="1" x14ac:dyDescent="0.25">
      <c r="E91" s="89" t="s">
        <v>72</v>
      </c>
      <c r="F91" s="371">
        <v>20283554.120000001</v>
      </c>
      <c r="G91" s="90">
        <v>1111927.3400000001</v>
      </c>
      <c r="H91" s="90">
        <v>624122.92000000004</v>
      </c>
      <c r="I91" s="90">
        <v>331325.92</v>
      </c>
      <c r="J91" s="90">
        <v>5227826.37</v>
      </c>
      <c r="K91" s="90">
        <v>136781.71</v>
      </c>
      <c r="L91" s="90">
        <v>0</v>
      </c>
      <c r="M91" s="90">
        <v>1200936.31</v>
      </c>
      <c r="N91" s="90">
        <v>1600252.62</v>
      </c>
      <c r="O91" s="90">
        <v>7637862.9199999999</v>
      </c>
      <c r="P91" s="90">
        <v>2189262.9300000002</v>
      </c>
      <c r="Q91" s="90">
        <v>223377.17</v>
      </c>
      <c r="R91" s="90">
        <v>-122.09</v>
      </c>
      <c r="S91" s="90">
        <v>0</v>
      </c>
      <c r="T91" s="90">
        <v>0</v>
      </c>
      <c r="U91" s="90">
        <v>0</v>
      </c>
      <c r="V91" s="90">
        <v>0</v>
      </c>
      <c r="W91" s="90">
        <v>0</v>
      </c>
      <c r="X91">
        <v>0</v>
      </c>
      <c r="Y91">
        <v>0</v>
      </c>
      <c r="Z91">
        <v>0</v>
      </c>
    </row>
    <row r="92" spans="1:26" ht="12.75" customHeight="1" x14ac:dyDescent="0.25">
      <c r="E92" s="89" t="s">
        <v>81</v>
      </c>
      <c r="F92" s="371">
        <v>526203.15</v>
      </c>
      <c r="G92" s="90">
        <v>45415.85</v>
      </c>
      <c r="H92" s="90">
        <v>24830.95</v>
      </c>
      <c r="I92" s="90">
        <v>13349.41</v>
      </c>
      <c r="J92" s="90">
        <v>116506.52</v>
      </c>
      <c r="K92" s="90">
        <v>2879.8</v>
      </c>
      <c r="L92" s="90">
        <v>0</v>
      </c>
      <c r="M92" s="90">
        <v>25262.63</v>
      </c>
      <c r="N92" s="90">
        <v>35551.81</v>
      </c>
      <c r="O92" s="90">
        <v>166823.51999999999</v>
      </c>
      <c r="P92" s="90">
        <v>90885.25</v>
      </c>
      <c r="Q92" s="90">
        <v>4698.7</v>
      </c>
      <c r="R92" s="90">
        <v>-1.29</v>
      </c>
      <c r="S92" s="90">
        <v>0</v>
      </c>
      <c r="T92" s="90">
        <v>0</v>
      </c>
      <c r="U92" s="90">
        <v>0</v>
      </c>
      <c r="V92" s="90">
        <v>0</v>
      </c>
      <c r="W92" s="90">
        <v>0</v>
      </c>
      <c r="X92">
        <v>0</v>
      </c>
      <c r="Y92">
        <v>0</v>
      </c>
      <c r="Z92">
        <v>0</v>
      </c>
    </row>
    <row r="93" spans="1:26" ht="12.75" customHeight="1" x14ac:dyDescent="0.25">
      <c r="D93" t="s">
        <v>156</v>
      </c>
      <c r="E93" t="s">
        <v>70</v>
      </c>
      <c r="F93" s="384">
        <v>20809757.27</v>
      </c>
      <c r="G93" s="89">
        <v>1157343.19</v>
      </c>
      <c r="H93" s="89">
        <v>648953.87</v>
      </c>
      <c r="I93" s="664">
        <v>344675.33</v>
      </c>
      <c r="J93" s="89">
        <v>5344332.8899999997</v>
      </c>
      <c r="K93" s="89">
        <v>139661.51</v>
      </c>
      <c r="L93" s="89">
        <v>0</v>
      </c>
      <c r="M93" s="89">
        <v>1226198.94</v>
      </c>
      <c r="N93" s="89">
        <v>1635804.43</v>
      </c>
      <c r="O93" s="89">
        <v>7804686.4400000004</v>
      </c>
      <c r="P93" s="89">
        <v>2280148.1800000002</v>
      </c>
      <c r="Q93" s="89">
        <v>228075.87</v>
      </c>
      <c r="R93" s="89">
        <v>-123.38</v>
      </c>
      <c r="S93" s="89">
        <v>0</v>
      </c>
      <c r="T93" s="89">
        <v>0</v>
      </c>
      <c r="U93" s="89">
        <v>0</v>
      </c>
      <c r="V93" s="89">
        <v>0</v>
      </c>
      <c r="W93" s="89">
        <v>0</v>
      </c>
      <c r="X93">
        <v>0</v>
      </c>
      <c r="Y93" s="89">
        <v>0</v>
      </c>
      <c r="Z93" s="89">
        <v>0</v>
      </c>
    </row>
    <row r="94" spans="1:26" s="656" customFormat="1" ht="12.75" customHeight="1" x14ac:dyDescent="0.25">
      <c r="C94" s="656" t="s">
        <v>155</v>
      </c>
      <c r="D94" s="656" t="s">
        <v>70</v>
      </c>
      <c r="F94" s="736">
        <v>20809757.27</v>
      </c>
      <c r="G94" s="657">
        <v>1157343.19</v>
      </c>
      <c r="H94" s="657">
        <v>648953.87</v>
      </c>
      <c r="I94" s="737">
        <v>344675.33</v>
      </c>
      <c r="J94" s="657">
        <v>5344332.8899999997</v>
      </c>
      <c r="K94" s="657">
        <v>139661.51</v>
      </c>
      <c r="L94" s="657">
        <v>0</v>
      </c>
      <c r="M94" s="657">
        <v>1226198.94</v>
      </c>
      <c r="N94" s="657">
        <v>1635804.43</v>
      </c>
      <c r="O94" s="657">
        <v>7804686.4400000004</v>
      </c>
      <c r="P94" s="657">
        <v>2280148.1800000002</v>
      </c>
      <c r="Q94" s="657">
        <v>228075.87</v>
      </c>
      <c r="R94" s="657">
        <v>-123.38</v>
      </c>
      <c r="S94" s="657">
        <v>0</v>
      </c>
      <c r="T94" s="657">
        <v>0</v>
      </c>
      <c r="U94" s="657">
        <v>0</v>
      </c>
      <c r="V94" s="657">
        <v>0</v>
      </c>
      <c r="W94" s="657">
        <v>0</v>
      </c>
      <c r="X94" s="656">
        <v>0</v>
      </c>
      <c r="Y94" s="657">
        <v>0</v>
      </c>
      <c r="Z94" s="657">
        <v>0</v>
      </c>
    </row>
    <row r="95" spans="1:26" ht="12.75" customHeight="1" x14ac:dyDescent="0.25">
      <c r="E95" s="89" t="s">
        <v>72</v>
      </c>
      <c r="F95" s="371">
        <v>535407.43000000005</v>
      </c>
      <c r="G95" s="90">
        <v>24186.79</v>
      </c>
      <c r="H95" s="90">
        <v>13571.57</v>
      </c>
      <c r="I95" s="90">
        <v>7188.58</v>
      </c>
      <c r="J95" s="90">
        <v>127199.44</v>
      </c>
      <c r="K95" s="90">
        <v>4331.32</v>
      </c>
      <c r="L95" s="90">
        <v>0</v>
      </c>
      <c r="M95" s="90">
        <v>37993.919999999998</v>
      </c>
      <c r="N95" s="90">
        <v>38162.29</v>
      </c>
      <c r="O95" s="90">
        <v>227538.79</v>
      </c>
      <c r="P95" s="90">
        <v>48172.01</v>
      </c>
      <c r="Q95" s="90">
        <v>7066.9</v>
      </c>
      <c r="R95" s="90">
        <v>-4.18</v>
      </c>
      <c r="S95" s="90">
        <v>0</v>
      </c>
      <c r="T95" s="90">
        <v>0</v>
      </c>
      <c r="U95" s="90">
        <v>0</v>
      </c>
      <c r="V95" s="90">
        <v>0</v>
      </c>
      <c r="W95" s="90">
        <v>0</v>
      </c>
      <c r="X95">
        <v>0</v>
      </c>
      <c r="Y95">
        <v>0</v>
      </c>
      <c r="Z95">
        <v>0</v>
      </c>
    </row>
    <row r="96" spans="1:26" ht="12.75" customHeight="1" x14ac:dyDescent="0.25">
      <c r="D96" t="s">
        <v>82</v>
      </c>
      <c r="E96" s="89" t="s">
        <v>70</v>
      </c>
      <c r="F96" s="371">
        <v>535407.43000000005</v>
      </c>
      <c r="G96" s="90">
        <v>24186.79</v>
      </c>
      <c r="H96" s="90">
        <v>13571.57</v>
      </c>
      <c r="I96" s="90">
        <v>7188.58</v>
      </c>
      <c r="J96" s="90">
        <v>127199.44</v>
      </c>
      <c r="K96" s="90">
        <v>4331.32</v>
      </c>
      <c r="L96" s="90">
        <v>0</v>
      </c>
      <c r="M96" s="90">
        <v>37993.919999999998</v>
      </c>
      <c r="N96" s="90">
        <v>38162.29</v>
      </c>
      <c r="O96" s="90">
        <v>227538.79</v>
      </c>
      <c r="P96" s="90">
        <v>48172.01</v>
      </c>
      <c r="Q96" s="90">
        <v>7066.9</v>
      </c>
      <c r="R96" s="90">
        <v>-4.18</v>
      </c>
      <c r="S96" s="90">
        <v>0</v>
      </c>
      <c r="T96" s="90">
        <v>0</v>
      </c>
      <c r="U96" s="90">
        <v>0</v>
      </c>
      <c r="V96" s="90">
        <v>0</v>
      </c>
      <c r="W96" s="90">
        <v>0</v>
      </c>
      <c r="X96">
        <v>0</v>
      </c>
      <c r="Y96">
        <v>0</v>
      </c>
      <c r="Z96">
        <v>0</v>
      </c>
    </row>
    <row r="97" spans="2:26" ht="12.75" customHeight="1" x14ac:dyDescent="0.25">
      <c r="E97" s="89" t="s">
        <v>72</v>
      </c>
      <c r="F97" s="371">
        <v>807630.46</v>
      </c>
      <c r="G97" s="90">
        <v>42543.54</v>
      </c>
      <c r="H97" s="90">
        <v>24154.99</v>
      </c>
      <c r="I97" s="90">
        <v>16130.43</v>
      </c>
      <c r="J97" s="90">
        <v>196483.81</v>
      </c>
      <c r="K97" s="90">
        <v>6280.06</v>
      </c>
      <c r="L97" s="90">
        <v>0</v>
      </c>
      <c r="M97" s="90">
        <v>46445.85</v>
      </c>
      <c r="N97" s="90">
        <v>57673.1</v>
      </c>
      <c r="O97" s="90">
        <v>315970.56</v>
      </c>
      <c r="P97" s="90">
        <v>92573.74</v>
      </c>
      <c r="Q97" s="90">
        <v>9352.1299999999992</v>
      </c>
      <c r="R97" s="90">
        <v>22.25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>
        <v>0</v>
      </c>
      <c r="Y97">
        <v>0</v>
      </c>
      <c r="Z97">
        <v>0</v>
      </c>
    </row>
    <row r="98" spans="2:26" ht="12.75" customHeight="1" x14ac:dyDescent="0.25">
      <c r="E98" s="89" t="s">
        <v>81</v>
      </c>
      <c r="F98" s="371">
        <v>-3314.17</v>
      </c>
      <c r="G98" s="90">
        <v>-505.6</v>
      </c>
      <c r="H98" s="90">
        <v>-284.11</v>
      </c>
      <c r="I98" s="90">
        <v>-149.05000000000001</v>
      </c>
      <c r="J98" s="90">
        <v>-401.57</v>
      </c>
      <c r="K98" s="90">
        <v>-7.96</v>
      </c>
      <c r="L98" s="90">
        <v>0</v>
      </c>
      <c r="M98" s="90">
        <v>-70.239999999999995</v>
      </c>
      <c r="N98" s="90">
        <v>-146.01</v>
      </c>
      <c r="O98" s="90">
        <v>-735.95</v>
      </c>
      <c r="P98" s="90">
        <v>-1000.68</v>
      </c>
      <c r="Q98" s="90">
        <v>-13.1</v>
      </c>
      <c r="R98" s="90">
        <v>0.04</v>
      </c>
      <c r="S98" s="90">
        <v>0.06</v>
      </c>
      <c r="T98" s="90">
        <v>0</v>
      </c>
      <c r="U98" s="90">
        <v>0</v>
      </c>
      <c r="V98" s="90">
        <v>0</v>
      </c>
      <c r="W98" s="90">
        <v>0</v>
      </c>
      <c r="X98">
        <v>0</v>
      </c>
      <c r="Y98">
        <v>0</v>
      </c>
      <c r="Z98">
        <v>0</v>
      </c>
    </row>
    <row r="99" spans="2:26" ht="12.75" customHeight="1" x14ac:dyDescent="0.25">
      <c r="D99" t="s">
        <v>86</v>
      </c>
      <c r="E99" s="89" t="s">
        <v>70</v>
      </c>
      <c r="F99" s="371">
        <v>804316.29</v>
      </c>
      <c r="G99" s="90">
        <v>42037.94</v>
      </c>
      <c r="H99" s="90">
        <v>23870.880000000001</v>
      </c>
      <c r="I99" s="90">
        <v>15981.38</v>
      </c>
      <c r="J99" s="90">
        <v>196082.24</v>
      </c>
      <c r="K99" s="90">
        <v>6272.1</v>
      </c>
      <c r="L99" s="90">
        <v>0</v>
      </c>
      <c r="M99" s="90">
        <v>46375.61</v>
      </c>
      <c r="N99" s="90">
        <v>57527.09</v>
      </c>
      <c r="O99" s="90">
        <v>315234.61</v>
      </c>
      <c r="P99" s="90">
        <v>91573.06</v>
      </c>
      <c r="Q99" s="90">
        <v>9339.0300000000007</v>
      </c>
      <c r="R99" s="90">
        <v>22.29</v>
      </c>
      <c r="S99" s="90">
        <v>0.06</v>
      </c>
      <c r="T99" s="90">
        <v>0</v>
      </c>
      <c r="U99" s="90">
        <v>0</v>
      </c>
      <c r="V99" s="90">
        <v>0</v>
      </c>
      <c r="W99" s="90">
        <v>0</v>
      </c>
      <c r="X99">
        <v>0</v>
      </c>
      <c r="Y99">
        <v>0</v>
      </c>
      <c r="Z99">
        <v>0</v>
      </c>
    </row>
    <row r="100" spans="2:26" s="94" customFormat="1" ht="12.75" customHeight="1" x14ac:dyDescent="0.25">
      <c r="C100" s="94" t="s">
        <v>119</v>
      </c>
      <c r="D100" s="94" t="s">
        <v>70</v>
      </c>
      <c r="E100" s="101"/>
      <c r="F100" s="93">
        <v>1339723.72</v>
      </c>
      <c r="G100" s="93">
        <v>66224.73</v>
      </c>
      <c r="H100" s="93">
        <v>37442.449999999997</v>
      </c>
      <c r="I100" s="93">
        <v>23169.96</v>
      </c>
      <c r="J100" s="93">
        <v>323281.68</v>
      </c>
      <c r="K100" s="93">
        <v>10603.42</v>
      </c>
      <c r="L100" s="93">
        <v>0</v>
      </c>
      <c r="M100" s="93">
        <v>84369.53</v>
      </c>
      <c r="N100" s="93">
        <v>95689.38</v>
      </c>
      <c r="O100" s="93">
        <v>542773.4</v>
      </c>
      <c r="P100" s="93">
        <v>139745.07</v>
      </c>
      <c r="Q100" s="93">
        <v>16405.93</v>
      </c>
      <c r="R100" s="93">
        <v>18.11</v>
      </c>
      <c r="S100" s="93">
        <v>0.06</v>
      </c>
      <c r="T100" s="93">
        <v>0</v>
      </c>
      <c r="U100" s="93">
        <v>0</v>
      </c>
      <c r="V100" s="93">
        <v>0</v>
      </c>
      <c r="W100" s="93">
        <v>0</v>
      </c>
      <c r="X100" s="94">
        <v>0</v>
      </c>
      <c r="Y100" s="94">
        <v>0</v>
      </c>
      <c r="Z100" s="94">
        <v>0</v>
      </c>
    </row>
    <row r="101" spans="2:26" s="378" customFormat="1" ht="12.75" customHeight="1" x14ac:dyDescent="0.25">
      <c r="B101" s="378" t="s">
        <v>122</v>
      </c>
      <c r="C101" s="378" t="s">
        <v>70</v>
      </c>
      <c r="E101" s="376"/>
      <c r="F101" s="710">
        <v>22149480.989999998</v>
      </c>
      <c r="G101" s="377">
        <v>1223567.92</v>
      </c>
      <c r="H101" s="377">
        <v>686396.32</v>
      </c>
      <c r="I101" s="377">
        <v>367845.29</v>
      </c>
      <c r="J101" s="377">
        <v>5667614.5700000003</v>
      </c>
      <c r="K101" s="377">
        <v>150264.93</v>
      </c>
      <c r="L101" s="377">
        <v>0</v>
      </c>
      <c r="M101" s="377">
        <v>1310568.47</v>
      </c>
      <c r="N101" s="377">
        <v>1731493.81</v>
      </c>
      <c r="O101" s="377">
        <v>8347459.8399999999</v>
      </c>
      <c r="P101" s="377">
        <v>2419893.25</v>
      </c>
      <c r="Q101" s="377">
        <v>244481.8</v>
      </c>
      <c r="R101" s="377">
        <v>-105.27</v>
      </c>
      <c r="S101" s="377">
        <v>0.06</v>
      </c>
      <c r="T101" s="377">
        <v>0</v>
      </c>
      <c r="U101" s="377">
        <v>0</v>
      </c>
      <c r="V101" s="377">
        <v>0</v>
      </c>
      <c r="W101" s="377">
        <v>0</v>
      </c>
      <c r="X101" s="378">
        <v>0</v>
      </c>
      <c r="Y101" s="378">
        <v>0</v>
      </c>
      <c r="Z101" s="378">
        <v>0</v>
      </c>
    </row>
    <row r="102" spans="2:26" ht="12.75" customHeight="1" x14ac:dyDescent="0.25">
      <c r="E102" s="89" t="s">
        <v>72</v>
      </c>
      <c r="F102" s="371">
        <v>25851948039.25</v>
      </c>
      <c r="G102" s="90">
        <v>1436782353.3900001</v>
      </c>
      <c r="H102" s="90">
        <v>795463243.39999998</v>
      </c>
      <c r="I102" s="90">
        <v>421454135.08999997</v>
      </c>
      <c r="J102" s="90">
        <v>6499438729.0100002</v>
      </c>
      <c r="K102" s="90">
        <v>229700785.21000001</v>
      </c>
      <c r="L102" s="90">
        <v>23565663.050000001</v>
      </c>
      <c r="M102" s="90">
        <v>2012871369.1300001</v>
      </c>
      <c r="N102" s="90">
        <v>1971626165.74</v>
      </c>
      <c r="O102" s="90">
        <v>9258862969.4300003</v>
      </c>
      <c r="P102" s="90">
        <v>2826878061.8699999</v>
      </c>
      <c r="Q102" s="90">
        <v>375147339.77999997</v>
      </c>
      <c r="R102" s="90">
        <v>157224.15</v>
      </c>
      <c r="S102" s="90">
        <v>0</v>
      </c>
      <c r="T102" s="90">
        <v>0</v>
      </c>
      <c r="U102" s="90">
        <v>0</v>
      </c>
      <c r="V102" s="90">
        <v>0</v>
      </c>
      <c r="W102" s="90">
        <v>0</v>
      </c>
      <c r="X102">
        <v>0</v>
      </c>
      <c r="Y102">
        <v>0</v>
      </c>
      <c r="Z102">
        <v>0</v>
      </c>
    </row>
    <row r="103" spans="2:26" ht="12.75" customHeight="1" x14ac:dyDescent="0.25">
      <c r="E103" s="89" t="s">
        <v>81</v>
      </c>
      <c r="F103" s="90">
        <v>99110271.439999998</v>
      </c>
      <c r="G103" s="90">
        <v>11931367.85</v>
      </c>
      <c r="H103" s="90">
        <v>5570660.54</v>
      </c>
      <c r="I103" s="90">
        <v>2431228.61</v>
      </c>
      <c r="J103" s="90">
        <v>18080590.59</v>
      </c>
      <c r="K103" s="90">
        <v>634164.61</v>
      </c>
      <c r="L103" s="90">
        <v>17997.02</v>
      </c>
      <c r="M103" s="90">
        <v>5560988.7999999998</v>
      </c>
      <c r="N103" s="90">
        <v>6623487.1799999997</v>
      </c>
      <c r="O103" s="90">
        <v>23793879.52</v>
      </c>
      <c r="P103" s="90">
        <v>23428727.210000001</v>
      </c>
      <c r="Q103" s="90">
        <v>1034817.91</v>
      </c>
      <c r="R103" s="90">
        <v>2403.5500000000002</v>
      </c>
      <c r="S103" s="90">
        <v>-39.869999999999997</v>
      </c>
      <c r="T103" s="90">
        <v>0.46</v>
      </c>
      <c r="U103" s="90">
        <v>0</v>
      </c>
      <c r="V103" s="90">
        <v>0</v>
      </c>
      <c r="W103" s="90">
        <v>0</v>
      </c>
      <c r="X103">
        <v>0</v>
      </c>
      <c r="Y103">
        <v>0</v>
      </c>
      <c r="Z103">
        <v>-2.54</v>
      </c>
    </row>
    <row r="104" spans="2:26" ht="12.75" customHeight="1" x14ac:dyDescent="0.25">
      <c r="D104" t="s">
        <v>156</v>
      </c>
      <c r="E104" s="89" t="s">
        <v>70</v>
      </c>
      <c r="F104" s="90">
        <v>25951058310.689999</v>
      </c>
      <c r="G104" s="90">
        <v>1448713721.24</v>
      </c>
      <c r="H104" s="90">
        <v>801033903.94000006</v>
      </c>
      <c r="I104" s="90">
        <v>423885363.69999999</v>
      </c>
      <c r="J104" s="90">
        <v>6517519319.6000004</v>
      </c>
      <c r="K104" s="90">
        <v>230334949.81999999</v>
      </c>
      <c r="L104" s="90">
        <v>23583660.07</v>
      </c>
      <c r="M104" s="90">
        <v>2018432357.9300001</v>
      </c>
      <c r="N104" s="90">
        <v>1978249652.9200001</v>
      </c>
      <c r="O104" s="90">
        <v>9282656848.9500008</v>
      </c>
      <c r="P104" s="90">
        <v>2850306789.0799999</v>
      </c>
      <c r="Q104" s="90">
        <v>376182157.69</v>
      </c>
      <c r="R104" s="90">
        <v>159627.70000000001</v>
      </c>
      <c r="S104" s="90">
        <v>-39.869999999999997</v>
      </c>
      <c r="T104" s="90">
        <v>0.46</v>
      </c>
      <c r="U104" s="90">
        <v>0</v>
      </c>
      <c r="V104" s="90">
        <v>0</v>
      </c>
      <c r="W104" s="90">
        <v>0</v>
      </c>
      <c r="X104">
        <v>0</v>
      </c>
      <c r="Y104">
        <v>0</v>
      </c>
      <c r="Z104">
        <v>-2.54</v>
      </c>
    </row>
    <row r="105" spans="2:26" s="656" customFormat="1" ht="12.75" customHeight="1" x14ac:dyDescent="0.25">
      <c r="C105" s="656" t="s">
        <v>155</v>
      </c>
      <c r="D105" s="657" t="s">
        <v>70</v>
      </c>
      <c r="E105" s="657"/>
      <c r="F105" s="658">
        <v>25951058310.689999</v>
      </c>
      <c r="G105" s="658">
        <v>1448713721.24</v>
      </c>
      <c r="H105" s="658">
        <v>801033903.94000006</v>
      </c>
      <c r="I105" s="658">
        <v>423885363.69999999</v>
      </c>
      <c r="J105" s="658">
        <v>6517519319.6000004</v>
      </c>
      <c r="K105" s="658">
        <v>230334949.81999999</v>
      </c>
      <c r="L105" s="658">
        <v>23583660.07</v>
      </c>
      <c r="M105" s="658">
        <v>2018432357.9300001</v>
      </c>
      <c r="N105" s="658">
        <v>1978249652.9200001</v>
      </c>
      <c r="O105" s="658">
        <v>9282656848.9500008</v>
      </c>
      <c r="P105" s="658">
        <v>2850306789.0799999</v>
      </c>
      <c r="Q105" s="658">
        <v>376182157.69</v>
      </c>
      <c r="R105" s="658">
        <v>159627.70000000001</v>
      </c>
      <c r="S105" s="658">
        <v>-39.869999999999997</v>
      </c>
      <c r="T105" s="658">
        <v>0.46</v>
      </c>
      <c r="U105" s="658">
        <v>0</v>
      </c>
      <c r="V105" s="658">
        <v>0</v>
      </c>
      <c r="W105" s="658">
        <v>0</v>
      </c>
      <c r="X105" s="656">
        <v>0</v>
      </c>
      <c r="Y105" s="656">
        <v>0</v>
      </c>
      <c r="Z105" s="656">
        <v>-2.54</v>
      </c>
    </row>
    <row r="106" spans="2:26" ht="12.75" customHeight="1" x14ac:dyDescent="0.25">
      <c r="D106" s="89"/>
      <c r="E106" s="89" t="s">
        <v>72</v>
      </c>
      <c r="F106" s="371">
        <v>107199.99</v>
      </c>
      <c r="G106" s="90">
        <v>3814.07</v>
      </c>
      <c r="H106" s="90">
        <v>2013.23</v>
      </c>
      <c r="I106" s="90">
        <v>1075.31</v>
      </c>
      <c r="J106" s="90">
        <v>31633.35</v>
      </c>
      <c r="K106" s="90">
        <v>963.04</v>
      </c>
      <c r="L106" s="90">
        <v>0</v>
      </c>
      <c r="M106" s="90">
        <v>8447.81</v>
      </c>
      <c r="N106" s="90">
        <v>8872.4</v>
      </c>
      <c r="O106" s="90">
        <v>41178.559999999998</v>
      </c>
      <c r="P106" s="90">
        <v>7627.22</v>
      </c>
      <c r="Q106" s="90">
        <v>1571.3</v>
      </c>
      <c r="R106" s="90">
        <v>3.7</v>
      </c>
      <c r="S106" s="90">
        <v>0</v>
      </c>
      <c r="T106" s="90">
        <v>0</v>
      </c>
      <c r="U106" s="90">
        <v>0</v>
      </c>
      <c r="V106" s="90">
        <v>0</v>
      </c>
      <c r="W106" s="90">
        <v>0</v>
      </c>
      <c r="X106">
        <v>0</v>
      </c>
      <c r="Y106">
        <v>0</v>
      </c>
      <c r="Z106">
        <v>0</v>
      </c>
    </row>
    <row r="107" spans="2:26" ht="12.75" customHeight="1" x14ac:dyDescent="0.25">
      <c r="D107" s="89"/>
      <c r="E107" s="89" t="s">
        <v>81</v>
      </c>
      <c r="F107" s="371">
        <v>54.32</v>
      </c>
      <c r="G107" s="90">
        <v>1.66</v>
      </c>
      <c r="H107" s="90">
        <v>0.84</v>
      </c>
      <c r="I107" s="90">
        <v>0.45</v>
      </c>
      <c r="J107" s="90">
        <v>16.670000000000002</v>
      </c>
      <c r="K107" s="90">
        <v>0.48</v>
      </c>
      <c r="L107" s="90">
        <v>0</v>
      </c>
      <c r="M107" s="90">
        <v>4.2</v>
      </c>
      <c r="N107" s="90">
        <v>4.63</v>
      </c>
      <c r="O107" s="90">
        <v>21.26</v>
      </c>
      <c r="P107" s="90">
        <v>3.35</v>
      </c>
      <c r="Q107" s="90">
        <v>0.78</v>
      </c>
      <c r="R107" s="90">
        <v>0</v>
      </c>
      <c r="S107" s="90">
        <v>0</v>
      </c>
      <c r="T107" s="90">
        <v>0</v>
      </c>
      <c r="U107" s="90">
        <v>0</v>
      </c>
      <c r="V107" s="90">
        <v>0</v>
      </c>
      <c r="W107" s="90">
        <v>0</v>
      </c>
      <c r="X107">
        <v>0</v>
      </c>
      <c r="Y107">
        <v>0</v>
      </c>
      <c r="Z107">
        <v>0</v>
      </c>
    </row>
    <row r="108" spans="2:26" ht="12.75" customHeight="1" x14ac:dyDescent="0.25">
      <c r="D108" s="89" t="s">
        <v>115</v>
      </c>
      <c r="E108" s="89" t="s">
        <v>70</v>
      </c>
      <c r="F108" s="371">
        <v>107254.31</v>
      </c>
      <c r="G108" s="90">
        <v>3815.73</v>
      </c>
      <c r="H108" s="90">
        <v>2014.07</v>
      </c>
      <c r="I108" s="90">
        <v>1075.76</v>
      </c>
      <c r="J108" s="90">
        <v>31650.02</v>
      </c>
      <c r="K108" s="90">
        <v>963.52</v>
      </c>
      <c r="L108" s="90">
        <v>0</v>
      </c>
      <c r="M108" s="90">
        <v>8452.01</v>
      </c>
      <c r="N108" s="90">
        <v>8877.0300000000007</v>
      </c>
      <c r="O108" s="90">
        <v>41199.82</v>
      </c>
      <c r="P108" s="90">
        <v>7630.57</v>
      </c>
      <c r="Q108" s="90">
        <v>1572.08</v>
      </c>
      <c r="R108" s="90">
        <v>3.7</v>
      </c>
      <c r="S108" s="90">
        <v>0</v>
      </c>
      <c r="T108" s="90">
        <v>0</v>
      </c>
      <c r="U108" s="90">
        <v>0</v>
      </c>
      <c r="V108" s="90">
        <v>0</v>
      </c>
      <c r="W108" s="90">
        <v>0</v>
      </c>
      <c r="X108">
        <v>0</v>
      </c>
      <c r="Y108">
        <v>0</v>
      </c>
      <c r="Z108">
        <v>0</v>
      </c>
    </row>
    <row r="109" spans="2:26" ht="12.75" customHeight="1" x14ac:dyDescent="0.25">
      <c r="D109" s="89"/>
      <c r="E109" s="89" t="s">
        <v>72</v>
      </c>
      <c r="F109" s="371">
        <v>127520.62</v>
      </c>
      <c r="G109" s="90">
        <v>12427.88</v>
      </c>
      <c r="H109" s="90">
        <v>6940.45</v>
      </c>
      <c r="I109" s="90">
        <v>3682.61</v>
      </c>
      <c r="J109" s="90">
        <v>25758.06</v>
      </c>
      <c r="K109" s="90">
        <v>896.24</v>
      </c>
      <c r="L109" s="90">
        <v>0</v>
      </c>
      <c r="M109" s="90">
        <v>7861.73</v>
      </c>
      <c r="N109" s="90">
        <v>7686.33</v>
      </c>
      <c r="O109" s="90">
        <v>36125.75</v>
      </c>
      <c r="P109" s="90">
        <v>24674.37</v>
      </c>
      <c r="Q109" s="90">
        <v>1462.28</v>
      </c>
      <c r="R109" s="90">
        <v>4.92</v>
      </c>
      <c r="S109" s="90">
        <v>0</v>
      </c>
      <c r="T109" s="90">
        <v>0</v>
      </c>
      <c r="U109" s="90">
        <v>0</v>
      </c>
      <c r="V109" s="90">
        <v>0</v>
      </c>
      <c r="W109" s="90">
        <v>0</v>
      </c>
      <c r="X109">
        <v>0</v>
      </c>
      <c r="Y109">
        <v>0</v>
      </c>
      <c r="Z109">
        <v>0</v>
      </c>
    </row>
    <row r="110" spans="2:26" ht="12.75" customHeight="1" x14ac:dyDescent="0.25">
      <c r="D110" s="89"/>
      <c r="E110" s="89" t="s">
        <v>81</v>
      </c>
      <c r="F110" s="90">
        <v>801.46</v>
      </c>
      <c r="G110" s="90">
        <v>76.94</v>
      </c>
      <c r="H110" s="90">
        <v>43.44</v>
      </c>
      <c r="I110" s="90">
        <v>22.8</v>
      </c>
      <c r="J110" s="90">
        <v>170.64</v>
      </c>
      <c r="K110" s="90">
        <v>5.56</v>
      </c>
      <c r="L110" s="90">
        <v>0</v>
      </c>
      <c r="M110" s="90">
        <v>48.79</v>
      </c>
      <c r="N110" s="90">
        <v>47.34</v>
      </c>
      <c r="O110" s="90">
        <v>224.13</v>
      </c>
      <c r="P110" s="90">
        <v>152.75</v>
      </c>
      <c r="Q110" s="90">
        <v>9.07</v>
      </c>
      <c r="R110" s="90">
        <v>0</v>
      </c>
      <c r="S110" s="90">
        <v>0</v>
      </c>
      <c r="T110" s="90">
        <v>0</v>
      </c>
      <c r="U110" s="90">
        <v>0</v>
      </c>
      <c r="V110" s="90">
        <v>0</v>
      </c>
      <c r="W110" s="90">
        <v>0</v>
      </c>
      <c r="X110">
        <v>0</v>
      </c>
      <c r="Y110">
        <v>0</v>
      </c>
      <c r="Z110">
        <v>0</v>
      </c>
    </row>
    <row r="111" spans="2:26" ht="12.75" customHeight="1" x14ac:dyDescent="0.25">
      <c r="D111" t="s">
        <v>116</v>
      </c>
      <c r="E111" s="89" t="s">
        <v>70</v>
      </c>
      <c r="F111" s="90">
        <v>128322.08</v>
      </c>
      <c r="G111" s="90">
        <v>12504.82</v>
      </c>
      <c r="H111" s="90">
        <v>6983.89</v>
      </c>
      <c r="I111" s="90">
        <v>3705.41</v>
      </c>
      <c r="J111" s="90">
        <v>25928.7</v>
      </c>
      <c r="K111" s="90">
        <v>901.8</v>
      </c>
      <c r="L111" s="90">
        <v>0</v>
      </c>
      <c r="M111" s="90">
        <v>7910.52</v>
      </c>
      <c r="N111" s="90">
        <v>7733.67</v>
      </c>
      <c r="O111" s="90">
        <v>36349.879999999997</v>
      </c>
      <c r="P111" s="90">
        <v>24827.119999999999</v>
      </c>
      <c r="Q111" s="90">
        <v>1471.35</v>
      </c>
      <c r="R111" s="90">
        <v>4.92</v>
      </c>
      <c r="S111" s="90">
        <v>0</v>
      </c>
      <c r="T111" s="90">
        <v>0</v>
      </c>
      <c r="U111" s="90">
        <v>0</v>
      </c>
      <c r="V111" s="90">
        <v>0</v>
      </c>
      <c r="W111" s="90">
        <v>0</v>
      </c>
      <c r="X111">
        <v>0</v>
      </c>
      <c r="Y111">
        <v>0</v>
      </c>
      <c r="Z111">
        <v>0</v>
      </c>
    </row>
    <row r="112" spans="2:26" ht="12.75" customHeight="1" x14ac:dyDescent="0.25">
      <c r="D112" s="89"/>
      <c r="E112" s="89" t="s">
        <v>72</v>
      </c>
      <c r="F112" s="90">
        <v>2484432.4</v>
      </c>
      <c r="G112" s="90">
        <v>117509.34</v>
      </c>
      <c r="H112" s="90">
        <v>65623.649999999994</v>
      </c>
      <c r="I112" s="90">
        <v>35147.19</v>
      </c>
      <c r="J112" s="90">
        <v>651490.81000000006</v>
      </c>
      <c r="K112" s="90">
        <v>23203.85</v>
      </c>
      <c r="L112" s="90">
        <v>0</v>
      </c>
      <c r="M112" s="90">
        <v>195200.05</v>
      </c>
      <c r="N112" s="90">
        <v>196745.88</v>
      </c>
      <c r="O112" s="90">
        <v>931730.47</v>
      </c>
      <c r="P112" s="90">
        <v>231035.27</v>
      </c>
      <c r="Q112" s="90">
        <v>36732.97</v>
      </c>
      <c r="R112" s="90">
        <v>12.92</v>
      </c>
      <c r="S112" s="90">
        <v>0</v>
      </c>
      <c r="T112" s="90">
        <v>0</v>
      </c>
      <c r="U112" s="90">
        <v>0</v>
      </c>
      <c r="V112" s="90">
        <v>0</v>
      </c>
      <c r="W112" s="90">
        <v>0</v>
      </c>
      <c r="X112">
        <v>0</v>
      </c>
      <c r="Y112">
        <v>0</v>
      </c>
      <c r="Z112">
        <v>0</v>
      </c>
    </row>
    <row r="113" spans="1:26" ht="12.75" customHeight="1" x14ac:dyDescent="0.25">
      <c r="E113" s="89" t="s">
        <v>81</v>
      </c>
      <c r="F113" s="90">
        <v>3226.7</v>
      </c>
      <c r="G113" s="90">
        <v>166.13</v>
      </c>
      <c r="H113" s="90">
        <v>93.91</v>
      </c>
      <c r="I113" s="90">
        <v>48.63</v>
      </c>
      <c r="J113" s="90">
        <v>856.89</v>
      </c>
      <c r="K113" s="90">
        <v>21.56</v>
      </c>
      <c r="L113" s="90">
        <v>0</v>
      </c>
      <c r="M113" s="90">
        <v>195.95</v>
      </c>
      <c r="N113" s="90">
        <v>262.5</v>
      </c>
      <c r="O113" s="90">
        <v>1212.3699999999999</v>
      </c>
      <c r="P113" s="90">
        <v>333.63</v>
      </c>
      <c r="Q113" s="90">
        <v>35.19</v>
      </c>
      <c r="R113" s="90">
        <v>-0.06</v>
      </c>
      <c r="S113" s="90">
        <v>0</v>
      </c>
      <c r="T113" s="90">
        <v>0</v>
      </c>
      <c r="U113" s="90">
        <v>0</v>
      </c>
      <c r="V113" s="90">
        <v>0</v>
      </c>
      <c r="W113" s="90">
        <v>0</v>
      </c>
      <c r="X113">
        <v>0</v>
      </c>
      <c r="Y113">
        <v>0</v>
      </c>
      <c r="Z113">
        <v>0</v>
      </c>
    </row>
    <row r="114" spans="1:26" ht="12.75" customHeight="1" x14ac:dyDescent="0.25">
      <c r="D114" t="s">
        <v>118</v>
      </c>
      <c r="E114" s="89" t="s">
        <v>70</v>
      </c>
      <c r="F114" s="90">
        <v>2487659.1</v>
      </c>
      <c r="G114" s="90">
        <v>117675.47</v>
      </c>
      <c r="H114" s="90">
        <v>65717.56</v>
      </c>
      <c r="I114" s="90">
        <v>35195.82</v>
      </c>
      <c r="J114" s="90">
        <v>652347.69999999995</v>
      </c>
      <c r="K114" s="90">
        <v>23225.41</v>
      </c>
      <c r="L114" s="90">
        <v>0</v>
      </c>
      <c r="M114" s="90">
        <v>195396</v>
      </c>
      <c r="N114" s="90">
        <v>197008.38</v>
      </c>
      <c r="O114" s="90">
        <v>932942.84</v>
      </c>
      <c r="P114" s="90">
        <v>231368.9</v>
      </c>
      <c r="Q114" s="90">
        <v>36768.160000000003</v>
      </c>
      <c r="R114" s="90">
        <v>12.86</v>
      </c>
      <c r="S114" s="90">
        <v>0</v>
      </c>
      <c r="T114" s="90">
        <v>0</v>
      </c>
      <c r="U114" s="90">
        <v>0</v>
      </c>
      <c r="V114" s="90">
        <v>0</v>
      </c>
      <c r="W114" s="90">
        <v>0</v>
      </c>
      <c r="X114">
        <v>0</v>
      </c>
      <c r="Y114">
        <v>0</v>
      </c>
      <c r="Z114">
        <v>0</v>
      </c>
    </row>
    <row r="115" spans="1:26" s="224" customFormat="1" ht="12.75" customHeight="1" x14ac:dyDescent="0.25">
      <c r="C115" s="223" t="s">
        <v>120</v>
      </c>
      <c r="D115" s="223" t="s">
        <v>70</v>
      </c>
      <c r="F115" s="225">
        <v>2723235.49</v>
      </c>
      <c r="G115" s="225">
        <v>133996.01999999999</v>
      </c>
      <c r="H115" s="225">
        <v>74715.520000000004</v>
      </c>
      <c r="I115" s="225">
        <v>39976.99</v>
      </c>
      <c r="J115" s="225">
        <v>709926.42</v>
      </c>
      <c r="K115" s="225">
        <v>25090.73</v>
      </c>
      <c r="L115" s="225">
        <v>0</v>
      </c>
      <c r="M115" s="225">
        <v>211758.53</v>
      </c>
      <c r="N115" s="225">
        <v>213619.08</v>
      </c>
      <c r="O115" s="225">
        <v>1010492.54</v>
      </c>
      <c r="P115" s="225">
        <v>263826.59000000003</v>
      </c>
      <c r="Q115" s="225">
        <v>39811.589999999997</v>
      </c>
      <c r="R115" s="225">
        <v>21.48</v>
      </c>
      <c r="S115" s="225">
        <v>0</v>
      </c>
      <c r="T115" s="225">
        <v>0</v>
      </c>
      <c r="U115" s="225">
        <v>0</v>
      </c>
      <c r="V115" s="225">
        <v>0</v>
      </c>
      <c r="W115" s="225">
        <v>0</v>
      </c>
      <c r="X115" s="224">
        <v>0</v>
      </c>
      <c r="Y115" s="224">
        <v>0</v>
      </c>
      <c r="Z115" s="224">
        <v>0</v>
      </c>
    </row>
    <row r="116" spans="1:26" ht="12.75" customHeight="1" x14ac:dyDescent="0.25">
      <c r="C116" s="89"/>
      <c r="D116" s="89"/>
      <c r="E116" t="s">
        <v>72</v>
      </c>
      <c r="F116" s="90">
        <v>694514284.59000003</v>
      </c>
      <c r="G116" s="90">
        <v>43648940.740000002</v>
      </c>
      <c r="H116" s="90">
        <v>24528624.43</v>
      </c>
      <c r="I116" s="90">
        <v>12966293.9</v>
      </c>
      <c r="J116" s="90">
        <v>172890097.13</v>
      </c>
      <c r="K116" s="90">
        <v>4235635.46</v>
      </c>
      <c r="L116" s="90">
        <v>169000</v>
      </c>
      <c r="M116" s="90">
        <v>37189348.399999999</v>
      </c>
      <c r="N116" s="90">
        <v>52286715.920000002</v>
      </c>
      <c r="O116" s="90">
        <v>253471637.75999999</v>
      </c>
      <c r="P116" s="90">
        <v>86178940.519999996</v>
      </c>
      <c r="Q116" s="90">
        <v>6949275.7300000004</v>
      </c>
      <c r="R116" s="90">
        <v>-225.4</v>
      </c>
      <c r="S116" s="90">
        <v>0</v>
      </c>
      <c r="T116" s="90">
        <v>0</v>
      </c>
      <c r="U116" s="90">
        <v>0</v>
      </c>
      <c r="V116" s="90">
        <v>0</v>
      </c>
      <c r="W116" s="90">
        <v>0</v>
      </c>
      <c r="X116">
        <v>0</v>
      </c>
      <c r="Y116">
        <v>0</v>
      </c>
      <c r="Z116">
        <v>0</v>
      </c>
    </row>
    <row r="117" spans="1:26" ht="12.75" customHeight="1" x14ac:dyDescent="0.25">
      <c r="C117" s="89"/>
      <c r="D117" s="89"/>
      <c r="E117" t="s">
        <v>81</v>
      </c>
      <c r="F117" s="90">
        <v>6883429.21</v>
      </c>
      <c r="G117" s="90">
        <v>673329.14</v>
      </c>
      <c r="H117" s="90">
        <v>377189.03</v>
      </c>
      <c r="I117" s="90">
        <v>197995.96</v>
      </c>
      <c r="J117" s="90">
        <v>1406777.04</v>
      </c>
      <c r="K117" s="90">
        <v>35108.400000000001</v>
      </c>
      <c r="L117" s="90">
        <v>4129.16</v>
      </c>
      <c r="M117" s="90">
        <v>308075.95</v>
      </c>
      <c r="N117" s="90">
        <v>437609.26</v>
      </c>
      <c r="O117" s="90">
        <v>2048037.13</v>
      </c>
      <c r="P117" s="90">
        <v>1337696.69</v>
      </c>
      <c r="Q117" s="90">
        <v>57486.73</v>
      </c>
      <c r="R117" s="90">
        <v>3.47</v>
      </c>
      <c r="S117" s="90">
        <v>-8.56</v>
      </c>
      <c r="T117" s="90">
        <v>0</v>
      </c>
      <c r="U117" s="90">
        <v>0</v>
      </c>
      <c r="V117" s="90">
        <v>0</v>
      </c>
      <c r="W117" s="90">
        <v>0</v>
      </c>
      <c r="X117">
        <v>0</v>
      </c>
      <c r="Y117">
        <v>0</v>
      </c>
      <c r="Z117">
        <v>-0.19</v>
      </c>
    </row>
    <row r="118" spans="1:26" ht="12.75" customHeight="1" x14ac:dyDescent="0.25">
      <c r="D118" t="s">
        <v>82</v>
      </c>
      <c r="E118" s="89" t="s">
        <v>70</v>
      </c>
      <c r="F118" s="90">
        <v>701397713.79999995</v>
      </c>
      <c r="G118" s="90">
        <v>44322269.880000003</v>
      </c>
      <c r="H118" s="90">
        <v>24905813.460000001</v>
      </c>
      <c r="I118" s="90">
        <v>13164289.859999999</v>
      </c>
      <c r="J118" s="90">
        <v>174296874.16999999</v>
      </c>
      <c r="K118" s="90">
        <v>4270743.8600000003</v>
      </c>
      <c r="L118" s="90">
        <v>173129.16</v>
      </c>
      <c r="M118" s="90">
        <v>37497424.350000001</v>
      </c>
      <c r="N118" s="90">
        <v>52724325.18</v>
      </c>
      <c r="O118" s="90">
        <v>255519674.88999999</v>
      </c>
      <c r="P118" s="90">
        <v>87516637.209999993</v>
      </c>
      <c r="Q118" s="90">
        <v>7006762.46</v>
      </c>
      <c r="R118" s="90">
        <v>-221.93</v>
      </c>
      <c r="S118" s="90">
        <v>-8.56</v>
      </c>
      <c r="T118" s="90">
        <v>0</v>
      </c>
      <c r="U118" s="90">
        <v>0</v>
      </c>
      <c r="V118" s="90">
        <v>0</v>
      </c>
      <c r="W118" s="90">
        <v>0</v>
      </c>
      <c r="X118">
        <v>0</v>
      </c>
      <c r="Y118">
        <v>0</v>
      </c>
      <c r="Z118">
        <v>-0.19</v>
      </c>
    </row>
    <row r="119" spans="1:26" ht="12.75" customHeight="1" x14ac:dyDescent="0.25">
      <c r="E119" s="89" t="s">
        <v>72</v>
      </c>
      <c r="F119" s="90">
        <v>342879876.92000002</v>
      </c>
      <c r="G119" s="90">
        <v>41248490.390000001</v>
      </c>
      <c r="H119" s="90">
        <v>22841659.140000001</v>
      </c>
      <c r="I119" s="90">
        <v>12030206.76</v>
      </c>
      <c r="J119" s="90">
        <v>53761356.039999999</v>
      </c>
      <c r="K119" s="90">
        <v>1531383.97</v>
      </c>
      <c r="L119" s="90">
        <v>23084584.890000001</v>
      </c>
      <c r="M119" s="90">
        <v>13398033.609999999</v>
      </c>
      <c r="N119" s="90">
        <v>16796778.25</v>
      </c>
      <c r="O119" s="90">
        <v>78310154.480000004</v>
      </c>
      <c r="P119" s="90">
        <v>77366467.359999999</v>
      </c>
      <c r="Q119" s="90">
        <v>2511335.13</v>
      </c>
      <c r="R119" s="90">
        <v>-573.1</v>
      </c>
      <c r="S119" s="90">
        <v>0</v>
      </c>
      <c r="T119" s="90">
        <v>0</v>
      </c>
      <c r="U119" s="90">
        <v>0</v>
      </c>
      <c r="V119" s="90">
        <v>0</v>
      </c>
      <c r="W119" s="90">
        <v>0</v>
      </c>
      <c r="X119">
        <v>0</v>
      </c>
      <c r="Y119">
        <v>0</v>
      </c>
      <c r="Z119">
        <v>0</v>
      </c>
    </row>
    <row r="120" spans="1:26" ht="12.75" customHeight="1" x14ac:dyDescent="0.25">
      <c r="D120" s="89"/>
      <c r="E120" s="89" t="s">
        <v>81</v>
      </c>
      <c r="F120" s="90">
        <v>13269957.25</v>
      </c>
      <c r="G120" s="90">
        <v>2267005.7400000002</v>
      </c>
      <c r="H120" s="90">
        <v>1179135.51</v>
      </c>
      <c r="I120" s="90">
        <v>634890.42000000004</v>
      </c>
      <c r="J120" s="90">
        <v>1289055.33</v>
      </c>
      <c r="K120" s="90">
        <v>39661.26</v>
      </c>
      <c r="L120" s="90">
        <v>687466.44</v>
      </c>
      <c r="M120" s="90">
        <v>347213.78</v>
      </c>
      <c r="N120" s="90">
        <v>442531.15</v>
      </c>
      <c r="O120" s="90">
        <v>1771509.48</v>
      </c>
      <c r="P120" s="90">
        <v>4546744.1900000004</v>
      </c>
      <c r="Q120" s="90">
        <v>64735.93</v>
      </c>
      <c r="R120" s="90">
        <v>-18.05</v>
      </c>
      <c r="S120" s="90">
        <v>26.32</v>
      </c>
      <c r="T120" s="90">
        <v>0.01</v>
      </c>
      <c r="U120" s="90">
        <v>0</v>
      </c>
      <c r="V120" s="90">
        <v>0</v>
      </c>
      <c r="W120" s="90">
        <v>0</v>
      </c>
      <c r="X120">
        <v>0</v>
      </c>
      <c r="Y120">
        <v>0</v>
      </c>
      <c r="Z120">
        <v>-0.26</v>
      </c>
    </row>
    <row r="121" spans="1:26" ht="12.75" customHeight="1" x14ac:dyDescent="0.25">
      <c r="D121" t="s">
        <v>86</v>
      </c>
      <c r="E121" s="89" t="s">
        <v>70</v>
      </c>
      <c r="F121" s="90">
        <v>356149834.17000002</v>
      </c>
      <c r="G121" s="90">
        <v>43515496.130000003</v>
      </c>
      <c r="H121" s="90">
        <v>24020794.649999999</v>
      </c>
      <c r="I121" s="90">
        <v>12665097.18</v>
      </c>
      <c r="J121" s="90">
        <v>55050411.369999997</v>
      </c>
      <c r="K121" s="90">
        <v>1571045.23</v>
      </c>
      <c r="L121" s="90">
        <v>23772051.329999998</v>
      </c>
      <c r="M121" s="90">
        <v>13745247.390000001</v>
      </c>
      <c r="N121" s="90">
        <v>17239309.399999999</v>
      </c>
      <c r="O121" s="90">
        <v>80081663.959999993</v>
      </c>
      <c r="P121" s="90">
        <v>81913211.549999997</v>
      </c>
      <c r="Q121" s="90">
        <v>2576071.06</v>
      </c>
      <c r="R121" s="90">
        <v>-591.15</v>
      </c>
      <c r="S121" s="90">
        <v>26.32</v>
      </c>
      <c r="T121" s="90">
        <v>0.01</v>
      </c>
      <c r="U121" s="90">
        <v>0</v>
      </c>
      <c r="V121" s="90">
        <v>0</v>
      </c>
      <c r="W121" s="90">
        <v>0</v>
      </c>
      <c r="X121">
        <v>0</v>
      </c>
      <c r="Y121">
        <v>0</v>
      </c>
      <c r="Z121">
        <v>-0.26</v>
      </c>
    </row>
    <row r="122" spans="1:26" ht="12.75" customHeight="1" x14ac:dyDescent="0.25">
      <c r="E122" s="89" t="s">
        <v>72</v>
      </c>
      <c r="F122" s="90">
        <v>802308928.47000003</v>
      </c>
      <c r="G122" s="90">
        <v>144734413.25999999</v>
      </c>
      <c r="H122" s="90">
        <v>81490473.120000005</v>
      </c>
      <c r="I122" s="90">
        <v>42731858.549999997</v>
      </c>
      <c r="J122" s="90">
        <v>72751039.769999996</v>
      </c>
      <c r="K122" s="90">
        <v>1790768.11</v>
      </c>
      <c r="L122" s="90">
        <v>25623000</v>
      </c>
      <c r="M122" s="90">
        <v>15645740.16</v>
      </c>
      <c r="N122" s="90">
        <v>22248025.239999998</v>
      </c>
      <c r="O122" s="90">
        <v>107767479.69</v>
      </c>
      <c r="P122" s="90">
        <v>284574819.37</v>
      </c>
      <c r="Q122" s="90">
        <v>2952786.67</v>
      </c>
      <c r="R122" s="90">
        <v>-1475.47</v>
      </c>
      <c r="S122" s="90">
        <v>0</v>
      </c>
      <c r="T122" s="90">
        <v>0</v>
      </c>
      <c r="U122" s="90">
        <v>0</v>
      </c>
      <c r="V122" s="90">
        <v>0</v>
      </c>
      <c r="W122" s="90">
        <v>0</v>
      </c>
      <c r="X122">
        <v>0</v>
      </c>
      <c r="Y122">
        <v>0</v>
      </c>
      <c r="Z122">
        <v>0</v>
      </c>
    </row>
    <row r="123" spans="1:26" ht="12.75" customHeight="1" x14ac:dyDescent="0.25">
      <c r="D123" s="89"/>
      <c r="E123" s="89" t="s">
        <v>81</v>
      </c>
      <c r="F123" s="90">
        <v>17589081.670000002</v>
      </c>
      <c r="G123" s="90">
        <v>3496902.32</v>
      </c>
      <c r="H123" s="90">
        <v>1966690.3</v>
      </c>
      <c r="I123" s="90">
        <v>1041921.4</v>
      </c>
      <c r="J123" s="90">
        <v>1088894.6399999999</v>
      </c>
      <c r="K123" s="90">
        <v>26866.9</v>
      </c>
      <c r="L123" s="90">
        <v>775642</v>
      </c>
      <c r="M123" s="90">
        <v>233260.21</v>
      </c>
      <c r="N123" s="90">
        <v>332151.78999999998</v>
      </c>
      <c r="O123" s="90">
        <v>1585172.4</v>
      </c>
      <c r="P123" s="90">
        <v>6997672.2999999998</v>
      </c>
      <c r="Q123" s="90">
        <v>43911.56</v>
      </c>
      <c r="R123" s="90">
        <v>-4.7300000000000004</v>
      </c>
      <c r="S123" s="90">
        <v>0.57999999999999996</v>
      </c>
      <c r="T123" s="90">
        <v>0</v>
      </c>
      <c r="U123" s="90">
        <v>0</v>
      </c>
      <c r="V123" s="90">
        <v>0</v>
      </c>
      <c r="W123" s="90">
        <v>0</v>
      </c>
      <c r="X123">
        <v>0</v>
      </c>
      <c r="Y123">
        <v>0</v>
      </c>
      <c r="Z123">
        <v>0</v>
      </c>
    </row>
    <row r="124" spans="1:26" ht="12.75" customHeight="1" x14ac:dyDescent="0.25">
      <c r="D124" t="s">
        <v>87</v>
      </c>
      <c r="E124" s="89" t="s">
        <v>70</v>
      </c>
      <c r="F124" s="90">
        <v>819898010.13999999</v>
      </c>
      <c r="G124" s="90">
        <v>148231315.58000001</v>
      </c>
      <c r="H124" s="90">
        <v>83457163.420000002</v>
      </c>
      <c r="I124" s="90">
        <v>43773779.950000003</v>
      </c>
      <c r="J124" s="90">
        <v>73839934.409999996</v>
      </c>
      <c r="K124" s="90">
        <v>1817635.01</v>
      </c>
      <c r="L124" s="90">
        <v>26398642</v>
      </c>
      <c r="M124" s="90">
        <v>15879000.369999999</v>
      </c>
      <c r="N124" s="90">
        <v>22580177.030000001</v>
      </c>
      <c r="O124" s="90">
        <v>109352652.09</v>
      </c>
      <c r="P124" s="90">
        <v>291572491.67000002</v>
      </c>
      <c r="Q124" s="90">
        <v>2996698.23</v>
      </c>
      <c r="R124" s="90">
        <v>-1480.2</v>
      </c>
      <c r="S124" s="90">
        <v>0.57999999999999996</v>
      </c>
      <c r="T124" s="90">
        <v>0</v>
      </c>
      <c r="U124" s="90">
        <v>0</v>
      </c>
      <c r="V124" s="90">
        <v>0</v>
      </c>
      <c r="W124" s="90">
        <v>0</v>
      </c>
      <c r="X124">
        <v>0</v>
      </c>
      <c r="Y124">
        <v>0</v>
      </c>
      <c r="Z124">
        <v>0</v>
      </c>
    </row>
    <row r="125" spans="1:26" s="94" customFormat="1" ht="12.75" customHeight="1" x14ac:dyDescent="0.25">
      <c r="C125" s="94" t="s">
        <v>119</v>
      </c>
      <c r="D125" s="94" t="s">
        <v>70</v>
      </c>
      <c r="E125" s="101"/>
      <c r="F125" s="93">
        <v>1877445558.1099999</v>
      </c>
      <c r="G125" s="93">
        <v>236069081.59</v>
      </c>
      <c r="H125" s="93">
        <v>132383771.53</v>
      </c>
      <c r="I125" s="93">
        <v>69603166.989999995</v>
      </c>
      <c r="J125" s="93">
        <v>303187219.94999999</v>
      </c>
      <c r="K125" s="93">
        <v>7659424.0999999996</v>
      </c>
      <c r="L125" s="93">
        <v>50343822.490000002</v>
      </c>
      <c r="M125" s="93">
        <v>67121672.109999999</v>
      </c>
      <c r="N125" s="93">
        <v>92543811.609999999</v>
      </c>
      <c r="O125" s="93">
        <v>444953990.94</v>
      </c>
      <c r="P125" s="93">
        <v>461002340.43000001</v>
      </c>
      <c r="Q125" s="93">
        <v>12579531.75</v>
      </c>
      <c r="R125" s="93">
        <v>-2293.2800000000002</v>
      </c>
      <c r="S125" s="93">
        <v>18.34</v>
      </c>
      <c r="T125" s="93">
        <v>0.01</v>
      </c>
      <c r="U125" s="93">
        <v>0</v>
      </c>
      <c r="V125" s="93">
        <v>0</v>
      </c>
      <c r="W125" s="93">
        <v>0</v>
      </c>
      <c r="X125" s="94">
        <v>0</v>
      </c>
      <c r="Y125" s="94">
        <v>0</v>
      </c>
      <c r="Z125" s="94">
        <v>-0.45</v>
      </c>
    </row>
    <row r="126" spans="1:26" s="226" customFormat="1" ht="12.75" customHeight="1" x14ac:dyDescent="0.25">
      <c r="B126" s="98" t="s">
        <v>112</v>
      </c>
      <c r="C126" s="98" t="s">
        <v>70</v>
      </c>
      <c r="F126" s="100">
        <v>27831227104.290001</v>
      </c>
      <c r="G126" s="100">
        <v>1684916798.8499999</v>
      </c>
      <c r="H126" s="100">
        <v>933492390.99000001</v>
      </c>
      <c r="I126" s="100">
        <v>493528507.68000001</v>
      </c>
      <c r="J126" s="100">
        <v>6821416465.9700003</v>
      </c>
      <c r="K126" s="100">
        <v>238019464.65000001</v>
      </c>
      <c r="L126" s="100">
        <v>73927482.560000002</v>
      </c>
      <c r="M126" s="100">
        <v>2085765788.5699999</v>
      </c>
      <c r="N126" s="100">
        <v>2071007083.6099999</v>
      </c>
      <c r="O126" s="100">
        <v>9728621332.4300003</v>
      </c>
      <c r="P126" s="100">
        <v>3311572956.0999999</v>
      </c>
      <c r="Q126" s="100">
        <v>388801501.02999997</v>
      </c>
      <c r="R126" s="100">
        <v>157355.9</v>
      </c>
      <c r="S126" s="100">
        <v>-21.53</v>
      </c>
      <c r="T126" s="100">
        <v>0.47</v>
      </c>
      <c r="U126" s="100">
        <v>0</v>
      </c>
      <c r="V126" s="100">
        <v>0</v>
      </c>
      <c r="W126" s="100">
        <v>0</v>
      </c>
      <c r="X126" s="226">
        <v>0</v>
      </c>
      <c r="Y126" s="226">
        <v>0</v>
      </c>
      <c r="Z126" s="226">
        <v>-2.99</v>
      </c>
    </row>
    <row r="127" spans="1:26" ht="12.75" customHeight="1" x14ac:dyDescent="0.25">
      <c r="A127" t="s">
        <v>78</v>
      </c>
      <c r="B127" s="89" t="s">
        <v>70</v>
      </c>
      <c r="C127" s="89"/>
      <c r="F127" s="90">
        <v>27853376585.279999</v>
      </c>
      <c r="G127" s="90">
        <v>1686140366.77</v>
      </c>
      <c r="H127" s="90">
        <v>934178787.30999994</v>
      </c>
      <c r="I127" s="90">
        <v>493896352.97000003</v>
      </c>
      <c r="J127" s="90">
        <v>6827084080.54</v>
      </c>
      <c r="K127" s="90">
        <v>238169729.58000001</v>
      </c>
      <c r="L127" s="90">
        <v>73927482.560000002</v>
      </c>
      <c r="M127" s="90">
        <v>2087076357.04</v>
      </c>
      <c r="N127" s="90">
        <v>2072738577.4200001</v>
      </c>
      <c r="O127" s="90">
        <v>9736968792.2700005</v>
      </c>
      <c r="P127" s="90">
        <v>3313992849.3499999</v>
      </c>
      <c r="Q127" s="90">
        <v>389045982.82999998</v>
      </c>
      <c r="R127" s="90">
        <v>157250.63</v>
      </c>
      <c r="S127" s="90">
        <v>-21.47</v>
      </c>
      <c r="T127" s="90">
        <v>0.47</v>
      </c>
      <c r="U127" s="90">
        <v>0</v>
      </c>
      <c r="V127" s="90">
        <v>0</v>
      </c>
      <c r="W127" s="90">
        <v>0</v>
      </c>
      <c r="X127">
        <v>0</v>
      </c>
      <c r="Y127">
        <v>0</v>
      </c>
      <c r="Z127">
        <v>-2.99</v>
      </c>
    </row>
    <row r="128" spans="1:26" ht="12.75" customHeight="1" x14ac:dyDescent="0.25">
      <c r="B128" s="89"/>
      <c r="C128" s="89"/>
      <c r="E128" t="s">
        <v>73</v>
      </c>
      <c r="F128" s="90">
        <v>-3799555.27</v>
      </c>
      <c r="G128" s="90">
        <v>-107309.72</v>
      </c>
      <c r="H128" s="90">
        <v>-61496.51</v>
      </c>
      <c r="I128" s="90">
        <v>-32530.16</v>
      </c>
      <c r="J128" s="90">
        <v>-1090724.74</v>
      </c>
      <c r="K128" s="90">
        <v>-29853.77</v>
      </c>
      <c r="L128" s="90">
        <v>0</v>
      </c>
      <c r="M128" s="90">
        <v>-261881.36</v>
      </c>
      <c r="N128" s="90">
        <v>-339241.63</v>
      </c>
      <c r="O128" s="90">
        <v>-1623783.79</v>
      </c>
      <c r="P128" s="90">
        <v>-204023.98</v>
      </c>
      <c r="Q128" s="90">
        <v>-48709.61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2:26" ht="12.75" customHeight="1" x14ac:dyDescent="0.25">
      <c r="B129" s="89"/>
      <c r="C129" s="89"/>
      <c r="D129" t="s">
        <v>156</v>
      </c>
      <c r="E129" t="s">
        <v>70</v>
      </c>
      <c r="F129" s="90">
        <v>-3799555.27</v>
      </c>
      <c r="G129" s="90">
        <v>-107309.72</v>
      </c>
      <c r="H129" s="90">
        <v>-61496.51</v>
      </c>
      <c r="I129" s="90">
        <v>-32530.16</v>
      </c>
      <c r="J129" s="90">
        <v>-1090724.74</v>
      </c>
      <c r="K129" s="90">
        <v>-29853.77</v>
      </c>
      <c r="L129" s="90">
        <v>0</v>
      </c>
      <c r="M129" s="90">
        <v>-261881.36</v>
      </c>
      <c r="N129" s="90">
        <v>-339241.63</v>
      </c>
      <c r="O129" s="90">
        <v>-1623783.79</v>
      </c>
      <c r="P129" s="90">
        <v>-204023.98</v>
      </c>
      <c r="Q129" s="90">
        <v>-48709.61</v>
      </c>
      <c r="R129" s="90">
        <v>0</v>
      </c>
      <c r="S129" s="90">
        <v>0</v>
      </c>
      <c r="T129" s="90">
        <v>0</v>
      </c>
      <c r="U129" s="90">
        <v>0</v>
      </c>
      <c r="V129" s="90">
        <v>0</v>
      </c>
      <c r="W129" s="90">
        <v>0</v>
      </c>
      <c r="X129">
        <v>0</v>
      </c>
      <c r="Y129">
        <v>0</v>
      </c>
      <c r="Z129">
        <v>0</v>
      </c>
    </row>
    <row r="130" spans="2:26" s="656" customFormat="1" ht="12.75" customHeight="1" x14ac:dyDescent="0.25">
      <c r="C130" s="656" t="s">
        <v>155</v>
      </c>
      <c r="D130" s="657" t="s">
        <v>70</v>
      </c>
      <c r="E130" s="657"/>
      <c r="F130" s="658">
        <v>-3799555.27</v>
      </c>
      <c r="G130" s="658">
        <v>-107309.72</v>
      </c>
      <c r="H130" s="658">
        <v>-61496.51</v>
      </c>
      <c r="I130" s="658">
        <v>-32530.16</v>
      </c>
      <c r="J130" s="658">
        <v>-1090724.74</v>
      </c>
      <c r="K130" s="658">
        <v>-29853.77</v>
      </c>
      <c r="L130" s="658">
        <v>0</v>
      </c>
      <c r="M130" s="658">
        <v>-261881.36</v>
      </c>
      <c r="N130" s="658">
        <v>-339241.63</v>
      </c>
      <c r="O130" s="658">
        <v>-1623783.79</v>
      </c>
      <c r="P130" s="658">
        <v>-204023.98</v>
      </c>
      <c r="Q130" s="658">
        <v>-48709.61</v>
      </c>
      <c r="R130" s="658">
        <v>0</v>
      </c>
      <c r="S130" s="658">
        <v>0</v>
      </c>
      <c r="T130" s="658">
        <v>0</v>
      </c>
      <c r="U130" s="658">
        <v>0</v>
      </c>
      <c r="V130" s="658">
        <v>0</v>
      </c>
      <c r="W130" s="658">
        <v>0</v>
      </c>
      <c r="X130" s="656">
        <v>0</v>
      </c>
      <c r="Y130" s="656">
        <v>0</v>
      </c>
      <c r="Z130" s="656">
        <v>0</v>
      </c>
    </row>
    <row r="131" spans="2:26" ht="12.75" customHeight="1" x14ac:dyDescent="0.25">
      <c r="D131" s="89"/>
      <c r="E131" s="89" t="s">
        <v>73</v>
      </c>
      <c r="F131" s="371">
        <v>-116867.43</v>
      </c>
      <c r="G131" s="90">
        <v>-5847.47</v>
      </c>
      <c r="H131" s="90">
        <v>-3288.84</v>
      </c>
      <c r="I131" s="90">
        <v>-1735.82</v>
      </c>
      <c r="J131" s="90">
        <v>-30275.48</v>
      </c>
      <c r="K131" s="90">
        <v>-1051.1199999999999</v>
      </c>
      <c r="L131" s="90">
        <v>0</v>
      </c>
      <c r="M131" s="90">
        <v>-9219.98</v>
      </c>
      <c r="N131" s="90">
        <v>-9165.23</v>
      </c>
      <c r="O131" s="90">
        <v>-42936.39</v>
      </c>
      <c r="P131" s="90">
        <v>-11632.19</v>
      </c>
      <c r="Q131" s="90">
        <v>-1714.91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>
        <v>0</v>
      </c>
      <c r="Y131">
        <v>0</v>
      </c>
      <c r="Z131">
        <v>0</v>
      </c>
    </row>
    <row r="132" spans="2:26" ht="12.75" customHeight="1" x14ac:dyDescent="0.25">
      <c r="D132" s="89" t="s">
        <v>82</v>
      </c>
      <c r="E132" s="89" t="s">
        <v>70</v>
      </c>
      <c r="F132" s="371">
        <v>-116867.43</v>
      </c>
      <c r="G132" s="90">
        <v>-5847.47</v>
      </c>
      <c r="H132" s="90">
        <v>-3288.84</v>
      </c>
      <c r="I132" s="90">
        <v>-1735.82</v>
      </c>
      <c r="J132" s="90">
        <v>-30275.48</v>
      </c>
      <c r="K132" s="90">
        <v>-1051.1199999999999</v>
      </c>
      <c r="L132" s="90">
        <v>0</v>
      </c>
      <c r="M132" s="90">
        <v>-9219.98</v>
      </c>
      <c r="N132" s="90">
        <v>-9165.23</v>
      </c>
      <c r="O132" s="90">
        <v>-42936.39</v>
      </c>
      <c r="P132" s="90">
        <v>-11632.19</v>
      </c>
      <c r="Q132" s="90">
        <v>-1714.91</v>
      </c>
      <c r="R132" s="90">
        <v>0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>
        <v>0</v>
      </c>
      <c r="Y132">
        <v>0</v>
      </c>
      <c r="Z132">
        <v>0</v>
      </c>
    </row>
    <row r="133" spans="2:26" ht="12.75" customHeight="1" x14ac:dyDescent="0.25">
      <c r="D133" s="89"/>
      <c r="E133" s="89" t="s">
        <v>73</v>
      </c>
      <c r="F133" s="371">
        <v>-218890.29</v>
      </c>
      <c r="G133" s="90">
        <v>-10407.36</v>
      </c>
      <c r="H133" s="90">
        <v>-5905.96</v>
      </c>
      <c r="I133" s="90">
        <v>-3077.68</v>
      </c>
      <c r="J133" s="90">
        <v>-58603.93</v>
      </c>
      <c r="K133" s="90">
        <v>-1465.63</v>
      </c>
      <c r="L133" s="90">
        <v>0</v>
      </c>
      <c r="M133" s="90">
        <v>-12856.5</v>
      </c>
      <c r="N133" s="90">
        <v>-18280.25</v>
      </c>
      <c r="O133" s="90">
        <v>-85978.29</v>
      </c>
      <c r="P133" s="90">
        <v>-19923.36</v>
      </c>
      <c r="Q133" s="90">
        <v>-2391.33</v>
      </c>
      <c r="R133" s="90">
        <v>0</v>
      </c>
      <c r="S133" s="90">
        <v>0</v>
      </c>
      <c r="T133" s="90">
        <v>0</v>
      </c>
      <c r="U133" s="90">
        <v>0</v>
      </c>
      <c r="V133" s="90">
        <v>0</v>
      </c>
      <c r="W133" s="90">
        <v>0</v>
      </c>
      <c r="X133">
        <v>0</v>
      </c>
      <c r="Y133">
        <v>0</v>
      </c>
      <c r="Z133">
        <v>0</v>
      </c>
    </row>
    <row r="134" spans="2:26" ht="12.75" customHeight="1" x14ac:dyDescent="0.25">
      <c r="D134" s="89" t="s">
        <v>86</v>
      </c>
      <c r="E134" s="89" t="s">
        <v>70</v>
      </c>
      <c r="F134" s="371">
        <v>-218890.29</v>
      </c>
      <c r="G134" s="90">
        <v>-10407.36</v>
      </c>
      <c r="H134" s="90">
        <v>-5905.96</v>
      </c>
      <c r="I134" s="90">
        <v>-3077.68</v>
      </c>
      <c r="J134" s="90">
        <v>-58603.93</v>
      </c>
      <c r="K134" s="90">
        <v>-1465.63</v>
      </c>
      <c r="L134" s="90">
        <v>0</v>
      </c>
      <c r="M134" s="90">
        <v>-12856.5</v>
      </c>
      <c r="N134" s="90">
        <v>-18280.25</v>
      </c>
      <c r="O134" s="90">
        <v>-85978.29</v>
      </c>
      <c r="P134" s="90">
        <v>-19923.36</v>
      </c>
      <c r="Q134" s="90">
        <v>-2391.33</v>
      </c>
      <c r="R134" s="90">
        <v>0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>
        <v>0</v>
      </c>
      <c r="Y134">
        <v>0</v>
      </c>
      <c r="Z134">
        <v>0</v>
      </c>
    </row>
    <row r="135" spans="2:26" s="94" customFormat="1" ht="12.75" customHeight="1" x14ac:dyDescent="0.25">
      <c r="C135" s="94" t="s">
        <v>119</v>
      </c>
      <c r="D135" s="94" t="s">
        <v>70</v>
      </c>
      <c r="E135" s="101"/>
      <c r="F135" s="93">
        <v>-335757.72</v>
      </c>
      <c r="G135" s="93">
        <v>-16254.83</v>
      </c>
      <c r="H135" s="93">
        <v>-9194.7999999999993</v>
      </c>
      <c r="I135" s="93">
        <v>-4813.5</v>
      </c>
      <c r="J135" s="93">
        <v>-88879.41</v>
      </c>
      <c r="K135" s="93">
        <v>-2516.75</v>
      </c>
      <c r="L135" s="93">
        <v>0</v>
      </c>
      <c r="M135" s="93">
        <v>-22076.48</v>
      </c>
      <c r="N135" s="93">
        <v>-27445.48</v>
      </c>
      <c r="O135" s="93">
        <v>-128914.68</v>
      </c>
      <c r="P135" s="93">
        <v>-31555.55</v>
      </c>
      <c r="Q135" s="93">
        <v>-4106.24</v>
      </c>
      <c r="R135" s="93">
        <v>0</v>
      </c>
      <c r="S135" s="93">
        <v>0</v>
      </c>
      <c r="T135" s="93">
        <v>0</v>
      </c>
      <c r="U135" s="93">
        <v>0</v>
      </c>
      <c r="V135" s="93">
        <v>0</v>
      </c>
      <c r="W135" s="93">
        <v>0</v>
      </c>
      <c r="X135" s="94">
        <v>0</v>
      </c>
      <c r="Y135" s="94">
        <v>0</v>
      </c>
      <c r="Z135" s="94">
        <v>0</v>
      </c>
    </row>
    <row r="136" spans="2:26" s="378" customFormat="1" ht="12.75" customHeight="1" x14ac:dyDescent="0.25">
      <c r="B136" s="378" t="s">
        <v>122</v>
      </c>
      <c r="C136" s="378" t="s">
        <v>70</v>
      </c>
      <c r="E136" s="376"/>
      <c r="F136" s="710">
        <v>-4135312.99</v>
      </c>
      <c r="G136" s="377">
        <v>-123564.55</v>
      </c>
      <c r="H136" s="377">
        <v>-70691.31</v>
      </c>
      <c r="I136" s="377">
        <v>-37343.660000000003</v>
      </c>
      <c r="J136" s="377">
        <v>-1179604.1499999999</v>
      </c>
      <c r="K136" s="377">
        <v>-32370.52</v>
      </c>
      <c r="L136" s="377">
        <v>0</v>
      </c>
      <c r="M136" s="377">
        <v>-283957.84000000003</v>
      </c>
      <c r="N136" s="377">
        <v>-366687.11</v>
      </c>
      <c r="O136" s="377">
        <v>-1752698.47</v>
      </c>
      <c r="P136" s="377">
        <v>-235579.53</v>
      </c>
      <c r="Q136" s="377">
        <v>-52815.85</v>
      </c>
      <c r="R136" s="377">
        <v>0</v>
      </c>
      <c r="S136" s="377">
        <v>0</v>
      </c>
      <c r="T136" s="377">
        <v>0</v>
      </c>
      <c r="U136" s="377">
        <v>0</v>
      </c>
      <c r="V136" s="377">
        <v>0</v>
      </c>
      <c r="W136" s="377">
        <v>0</v>
      </c>
      <c r="X136" s="378">
        <v>0</v>
      </c>
      <c r="Y136" s="378">
        <v>0</v>
      </c>
      <c r="Z136" s="378">
        <v>0</v>
      </c>
    </row>
    <row r="137" spans="2:26" ht="12.75" customHeight="1" x14ac:dyDescent="0.25">
      <c r="E137" s="89" t="s">
        <v>73</v>
      </c>
      <c r="F137" s="90">
        <v>-5743743719.6400003</v>
      </c>
      <c r="G137" s="90">
        <v>-138696529.16</v>
      </c>
      <c r="H137" s="90">
        <v>-76042310.689999998</v>
      </c>
      <c r="I137" s="90">
        <v>-40347142.43</v>
      </c>
      <c r="J137" s="90">
        <v>-1669973422.72</v>
      </c>
      <c r="K137" s="90">
        <v>-58878907.939999998</v>
      </c>
      <c r="L137" s="90">
        <v>0</v>
      </c>
      <c r="M137" s="90">
        <v>-516563215.81999999</v>
      </c>
      <c r="N137" s="90">
        <v>-507335576.19999999</v>
      </c>
      <c r="O137" s="90">
        <v>-2372148551.27</v>
      </c>
      <c r="P137" s="90">
        <v>-267700453.02000001</v>
      </c>
      <c r="Q137" s="90">
        <v>-96057610.390000001</v>
      </c>
      <c r="R137" s="90">
        <v>0</v>
      </c>
      <c r="S137" s="90">
        <v>0</v>
      </c>
      <c r="T137" s="90">
        <v>0</v>
      </c>
      <c r="U137" s="90">
        <v>0</v>
      </c>
      <c r="V137" s="90">
        <v>0</v>
      </c>
      <c r="W137" s="90">
        <v>0</v>
      </c>
      <c r="X137">
        <v>0</v>
      </c>
      <c r="Y137">
        <v>0</v>
      </c>
      <c r="Z137">
        <v>0</v>
      </c>
    </row>
    <row r="138" spans="2:26" ht="12.75" customHeight="1" x14ac:dyDescent="0.25">
      <c r="D138" s="89" t="s">
        <v>156</v>
      </c>
      <c r="E138" s="89" t="s">
        <v>70</v>
      </c>
      <c r="F138" s="90">
        <v>-5743743719.6400003</v>
      </c>
      <c r="G138" s="90">
        <v>-138696529.16</v>
      </c>
      <c r="H138" s="90">
        <v>-76042310.689999998</v>
      </c>
      <c r="I138" s="90">
        <v>-40347142.43</v>
      </c>
      <c r="J138" s="90">
        <v>-1669973422.72</v>
      </c>
      <c r="K138" s="90">
        <v>-58878907.939999998</v>
      </c>
      <c r="L138" s="90">
        <v>0</v>
      </c>
      <c r="M138" s="90">
        <v>-516563215.81999999</v>
      </c>
      <c r="N138" s="90">
        <v>-507335576.19999999</v>
      </c>
      <c r="O138" s="90">
        <v>-2372148551.27</v>
      </c>
      <c r="P138" s="90">
        <v>-267700453.02000001</v>
      </c>
      <c r="Q138" s="90">
        <v>-96057610.390000001</v>
      </c>
      <c r="R138" s="90">
        <v>0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>
        <v>0</v>
      </c>
      <c r="Y138">
        <v>0</v>
      </c>
      <c r="Z138">
        <v>0</v>
      </c>
    </row>
    <row r="139" spans="2:26" s="656" customFormat="1" ht="12.75" customHeight="1" x14ac:dyDescent="0.25">
      <c r="C139" s="656" t="s">
        <v>155</v>
      </c>
      <c r="D139" s="657" t="s">
        <v>70</v>
      </c>
      <c r="E139" s="657"/>
      <c r="F139" s="738">
        <v>-5743743719.6400003</v>
      </c>
      <c r="G139" s="658">
        <v>-138696529.16</v>
      </c>
      <c r="H139" s="658">
        <v>-76042310.689999998</v>
      </c>
      <c r="I139" s="658">
        <v>-40347142.43</v>
      </c>
      <c r="J139" s="658">
        <v>-1669973422.72</v>
      </c>
      <c r="K139" s="658">
        <v>-58878907.939999998</v>
      </c>
      <c r="L139" s="658">
        <v>0</v>
      </c>
      <c r="M139" s="658">
        <v>-516563215.81999999</v>
      </c>
      <c r="N139" s="658">
        <v>-507335576.19999999</v>
      </c>
      <c r="O139" s="658">
        <v>-2372148551.27</v>
      </c>
      <c r="P139" s="658">
        <v>-267700453.02000001</v>
      </c>
      <c r="Q139" s="658">
        <v>-96057610.390000001</v>
      </c>
      <c r="R139" s="658">
        <v>0</v>
      </c>
      <c r="S139" s="658">
        <v>0</v>
      </c>
      <c r="T139" s="658">
        <v>0</v>
      </c>
      <c r="U139" s="658">
        <v>0</v>
      </c>
      <c r="V139" s="658">
        <v>0</v>
      </c>
      <c r="W139" s="658">
        <v>0</v>
      </c>
      <c r="X139" s="656">
        <v>0</v>
      </c>
      <c r="Y139" s="656">
        <v>0</v>
      </c>
      <c r="Z139" s="656">
        <v>0</v>
      </c>
    </row>
    <row r="140" spans="2:26" ht="12.75" customHeight="1" x14ac:dyDescent="0.25">
      <c r="D140" s="89"/>
      <c r="E140" s="89" t="s">
        <v>73</v>
      </c>
      <c r="F140" s="371">
        <v>-5664.31</v>
      </c>
      <c r="G140" s="90">
        <v>-156.88999999999999</v>
      </c>
      <c r="H140" s="90">
        <v>-87.79</v>
      </c>
      <c r="I140" s="90">
        <v>-46.47</v>
      </c>
      <c r="J140" s="90">
        <v>-1676.61</v>
      </c>
      <c r="K140" s="90">
        <v>-56.2</v>
      </c>
      <c r="L140" s="90">
        <v>0</v>
      </c>
      <c r="M140" s="90">
        <v>-492.96</v>
      </c>
      <c r="N140" s="90">
        <v>-480.83</v>
      </c>
      <c r="O140" s="90">
        <v>-2263.38</v>
      </c>
      <c r="P140" s="90">
        <v>-311.49</v>
      </c>
      <c r="Q140" s="90">
        <v>-91.69</v>
      </c>
      <c r="R140" s="90">
        <v>0</v>
      </c>
      <c r="S140" s="90">
        <v>0</v>
      </c>
      <c r="T140" s="90">
        <v>0</v>
      </c>
      <c r="U140" s="90">
        <v>0</v>
      </c>
      <c r="V140" s="90">
        <v>0</v>
      </c>
      <c r="W140" s="90">
        <v>0</v>
      </c>
      <c r="X140">
        <v>0</v>
      </c>
      <c r="Y140">
        <v>0</v>
      </c>
      <c r="Z140">
        <v>0</v>
      </c>
    </row>
    <row r="141" spans="2:26" ht="12.75" customHeight="1" x14ac:dyDescent="0.25">
      <c r="D141" s="89" t="s">
        <v>115</v>
      </c>
      <c r="E141" s="89" t="s">
        <v>70</v>
      </c>
      <c r="F141" s="371">
        <v>-5664.31</v>
      </c>
      <c r="G141" s="90">
        <v>-156.88999999999999</v>
      </c>
      <c r="H141" s="90">
        <v>-87.79</v>
      </c>
      <c r="I141" s="90">
        <v>-46.47</v>
      </c>
      <c r="J141" s="90">
        <v>-1676.61</v>
      </c>
      <c r="K141" s="90">
        <v>-56.2</v>
      </c>
      <c r="L141" s="90">
        <v>0</v>
      </c>
      <c r="M141" s="90">
        <v>-492.96</v>
      </c>
      <c r="N141" s="90">
        <v>-480.83</v>
      </c>
      <c r="O141" s="90">
        <v>-2263.38</v>
      </c>
      <c r="P141" s="90">
        <v>-311.49</v>
      </c>
      <c r="Q141" s="90">
        <v>-91.69</v>
      </c>
      <c r="R141" s="90">
        <v>0</v>
      </c>
      <c r="S141" s="90">
        <v>0</v>
      </c>
      <c r="T141" s="90">
        <v>0</v>
      </c>
      <c r="U141" s="90">
        <v>0</v>
      </c>
      <c r="V141" s="90">
        <v>0</v>
      </c>
      <c r="W141" s="90">
        <v>0</v>
      </c>
      <c r="X141">
        <v>0</v>
      </c>
      <c r="Y141">
        <v>0</v>
      </c>
      <c r="Z141">
        <v>0</v>
      </c>
    </row>
    <row r="142" spans="2:26" ht="12.75" customHeight="1" x14ac:dyDescent="0.25">
      <c r="D142" s="89"/>
      <c r="E142" s="89" t="s">
        <v>73</v>
      </c>
      <c r="F142" s="371">
        <v>4197.92</v>
      </c>
      <c r="G142" s="90">
        <v>405.95</v>
      </c>
      <c r="H142" s="90">
        <v>226.19</v>
      </c>
      <c r="I142" s="90">
        <v>120.29</v>
      </c>
      <c r="J142" s="90">
        <v>861</v>
      </c>
      <c r="K142" s="90">
        <v>29.51</v>
      </c>
      <c r="L142" s="90">
        <v>0</v>
      </c>
      <c r="M142" s="90">
        <v>258.89999999999998</v>
      </c>
      <c r="N142" s="90">
        <v>253.24</v>
      </c>
      <c r="O142" s="90">
        <v>1188.7</v>
      </c>
      <c r="P142" s="90">
        <v>805.98</v>
      </c>
      <c r="Q142" s="90">
        <v>48.16</v>
      </c>
      <c r="R142" s="90">
        <v>0</v>
      </c>
      <c r="S142" s="90">
        <v>0</v>
      </c>
      <c r="T142" s="90">
        <v>0</v>
      </c>
      <c r="U142" s="90">
        <v>0</v>
      </c>
      <c r="V142" s="90">
        <v>0</v>
      </c>
      <c r="W142" s="90">
        <v>0</v>
      </c>
      <c r="X142">
        <v>0</v>
      </c>
      <c r="Y142">
        <v>0</v>
      </c>
      <c r="Z142">
        <v>0</v>
      </c>
    </row>
    <row r="143" spans="2:26" ht="12.75" customHeight="1" x14ac:dyDescent="0.25">
      <c r="D143" s="89" t="s">
        <v>116</v>
      </c>
      <c r="E143" s="89" t="s">
        <v>70</v>
      </c>
      <c r="F143" s="371">
        <v>4197.92</v>
      </c>
      <c r="G143" s="90">
        <v>405.95</v>
      </c>
      <c r="H143" s="90">
        <v>226.19</v>
      </c>
      <c r="I143" s="90">
        <v>120.29</v>
      </c>
      <c r="J143" s="90">
        <v>861</v>
      </c>
      <c r="K143" s="90">
        <v>29.51</v>
      </c>
      <c r="L143" s="90">
        <v>0</v>
      </c>
      <c r="M143" s="90">
        <v>258.89999999999998</v>
      </c>
      <c r="N143" s="90">
        <v>253.24</v>
      </c>
      <c r="O143" s="90">
        <v>1188.7</v>
      </c>
      <c r="P143" s="90">
        <v>805.98</v>
      </c>
      <c r="Q143" s="90">
        <v>48.16</v>
      </c>
      <c r="R143" s="90">
        <v>0</v>
      </c>
      <c r="S143" s="90">
        <v>0</v>
      </c>
      <c r="T143" s="90">
        <v>0</v>
      </c>
      <c r="U143" s="90">
        <v>0</v>
      </c>
      <c r="V143" s="90">
        <v>0</v>
      </c>
      <c r="W143" s="90">
        <v>0</v>
      </c>
      <c r="X143">
        <v>0</v>
      </c>
      <c r="Y143">
        <v>0</v>
      </c>
      <c r="Z143">
        <v>0</v>
      </c>
    </row>
    <row r="144" spans="2:26" ht="12.75" customHeight="1" x14ac:dyDescent="0.25">
      <c r="E144" s="89" t="s">
        <v>73</v>
      </c>
      <c r="F144" s="90">
        <v>-943629.1</v>
      </c>
      <c r="G144" s="90">
        <v>-42097.2</v>
      </c>
      <c r="H144" s="90">
        <v>-23514.68</v>
      </c>
      <c r="I144" s="90">
        <v>-12483.97</v>
      </c>
      <c r="J144" s="90">
        <v>-251540.97</v>
      </c>
      <c r="K144" s="90">
        <v>-8666.9599999999991</v>
      </c>
      <c r="L144" s="90">
        <v>0</v>
      </c>
      <c r="M144" s="90">
        <v>-76025.59</v>
      </c>
      <c r="N144" s="90">
        <v>-75704.53</v>
      </c>
      <c r="O144" s="90">
        <v>-357359.55</v>
      </c>
      <c r="P144" s="90">
        <v>-82094.86</v>
      </c>
      <c r="Q144" s="90">
        <v>-14140.79</v>
      </c>
      <c r="R144" s="90">
        <v>0</v>
      </c>
      <c r="S144" s="90">
        <v>0</v>
      </c>
      <c r="T144" s="90">
        <v>0</v>
      </c>
      <c r="U144" s="90">
        <v>0</v>
      </c>
      <c r="V144" s="90">
        <v>0</v>
      </c>
      <c r="W144" s="90">
        <v>0</v>
      </c>
      <c r="X144">
        <v>0</v>
      </c>
      <c r="Y144">
        <v>0</v>
      </c>
      <c r="Z144">
        <v>0</v>
      </c>
    </row>
    <row r="145" spans="1:26" ht="12.75" customHeight="1" x14ac:dyDescent="0.25">
      <c r="D145" s="89" t="s">
        <v>118</v>
      </c>
      <c r="E145" s="89" t="s">
        <v>70</v>
      </c>
      <c r="F145" s="90">
        <v>-943629.1</v>
      </c>
      <c r="G145" s="90">
        <v>-42097.2</v>
      </c>
      <c r="H145" s="90">
        <v>-23514.68</v>
      </c>
      <c r="I145" s="90">
        <v>-12483.97</v>
      </c>
      <c r="J145" s="90">
        <v>-251540.97</v>
      </c>
      <c r="K145" s="90">
        <v>-8666.9599999999991</v>
      </c>
      <c r="L145" s="90">
        <v>0</v>
      </c>
      <c r="M145" s="90">
        <v>-76025.59</v>
      </c>
      <c r="N145" s="90">
        <v>-75704.53</v>
      </c>
      <c r="O145" s="90">
        <v>-357359.55</v>
      </c>
      <c r="P145" s="90">
        <v>-82094.86</v>
      </c>
      <c r="Q145" s="90">
        <v>-14140.79</v>
      </c>
      <c r="R145" s="90">
        <v>0</v>
      </c>
      <c r="S145" s="90">
        <v>0</v>
      </c>
      <c r="T145" s="90">
        <v>0</v>
      </c>
      <c r="U145" s="90">
        <v>0</v>
      </c>
      <c r="V145" s="90">
        <v>0</v>
      </c>
      <c r="W145" s="90">
        <v>0</v>
      </c>
      <c r="X145">
        <v>0</v>
      </c>
      <c r="Y145">
        <v>0</v>
      </c>
      <c r="Z145">
        <v>0</v>
      </c>
    </row>
    <row r="146" spans="1:26" s="224" customFormat="1" ht="12.75" customHeight="1" x14ac:dyDescent="0.25">
      <c r="C146" s="223" t="s">
        <v>120</v>
      </c>
      <c r="D146" s="223" t="s">
        <v>70</v>
      </c>
      <c r="F146" s="225">
        <v>-945095.49</v>
      </c>
      <c r="G146" s="225">
        <v>-41848.14</v>
      </c>
      <c r="H146" s="225">
        <v>-23376.28</v>
      </c>
      <c r="I146" s="225">
        <v>-12410.15</v>
      </c>
      <c r="J146" s="225">
        <v>-252356.58</v>
      </c>
      <c r="K146" s="225">
        <v>-8693.65</v>
      </c>
      <c r="L146" s="225">
        <v>0</v>
      </c>
      <c r="M146" s="225">
        <v>-76259.649999999994</v>
      </c>
      <c r="N146" s="225">
        <v>-75932.12</v>
      </c>
      <c r="O146" s="225">
        <v>-358434.23</v>
      </c>
      <c r="P146" s="225">
        <v>-81600.37</v>
      </c>
      <c r="Q146" s="225">
        <v>-14184.32</v>
      </c>
      <c r="R146" s="225">
        <v>0</v>
      </c>
      <c r="S146" s="225">
        <v>0</v>
      </c>
      <c r="T146" s="225">
        <v>0</v>
      </c>
      <c r="U146" s="225">
        <v>0</v>
      </c>
      <c r="V146" s="225">
        <v>0</v>
      </c>
      <c r="W146" s="225">
        <v>0</v>
      </c>
      <c r="X146" s="224">
        <v>0</v>
      </c>
      <c r="Y146" s="224">
        <v>0</v>
      </c>
      <c r="Z146" s="224">
        <v>0</v>
      </c>
    </row>
    <row r="147" spans="1:26" ht="12.75" customHeight="1" x14ac:dyDescent="0.25">
      <c r="E147" s="89" t="s">
        <v>73</v>
      </c>
      <c r="F147" s="90">
        <v>-93350641.900000006</v>
      </c>
      <c r="G147" s="90">
        <v>1142309.42</v>
      </c>
      <c r="H147" s="90">
        <v>673872.28</v>
      </c>
      <c r="I147" s="90">
        <v>359448.15</v>
      </c>
      <c r="J147" s="90">
        <v>-32360568.66</v>
      </c>
      <c r="K147" s="90">
        <v>-788309.33</v>
      </c>
      <c r="L147" s="90">
        <v>0</v>
      </c>
      <c r="M147" s="90">
        <v>-6926748.0599999996</v>
      </c>
      <c r="N147" s="90">
        <v>-9723813.8200000003</v>
      </c>
      <c r="O147" s="90">
        <v>-46789809.979999997</v>
      </c>
      <c r="P147" s="90">
        <v>2349370.4</v>
      </c>
      <c r="Q147" s="90">
        <v>-1286392.3</v>
      </c>
      <c r="R147" s="90">
        <v>0</v>
      </c>
      <c r="S147" s="90">
        <v>0</v>
      </c>
      <c r="T147" s="90">
        <v>0</v>
      </c>
      <c r="U147" s="90">
        <v>0</v>
      </c>
      <c r="V147" s="90">
        <v>0</v>
      </c>
      <c r="W147" s="90">
        <v>0</v>
      </c>
      <c r="X147">
        <v>0</v>
      </c>
      <c r="Y147">
        <v>0</v>
      </c>
      <c r="Z147">
        <v>0</v>
      </c>
    </row>
    <row r="148" spans="1:26" ht="12.75" customHeight="1" x14ac:dyDescent="0.25">
      <c r="D148" s="89" t="s">
        <v>82</v>
      </c>
      <c r="E148" s="89" t="s">
        <v>70</v>
      </c>
      <c r="F148" s="90">
        <v>-93350641.900000006</v>
      </c>
      <c r="G148" s="90">
        <v>1142309.42</v>
      </c>
      <c r="H148" s="90">
        <v>673872.28</v>
      </c>
      <c r="I148" s="90">
        <v>359448.15</v>
      </c>
      <c r="J148" s="90">
        <v>-32360568.66</v>
      </c>
      <c r="K148" s="90">
        <v>-788309.33</v>
      </c>
      <c r="L148" s="90">
        <v>0</v>
      </c>
      <c r="M148" s="90">
        <v>-6926748.0599999996</v>
      </c>
      <c r="N148" s="90">
        <v>-9723813.8200000003</v>
      </c>
      <c r="O148" s="90">
        <v>-46789809.979999997</v>
      </c>
      <c r="P148" s="90">
        <v>2349370.4</v>
      </c>
      <c r="Q148" s="90">
        <v>-1286392.3</v>
      </c>
      <c r="R148" s="90">
        <v>0</v>
      </c>
      <c r="S148" s="90">
        <v>0</v>
      </c>
      <c r="T148" s="90">
        <v>0</v>
      </c>
      <c r="U148" s="90">
        <v>0</v>
      </c>
      <c r="V148" s="90">
        <v>0</v>
      </c>
      <c r="W148" s="90">
        <v>0</v>
      </c>
      <c r="X148">
        <v>0</v>
      </c>
      <c r="Y148">
        <v>0</v>
      </c>
      <c r="Z148">
        <v>0</v>
      </c>
    </row>
    <row r="149" spans="1:26" ht="12.75" customHeight="1" x14ac:dyDescent="0.25">
      <c r="E149" s="89" t="s">
        <v>73</v>
      </c>
      <c r="F149" s="90">
        <v>71323760.469999999</v>
      </c>
      <c r="G149" s="90">
        <v>23751698.550000001</v>
      </c>
      <c r="H149" s="90">
        <v>13115739.99</v>
      </c>
      <c r="I149" s="90">
        <v>7137291.2199999997</v>
      </c>
      <c r="J149" s="90">
        <v>-7232792.2300000004</v>
      </c>
      <c r="K149" s="90">
        <v>-196776.48</v>
      </c>
      <c r="L149" s="90">
        <v>0</v>
      </c>
      <c r="M149" s="90">
        <v>-1724466.77</v>
      </c>
      <c r="N149" s="90">
        <v>-2030674.62</v>
      </c>
      <c r="O149" s="90">
        <v>-9077663.7300000004</v>
      </c>
      <c r="P149" s="90">
        <v>47902839.090000004</v>
      </c>
      <c r="Q149" s="90">
        <v>-321434.55</v>
      </c>
      <c r="R149" s="90">
        <v>0</v>
      </c>
      <c r="S149" s="90">
        <v>0</v>
      </c>
      <c r="T149" s="90">
        <v>0</v>
      </c>
      <c r="U149" s="90">
        <v>0</v>
      </c>
      <c r="V149" s="90">
        <v>0</v>
      </c>
      <c r="W149" s="90">
        <v>0</v>
      </c>
      <c r="X149">
        <v>0</v>
      </c>
      <c r="Y149">
        <v>0</v>
      </c>
      <c r="Z149">
        <v>0</v>
      </c>
    </row>
    <row r="150" spans="1:26" ht="12.75" customHeight="1" x14ac:dyDescent="0.25">
      <c r="D150" s="89" t="s">
        <v>86</v>
      </c>
      <c r="E150" s="89" t="s">
        <v>70</v>
      </c>
      <c r="F150" s="90">
        <v>71323760.469999999</v>
      </c>
      <c r="G150" s="90">
        <v>23751698.550000001</v>
      </c>
      <c r="H150" s="90">
        <v>13115739.99</v>
      </c>
      <c r="I150" s="90">
        <v>7137291.2199999997</v>
      </c>
      <c r="J150" s="90">
        <v>-7232792.2300000004</v>
      </c>
      <c r="K150" s="90">
        <v>-196776.48</v>
      </c>
      <c r="L150" s="90">
        <v>0</v>
      </c>
      <c r="M150" s="90">
        <v>-1724466.77</v>
      </c>
      <c r="N150" s="90">
        <v>-2030674.62</v>
      </c>
      <c r="O150" s="90">
        <v>-9077663.7300000004</v>
      </c>
      <c r="P150" s="90">
        <v>47902839.090000004</v>
      </c>
      <c r="Q150" s="90">
        <v>-321434.55</v>
      </c>
      <c r="R150" s="90">
        <v>0</v>
      </c>
      <c r="S150" s="90">
        <v>0</v>
      </c>
      <c r="T150" s="90">
        <v>0</v>
      </c>
      <c r="U150" s="90">
        <v>0</v>
      </c>
      <c r="V150" s="90">
        <v>0</v>
      </c>
      <c r="W150" s="90">
        <v>0</v>
      </c>
      <c r="X150">
        <v>0</v>
      </c>
      <c r="Y150">
        <v>0</v>
      </c>
      <c r="Z150">
        <v>0</v>
      </c>
    </row>
    <row r="151" spans="1:26" ht="12.75" customHeight="1" x14ac:dyDescent="0.25">
      <c r="E151" s="89" t="s">
        <v>73</v>
      </c>
      <c r="F151" s="90">
        <v>201971483.99000001</v>
      </c>
      <c r="G151" s="90">
        <v>50988711.229999997</v>
      </c>
      <c r="H151" s="90">
        <v>28791284.109999999</v>
      </c>
      <c r="I151" s="90">
        <v>15194680.060000001</v>
      </c>
      <c r="J151" s="90">
        <v>2830410.62</v>
      </c>
      <c r="K151" s="90">
        <v>51431.66</v>
      </c>
      <c r="L151" s="90">
        <v>0</v>
      </c>
      <c r="M151" s="90">
        <v>410824.37</v>
      </c>
      <c r="N151" s="90">
        <v>599101.04</v>
      </c>
      <c r="O151" s="90">
        <v>2857724.84</v>
      </c>
      <c r="P151" s="90">
        <v>100163920.34</v>
      </c>
      <c r="Q151" s="90">
        <v>83395.72</v>
      </c>
      <c r="R151" s="90">
        <v>0</v>
      </c>
      <c r="S151" s="90">
        <v>0</v>
      </c>
      <c r="T151" s="90">
        <v>0</v>
      </c>
      <c r="U151" s="90">
        <v>0</v>
      </c>
      <c r="V151" s="90">
        <v>0</v>
      </c>
      <c r="W151" s="90">
        <v>0</v>
      </c>
      <c r="X151">
        <v>0</v>
      </c>
      <c r="Y151">
        <v>0</v>
      </c>
      <c r="Z151">
        <v>0</v>
      </c>
    </row>
    <row r="152" spans="1:26" ht="12.75" customHeight="1" x14ac:dyDescent="0.25">
      <c r="D152" s="89" t="s">
        <v>87</v>
      </c>
      <c r="E152" s="89" t="s">
        <v>70</v>
      </c>
      <c r="F152" s="90">
        <v>201971483.99000001</v>
      </c>
      <c r="G152" s="90">
        <v>50988711.229999997</v>
      </c>
      <c r="H152" s="90">
        <v>28791284.109999999</v>
      </c>
      <c r="I152" s="90">
        <v>15194680.060000001</v>
      </c>
      <c r="J152" s="90">
        <v>2830410.62</v>
      </c>
      <c r="K152" s="90">
        <v>51431.66</v>
      </c>
      <c r="L152" s="90">
        <v>0</v>
      </c>
      <c r="M152" s="90">
        <v>410824.37</v>
      </c>
      <c r="N152" s="90">
        <v>599101.04</v>
      </c>
      <c r="O152" s="90">
        <v>2857724.84</v>
      </c>
      <c r="P152" s="90">
        <v>100163920.34</v>
      </c>
      <c r="Q152" s="90">
        <v>83395.72</v>
      </c>
      <c r="R152" s="90">
        <v>0</v>
      </c>
      <c r="S152" s="90">
        <v>0</v>
      </c>
      <c r="T152" s="90">
        <v>0</v>
      </c>
      <c r="U152" s="90">
        <v>0</v>
      </c>
      <c r="V152" s="90">
        <v>0</v>
      </c>
      <c r="W152" s="90">
        <v>0</v>
      </c>
      <c r="X152">
        <v>0</v>
      </c>
      <c r="Y152">
        <v>0</v>
      </c>
      <c r="Z152">
        <v>0</v>
      </c>
    </row>
    <row r="153" spans="1:26" s="94" customFormat="1" ht="12.75" customHeight="1" x14ac:dyDescent="0.25">
      <c r="C153" s="101" t="s">
        <v>119</v>
      </c>
      <c r="D153" s="101" t="s">
        <v>70</v>
      </c>
      <c r="F153" s="93">
        <v>179944602.56</v>
      </c>
      <c r="G153" s="93">
        <v>75882719.200000003</v>
      </c>
      <c r="H153" s="93">
        <v>42580896.380000003</v>
      </c>
      <c r="I153" s="93">
        <v>22691419.43</v>
      </c>
      <c r="J153" s="93">
        <v>-36762950.270000003</v>
      </c>
      <c r="K153" s="93">
        <v>-933654.15</v>
      </c>
      <c r="L153" s="93">
        <v>0</v>
      </c>
      <c r="M153" s="93">
        <v>-8240390.46</v>
      </c>
      <c r="N153" s="93">
        <v>-11155387.4</v>
      </c>
      <c r="O153" s="93">
        <v>-53009748.869999997</v>
      </c>
      <c r="P153" s="93">
        <v>150416129.83000001</v>
      </c>
      <c r="Q153" s="93">
        <v>-1524431.13</v>
      </c>
      <c r="R153" s="93">
        <v>0</v>
      </c>
      <c r="S153" s="93">
        <v>0</v>
      </c>
      <c r="T153" s="93">
        <v>0</v>
      </c>
      <c r="U153" s="93">
        <v>0</v>
      </c>
      <c r="V153" s="93">
        <v>0</v>
      </c>
      <c r="W153" s="93">
        <v>0</v>
      </c>
      <c r="X153" s="94">
        <v>0</v>
      </c>
      <c r="Y153" s="94">
        <v>0</v>
      </c>
      <c r="Z153" s="94">
        <v>0</v>
      </c>
    </row>
    <row r="154" spans="1:26" s="226" customFormat="1" ht="12.75" customHeight="1" x14ac:dyDescent="0.25">
      <c r="B154" s="98" t="s">
        <v>112</v>
      </c>
      <c r="C154" s="98" t="s">
        <v>70</v>
      </c>
      <c r="F154" s="100">
        <v>-5564744212.5699997</v>
      </c>
      <c r="G154" s="100">
        <v>-62855658.100000001</v>
      </c>
      <c r="H154" s="100">
        <v>-33484790.59</v>
      </c>
      <c r="I154" s="100">
        <v>-17668133.149999999</v>
      </c>
      <c r="J154" s="100">
        <v>-1706988729.5699999</v>
      </c>
      <c r="K154" s="100">
        <v>-59821255.740000002</v>
      </c>
      <c r="L154" s="100">
        <v>0</v>
      </c>
      <c r="M154" s="100">
        <v>-524879865.93000001</v>
      </c>
      <c r="N154" s="100">
        <v>-518566895.72000003</v>
      </c>
      <c r="O154" s="100">
        <v>-2425516734.3699999</v>
      </c>
      <c r="P154" s="100">
        <v>-117365923.56</v>
      </c>
      <c r="Q154" s="100">
        <v>-97596225.840000004</v>
      </c>
      <c r="R154" s="100">
        <v>0</v>
      </c>
      <c r="S154" s="100">
        <v>0</v>
      </c>
      <c r="T154" s="100">
        <v>0</v>
      </c>
      <c r="U154" s="100">
        <v>0</v>
      </c>
      <c r="V154" s="100">
        <v>0</v>
      </c>
      <c r="W154" s="100">
        <v>0</v>
      </c>
      <c r="X154" s="226">
        <v>0</v>
      </c>
      <c r="Y154" s="226">
        <v>0</v>
      </c>
      <c r="Z154" s="226">
        <v>0</v>
      </c>
    </row>
    <row r="155" spans="1:26" ht="12.75" customHeight="1" x14ac:dyDescent="0.25">
      <c r="A155" s="89" t="s">
        <v>79</v>
      </c>
      <c r="B155" s="89" t="s">
        <v>70</v>
      </c>
      <c r="F155" s="90">
        <v>-5568879525.5600004</v>
      </c>
      <c r="G155" s="90">
        <v>-62979222.649999999</v>
      </c>
      <c r="H155" s="90">
        <v>-33555481.899999999</v>
      </c>
      <c r="I155" s="90">
        <v>-17705476.809999999</v>
      </c>
      <c r="J155" s="90">
        <v>-1708168333.72</v>
      </c>
      <c r="K155" s="90">
        <v>-59853626.259999998</v>
      </c>
      <c r="L155" s="90">
        <v>0</v>
      </c>
      <c r="M155" s="90">
        <v>-525163823.76999998</v>
      </c>
      <c r="N155" s="90">
        <v>-518933582.82999998</v>
      </c>
      <c r="O155" s="90">
        <v>-2427269432.8400002</v>
      </c>
      <c r="P155" s="90">
        <v>-117601503.09</v>
      </c>
      <c r="Q155" s="90">
        <v>-97649041.689999998</v>
      </c>
      <c r="R155" s="90">
        <v>0</v>
      </c>
      <c r="S155" s="90">
        <v>0</v>
      </c>
      <c r="T155" s="90">
        <v>0</v>
      </c>
      <c r="U155" s="90">
        <v>0</v>
      </c>
      <c r="V155" s="90">
        <v>0</v>
      </c>
      <c r="W155" s="90">
        <v>0</v>
      </c>
      <c r="X155">
        <v>0</v>
      </c>
      <c r="Y155">
        <v>0</v>
      </c>
      <c r="Z155">
        <v>0</v>
      </c>
    </row>
    <row r="156" spans="1:26" ht="12.75" customHeight="1" x14ac:dyDescent="0.25">
      <c r="A156" s="89" t="s">
        <v>70</v>
      </c>
      <c r="F156" s="90">
        <v>22283503540.990002</v>
      </c>
      <c r="G156" s="90">
        <v>1623074576.55</v>
      </c>
      <c r="H156" s="90">
        <v>900586529.08000004</v>
      </c>
      <c r="I156" s="90">
        <v>476174815.81</v>
      </c>
      <c r="J156" s="90">
        <v>5118715362.8599997</v>
      </c>
      <c r="K156" s="90">
        <v>178307820.5</v>
      </c>
      <c r="L156" s="90">
        <v>73927482.560000002</v>
      </c>
      <c r="M156" s="90">
        <v>1561839694.47</v>
      </c>
      <c r="N156" s="90">
        <v>1553713901.05</v>
      </c>
      <c r="O156" s="90">
        <v>7309393435.3900003</v>
      </c>
      <c r="P156" s="90">
        <v>3196229270.54</v>
      </c>
      <c r="Q156" s="90">
        <v>291383425.54000002</v>
      </c>
      <c r="R156" s="90">
        <v>157250.63</v>
      </c>
      <c r="S156" s="90">
        <v>-21.47</v>
      </c>
      <c r="T156" s="90">
        <v>0.47</v>
      </c>
      <c r="U156" s="90">
        <v>0</v>
      </c>
      <c r="V156" s="90">
        <v>0</v>
      </c>
      <c r="W156" s="90">
        <v>0</v>
      </c>
      <c r="X156">
        <v>0</v>
      </c>
      <c r="Y156">
        <v>0</v>
      </c>
      <c r="Z156">
        <v>-2.99</v>
      </c>
    </row>
    <row r="157" spans="1:26" ht="12.75" customHeight="1" x14ac:dyDescent="0.25">
      <c r="A157" s="89"/>
      <c r="D157" s="89"/>
      <c r="E157" s="89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</row>
    <row r="158" spans="1:26" ht="12.75" customHeight="1" x14ac:dyDescent="0.25">
      <c r="A158" s="89"/>
      <c r="C158" s="89"/>
      <c r="D158" s="89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</row>
    <row r="159" spans="1:26" ht="12.75" hidden="1" customHeight="1" x14ac:dyDescent="0.25">
      <c r="A159" s="89"/>
      <c r="E159" s="89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</row>
    <row r="160" spans="1:26" ht="12.75" hidden="1" customHeight="1" x14ac:dyDescent="0.25">
      <c r="A160" s="89"/>
      <c r="D160" s="89"/>
      <c r="E160" s="89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</row>
    <row r="161" spans="1:19" ht="12.75" hidden="1" customHeight="1" x14ac:dyDescent="0.25">
      <c r="A161" s="89"/>
      <c r="E161" s="89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</row>
    <row r="162" spans="1:19" ht="12.75" hidden="1" customHeight="1" x14ac:dyDescent="0.25">
      <c r="A162" s="89"/>
      <c r="D162" s="89"/>
      <c r="E162" s="89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</row>
    <row r="163" spans="1:19" ht="12.75" hidden="1" customHeight="1" x14ac:dyDescent="0.25">
      <c r="A163" s="89"/>
      <c r="E163" s="89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</row>
    <row r="164" spans="1:19" ht="12.75" hidden="1" customHeight="1" x14ac:dyDescent="0.25">
      <c r="A164" s="89"/>
      <c r="D164" s="89"/>
      <c r="E164" s="89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</row>
    <row r="165" spans="1:19" ht="12.75" hidden="1" customHeight="1" x14ac:dyDescent="0.25">
      <c r="A165" s="89"/>
      <c r="C165" s="89"/>
      <c r="D165" s="89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</row>
    <row r="166" spans="1:19" ht="12.75" hidden="1" customHeight="1" x14ac:dyDescent="0.25">
      <c r="A166" s="89"/>
      <c r="B166" s="89"/>
      <c r="C166" s="89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</row>
    <row r="167" spans="1:19" ht="12.75" hidden="1" customHeight="1" x14ac:dyDescent="0.25">
      <c r="A167" s="89"/>
      <c r="B167" s="89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</row>
    <row r="168" spans="1:19" ht="12.75" hidden="1" customHeight="1" x14ac:dyDescent="0.25">
      <c r="A168" s="89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</row>
    <row r="169" spans="1:19" ht="12.75" hidden="1" customHeight="1" x14ac:dyDescent="0.25">
      <c r="A169" s="89"/>
      <c r="B169" s="89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</row>
    <row r="170" spans="1:19" ht="12.75" hidden="1" customHeight="1" x14ac:dyDescent="0.25">
      <c r="A170" s="89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</row>
    <row r="171" spans="1:19" ht="12.75" hidden="1" customHeight="1" x14ac:dyDescent="0.25">
      <c r="A171" s="89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</row>
    <row r="172" spans="1:19" ht="12.75" hidden="1" customHeight="1" x14ac:dyDescent="0.25">
      <c r="A172" s="89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</row>
    <row r="173" spans="1:19" ht="12.75" hidden="1" customHeight="1" x14ac:dyDescent="0.25">
      <c r="A173" s="89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</row>
    <row r="174" spans="1:19" ht="12.75" hidden="1" customHeight="1" x14ac:dyDescent="0.25">
      <c r="A174" s="89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</row>
    <row r="175" spans="1:19" ht="12.75" hidden="1" customHeight="1" x14ac:dyDescent="0.25">
      <c r="A175" s="89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</row>
    <row r="176" spans="1:19" ht="12.75" hidden="1" customHeight="1" x14ac:dyDescent="0.25">
      <c r="A176" s="89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</row>
    <row r="177" spans="1:19" ht="12.75" hidden="1" customHeight="1" x14ac:dyDescent="0.25">
      <c r="A177" s="89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</row>
    <row r="178" spans="1:19" ht="12.75" hidden="1" customHeight="1" x14ac:dyDescent="0.25">
      <c r="A178" s="89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</row>
    <row r="179" spans="1:19" ht="12.75" hidden="1" customHeight="1" x14ac:dyDescent="0.25">
      <c r="A179" s="89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</row>
    <row r="180" spans="1:19" ht="12.75" hidden="1" customHeight="1" x14ac:dyDescent="0.25">
      <c r="A180" s="89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</row>
    <row r="181" spans="1:19" ht="12.75" hidden="1" customHeight="1" x14ac:dyDescent="0.25">
      <c r="A181" s="89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</row>
    <row r="182" spans="1:19" ht="12.75" hidden="1" customHeight="1" x14ac:dyDescent="0.25">
      <c r="A182" s="89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</row>
    <row r="183" spans="1:19" ht="12.75" hidden="1" customHeight="1" x14ac:dyDescent="0.25">
      <c r="A183" s="89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</row>
    <row r="184" spans="1:19" ht="12.75" hidden="1" customHeight="1" x14ac:dyDescent="0.25">
      <c r="A184" s="89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</row>
    <row r="185" spans="1:19" ht="12.75" hidden="1" customHeight="1" x14ac:dyDescent="0.25">
      <c r="A185" s="89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</row>
    <row r="186" spans="1:19" ht="12.75" hidden="1" customHeight="1" x14ac:dyDescent="0.25">
      <c r="A186" s="89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</row>
    <row r="187" spans="1:19" ht="12.75" hidden="1" customHeight="1" x14ac:dyDescent="0.25">
      <c r="A187" s="89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</row>
    <row r="188" spans="1:19" ht="12.75" hidden="1" customHeight="1" x14ac:dyDescent="0.25">
      <c r="A188" s="89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</row>
    <row r="189" spans="1:19" ht="12.75" hidden="1" customHeight="1" x14ac:dyDescent="0.25">
      <c r="A189" s="89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</row>
    <row r="190" spans="1:19" ht="12.75" hidden="1" customHeight="1" x14ac:dyDescent="0.25">
      <c r="A190" s="89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</row>
    <row r="191" spans="1:19" ht="12.75" hidden="1" customHeight="1" x14ac:dyDescent="0.25">
      <c r="A191" s="89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</row>
    <row r="192" spans="1:19" ht="12.75" hidden="1" customHeight="1" x14ac:dyDescent="0.25">
      <c r="A192" s="89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</row>
    <row r="193" spans="1:42" ht="12.75" hidden="1" customHeight="1" x14ac:dyDescent="0.25">
      <c r="A193" s="89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</row>
    <row r="194" spans="1:42" ht="12.75" hidden="1" customHeight="1" x14ac:dyDescent="0.25">
      <c r="A194" s="89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</row>
    <row r="195" spans="1:42" ht="12.75" hidden="1" customHeight="1" x14ac:dyDescent="0.25">
      <c r="A195" s="89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</row>
    <row r="196" spans="1:42" ht="12.75" hidden="1" customHeight="1" x14ac:dyDescent="0.25">
      <c r="A196" s="89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</row>
    <row r="197" spans="1:42" ht="12.75" hidden="1" customHeight="1" x14ac:dyDescent="0.25">
      <c r="A197" s="89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</row>
    <row r="198" spans="1:42" ht="12.75" customHeight="1" x14ac:dyDescent="0.25">
      <c r="A198" s="89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</row>
    <row r="199" spans="1:42" ht="12.75" customHeight="1" x14ac:dyDescent="0.25">
      <c r="A199" s="89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</row>
    <row r="200" spans="1:42" ht="12.75" customHeight="1" x14ac:dyDescent="0.25">
      <c r="C200" s="776" t="s">
        <v>2</v>
      </c>
      <c r="D200" s="774" t="s">
        <v>132</v>
      </c>
      <c r="E200" s="98" t="s">
        <v>70</v>
      </c>
      <c r="F200" s="100">
        <f>F126+F154-L126+F89-L89</f>
        <v>22191561890.43</v>
      </c>
      <c r="G200" s="100">
        <f>G126+G89</f>
        <v>1684830231.28</v>
      </c>
      <c r="H200" s="100">
        <f t="shared" ref="H200:AP200" si="6">H126+H89</f>
        <v>933455614.65999997</v>
      </c>
      <c r="I200" s="100">
        <f t="shared" si="6"/>
        <v>493512447.32999998</v>
      </c>
      <c r="J200" s="100">
        <f t="shared" si="6"/>
        <v>6821216082.0100002</v>
      </c>
      <c r="K200" s="100">
        <f t="shared" si="6"/>
        <v>238011181.83000001</v>
      </c>
      <c r="L200" s="100">
        <f t="shared" si="6"/>
        <v>73927482.560000002</v>
      </c>
      <c r="M200" s="100">
        <f t="shared" si="6"/>
        <v>2085692949.77</v>
      </c>
      <c r="N200" s="100">
        <f t="shared" si="6"/>
        <v>2070915990.0699999</v>
      </c>
      <c r="O200" s="100">
        <f t="shared" si="6"/>
        <v>9728315408.3899994</v>
      </c>
      <c r="P200" s="100">
        <f t="shared" si="6"/>
        <v>3311410880.3800001</v>
      </c>
      <c r="Q200" s="100">
        <f t="shared" si="6"/>
        <v>388787985.42999995</v>
      </c>
      <c r="R200" s="100">
        <f t="shared" si="6"/>
        <v>157355.9</v>
      </c>
      <c r="S200" s="100">
        <f t="shared" si="6"/>
        <v>-21.53</v>
      </c>
      <c r="T200" s="100">
        <f t="shared" si="6"/>
        <v>0.47</v>
      </c>
      <c r="U200" s="100">
        <f t="shared" si="6"/>
        <v>0</v>
      </c>
      <c r="V200" s="100">
        <f t="shared" si="6"/>
        <v>0</v>
      </c>
      <c r="W200" s="100">
        <f t="shared" si="6"/>
        <v>0</v>
      </c>
      <c r="X200" s="100">
        <f t="shared" si="6"/>
        <v>0</v>
      </c>
      <c r="Y200" s="100">
        <f t="shared" si="6"/>
        <v>0</v>
      </c>
      <c r="Z200" s="100">
        <f t="shared" si="6"/>
        <v>-2.99</v>
      </c>
      <c r="AA200" s="100">
        <f t="shared" si="6"/>
        <v>0</v>
      </c>
      <c r="AB200" s="100">
        <f t="shared" si="6"/>
        <v>0</v>
      </c>
      <c r="AC200" s="100">
        <f t="shared" si="6"/>
        <v>0</v>
      </c>
      <c r="AD200" s="100">
        <f t="shared" si="6"/>
        <v>0</v>
      </c>
      <c r="AE200" s="100">
        <f t="shared" si="6"/>
        <v>0</v>
      </c>
      <c r="AF200" s="100">
        <f t="shared" si="6"/>
        <v>0</v>
      </c>
      <c r="AG200" s="100">
        <f t="shared" si="6"/>
        <v>0</v>
      </c>
      <c r="AH200" s="100">
        <f t="shared" si="6"/>
        <v>0</v>
      </c>
      <c r="AI200" s="100">
        <f t="shared" si="6"/>
        <v>0</v>
      </c>
      <c r="AJ200" s="100">
        <f t="shared" si="6"/>
        <v>0</v>
      </c>
      <c r="AK200" s="100">
        <f t="shared" si="6"/>
        <v>0</v>
      </c>
      <c r="AL200" s="100">
        <f t="shared" si="6"/>
        <v>0</v>
      </c>
      <c r="AM200" s="100">
        <f t="shared" si="6"/>
        <v>0</v>
      </c>
      <c r="AN200" s="100">
        <f t="shared" si="6"/>
        <v>0</v>
      </c>
      <c r="AO200" s="100">
        <f t="shared" si="6"/>
        <v>0</v>
      </c>
      <c r="AP200" s="100">
        <f t="shared" si="6"/>
        <v>0</v>
      </c>
    </row>
    <row r="201" spans="1:42" ht="12.75" customHeight="1" x14ac:dyDescent="0.25">
      <c r="C201" s="776"/>
      <c r="D201" s="774"/>
      <c r="E201" s="98" t="s">
        <v>73</v>
      </c>
      <c r="F201" s="100">
        <f>F154</f>
        <v>-5564744212.5699997</v>
      </c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</row>
    <row r="202" spans="1:42" ht="12.75" customHeight="1" x14ac:dyDescent="0.25">
      <c r="C202" s="776"/>
      <c r="D202" s="774" t="s">
        <v>133</v>
      </c>
      <c r="E202" s="233" t="s">
        <v>70</v>
      </c>
      <c r="F202" s="234">
        <f>F136+F101-L101</f>
        <v>18014168</v>
      </c>
      <c r="G202" s="234">
        <f>G101</f>
        <v>1223567.92</v>
      </c>
      <c r="H202" s="234">
        <f t="shared" ref="H202:AP202" si="7">H101</f>
        <v>686396.32</v>
      </c>
      <c r="I202" s="234">
        <f t="shared" si="7"/>
        <v>367845.29</v>
      </c>
      <c r="J202" s="234">
        <f t="shared" si="7"/>
        <v>5667614.5700000003</v>
      </c>
      <c r="K202" s="234">
        <f t="shared" si="7"/>
        <v>150264.93</v>
      </c>
      <c r="L202" s="234">
        <f t="shared" si="7"/>
        <v>0</v>
      </c>
      <c r="M202" s="234">
        <f t="shared" si="7"/>
        <v>1310568.47</v>
      </c>
      <c r="N202" s="234">
        <f t="shared" si="7"/>
        <v>1731493.81</v>
      </c>
      <c r="O202" s="234">
        <f t="shared" si="7"/>
        <v>8347459.8399999999</v>
      </c>
      <c r="P202" s="234">
        <f t="shared" si="7"/>
        <v>2419893.25</v>
      </c>
      <c r="Q202" s="234">
        <f t="shared" si="7"/>
        <v>244481.8</v>
      </c>
      <c r="R202" s="234">
        <f t="shared" si="7"/>
        <v>-105.27</v>
      </c>
      <c r="S202" s="234">
        <f t="shared" si="7"/>
        <v>0.06</v>
      </c>
      <c r="T202" s="234">
        <f t="shared" si="7"/>
        <v>0</v>
      </c>
      <c r="U202" s="234">
        <f t="shared" si="7"/>
        <v>0</v>
      </c>
      <c r="V202" s="234">
        <f t="shared" si="7"/>
        <v>0</v>
      </c>
      <c r="W202" s="234">
        <f t="shared" si="7"/>
        <v>0</v>
      </c>
      <c r="X202" s="234">
        <f t="shared" si="7"/>
        <v>0</v>
      </c>
      <c r="Y202" s="234">
        <f t="shared" si="7"/>
        <v>0</v>
      </c>
      <c r="Z202" s="234">
        <f t="shared" si="7"/>
        <v>0</v>
      </c>
      <c r="AA202" s="234">
        <f t="shared" si="7"/>
        <v>0</v>
      </c>
      <c r="AB202" s="234">
        <f t="shared" si="7"/>
        <v>0</v>
      </c>
      <c r="AC202" s="234">
        <f t="shared" si="7"/>
        <v>0</v>
      </c>
      <c r="AD202" s="234">
        <f t="shared" si="7"/>
        <v>0</v>
      </c>
      <c r="AE202" s="234">
        <f t="shared" si="7"/>
        <v>0</v>
      </c>
      <c r="AF202" s="234">
        <f t="shared" si="7"/>
        <v>0</v>
      </c>
      <c r="AG202" s="234">
        <f t="shared" si="7"/>
        <v>0</v>
      </c>
      <c r="AH202" s="234">
        <f t="shared" si="7"/>
        <v>0</v>
      </c>
      <c r="AI202" s="234">
        <f t="shared" si="7"/>
        <v>0</v>
      </c>
      <c r="AJ202" s="234">
        <f t="shared" si="7"/>
        <v>0</v>
      </c>
      <c r="AK202" s="234">
        <f t="shared" si="7"/>
        <v>0</v>
      </c>
      <c r="AL202" s="234">
        <f t="shared" si="7"/>
        <v>0</v>
      </c>
      <c r="AM202" s="234">
        <f t="shared" si="7"/>
        <v>0</v>
      </c>
      <c r="AN202" s="234">
        <f t="shared" si="7"/>
        <v>0</v>
      </c>
      <c r="AO202" s="234">
        <f t="shared" si="7"/>
        <v>0</v>
      </c>
      <c r="AP202" s="234">
        <f t="shared" si="7"/>
        <v>0</v>
      </c>
    </row>
    <row r="203" spans="1:42" ht="12.75" customHeight="1" x14ac:dyDescent="0.25">
      <c r="C203" s="776"/>
      <c r="D203" s="774"/>
      <c r="E203" s="233" t="s">
        <v>73</v>
      </c>
      <c r="F203" s="234">
        <f>F136</f>
        <v>-4135312.99</v>
      </c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</row>
    <row r="204" spans="1:42" ht="12.75" customHeight="1" x14ac:dyDescent="0.3">
      <c r="A204" s="89"/>
      <c r="C204" s="97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</row>
    <row r="205" spans="1:42" ht="12.75" customHeight="1" x14ac:dyDescent="0.25">
      <c r="C205" s="776" t="s">
        <v>160</v>
      </c>
      <c r="D205" s="774" t="s">
        <v>132</v>
      </c>
      <c r="E205" s="223" t="s">
        <v>70</v>
      </c>
      <c r="F205" s="225">
        <f>F146+F115-L115</f>
        <v>1778140.0000000002</v>
      </c>
      <c r="G205" s="225">
        <f>G115</f>
        <v>133996.01999999999</v>
      </c>
      <c r="H205" s="225">
        <f t="shared" ref="H205:AP205" si="8">H115</f>
        <v>74715.520000000004</v>
      </c>
      <c r="I205" s="225">
        <f t="shared" si="8"/>
        <v>39976.99</v>
      </c>
      <c r="J205" s="225">
        <f t="shared" si="8"/>
        <v>709926.42</v>
      </c>
      <c r="K205" s="225">
        <f t="shared" si="8"/>
        <v>25090.73</v>
      </c>
      <c r="L205" s="225">
        <f t="shared" si="8"/>
        <v>0</v>
      </c>
      <c r="M205" s="225">
        <f t="shared" si="8"/>
        <v>211758.53</v>
      </c>
      <c r="N205" s="225">
        <f t="shared" si="8"/>
        <v>213619.08</v>
      </c>
      <c r="O205" s="225">
        <f t="shared" si="8"/>
        <v>1010492.54</v>
      </c>
      <c r="P205" s="225">
        <f t="shared" si="8"/>
        <v>263826.59000000003</v>
      </c>
      <c r="Q205" s="225">
        <f t="shared" si="8"/>
        <v>39811.589999999997</v>
      </c>
      <c r="R205" s="225">
        <f t="shared" si="8"/>
        <v>21.48</v>
      </c>
      <c r="S205" s="225">
        <f t="shared" si="8"/>
        <v>0</v>
      </c>
      <c r="T205" s="225">
        <f t="shared" si="8"/>
        <v>0</v>
      </c>
      <c r="U205" s="225">
        <f t="shared" si="8"/>
        <v>0</v>
      </c>
      <c r="V205" s="225">
        <f t="shared" si="8"/>
        <v>0</v>
      </c>
      <c r="W205" s="225">
        <f t="shared" si="8"/>
        <v>0</v>
      </c>
      <c r="X205" s="225">
        <f t="shared" si="8"/>
        <v>0</v>
      </c>
      <c r="Y205" s="225">
        <f t="shared" si="8"/>
        <v>0</v>
      </c>
      <c r="Z205" s="225">
        <f t="shared" si="8"/>
        <v>0</v>
      </c>
      <c r="AA205" s="225">
        <f t="shared" si="8"/>
        <v>0</v>
      </c>
      <c r="AB205" s="225">
        <f t="shared" si="8"/>
        <v>0</v>
      </c>
      <c r="AC205" s="225">
        <f t="shared" si="8"/>
        <v>0</v>
      </c>
      <c r="AD205" s="225">
        <f t="shared" si="8"/>
        <v>0</v>
      </c>
      <c r="AE205" s="225">
        <f t="shared" si="8"/>
        <v>0</v>
      </c>
      <c r="AF205" s="225">
        <f t="shared" si="8"/>
        <v>0</v>
      </c>
      <c r="AG205" s="225">
        <f t="shared" si="8"/>
        <v>0</v>
      </c>
      <c r="AH205" s="225">
        <f t="shared" si="8"/>
        <v>0</v>
      </c>
      <c r="AI205" s="225">
        <f t="shared" si="8"/>
        <v>0</v>
      </c>
      <c r="AJ205" s="225">
        <f t="shared" si="8"/>
        <v>0</v>
      </c>
      <c r="AK205" s="225">
        <f t="shared" si="8"/>
        <v>0</v>
      </c>
      <c r="AL205" s="225">
        <f t="shared" si="8"/>
        <v>0</v>
      </c>
      <c r="AM205" s="225">
        <f t="shared" si="8"/>
        <v>0</v>
      </c>
      <c r="AN205" s="225">
        <f t="shared" si="8"/>
        <v>0</v>
      </c>
      <c r="AO205" s="225">
        <f t="shared" si="8"/>
        <v>0</v>
      </c>
      <c r="AP205" s="225">
        <f t="shared" si="8"/>
        <v>0</v>
      </c>
    </row>
    <row r="206" spans="1:42" ht="12.75" customHeight="1" x14ac:dyDescent="0.25">
      <c r="C206" s="776"/>
      <c r="D206" s="774"/>
      <c r="E206" s="223" t="s">
        <v>73</v>
      </c>
      <c r="F206" s="225">
        <f>F146</f>
        <v>-945095.49</v>
      </c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</row>
    <row r="207" spans="1:42" ht="12.75" customHeight="1" x14ac:dyDescent="0.25">
      <c r="C207" s="776"/>
      <c r="D207" s="774" t="s">
        <v>133</v>
      </c>
      <c r="E207" s="227" t="s">
        <v>70</v>
      </c>
      <c r="F207" s="228">
        <v>0</v>
      </c>
      <c r="G207" s="228">
        <v>0</v>
      </c>
      <c r="H207" s="228">
        <v>0</v>
      </c>
      <c r="I207" s="228">
        <v>0</v>
      </c>
      <c r="J207" s="228">
        <v>0</v>
      </c>
      <c r="K207" s="228">
        <v>0</v>
      </c>
      <c r="L207" s="228">
        <v>0</v>
      </c>
      <c r="M207" s="228">
        <v>0</v>
      </c>
      <c r="N207" s="228">
        <v>0</v>
      </c>
      <c r="O207" s="228">
        <v>0</v>
      </c>
      <c r="P207" s="228">
        <v>0</v>
      </c>
      <c r="Q207" s="228">
        <v>0</v>
      </c>
      <c r="R207" s="228">
        <v>0</v>
      </c>
      <c r="S207" s="228">
        <v>0</v>
      </c>
      <c r="T207" s="228">
        <v>0</v>
      </c>
      <c r="U207" s="228">
        <v>0</v>
      </c>
      <c r="V207" s="228">
        <v>0</v>
      </c>
      <c r="W207" s="228">
        <v>0</v>
      </c>
      <c r="X207" s="228">
        <v>0</v>
      </c>
      <c r="Y207" s="228">
        <v>0</v>
      </c>
      <c r="Z207" s="228">
        <v>0</v>
      </c>
      <c r="AA207" s="228">
        <v>0</v>
      </c>
      <c r="AB207" s="228">
        <v>0</v>
      </c>
      <c r="AC207" s="228">
        <v>0</v>
      </c>
      <c r="AD207" s="228">
        <v>0</v>
      </c>
      <c r="AE207" s="228">
        <v>0</v>
      </c>
      <c r="AF207" s="228">
        <v>0</v>
      </c>
      <c r="AG207" s="228">
        <v>0</v>
      </c>
      <c r="AH207" s="228">
        <v>0</v>
      </c>
      <c r="AI207" s="228">
        <v>0</v>
      </c>
      <c r="AJ207" s="228">
        <v>0</v>
      </c>
      <c r="AK207" s="228">
        <v>0</v>
      </c>
      <c r="AL207" s="228">
        <v>0</v>
      </c>
      <c r="AM207" s="228">
        <v>0</v>
      </c>
      <c r="AN207" s="228">
        <v>0</v>
      </c>
      <c r="AO207" s="228">
        <v>0</v>
      </c>
      <c r="AP207" s="228">
        <v>0</v>
      </c>
    </row>
    <row r="208" spans="1:42" ht="12.75" customHeight="1" x14ac:dyDescent="0.25">
      <c r="C208" s="776"/>
      <c r="D208" s="774"/>
      <c r="E208" s="227" t="s">
        <v>73</v>
      </c>
      <c r="F208" s="228">
        <v>0</v>
      </c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</row>
    <row r="209" spans="1:42" ht="12.75" customHeight="1" x14ac:dyDescent="0.3">
      <c r="A209" s="89"/>
      <c r="C209" s="97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</row>
    <row r="210" spans="1:42" ht="12.75" customHeight="1" x14ac:dyDescent="0.25">
      <c r="C210" s="776" t="s">
        <v>155</v>
      </c>
      <c r="D210" s="774" t="s">
        <v>132</v>
      </c>
      <c r="E210" s="221" t="s">
        <v>70</v>
      </c>
      <c r="F210" s="222">
        <f>F139+F105+F83--L83-L105</f>
        <v>20182770970.93</v>
      </c>
      <c r="G210" s="222">
        <f>G105+G83</f>
        <v>1448630125.21</v>
      </c>
      <c r="H210" s="222">
        <f t="shared" ref="H210:AA210" si="9">H105+H83</f>
        <v>800998390.01000011</v>
      </c>
      <c r="I210" s="222">
        <f t="shared" si="9"/>
        <v>423869854.65999997</v>
      </c>
      <c r="J210" s="222">
        <f t="shared" si="9"/>
        <v>6517325669.6700001</v>
      </c>
      <c r="K210" s="222">
        <f t="shared" si="9"/>
        <v>230326944.45999998</v>
      </c>
      <c r="L210" s="222">
        <f t="shared" si="9"/>
        <v>23583660.07</v>
      </c>
      <c r="M210" s="222">
        <f t="shared" si="9"/>
        <v>2018361953.05</v>
      </c>
      <c r="N210" s="222">
        <f t="shared" si="9"/>
        <v>1978161610.3500001</v>
      </c>
      <c r="O210" s="222">
        <f t="shared" si="9"/>
        <v>9282361172.9099998</v>
      </c>
      <c r="P210" s="222">
        <f t="shared" si="9"/>
        <v>2850150289.6999998</v>
      </c>
      <c r="Q210" s="222">
        <f t="shared" si="9"/>
        <v>376169094.80000001</v>
      </c>
      <c r="R210" s="222">
        <f t="shared" si="9"/>
        <v>159627.70000000001</v>
      </c>
      <c r="S210" s="222">
        <f t="shared" si="9"/>
        <v>-39.869999999999997</v>
      </c>
      <c r="T210" s="222">
        <f t="shared" si="9"/>
        <v>0.46</v>
      </c>
      <c r="U210" s="222">
        <f t="shared" si="9"/>
        <v>0</v>
      </c>
      <c r="V210" s="222">
        <f t="shared" si="9"/>
        <v>0</v>
      </c>
      <c r="W210" s="222">
        <f t="shared" si="9"/>
        <v>0</v>
      </c>
      <c r="X210" s="222">
        <f t="shared" si="9"/>
        <v>0</v>
      </c>
      <c r="Y210" s="222">
        <f t="shared" si="9"/>
        <v>0</v>
      </c>
      <c r="Z210" s="222">
        <f t="shared" si="9"/>
        <v>-2.54</v>
      </c>
      <c r="AA210" s="222">
        <f t="shared" si="9"/>
        <v>0</v>
      </c>
    </row>
    <row r="211" spans="1:42" ht="12.75" customHeight="1" x14ac:dyDescent="0.25">
      <c r="C211" s="776"/>
      <c r="D211" s="774"/>
      <c r="E211" s="221" t="s">
        <v>73</v>
      </c>
      <c r="F211" s="222">
        <f>F139</f>
        <v>-5743743719.6400003</v>
      </c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</row>
    <row r="212" spans="1:42" ht="12.75" customHeight="1" x14ac:dyDescent="0.25">
      <c r="C212" s="776"/>
      <c r="D212" s="774" t="s">
        <v>133</v>
      </c>
      <c r="E212" s="229" t="s">
        <v>70</v>
      </c>
      <c r="F212" s="230">
        <f>F130+F94-L94</f>
        <v>17010202</v>
      </c>
      <c r="G212" s="230">
        <f>G94</f>
        <v>1157343.19</v>
      </c>
      <c r="H212" s="230">
        <f t="shared" ref="H212:AA212" si="10">H94</f>
        <v>648953.87</v>
      </c>
      <c r="I212" s="230">
        <f t="shared" si="10"/>
        <v>344675.33</v>
      </c>
      <c r="J212" s="230">
        <f t="shared" si="10"/>
        <v>5344332.8899999997</v>
      </c>
      <c r="K212" s="230">
        <f t="shared" si="10"/>
        <v>139661.51</v>
      </c>
      <c r="L212" s="230">
        <f t="shared" si="10"/>
        <v>0</v>
      </c>
      <c r="M212" s="230">
        <f t="shared" si="10"/>
        <v>1226198.94</v>
      </c>
      <c r="N212" s="230">
        <f t="shared" si="10"/>
        <v>1635804.43</v>
      </c>
      <c r="O212" s="230">
        <f t="shared" si="10"/>
        <v>7804686.4400000004</v>
      </c>
      <c r="P212" s="230">
        <f t="shared" si="10"/>
        <v>2280148.1800000002</v>
      </c>
      <c r="Q212" s="230">
        <f t="shared" si="10"/>
        <v>228075.87</v>
      </c>
      <c r="R212" s="230">
        <f t="shared" si="10"/>
        <v>-123.38</v>
      </c>
      <c r="S212" s="230">
        <f t="shared" si="10"/>
        <v>0</v>
      </c>
      <c r="T212" s="230">
        <f t="shared" si="10"/>
        <v>0</v>
      </c>
      <c r="U212" s="230">
        <f t="shared" si="10"/>
        <v>0</v>
      </c>
      <c r="V212" s="230">
        <f t="shared" si="10"/>
        <v>0</v>
      </c>
      <c r="W212" s="230">
        <f t="shared" si="10"/>
        <v>0</v>
      </c>
      <c r="X212" s="230">
        <f t="shared" si="10"/>
        <v>0</v>
      </c>
      <c r="Y212" s="230">
        <f t="shared" si="10"/>
        <v>0</v>
      </c>
      <c r="Z212" s="230">
        <f t="shared" si="10"/>
        <v>0</v>
      </c>
      <c r="AA212" s="230">
        <f t="shared" si="10"/>
        <v>0</v>
      </c>
    </row>
    <row r="213" spans="1:42" ht="12.75" customHeight="1" x14ac:dyDescent="0.25">
      <c r="C213" s="776"/>
      <c r="D213" s="774"/>
      <c r="E213" s="229" t="s">
        <v>73</v>
      </c>
      <c r="F213" s="230">
        <f>F130</f>
        <v>-3799555.27</v>
      </c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</row>
    <row r="214" spans="1:42" ht="12.75" customHeight="1" x14ac:dyDescent="0.3">
      <c r="A214" s="89"/>
      <c r="C214" s="97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</row>
    <row r="215" spans="1:42" ht="12.75" customHeight="1" x14ac:dyDescent="0.25">
      <c r="C215" s="777" t="s">
        <v>326</v>
      </c>
      <c r="D215" s="774" t="s">
        <v>132</v>
      </c>
      <c r="E215" s="373" t="s">
        <v>70</v>
      </c>
      <c r="F215" s="374">
        <v>0</v>
      </c>
      <c r="G215" s="374">
        <v>0</v>
      </c>
      <c r="H215" s="374">
        <v>0</v>
      </c>
      <c r="I215" s="374">
        <v>0</v>
      </c>
      <c r="J215" s="374">
        <v>0</v>
      </c>
      <c r="K215" s="374">
        <v>0</v>
      </c>
      <c r="L215" s="374">
        <v>0</v>
      </c>
      <c r="M215" s="374">
        <v>0</v>
      </c>
      <c r="N215" s="374">
        <v>0</v>
      </c>
      <c r="O215" s="374">
        <v>0</v>
      </c>
      <c r="P215" s="374">
        <v>0</v>
      </c>
      <c r="Q215" s="374">
        <v>0</v>
      </c>
      <c r="R215" s="374">
        <v>0</v>
      </c>
      <c r="S215" s="374">
        <v>0</v>
      </c>
      <c r="T215" s="374">
        <v>0</v>
      </c>
      <c r="U215" s="374">
        <v>0</v>
      </c>
      <c r="V215" s="374">
        <v>0</v>
      </c>
      <c r="W215" s="374">
        <v>0</v>
      </c>
      <c r="X215" s="374">
        <v>0</v>
      </c>
      <c r="Y215" s="374">
        <v>0</v>
      </c>
      <c r="Z215" s="374">
        <v>0</v>
      </c>
      <c r="AA215" s="374">
        <v>0</v>
      </c>
      <c r="AB215" s="374">
        <v>0</v>
      </c>
      <c r="AC215" s="374">
        <v>0</v>
      </c>
      <c r="AD215" s="374">
        <v>0</v>
      </c>
      <c r="AE215" s="374">
        <v>0</v>
      </c>
      <c r="AF215" s="374">
        <v>0</v>
      </c>
      <c r="AG215" s="374">
        <v>0</v>
      </c>
      <c r="AH215" s="374">
        <v>0</v>
      </c>
      <c r="AI215" s="374">
        <v>0</v>
      </c>
      <c r="AJ215" s="374">
        <v>0</v>
      </c>
      <c r="AK215" s="374">
        <v>0</v>
      </c>
      <c r="AL215" s="374">
        <v>0</v>
      </c>
      <c r="AM215" s="374">
        <v>0</v>
      </c>
      <c r="AN215" s="374">
        <v>0</v>
      </c>
      <c r="AO215" s="374">
        <v>0</v>
      </c>
    </row>
    <row r="216" spans="1:42" ht="12.75" customHeight="1" x14ac:dyDescent="0.25">
      <c r="C216" s="777"/>
      <c r="D216" s="774"/>
      <c r="E216" s="373" t="s">
        <v>73</v>
      </c>
      <c r="F216" s="374">
        <v>0</v>
      </c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</row>
    <row r="217" spans="1:42" ht="12.75" customHeight="1" x14ac:dyDescent="0.25">
      <c r="C217" s="777"/>
      <c r="D217" s="774" t="s">
        <v>133</v>
      </c>
      <c r="E217" s="242" t="s">
        <v>70</v>
      </c>
      <c r="F217" s="243">
        <v>0</v>
      </c>
      <c r="G217" s="243">
        <v>0</v>
      </c>
      <c r="H217" s="243">
        <v>0</v>
      </c>
      <c r="I217" s="243">
        <v>0</v>
      </c>
      <c r="J217" s="243">
        <v>0</v>
      </c>
      <c r="K217" s="243">
        <v>0</v>
      </c>
      <c r="L217" s="243">
        <v>0</v>
      </c>
      <c r="M217" s="243">
        <v>0</v>
      </c>
      <c r="N217" s="243">
        <v>0</v>
      </c>
      <c r="O217" s="243">
        <v>0</v>
      </c>
      <c r="P217" s="243">
        <v>0</v>
      </c>
      <c r="Q217" s="243">
        <v>0</v>
      </c>
      <c r="R217" s="243">
        <v>0</v>
      </c>
      <c r="S217" s="243">
        <v>0</v>
      </c>
      <c r="T217" s="243">
        <v>0</v>
      </c>
      <c r="U217" s="243">
        <v>0</v>
      </c>
      <c r="V217" s="243">
        <v>0</v>
      </c>
      <c r="W217" s="243">
        <v>0</v>
      </c>
      <c r="X217" s="243">
        <v>0</v>
      </c>
      <c r="Y217" s="243">
        <v>0</v>
      </c>
      <c r="Z217" s="243">
        <v>0</v>
      </c>
      <c r="AA217" s="243">
        <v>0</v>
      </c>
      <c r="AB217" s="243">
        <v>0</v>
      </c>
      <c r="AC217" s="243">
        <v>0</v>
      </c>
      <c r="AD217" s="243">
        <v>0</v>
      </c>
      <c r="AE217" s="243">
        <v>0</v>
      </c>
      <c r="AF217" s="243">
        <v>0</v>
      </c>
      <c r="AG217" s="243">
        <v>0</v>
      </c>
      <c r="AH217" s="243">
        <v>0</v>
      </c>
      <c r="AI217" s="243">
        <v>0</v>
      </c>
      <c r="AJ217" s="243">
        <v>0</v>
      </c>
      <c r="AK217" s="243">
        <v>0</v>
      </c>
      <c r="AL217" s="243">
        <v>0</v>
      </c>
      <c r="AM217" s="243">
        <v>0</v>
      </c>
      <c r="AN217" s="243">
        <v>0</v>
      </c>
      <c r="AO217" s="243">
        <v>0</v>
      </c>
    </row>
    <row r="218" spans="1:42" ht="12.75" customHeight="1" x14ac:dyDescent="0.25">
      <c r="C218" s="777"/>
      <c r="D218" s="774"/>
      <c r="E218" s="242" t="s">
        <v>73</v>
      </c>
      <c r="F218" s="243">
        <v>0</v>
      </c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</row>
    <row r="219" spans="1:42" ht="12.75" customHeight="1" x14ac:dyDescent="0.3">
      <c r="A219" s="89"/>
      <c r="C219" s="97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</row>
    <row r="220" spans="1:42" ht="12.75" customHeight="1" x14ac:dyDescent="0.25">
      <c r="C220" s="776" t="s">
        <v>119</v>
      </c>
      <c r="D220" s="774" t="s">
        <v>132</v>
      </c>
      <c r="E220" s="101" t="s">
        <v>70</v>
      </c>
      <c r="F220" s="93">
        <f>F153+F125+F88-L88-L125</f>
        <v>2007012779.4999998</v>
      </c>
      <c r="G220" s="93">
        <f>G125+G88</f>
        <v>236066110.05000001</v>
      </c>
      <c r="H220" s="93">
        <f t="shared" ref="H220:AP220" si="11">H125+H88</f>
        <v>132382509.13</v>
      </c>
      <c r="I220" s="93">
        <f t="shared" si="11"/>
        <v>69602615.679999992</v>
      </c>
      <c r="J220" s="93">
        <f t="shared" si="11"/>
        <v>303180485.92000002</v>
      </c>
      <c r="K220" s="93">
        <f t="shared" si="11"/>
        <v>7659146.6399999997</v>
      </c>
      <c r="L220" s="93">
        <f t="shared" si="11"/>
        <v>50343822.490000002</v>
      </c>
      <c r="M220" s="93">
        <f t="shared" si="11"/>
        <v>67119238.189999998</v>
      </c>
      <c r="N220" s="93">
        <f t="shared" si="11"/>
        <v>92540760.640000001</v>
      </c>
      <c r="O220" s="93">
        <f t="shared" si="11"/>
        <v>444943742.94</v>
      </c>
      <c r="P220" s="93">
        <f t="shared" si="11"/>
        <v>460996764.09000003</v>
      </c>
      <c r="Q220" s="93">
        <f t="shared" si="11"/>
        <v>12579079.039999999</v>
      </c>
      <c r="R220" s="93">
        <f t="shared" si="11"/>
        <v>-2293.2800000000002</v>
      </c>
      <c r="S220" s="93">
        <f t="shared" si="11"/>
        <v>18.34</v>
      </c>
      <c r="T220" s="93">
        <f t="shared" si="11"/>
        <v>0.01</v>
      </c>
      <c r="U220" s="93">
        <f t="shared" si="11"/>
        <v>0</v>
      </c>
      <c r="V220" s="93">
        <f t="shared" si="11"/>
        <v>0</v>
      </c>
      <c r="W220" s="93">
        <f t="shared" si="11"/>
        <v>0</v>
      </c>
      <c r="X220" s="93">
        <f t="shared" si="11"/>
        <v>0</v>
      </c>
      <c r="Y220" s="93">
        <f t="shared" si="11"/>
        <v>0</v>
      </c>
      <c r="Z220" s="93">
        <f t="shared" si="11"/>
        <v>-0.45</v>
      </c>
      <c r="AA220" s="93">
        <f t="shared" si="11"/>
        <v>0</v>
      </c>
      <c r="AB220" s="93">
        <f t="shared" si="11"/>
        <v>0</v>
      </c>
      <c r="AC220" s="93">
        <f t="shared" si="11"/>
        <v>0</v>
      </c>
      <c r="AD220" s="93">
        <f t="shared" si="11"/>
        <v>0</v>
      </c>
      <c r="AE220" s="93">
        <f t="shared" si="11"/>
        <v>0</v>
      </c>
      <c r="AF220" s="93">
        <f t="shared" si="11"/>
        <v>0</v>
      </c>
      <c r="AG220" s="93">
        <f t="shared" si="11"/>
        <v>0</v>
      </c>
      <c r="AH220" s="93">
        <f t="shared" si="11"/>
        <v>0</v>
      </c>
      <c r="AI220" s="93">
        <f t="shared" si="11"/>
        <v>0</v>
      </c>
      <c r="AJ220" s="93">
        <f t="shared" si="11"/>
        <v>0</v>
      </c>
      <c r="AK220" s="93">
        <f t="shared" si="11"/>
        <v>0</v>
      </c>
      <c r="AL220" s="93">
        <f t="shared" si="11"/>
        <v>0</v>
      </c>
      <c r="AM220" s="93">
        <f t="shared" si="11"/>
        <v>0</v>
      </c>
      <c r="AN220" s="93">
        <f t="shared" si="11"/>
        <v>0</v>
      </c>
      <c r="AO220" s="93">
        <f t="shared" si="11"/>
        <v>0</v>
      </c>
      <c r="AP220" s="93">
        <f t="shared" si="11"/>
        <v>0</v>
      </c>
    </row>
    <row r="221" spans="1:42" ht="12.75" customHeight="1" x14ac:dyDescent="0.25">
      <c r="C221" s="776"/>
      <c r="D221" s="774"/>
      <c r="E221" s="101" t="s">
        <v>73</v>
      </c>
      <c r="F221" s="93">
        <f>F153</f>
        <v>179944602.56</v>
      </c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</row>
    <row r="222" spans="1:42" ht="12.75" customHeight="1" x14ac:dyDescent="0.25">
      <c r="C222" s="776"/>
      <c r="D222" s="774" t="s">
        <v>133</v>
      </c>
      <c r="E222" s="235" t="s">
        <v>70</v>
      </c>
      <c r="F222" s="236">
        <f>F135+F100-L100</f>
        <v>1003966</v>
      </c>
      <c r="G222" s="236">
        <f>G100</f>
        <v>66224.73</v>
      </c>
      <c r="H222" s="236">
        <f t="shared" ref="H222:AP222" si="12">H100</f>
        <v>37442.449999999997</v>
      </c>
      <c r="I222" s="236">
        <f t="shared" si="12"/>
        <v>23169.96</v>
      </c>
      <c r="J222" s="236">
        <f t="shared" si="12"/>
        <v>323281.68</v>
      </c>
      <c r="K222" s="236">
        <f t="shared" si="12"/>
        <v>10603.42</v>
      </c>
      <c r="L222" s="236">
        <f t="shared" si="12"/>
        <v>0</v>
      </c>
      <c r="M222" s="236">
        <f t="shared" si="12"/>
        <v>84369.53</v>
      </c>
      <c r="N222" s="236">
        <f t="shared" si="12"/>
        <v>95689.38</v>
      </c>
      <c r="O222" s="236">
        <f t="shared" si="12"/>
        <v>542773.4</v>
      </c>
      <c r="P222" s="236">
        <f t="shared" si="12"/>
        <v>139745.07</v>
      </c>
      <c r="Q222" s="236">
        <f t="shared" si="12"/>
        <v>16405.93</v>
      </c>
      <c r="R222" s="236">
        <f t="shared" si="12"/>
        <v>18.11</v>
      </c>
      <c r="S222" s="236">
        <f t="shared" si="12"/>
        <v>0.06</v>
      </c>
      <c r="T222" s="236">
        <f t="shared" si="12"/>
        <v>0</v>
      </c>
      <c r="U222" s="236">
        <f t="shared" si="12"/>
        <v>0</v>
      </c>
      <c r="V222" s="236">
        <f t="shared" si="12"/>
        <v>0</v>
      </c>
      <c r="W222" s="236">
        <f t="shared" si="12"/>
        <v>0</v>
      </c>
      <c r="X222" s="236">
        <f t="shared" si="12"/>
        <v>0</v>
      </c>
      <c r="Y222" s="236">
        <f t="shared" si="12"/>
        <v>0</v>
      </c>
      <c r="Z222" s="236">
        <f t="shared" si="12"/>
        <v>0</v>
      </c>
      <c r="AA222" s="236">
        <f t="shared" si="12"/>
        <v>0</v>
      </c>
      <c r="AB222" s="236">
        <f t="shared" si="12"/>
        <v>0</v>
      </c>
      <c r="AC222" s="236">
        <f t="shared" si="12"/>
        <v>0</v>
      </c>
      <c r="AD222" s="236">
        <f t="shared" si="12"/>
        <v>0</v>
      </c>
      <c r="AE222" s="236">
        <f t="shared" si="12"/>
        <v>0</v>
      </c>
      <c r="AF222" s="236">
        <f t="shared" si="12"/>
        <v>0</v>
      </c>
      <c r="AG222" s="236">
        <f t="shared" si="12"/>
        <v>0</v>
      </c>
      <c r="AH222" s="236">
        <f t="shared" si="12"/>
        <v>0</v>
      </c>
      <c r="AI222" s="236">
        <f t="shared" si="12"/>
        <v>0</v>
      </c>
      <c r="AJ222" s="236">
        <f t="shared" si="12"/>
        <v>0</v>
      </c>
      <c r="AK222" s="236">
        <f t="shared" si="12"/>
        <v>0</v>
      </c>
      <c r="AL222" s="236">
        <f t="shared" si="12"/>
        <v>0</v>
      </c>
      <c r="AM222" s="236">
        <f t="shared" si="12"/>
        <v>0</v>
      </c>
      <c r="AN222" s="236">
        <f t="shared" si="12"/>
        <v>0</v>
      </c>
      <c r="AO222" s="236">
        <f t="shared" si="12"/>
        <v>0</v>
      </c>
      <c r="AP222" s="236">
        <f t="shared" si="12"/>
        <v>0</v>
      </c>
    </row>
    <row r="223" spans="1:42" ht="12.75" customHeight="1" x14ac:dyDescent="0.25">
      <c r="C223" s="776"/>
      <c r="D223" s="774"/>
      <c r="E223" s="235" t="s">
        <v>73</v>
      </c>
      <c r="F223" s="236">
        <f>F135</f>
        <v>-335757.72</v>
      </c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</row>
    <row r="224" spans="1:42" ht="12.75" customHeight="1" x14ac:dyDescent="0.3">
      <c r="A224" s="89"/>
      <c r="C224" s="97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</row>
    <row r="225" spans="1:42" ht="12.75" customHeight="1" x14ac:dyDescent="0.25">
      <c r="C225" s="775" t="s">
        <v>161</v>
      </c>
      <c r="D225" s="774" t="s">
        <v>132</v>
      </c>
      <c r="E225" s="231" t="s">
        <v>70</v>
      </c>
      <c r="F225" s="232">
        <v>0</v>
      </c>
      <c r="G225" s="232">
        <v>0</v>
      </c>
      <c r="H225" s="232">
        <v>0</v>
      </c>
      <c r="I225" s="232">
        <v>0</v>
      </c>
      <c r="J225" s="232">
        <v>0</v>
      </c>
      <c r="K225" s="232">
        <v>0</v>
      </c>
      <c r="L225" s="232">
        <v>0</v>
      </c>
      <c r="M225" s="232">
        <v>0</v>
      </c>
      <c r="N225" s="232">
        <v>0</v>
      </c>
      <c r="O225" s="232">
        <v>0</v>
      </c>
      <c r="P225" s="232">
        <v>0</v>
      </c>
      <c r="Q225" s="232">
        <v>0</v>
      </c>
      <c r="R225" s="232">
        <v>0</v>
      </c>
      <c r="S225" s="232">
        <v>0</v>
      </c>
      <c r="T225" s="232">
        <v>0</v>
      </c>
      <c r="U225" s="232">
        <v>0</v>
      </c>
      <c r="V225" s="232">
        <v>0</v>
      </c>
      <c r="W225" s="232">
        <v>0</v>
      </c>
      <c r="X225" s="232">
        <v>0</v>
      </c>
      <c r="Y225" s="232"/>
      <c r="Z225" s="232">
        <v>0</v>
      </c>
      <c r="AA225" s="232">
        <v>0</v>
      </c>
      <c r="AB225" s="232">
        <v>0</v>
      </c>
      <c r="AC225" s="232">
        <v>0</v>
      </c>
      <c r="AD225" s="232">
        <v>0</v>
      </c>
      <c r="AE225" s="232">
        <v>0</v>
      </c>
      <c r="AF225" s="232">
        <v>0</v>
      </c>
      <c r="AG225" s="232">
        <v>0</v>
      </c>
      <c r="AH225" s="232">
        <v>0</v>
      </c>
      <c r="AI225" s="232">
        <v>0</v>
      </c>
      <c r="AJ225" s="232">
        <v>0</v>
      </c>
      <c r="AK225" s="232">
        <v>0</v>
      </c>
      <c r="AL225" s="232">
        <v>0</v>
      </c>
      <c r="AM225" s="232">
        <v>0</v>
      </c>
      <c r="AN225" s="232">
        <v>0</v>
      </c>
      <c r="AO225" s="232">
        <v>0</v>
      </c>
      <c r="AP225" s="232">
        <v>0</v>
      </c>
    </row>
    <row r="226" spans="1:42" ht="12.75" customHeight="1" x14ac:dyDescent="0.25">
      <c r="C226" s="775"/>
      <c r="D226" s="774"/>
      <c r="E226" s="231" t="s">
        <v>73</v>
      </c>
      <c r="F226" s="232">
        <v>0</v>
      </c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</row>
    <row r="227" spans="1:42" ht="12.75" customHeight="1" x14ac:dyDescent="0.25">
      <c r="C227" s="775"/>
      <c r="E227" s="148" t="s">
        <v>70</v>
      </c>
      <c r="F227" s="149">
        <v>0</v>
      </c>
      <c r="G227" s="149">
        <v>0</v>
      </c>
      <c r="H227" s="149">
        <v>0</v>
      </c>
      <c r="I227" s="149">
        <v>0</v>
      </c>
      <c r="J227" s="149">
        <v>0</v>
      </c>
      <c r="K227" s="149">
        <v>0</v>
      </c>
      <c r="L227" s="149">
        <v>0</v>
      </c>
      <c r="M227" s="149">
        <v>0</v>
      </c>
      <c r="N227" s="149">
        <v>0</v>
      </c>
      <c r="O227" s="149">
        <v>0</v>
      </c>
      <c r="P227" s="149">
        <v>0</v>
      </c>
      <c r="Q227" s="149">
        <v>0</v>
      </c>
      <c r="R227" s="149">
        <v>0</v>
      </c>
      <c r="S227" s="149">
        <v>0</v>
      </c>
      <c r="T227" s="149">
        <v>0</v>
      </c>
      <c r="U227" s="149">
        <v>0</v>
      </c>
      <c r="V227" s="149">
        <v>0</v>
      </c>
      <c r="W227" s="149">
        <v>0</v>
      </c>
      <c r="X227" s="149">
        <v>0</v>
      </c>
      <c r="Y227" s="149">
        <v>0</v>
      </c>
      <c r="Z227" s="149">
        <v>0</v>
      </c>
      <c r="AA227" s="149">
        <v>0</v>
      </c>
    </row>
    <row r="228" spans="1:42" ht="12.75" customHeight="1" x14ac:dyDescent="0.25">
      <c r="C228" s="775"/>
      <c r="D228" s="220" t="s">
        <v>132</v>
      </c>
      <c r="E228" s="148" t="s">
        <v>73</v>
      </c>
      <c r="F228" s="149">
        <v>0</v>
      </c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</row>
    <row r="229" spans="1:42" ht="12.75" customHeight="1" x14ac:dyDescent="0.25">
      <c r="C229" s="388"/>
      <c r="D229" s="220"/>
      <c r="E229" s="89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</row>
    <row r="230" spans="1:42" ht="12.75" customHeight="1" x14ac:dyDescent="0.25">
      <c r="D230" s="458" t="s">
        <v>186</v>
      </c>
      <c r="E230" s="459" t="s">
        <v>70</v>
      </c>
      <c r="F230" s="460">
        <f t="shared" ref="F230:AA230" si="13">F89</f>
        <v>-993518.73</v>
      </c>
      <c r="G230" s="460">
        <f t="shared" si="13"/>
        <v>-86567.57</v>
      </c>
      <c r="H230" s="460">
        <f t="shared" si="13"/>
        <v>-36776.33</v>
      </c>
      <c r="I230" s="460">
        <f t="shared" si="13"/>
        <v>-16060.35</v>
      </c>
      <c r="J230" s="460">
        <f t="shared" si="13"/>
        <v>-200383.96</v>
      </c>
      <c r="K230" s="460">
        <f t="shared" si="13"/>
        <v>-8282.82</v>
      </c>
      <c r="L230" s="460">
        <f t="shared" si="13"/>
        <v>0</v>
      </c>
      <c r="M230" s="460">
        <f t="shared" si="13"/>
        <v>-72838.8</v>
      </c>
      <c r="N230" s="460">
        <f t="shared" si="13"/>
        <v>-91093.54</v>
      </c>
      <c r="O230" s="460">
        <f t="shared" si="13"/>
        <v>-305924.03999999998</v>
      </c>
      <c r="P230" s="460">
        <f t="shared" si="13"/>
        <v>-162075.72</v>
      </c>
      <c r="Q230" s="460">
        <f t="shared" si="13"/>
        <v>-13515.6</v>
      </c>
      <c r="R230" s="460">
        <f t="shared" si="13"/>
        <v>0</v>
      </c>
      <c r="S230" s="460">
        <f t="shared" si="13"/>
        <v>0</v>
      </c>
      <c r="T230" s="460">
        <f t="shared" si="13"/>
        <v>0</v>
      </c>
      <c r="U230" s="460">
        <f t="shared" si="13"/>
        <v>0</v>
      </c>
      <c r="V230" s="460">
        <f t="shared" si="13"/>
        <v>0</v>
      </c>
      <c r="W230" s="460">
        <f t="shared" si="13"/>
        <v>0</v>
      </c>
      <c r="X230" s="460">
        <f t="shared" si="13"/>
        <v>0</v>
      </c>
      <c r="Y230" s="460">
        <f t="shared" si="13"/>
        <v>0</v>
      </c>
      <c r="Z230" s="460">
        <f t="shared" si="13"/>
        <v>0</v>
      </c>
      <c r="AA230" s="460">
        <f t="shared" si="13"/>
        <v>0</v>
      </c>
    </row>
    <row r="231" spans="1:42" ht="12.75" customHeight="1" x14ac:dyDescent="0.25">
      <c r="C231" s="388"/>
      <c r="D231" s="220"/>
      <c r="E231" s="89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</row>
    <row r="232" spans="1:42" s="238" customFormat="1" ht="12.75" customHeight="1" x14ac:dyDescent="0.25">
      <c r="D232" s="239"/>
      <c r="E232" s="240"/>
      <c r="F232" s="240"/>
      <c r="G232" s="240"/>
      <c r="H232" s="240"/>
      <c r="I232" s="240"/>
      <c r="J232" s="240"/>
      <c r="K232" s="240"/>
      <c r="L232" s="240"/>
      <c r="M232" s="240"/>
      <c r="N232" s="240"/>
      <c r="O232" s="240"/>
      <c r="P232" s="240"/>
      <c r="Q232" s="240"/>
    </row>
    <row r="233" spans="1:42" ht="12.75" customHeight="1" x14ac:dyDescent="0.3">
      <c r="A233" s="89"/>
      <c r="B233" s="97" t="s">
        <v>76</v>
      </c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</row>
    <row r="234" spans="1:42" ht="12.65" customHeight="1" x14ac:dyDescent="0.25">
      <c r="F234" s="89" t="s">
        <v>70</v>
      </c>
      <c r="G234" s="89" t="s">
        <v>64</v>
      </c>
      <c r="H234" s="89" t="s">
        <v>65</v>
      </c>
      <c r="I234" s="218" t="s">
        <v>164</v>
      </c>
      <c r="J234" s="89" t="s">
        <v>69</v>
      </c>
      <c r="K234" s="89" t="s">
        <v>68</v>
      </c>
      <c r="L234" s="89" t="s">
        <v>71</v>
      </c>
      <c r="M234" s="89" t="s">
        <v>66</v>
      </c>
      <c r="N234" s="89" t="s">
        <v>63</v>
      </c>
      <c r="O234" s="89" t="s">
        <v>61</v>
      </c>
      <c r="P234" s="89" t="s">
        <v>62</v>
      </c>
      <c r="Q234" s="89" t="s">
        <v>67</v>
      </c>
      <c r="R234" s="89" t="s">
        <v>77</v>
      </c>
      <c r="S234" s="89" t="s">
        <v>80</v>
      </c>
      <c r="T234" s="89" t="s">
        <v>135</v>
      </c>
      <c r="U234" s="89" t="s">
        <v>173</v>
      </c>
      <c r="V234" s="89" t="s">
        <v>222</v>
      </c>
      <c r="W234" s="89" t="s">
        <v>173</v>
      </c>
      <c r="X234" t="s">
        <v>173</v>
      </c>
      <c r="Y234" s="89" t="s">
        <v>135</v>
      </c>
      <c r="Z234" t="s">
        <v>167</v>
      </c>
    </row>
    <row r="235" spans="1:42" ht="12.75" customHeight="1" x14ac:dyDescent="0.25">
      <c r="E235" s="89" t="s">
        <v>72</v>
      </c>
      <c r="F235" s="371">
        <v>0.02</v>
      </c>
      <c r="G235" s="90">
        <v>0</v>
      </c>
      <c r="H235" s="90">
        <v>0</v>
      </c>
      <c r="I235" s="90">
        <v>0</v>
      </c>
      <c r="J235" s="90">
        <v>0</v>
      </c>
      <c r="K235" s="90">
        <v>0</v>
      </c>
      <c r="L235" s="90">
        <v>0</v>
      </c>
      <c r="M235" s="90">
        <v>0</v>
      </c>
      <c r="N235" s="90">
        <v>0.01</v>
      </c>
      <c r="O235" s="90">
        <v>0</v>
      </c>
      <c r="P235" s="90">
        <v>0</v>
      </c>
      <c r="Q235" s="90">
        <v>0.01</v>
      </c>
      <c r="R235" s="90">
        <v>0</v>
      </c>
      <c r="S235" s="90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42" ht="12.75" customHeight="1" x14ac:dyDescent="0.25">
      <c r="D236" t="s">
        <v>156</v>
      </c>
      <c r="E236" s="89" t="s">
        <v>70</v>
      </c>
      <c r="F236" s="371">
        <v>0.02</v>
      </c>
      <c r="G236" s="90">
        <v>0</v>
      </c>
      <c r="H236" s="90">
        <v>0</v>
      </c>
      <c r="I236" s="90">
        <v>0</v>
      </c>
      <c r="J236" s="90">
        <v>0</v>
      </c>
      <c r="K236" s="90">
        <v>0</v>
      </c>
      <c r="L236" s="90">
        <v>0</v>
      </c>
      <c r="M236" s="90">
        <v>0</v>
      </c>
      <c r="N236" s="90">
        <v>0.01</v>
      </c>
      <c r="O236" s="90">
        <v>0</v>
      </c>
      <c r="P236" s="90">
        <v>0</v>
      </c>
      <c r="Q236" s="90">
        <v>0.01</v>
      </c>
      <c r="R236" s="90">
        <v>0</v>
      </c>
      <c r="S236" s="90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42" s="286" customFormat="1" ht="12.75" customHeight="1" x14ac:dyDescent="0.25">
      <c r="C237" s="286" t="s">
        <v>155</v>
      </c>
      <c r="D237" s="286" t="s">
        <v>70</v>
      </c>
      <c r="E237" s="229"/>
      <c r="F237" s="229">
        <v>0.02</v>
      </c>
      <c r="G237" s="230">
        <v>0</v>
      </c>
      <c r="H237" s="230">
        <v>0</v>
      </c>
      <c r="I237" s="230">
        <v>0</v>
      </c>
      <c r="J237" s="230">
        <v>0</v>
      </c>
      <c r="K237" s="230">
        <v>0</v>
      </c>
      <c r="L237" s="230">
        <v>0</v>
      </c>
      <c r="M237" s="230">
        <v>0</v>
      </c>
      <c r="N237" s="230">
        <v>0.01</v>
      </c>
      <c r="O237" s="230">
        <v>0</v>
      </c>
      <c r="P237" s="230">
        <v>0</v>
      </c>
      <c r="Q237" s="230">
        <v>0.01</v>
      </c>
      <c r="R237" s="230">
        <v>0</v>
      </c>
      <c r="S237" s="230">
        <v>0</v>
      </c>
      <c r="T237" s="230">
        <v>0</v>
      </c>
      <c r="U237" s="230">
        <v>0</v>
      </c>
      <c r="V237" s="230">
        <v>0</v>
      </c>
      <c r="W237" s="230">
        <v>0</v>
      </c>
      <c r="X237" s="230">
        <v>0</v>
      </c>
      <c r="Y237" s="230">
        <v>0</v>
      </c>
      <c r="Z237" s="230">
        <v>0</v>
      </c>
    </row>
    <row r="238" spans="1:42" ht="12.75" customHeight="1" x14ac:dyDescent="0.25">
      <c r="E238" s="89" t="s">
        <v>72</v>
      </c>
      <c r="F238" s="371">
        <v>-7866.63</v>
      </c>
      <c r="G238" s="90">
        <v>-678.72</v>
      </c>
      <c r="H238" s="90">
        <v>-288.36</v>
      </c>
      <c r="I238" s="90">
        <v>-125.91</v>
      </c>
      <c r="J238" s="90">
        <v>-1539.2</v>
      </c>
      <c r="K238" s="90">
        <v>-63.42</v>
      </c>
      <c r="L238" s="90">
        <v>0</v>
      </c>
      <c r="M238" s="90">
        <v>-556.25</v>
      </c>
      <c r="N238" s="90">
        <v>-697.23</v>
      </c>
      <c r="O238" s="90">
        <v>-2341.94</v>
      </c>
      <c r="P238" s="90">
        <v>-1472.13</v>
      </c>
      <c r="Q238" s="90">
        <v>-103.47</v>
      </c>
      <c r="R238" s="90">
        <v>0</v>
      </c>
      <c r="S238" s="90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42" ht="12.75" customHeight="1" x14ac:dyDescent="0.25">
      <c r="D239" t="s">
        <v>86</v>
      </c>
      <c r="E239" s="89" t="s">
        <v>70</v>
      </c>
      <c r="F239" s="371">
        <v>-7866.63</v>
      </c>
      <c r="G239" s="90">
        <v>-678.72</v>
      </c>
      <c r="H239" s="90">
        <v>-288.36</v>
      </c>
      <c r="I239" s="90">
        <v>-125.91</v>
      </c>
      <c r="J239" s="90">
        <v>-1539.2</v>
      </c>
      <c r="K239" s="90">
        <v>-63.42</v>
      </c>
      <c r="L239" s="90">
        <v>0</v>
      </c>
      <c r="M239" s="90">
        <v>-556.25</v>
      </c>
      <c r="N239" s="90">
        <v>-697.23</v>
      </c>
      <c r="O239" s="90">
        <v>-2341.94</v>
      </c>
      <c r="P239" s="90">
        <v>-1472.13</v>
      </c>
      <c r="Q239" s="90">
        <v>-103.47</v>
      </c>
      <c r="R239" s="90">
        <v>0</v>
      </c>
      <c r="S239" s="90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42" s="94" customFormat="1" ht="12.75" customHeight="1" x14ac:dyDescent="0.25">
      <c r="C240" s="101" t="s">
        <v>119</v>
      </c>
      <c r="D240" s="101" t="s">
        <v>70</v>
      </c>
      <c r="F240" s="93">
        <v>-7866.63</v>
      </c>
      <c r="G240" s="93">
        <v>-678.72</v>
      </c>
      <c r="H240" s="93">
        <v>-288.36</v>
      </c>
      <c r="I240" s="93">
        <v>-125.91</v>
      </c>
      <c r="J240" s="93">
        <v>-1539.2</v>
      </c>
      <c r="K240" s="93">
        <v>-63.42</v>
      </c>
      <c r="L240" s="93">
        <v>0</v>
      </c>
      <c r="M240" s="93">
        <v>-556.25</v>
      </c>
      <c r="N240" s="93">
        <v>-697.23</v>
      </c>
      <c r="O240" s="93">
        <v>-2341.94</v>
      </c>
      <c r="P240" s="93">
        <v>-1472.13</v>
      </c>
      <c r="Q240" s="93">
        <v>-103.47</v>
      </c>
      <c r="R240" s="93">
        <v>0</v>
      </c>
      <c r="S240" s="93">
        <v>0</v>
      </c>
      <c r="T240" s="94">
        <v>0</v>
      </c>
      <c r="U240" s="94">
        <v>0</v>
      </c>
      <c r="V240" s="94">
        <v>0</v>
      </c>
      <c r="W240" s="94">
        <v>0</v>
      </c>
      <c r="X240" s="94">
        <v>0</v>
      </c>
      <c r="Y240" s="94">
        <v>0</v>
      </c>
      <c r="Z240" s="94">
        <v>0</v>
      </c>
    </row>
    <row r="241" spans="1:26" ht="12.75" customHeight="1" x14ac:dyDescent="0.25">
      <c r="B241" t="s">
        <v>112</v>
      </c>
      <c r="C241" t="s">
        <v>70</v>
      </c>
      <c r="E241" s="89"/>
      <c r="F241" s="371">
        <v>-7866.61</v>
      </c>
      <c r="G241" s="90">
        <v>-678.72</v>
      </c>
      <c r="H241" s="90">
        <v>-288.36</v>
      </c>
      <c r="I241" s="90">
        <v>-125.91</v>
      </c>
      <c r="J241" s="90">
        <v>-1539.2</v>
      </c>
      <c r="K241" s="90">
        <v>-63.42</v>
      </c>
      <c r="L241" s="90">
        <v>0</v>
      </c>
      <c r="M241" s="90">
        <v>-556.25</v>
      </c>
      <c r="N241" s="90">
        <v>-697.22</v>
      </c>
      <c r="O241" s="90">
        <v>-2341.94</v>
      </c>
      <c r="P241" s="90">
        <v>-1472.13</v>
      </c>
      <c r="Q241" s="90">
        <v>-103.46</v>
      </c>
      <c r="R241" s="90">
        <v>0</v>
      </c>
      <c r="S241" s="90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s="458" customFormat="1" ht="12.75" customHeight="1" x14ac:dyDescent="0.25">
      <c r="A242" s="458" t="s">
        <v>186</v>
      </c>
      <c r="B242" s="458" t="s">
        <v>70</v>
      </c>
      <c r="F242" s="458">
        <v>-7866.61</v>
      </c>
      <c r="G242" s="458">
        <v>-678.72</v>
      </c>
      <c r="H242" s="458">
        <v>-288.36</v>
      </c>
      <c r="I242" s="458">
        <v>-125.91</v>
      </c>
      <c r="J242" s="458">
        <v>-1539.2</v>
      </c>
      <c r="K242" s="458">
        <v>-63.42</v>
      </c>
      <c r="L242" s="458">
        <v>0</v>
      </c>
      <c r="M242" s="458">
        <v>-556.25</v>
      </c>
      <c r="N242" s="458">
        <v>-697.22</v>
      </c>
      <c r="O242" s="458">
        <v>-2341.94</v>
      </c>
      <c r="P242" s="458">
        <v>-1472.13</v>
      </c>
      <c r="Q242" s="458">
        <v>-103.46</v>
      </c>
      <c r="R242" s="458">
        <v>0</v>
      </c>
      <c r="S242" s="458">
        <v>0</v>
      </c>
      <c r="T242" s="458">
        <v>0</v>
      </c>
      <c r="U242" s="458">
        <v>0</v>
      </c>
      <c r="V242" s="458">
        <v>0</v>
      </c>
      <c r="W242" s="458">
        <v>0</v>
      </c>
      <c r="X242" s="458">
        <v>0</v>
      </c>
      <c r="Y242" s="458">
        <v>0</v>
      </c>
      <c r="Z242" s="458">
        <v>0</v>
      </c>
    </row>
    <row r="243" spans="1:26" ht="12.75" customHeight="1" x14ac:dyDescent="0.25">
      <c r="E243" s="89" t="s">
        <v>72</v>
      </c>
      <c r="F243" s="371">
        <v>204499.29</v>
      </c>
      <c r="G243" s="90">
        <v>40467.760000000002</v>
      </c>
      <c r="H243" s="90">
        <v>22548.38</v>
      </c>
      <c r="I243" s="90">
        <v>11992.34</v>
      </c>
      <c r="J243" s="90">
        <v>10672.75</v>
      </c>
      <c r="K243" s="90">
        <v>385.44</v>
      </c>
      <c r="L243" s="90">
        <v>0</v>
      </c>
      <c r="M243" s="90">
        <v>3380.99</v>
      </c>
      <c r="N243" s="90">
        <v>3214.74</v>
      </c>
      <c r="O243" s="90">
        <v>15256.24</v>
      </c>
      <c r="P243" s="90">
        <v>95953.3</v>
      </c>
      <c r="Q243" s="90">
        <v>628.86</v>
      </c>
      <c r="R243" s="90">
        <v>-1.51</v>
      </c>
      <c r="S243" s="90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 ht="12.75" customHeight="1" x14ac:dyDescent="0.25">
      <c r="D244" t="s">
        <v>156</v>
      </c>
      <c r="E244" s="89" t="s">
        <v>70</v>
      </c>
      <c r="F244" s="371">
        <v>204499.29</v>
      </c>
      <c r="G244" s="90">
        <v>40467.760000000002</v>
      </c>
      <c r="H244" s="90">
        <v>22548.38</v>
      </c>
      <c r="I244" s="90">
        <v>11992.34</v>
      </c>
      <c r="J244" s="90">
        <v>10672.75</v>
      </c>
      <c r="K244" s="90">
        <v>385.44</v>
      </c>
      <c r="L244" s="90">
        <v>0</v>
      </c>
      <c r="M244" s="90">
        <v>3380.99</v>
      </c>
      <c r="N244" s="90">
        <v>3214.74</v>
      </c>
      <c r="O244" s="90">
        <v>15256.24</v>
      </c>
      <c r="P244" s="90">
        <v>95953.3</v>
      </c>
      <c r="Q244" s="90">
        <v>628.86</v>
      </c>
      <c r="R244" s="90">
        <v>-1.51</v>
      </c>
      <c r="S244" s="90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 s="286" customFormat="1" ht="12.75" customHeight="1" x14ac:dyDescent="0.25">
      <c r="C245" s="286" t="s">
        <v>155</v>
      </c>
      <c r="D245" s="286" t="s">
        <v>70</v>
      </c>
      <c r="E245" s="229"/>
      <c r="F245" s="229">
        <v>204499.29</v>
      </c>
      <c r="G245" s="230">
        <v>40467.760000000002</v>
      </c>
      <c r="H245" s="230">
        <v>22548.38</v>
      </c>
      <c r="I245" s="230">
        <v>11992.34</v>
      </c>
      <c r="J245" s="230">
        <v>10672.75</v>
      </c>
      <c r="K245" s="230">
        <v>385.44</v>
      </c>
      <c r="L245" s="230">
        <v>0</v>
      </c>
      <c r="M245" s="230">
        <v>3380.99</v>
      </c>
      <c r="N245" s="230">
        <v>3214.74</v>
      </c>
      <c r="O245" s="230">
        <v>15256.24</v>
      </c>
      <c r="P245" s="230">
        <v>95953.3</v>
      </c>
      <c r="Q245" s="230">
        <v>628.86</v>
      </c>
      <c r="R245" s="230">
        <v>-1.51</v>
      </c>
      <c r="S245" s="230">
        <v>0</v>
      </c>
      <c r="T245" s="230">
        <v>0</v>
      </c>
      <c r="U245" s="230">
        <v>0</v>
      </c>
      <c r="V245" s="230">
        <v>0</v>
      </c>
      <c r="W245" s="230">
        <v>0</v>
      </c>
      <c r="X245" s="230">
        <v>0</v>
      </c>
      <c r="Y245" s="230">
        <v>0</v>
      </c>
      <c r="Z245" s="230">
        <v>0</v>
      </c>
    </row>
    <row r="246" spans="1:26" s="378" customFormat="1" ht="12.75" customHeight="1" x14ac:dyDescent="0.25">
      <c r="B246" s="378" t="s">
        <v>122</v>
      </c>
      <c r="C246" s="378" t="s">
        <v>70</v>
      </c>
      <c r="E246" s="376"/>
      <c r="F246" s="710">
        <v>204499.29</v>
      </c>
      <c r="G246" s="377">
        <v>40467.760000000002</v>
      </c>
      <c r="H246" s="377">
        <v>22548.38</v>
      </c>
      <c r="I246" s="377">
        <v>11992.34</v>
      </c>
      <c r="J246" s="377">
        <v>10672.75</v>
      </c>
      <c r="K246" s="377">
        <v>385.44</v>
      </c>
      <c r="L246" s="377">
        <v>0</v>
      </c>
      <c r="M246" s="377">
        <v>3380.99</v>
      </c>
      <c r="N246" s="377">
        <v>3214.74</v>
      </c>
      <c r="O246" s="377">
        <v>15256.24</v>
      </c>
      <c r="P246" s="377">
        <v>95953.3</v>
      </c>
      <c r="Q246" s="377">
        <v>628.86</v>
      </c>
      <c r="R246" s="377">
        <v>-1.51</v>
      </c>
      <c r="S246" s="377">
        <v>0</v>
      </c>
      <c r="T246" s="378">
        <v>0</v>
      </c>
      <c r="U246" s="378">
        <v>0</v>
      </c>
      <c r="V246" s="378">
        <v>0</v>
      </c>
      <c r="W246" s="378">
        <v>0</v>
      </c>
      <c r="X246" s="378">
        <v>0</v>
      </c>
      <c r="Y246" s="378">
        <v>0</v>
      </c>
      <c r="Z246" s="378">
        <v>0</v>
      </c>
    </row>
    <row r="247" spans="1:26" ht="12.75" customHeight="1" x14ac:dyDescent="0.25">
      <c r="E247" s="89" t="s">
        <v>72</v>
      </c>
      <c r="F247" s="371">
        <v>15033646573.98</v>
      </c>
      <c r="G247" s="90">
        <v>956541688.35000002</v>
      </c>
      <c r="H247" s="90">
        <v>532811005.44999999</v>
      </c>
      <c r="I247" s="90">
        <v>283430657.99000001</v>
      </c>
      <c r="J247" s="90">
        <v>3440664819.5599999</v>
      </c>
      <c r="K247" s="90">
        <v>125349871.31999999</v>
      </c>
      <c r="L247" s="90">
        <v>18856774.07</v>
      </c>
      <c r="M247" s="90">
        <v>1099335170.6700001</v>
      </c>
      <c r="N247" s="90">
        <v>1071091328.95</v>
      </c>
      <c r="O247" s="90">
        <v>5035372569.1599998</v>
      </c>
      <c r="P247" s="90">
        <v>2265735702.8899999</v>
      </c>
      <c r="Q247" s="90">
        <v>204584034.19999999</v>
      </c>
      <c r="R247" s="90">
        <v>-127048.63</v>
      </c>
      <c r="S247" s="90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 ht="12.75" customHeight="1" x14ac:dyDescent="0.25">
      <c r="E248" s="89" t="s">
        <v>81</v>
      </c>
      <c r="F248" s="371">
        <v>9043471.3699999992</v>
      </c>
      <c r="G248" s="90">
        <v>963958.56</v>
      </c>
      <c r="H248" s="90">
        <v>518070.21</v>
      </c>
      <c r="I248" s="90">
        <v>276193.69</v>
      </c>
      <c r="J248" s="90">
        <v>1666494.58</v>
      </c>
      <c r="K248" s="90">
        <v>55865.440000000002</v>
      </c>
      <c r="L248" s="90">
        <v>102927.25</v>
      </c>
      <c r="M248" s="90">
        <v>489218.46</v>
      </c>
      <c r="N248" s="90">
        <v>463591.85</v>
      </c>
      <c r="O248" s="90">
        <v>2147433.84</v>
      </c>
      <c r="P248" s="90">
        <v>2268522.79</v>
      </c>
      <c r="Q248" s="90">
        <v>91180.06</v>
      </c>
      <c r="R248" s="90">
        <v>14.6</v>
      </c>
      <c r="S248" s="90">
        <v>-0.54</v>
      </c>
      <c r="T248">
        <v>0.57999999999999996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 ht="12.75" customHeight="1" x14ac:dyDescent="0.25">
      <c r="D249" t="s">
        <v>156</v>
      </c>
      <c r="E249" s="89" t="s">
        <v>70</v>
      </c>
      <c r="F249" s="90">
        <v>15042690045.35</v>
      </c>
      <c r="G249" s="90">
        <v>957505646.90999997</v>
      </c>
      <c r="H249" s="90">
        <v>533329075.66000003</v>
      </c>
      <c r="I249" s="90">
        <v>283706851.68000001</v>
      </c>
      <c r="J249" s="90">
        <v>3442331314.1399999</v>
      </c>
      <c r="K249" s="90">
        <v>125405736.76000001</v>
      </c>
      <c r="L249" s="90">
        <v>18959701.32</v>
      </c>
      <c r="M249" s="90">
        <v>1099824389.1300001</v>
      </c>
      <c r="N249" s="90">
        <v>1071554920.8</v>
      </c>
      <c r="O249" s="90">
        <v>5037520003</v>
      </c>
      <c r="P249" s="90">
        <v>2268004225.6799998</v>
      </c>
      <c r="Q249" s="90">
        <v>204675214.25999999</v>
      </c>
      <c r="R249" s="90">
        <v>-127034.03</v>
      </c>
      <c r="S249" s="90">
        <v>-0.54</v>
      </c>
      <c r="T249">
        <v>0.57999999999999996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 s="286" customFormat="1" ht="12.75" customHeight="1" x14ac:dyDescent="0.25">
      <c r="C250" s="286" t="s">
        <v>155</v>
      </c>
      <c r="D250" s="286" t="s">
        <v>70</v>
      </c>
      <c r="E250" s="229"/>
      <c r="F250" s="229">
        <v>15042690045.35</v>
      </c>
      <c r="G250" s="230">
        <v>957505646.90999997</v>
      </c>
      <c r="H250" s="230">
        <v>533329075.66000003</v>
      </c>
      <c r="I250" s="230">
        <v>283706851.68000001</v>
      </c>
      <c r="J250" s="230">
        <v>3442331314.1399999</v>
      </c>
      <c r="K250" s="230">
        <v>125405736.76000001</v>
      </c>
      <c r="L250" s="230">
        <v>18959701.32</v>
      </c>
      <c r="M250" s="230">
        <v>1099824389.1300001</v>
      </c>
      <c r="N250" s="230">
        <v>1071554920.8</v>
      </c>
      <c r="O250" s="230">
        <v>5037520003</v>
      </c>
      <c r="P250" s="230">
        <v>2268004225.6799998</v>
      </c>
      <c r="Q250" s="230">
        <v>204675214.25999999</v>
      </c>
      <c r="R250" s="230">
        <v>-127034.03</v>
      </c>
      <c r="S250" s="230">
        <v>-0.54</v>
      </c>
      <c r="T250" s="230">
        <v>0.57999999999999996</v>
      </c>
      <c r="U250" s="230">
        <v>0</v>
      </c>
      <c r="V250" s="230">
        <v>0</v>
      </c>
      <c r="W250" s="230">
        <v>0</v>
      </c>
      <c r="X250" s="230">
        <v>0</v>
      </c>
      <c r="Y250" s="230">
        <v>0</v>
      </c>
      <c r="Z250" s="230">
        <v>0</v>
      </c>
    </row>
    <row r="251" spans="1:26" ht="12.75" customHeight="1" x14ac:dyDescent="0.25">
      <c r="E251" s="89" t="s">
        <v>72</v>
      </c>
      <c r="F251" s="90">
        <v>36981412.600000001</v>
      </c>
      <c r="G251" s="90">
        <v>2547212.04</v>
      </c>
      <c r="H251" s="90">
        <v>1421651.96</v>
      </c>
      <c r="I251" s="90">
        <v>757103.16</v>
      </c>
      <c r="J251" s="90">
        <v>8060063.1699999999</v>
      </c>
      <c r="K251" s="90">
        <v>221157.04</v>
      </c>
      <c r="L251" s="90">
        <v>160000</v>
      </c>
      <c r="M251" s="90">
        <v>1935012.94</v>
      </c>
      <c r="N251" s="90">
        <v>2704995.84</v>
      </c>
      <c r="O251" s="90">
        <v>12799699.5</v>
      </c>
      <c r="P251" s="90">
        <v>6013374.2300000004</v>
      </c>
      <c r="Q251" s="90">
        <v>362076.25</v>
      </c>
      <c r="R251" s="90">
        <v>-933.53</v>
      </c>
      <c r="S251" s="90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 ht="12.75" customHeight="1" x14ac:dyDescent="0.25">
      <c r="E252" s="89" t="s">
        <v>81</v>
      </c>
      <c r="F252" s="90">
        <v>403229.75</v>
      </c>
      <c r="G252" s="90">
        <v>36786.589999999997</v>
      </c>
      <c r="H252" s="90">
        <v>20418.05</v>
      </c>
      <c r="I252" s="90">
        <v>10864.47</v>
      </c>
      <c r="J252" s="90">
        <v>82663.8</v>
      </c>
      <c r="K252" s="90">
        <v>2116.96</v>
      </c>
      <c r="L252" s="90">
        <v>324.05</v>
      </c>
      <c r="M252" s="90">
        <v>18582.37</v>
      </c>
      <c r="N252" s="90">
        <v>25051.52</v>
      </c>
      <c r="O252" s="90">
        <v>116800.47</v>
      </c>
      <c r="P252" s="90">
        <v>86170.15</v>
      </c>
      <c r="Q252" s="90">
        <v>3453.82</v>
      </c>
      <c r="R252" s="90">
        <v>-2.5</v>
      </c>
      <c r="S252" s="90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 ht="12.75" customHeight="1" x14ac:dyDescent="0.25">
      <c r="D253" s="89" t="s">
        <v>82</v>
      </c>
      <c r="E253" s="89" t="s">
        <v>70</v>
      </c>
      <c r="F253" s="90">
        <v>37384642.350000001</v>
      </c>
      <c r="G253" s="90">
        <v>2583998.63</v>
      </c>
      <c r="H253" s="90">
        <v>1442070.01</v>
      </c>
      <c r="I253" s="90">
        <v>767967.63</v>
      </c>
      <c r="J253" s="90">
        <v>8142726.9699999997</v>
      </c>
      <c r="K253" s="90">
        <v>223274</v>
      </c>
      <c r="L253" s="90">
        <v>160324.04999999999</v>
      </c>
      <c r="M253" s="90">
        <v>1953595.31</v>
      </c>
      <c r="N253" s="90">
        <v>2730047.36</v>
      </c>
      <c r="O253" s="90">
        <v>12916499.970000001</v>
      </c>
      <c r="P253" s="90">
        <v>6099544.3799999999</v>
      </c>
      <c r="Q253" s="90">
        <v>365530.07</v>
      </c>
      <c r="R253" s="90">
        <v>-936.03</v>
      </c>
      <c r="S253" s="90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 ht="12.75" customHeight="1" x14ac:dyDescent="0.25">
      <c r="D254" s="89"/>
      <c r="E254" s="89" t="s">
        <v>72</v>
      </c>
      <c r="F254" s="90">
        <v>80301677.010000005</v>
      </c>
      <c r="G254" s="90">
        <v>12621579.199999999</v>
      </c>
      <c r="H254" s="90">
        <v>6822057.0700000003</v>
      </c>
      <c r="I254" s="90">
        <v>3563537.55</v>
      </c>
      <c r="J254" s="90">
        <v>7373025.1799999997</v>
      </c>
      <c r="K254" s="90">
        <v>337422.43</v>
      </c>
      <c r="L254" s="90">
        <v>140000</v>
      </c>
      <c r="M254" s="90">
        <v>2959632.61</v>
      </c>
      <c r="N254" s="90">
        <v>3025011.63</v>
      </c>
      <c r="O254" s="90">
        <v>13089851.25</v>
      </c>
      <c r="P254" s="90">
        <v>29818506.780000001</v>
      </c>
      <c r="Q254" s="90">
        <v>551139.27</v>
      </c>
      <c r="R254" s="90">
        <v>-85.96</v>
      </c>
      <c r="S254" s="90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</row>
    <row r="255" spans="1:26" ht="12.75" customHeight="1" x14ac:dyDescent="0.25">
      <c r="E255" s="89" t="s">
        <v>81</v>
      </c>
      <c r="F255" s="90">
        <v>8256606.3099999996</v>
      </c>
      <c r="G255" s="90">
        <v>1280143.8</v>
      </c>
      <c r="H255" s="90">
        <v>524499.68000000005</v>
      </c>
      <c r="I255" s="90">
        <v>196688.86</v>
      </c>
      <c r="J255" s="90">
        <v>949456.96</v>
      </c>
      <c r="K255" s="90">
        <v>45860.66</v>
      </c>
      <c r="L255" s="90">
        <v>588</v>
      </c>
      <c r="M255" s="90">
        <v>402140.43</v>
      </c>
      <c r="N255" s="90">
        <v>425198.98</v>
      </c>
      <c r="O255" s="90">
        <v>1399881.08</v>
      </c>
      <c r="P255" s="90">
        <v>2957303.93</v>
      </c>
      <c r="Q255" s="90">
        <v>74826.14</v>
      </c>
      <c r="R255" s="90">
        <v>16.77</v>
      </c>
      <c r="S255" s="90">
        <v>1.02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</row>
    <row r="256" spans="1:26" ht="12.75" customHeight="1" x14ac:dyDescent="0.25">
      <c r="D256" s="89" t="s">
        <v>86</v>
      </c>
      <c r="E256" s="89" t="s">
        <v>70</v>
      </c>
      <c r="F256" s="90">
        <v>88558283.319999993</v>
      </c>
      <c r="G256" s="90">
        <v>13901723</v>
      </c>
      <c r="H256" s="90">
        <v>7346556.75</v>
      </c>
      <c r="I256" s="90">
        <v>3760226.41</v>
      </c>
      <c r="J256" s="90">
        <v>8322482.1399999997</v>
      </c>
      <c r="K256" s="90">
        <v>383283.09</v>
      </c>
      <c r="L256" s="90">
        <v>140588</v>
      </c>
      <c r="M256" s="90">
        <v>3361773.04</v>
      </c>
      <c r="N256" s="90">
        <v>3450210.61</v>
      </c>
      <c r="O256" s="90">
        <v>14489732.33</v>
      </c>
      <c r="P256" s="90">
        <v>32775810.710000001</v>
      </c>
      <c r="Q256" s="90">
        <v>625965.41</v>
      </c>
      <c r="R256" s="90">
        <v>-69.19</v>
      </c>
      <c r="S256" s="90">
        <v>1.02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 ht="12.75" customHeight="1" x14ac:dyDescent="0.25">
      <c r="E257" s="89" t="s">
        <v>72</v>
      </c>
      <c r="F257" s="90">
        <v>714476297</v>
      </c>
      <c r="G257" s="90">
        <v>150439700.19999999</v>
      </c>
      <c r="H257" s="90">
        <v>83711139.549999997</v>
      </c>
      <c r="I257" s="90">
        <v>44303580.719999999</v>
      </c>
      <c r="J257" s="90">
        <v>20342950.629999999</v>
      </c>
      <c r="K257" s="90">
        <v>508480.77</v>
      </c>
      <c r="L257" s="90">
        <v>17481341.379999999</v>
      </c>
      <c r="M257" s="90">
        <v>4447007.51</v>
      </c>
      <c r="N257" s="90">
        <v>6380697.3200000003</v>
      </c>
      <c r="O257" s="90">
        <v>30140984.91</v>
      </c>
      <c r="P257" s="90">
        <v>355893000.11000001</v>
      </c>
      <c r="Q257" s="90">
        <v>828809.59</v>
      </c>
      <c r="R257" s="90">
        <v>-1395.69</v>
      </c>
      <c r="S257" s="90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 ht="12.75" customHeight="1" x14ac:dyDescent="0.25">
      <c r="E258" s="89" t="s">
        <v>81</v>
      </c>
      <c r="F258" s="90">
        <v>9309714.7100000009</v>
      </c>
      <c r="G258" s="90">
        <v>1895829.83</v>
      </c>
      <c r="H258" s="90">
        <v>1044086.72</v>
      </c>
      <c r="I258" s="90">
        <v>555525.29</v>
      </c>
      <c r="J258" s="90">
        <v>349633.05</v>
      </c>
      <c r="K258" s="90">
        <v>7696.35</v>
      </c>
      <c r="L258" s="90">
        <v>394930.12</v>
      </c>
      <c r="M258" s="90">
        <v>66941.84</v>
      </c>
      <c r="N258" s="90">
        <v>92249.279999999999</v>
      </c>
      <c r="O258" s="90">
        <v>431306.43</v>
      </c>
      <c r="P258" s="90">
        <v>4458966.91</v>
      </c>
      <c r="Q258" s="90">
        <v>12550</v>
      </c>
      <c r="R258" s="90">
        <v>-1.5</v>
      </c>
      <c r="S258" s="90">
        <v>0.39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 ht="12.75" customHeight="1" x14ac:dyDescent="0.25">
      <c r="D259" s="89" t="s">
        <v>87</v>
      </c>
      <c r="E259" s="89" t="s">
        <v>70</v>
      </c>
      <c r="F259" s="90">
        <v>723786011.71000004</v>
      </c>
      <c r="G259" s="90">
        <v>152335530.03</v>
      </c>
      <c r="H259" s="90">
        <v>84755226.269999996</v>
      </c>
      <c r="I259" s="90">
        <v>44859106.009999998</v>
      </c>
      <c r="J259" s="90">
        <v>20692583.68</v>
      </c>
      <c r="K259" s="90">
        <v>516177.12</v>
      </c>
      <c r="L259" s="90">
        <v>17876271.5</v>
      </c>
      <c r="M259" s="90">
        <v>4513949.3499999996</v>
      </c>
      <c r="N259" s="90">
        <v>6472946.5999999996</v>
      </c>
      <c r="O259" s="90">
        <v>30572291.34</v>
      </c>
      <c r="P259" s="90">
        <v>360351967.01999998</v>
      </c>
      <c r="Q259" s="90">
        <v>841359.59</v>
      </c>
      <c r="R259" s="90">
        <v>-1397.19</v>
      </c>
      <c r="S259" s="90">
        <v>0.39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 s="94" customFormat="1" ht="12.75" customHeight="1" x14ac:dyDescent="0.25">
      <c r="C260" s="101" t="s">
        <v>119</v>
      </c>
      <c r="D260" s="101" t="s">
        <v>70</v>
      </c>
      <c r="F260" s="93">
        <v>849728937.38</v>
      </c>
      <c r="G260" s="93">
        <v>168821251.66</v>
      </c>
      <c r="H260" s="93">
        <v>93543853.030000001</v>
      </c>
      <c r="I260" s="93">
        <v>49387300.049999997</v>
      </c>
      <c r="J260" s="93">
        <v>37157792.789999999</v>
      </c>
      <c r="K260" s="93">
        <v>1122734.21</v>
      </c>
      <c r="L260" s="93">
        <v>18177183.550000001</v>
      </c>
      <c r="M260" s="93">
        <v>9829317.6999999993</v>
      </c>
      <c r="N260" s="93">
        <v>12653204.57</v>
      </c>
      <c r="O260" s="93">
        <v>57978523.640000001</v>
      </c>
      <c r="P260" s="93">
        <v>399227322.11000001</v>
      </c>
      <c r="Q260" s="93">
        <v>1832855.07</v>
      </c>
      <c r="R260" s="93">
        <v>-2402.41</v>
      </c>
      <c r="S260" s="93">
        <v>1.41</v>
      </c>
      <c r="T260" s="94">
        <v>0</v>
      </c>
      <c r="U260" s="94">
        <v>0</v>
      </c>
      <c r="V260" s="94">
        <v>0</v>
      </c>
      <c r="W260" s="94">
        <v>0</v>
      </c>
      <c r="X260" s="94">
        <v>0</v>
      </c>
      <c r="Y260" s="94">
        <v>0</v>
      </c>
      <c r="Z260" s="94">
        <v>0</v>
      </c>
    </row>
    <row r="261" spans="1:26" s="226" customFormat="1" ht="12.75" customHeight="1" x14ac:dyDescent="0.25">
      <c r="B261" s="98" t="s">
        <v>112</v>
      </c>
      <c r="C261" s="98" t="s">
        <v>70</v>
      </c>
      <c r="F261" s="100">
        <v>15892418982.73</v>
      </c>
      <c r="G261" s="100">
        <v>1126326898.5699999</v>
      </c>
      <c r="H261" s="100">
        <v>626872928.69000006</v>
      </c>
      <c r="I261" s="100">
        <v>333094151.73000002</v>
      </c>
      <c r="J261" s="100">
        <v>3479489106.9299998</v>
      </c>
      <c r="K261" s="100">
        <v>126528470.97</v>
      </c>
      <c r="L261" s="100">
        <v>37136884.869999997</v>
      </c>
      <c r="M261" s="100">
        <v>1109653706.8299999</v>
      </c>
      <c r="N261" s="100">
        <v>1084208125.3699999</v>
      </c>
      <c r="O261" s="100">
        <v>5095498526.6400003</v>
      </c>
      <c r="P261" s="100">
        <v>2667231547.79</v>
      </c>
      <c r="Q261" s="100">
        <v>206508069.33000001</v>
      </c>
      <c r="R261" s="100">
        <v>-129436.44</v>
      </c>
      <c r="S261" s="100">
        <v>0.87</v>
      </c>
      <c r="T261" s="226">
        <v>0.57999999999999996</v>
      </c>
      <c r="U261" s="226">
        <v>0</v>
      </c>
      <c r="V261" s="226">
        <v>0</v>
      </c>
      <c r="W261" s="226">
        <v>0</v>
      </c>
      <c r="X261" s="226">
        <v>0</v>
      </c>
      <c r="Y261" s="226">
        <v>0</v>
      </c>
      <c r="Z261" s="226">
        <v>0</v>
      </c>
    </row>
    <row r="262" spans="1:26" ht="12.75" customHeight="1" x14ac:dyDescent="0.25">
      <c r="A262" s="89" t="s">
        <v>78</v>
      </c>
      <c r="B262" s="89" t="s">
        <v>70</v>
      </c>
      <c r="F262" s="90">
        <v>15892623482.02</v>
      </c>
      <c r="G262" s="90">
        <v>1126367366.3299999</v>
      </c>
      <c r="H262" s="90">
        <v>626895477.07000005</v>
      </c>
      <c r="I262" s="90">
        <v>333106144.06999999</v>
      </c>
      <c r="J262" s="90">
        <v>3479499779.6799998</v>
      </c>
      <c r="K262" s="90">
        <v>126528856.41</v>
      </c>
      <c r="L262" s="90">
        <v>37136884.869999997</v>
      </c>
      <c r="M262" s="90">
        <v>1109657087.8199999</v>
      </c>
      <c r="N262" s="90">
        <v>1084211340.1099999</v>
      </c>
      <c r="O262" s="90">
        <v>5095513782.8800001</v>
      </c>
      <c r="P262" s="90">
        <v>2667327501.0900002</v>
      </c>
      <c r="Q262" s="90">
        <v>206508698.19</v>
      </c>
      <c r="R262" s="90">
        <v>-129437.95</v>
      </c>
      <c r="S262" s="90">
        <v>0.87</v>
      </c>
      <c r="T262">
        <v>0.57999999999999996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 ht="12.65" customHeight="1" x14ac:dyDescent="0.25">
      <c r="E263" s="89" t="s">
        <v>73</v>
      </c>
      <c r="F263" s="371">
        <v>184050.71</v>
      </c>
      <c r="G263" s="90">
        <v>36420.97</v>
      </c>
      <c r="H263" s="90">
        <v>20293.55</v>
      </c>
      <c r="I263" s="90">
        <v>10793.11</v>
      </c>
      <c r="J263" s="90">
        <v>9605.48</v>
      </c>
      <c r="K263" s="90">
        <v>346.89</v>
      </c>
      <c r="L263" s="90">
        <v>0</v>
      </c>
      <c r="M263" s="90">
        <v>3042.88</v>
      </c>
      <c r="N263" s="90">
        <v>2893.26</v>
      </c>
      <c r="O263" s="90">
        <v>13730.62</v>
      </c>
      <c r="P263" s="90">
        <v>86357.97</v>
      </c>
      <c r="Q263" s="90">
        <v>565.98</v>
      </c>
      <c r="R263" s="90">
        <v>0</v>
      </c>
      <c r="S263" s="90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 ht="12.65" customHeight="1" x14ac:dyDescent="0.25">
      <c r="D264" t="s">
        <v>156</v>
      </c>
      <c r="E264" s="89" t="s">
        <v>70</v>
      </c>
      <c r="F264" s="371">
        <v>184050.71</v>
      </c>
      <c r="G264" s="90">
        <v>36420.97</v>
      </c>
      <c r="H264" s="90">
        <v>20293.55</v>
      </c>
      <c r="I264" s="90">
        <v>10793.11</v>
      </c>
      <c r="J264" s="90">
        <v>9605.48</v>
      </c>
      <c r="K264" s="90">
        <v>346.89</v>
      </c>
      <c r="L264" s="90">
        <v>0</v>
      </c>
      <c r="M264" s="90">
        <v>3042.88</v>
      </c>
      <c r="N264" s="90">
        <v>2893.26</v>
      </c>
      <c r="O264" s="90">
        <v>13730.62</v>
      </c>
      <c r="P264" s="90">
        <v>86357.97</v>
      </c>
      <c r="Q264" s="90">
        <v>565.98</v>
      </c>
      <c r="R264" s="90">
        <v>0</v>
      </c>
      <c r="S264" s="90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 s="286" customFormat="1" ht="12.75" customHeight="1" x14ac:dyDescent="0.25">
      <c r="C265" s="286" t="s">
        <v>155</v>
      </c>
      <c r="D265" s="286" t="s">
        <v>70</v>
      </c>
      <c r="E265" s="229"/>
      <c r="F265" s="229">
        <v>184050.71</v>
      </c>
      <c r="G265" s="230">
        <v>36420.97</v>
      </c>
      <c r="H265" s="230">
        <v>20293.55</v>
      </c>
      <c r="I265" s="230">
        <v>10793.11</v>
      </c>
      <c r="J265" s="230">
        <v>9605.48</v>
      </c>
      <c r="K265" s="230">
        <v>346.89</v>
      </c>
      <c r="L265" s="230">
        <v>0</v>
      </c>
      <c r="M265" s="230">
        <v>3042.88</v>
      </c>
      <c r="N265" s="230">
        <v>2893.26</v>
      </c>
      <c r="O265" s="230">
        <v>13730.62</v>
      </c>
      <c r="P265" s="230">
        <v>86357.97</v>
      </c>
      <c r="Q265" s="230">
        <v>565.98</v>
      </c>
      <c r="R265" s="230">
        <v>0</v>
      </c>
      <c r="S265" s="230">
        <v>0</v>
      </c>
      <c r="T265" s="230">
        <v>0</v>
      </c>
      <c r="U265" s="230">
        <v>0</v>
      </c>
      <c r="V265" s="230">
        <v>0</v>
      </c>
      <c r="W265" s="230">
        <v>0</v>
      </c>
      <c r="X265" s="230">
        <v>0</v>
      </c>
      <c r="Y265" s="230">
        <v>0</v>
      </c>
      <c r="Z265" s="230">
        <v>0</v>
      </c>
    </row>
    <row r="266" spans="1:26" s="378" customFormat="1" ht="12.65" customHeight="1" x14ac:dyDescent="0.25">
      <c r="B266" s="378" t="s">
        <v>122</v>
      </c>
      <c r="C266" s="378" t="s">
        <v>70</v>
      </c>
      <c r="E266" s="376"/>
      <c r="F266" s="710">
        <v>184050.71</v>
      </c>
      <c r="G266" s="377">
        <v>36420.97</v>
      </c>
      <c r="H266" s="377">
        <v>20293.55</v>
      </c>
      <c r="I266" s="377">
        <v>10793.11</v>
      </c>
      <c r="J266" s="377">
        <v>9605.48</v>
      </c>
      <c r="K266" s="377">
        <v>346.89</v>
      </c>
      <c r="L266" s="377">
        <v>0</v>
      </c>
      <c r="M266" s="377">
        <v>3042.88</v>
      </c>
      <c r="N266" s="377">
        <v>2893.26</v>
      </c>
      <c r="O266" s="377">
        <v>13730.62</v>
      </c>
      <c r="P266" s="377">
        <v>86357.97</v>
      </c>
      <c r="Q266" s="377">
        <v>565.98</v>
      </c>
      <c r="R266" s="377">
        <v>0</v>
      </c>
      <c r="S266" s="377">
        <v>0</v>
      </c>
      <c r="T266" s="378">
        <v>0</v>
      </c>
      <c r="U266" s="378">
        <v>0</v>
      </c>
      <c r="V266" s="378">
        <v>0</v>
      </c>
      <c r="W266" s="378">
        <v>0</v>
      </c>
      <c r="X266" s="378">
        <v>0</v>
      </c>
      <c r="Y266" s="378">
        <v>0</v>
      </c>
      <c r="Z266" s="378">
        <v>0</v>
      </c>
    </row>
    <row r="267" spans="1:26" ht="12.65" customHeight="1" x14ac:dyDescent="0.25">
      <c r="E267" s="89" t="s">
        <v>73</v>
      </c>
      <c r="F267" s="371">
        <v>-1159662736.3699999</v>
      </c>
      <c r="G267" s="90">
        <v>170609133.30000001</v>
      </c>
      <c r="H267" s="90">
        <v>94969934.620000005</v>
      </c>
      <c r="I267" s="90">
        <v>50520423.82</v>
      </c>
      <c r="J267" s="90">
        <v>-589532884.76999998</v>
      </c>
      <c r="K267" s="90">
        <v>-21476963.48</v>
      </c>
      <c r="L267" s="90">
        <v>0</v>
      </c>
      <c r="M267" s="90">
        <v>-188393761.56999999</v>
      </c>
      <c r="N267" s="90">
        <v>-183418026.69999999</v>
      </c>
      <c r="O267" s="90">
        <v>-862465803.97000003</v>
      </c>
      <c r="P267" s="90">
        <v>404566167.23000002</v>
      </c>
      <c r="Q267" s="90">
        <v>-35040954.850000001</v>
      </c>
      <c r="R267" s="90">
        <v>0</v>
      </c>
      <c r="S267" s="90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 ht="12.75" customHeight="1" x14ac:dyDescent="0.25">
      <c r="D268" t="s">
        <v>156</v>
      </c>
      <c r="E268" s="89" t="s">
        <v>70</v>
      </c>
      <c r="F268" s="371">
        <v>-1159662736.3699999</v>
      </c>
      <c r="G268" s="90">
        <v>170609133.30000001</v>
      </c>
      <c r="H268" s="90">
        <v>94969934.620000005</v>
      </c>
      <c r="I268" s="90">
        <v>50520423.82</v>
      </c>
      <c r="J268" s="90">
        <v>-589532884.76999998</v>
      </c>
      <c r="K268" s="90">
        <v>-21476963.48</v>
      </c>
      <c r="L268" s="90">
        <v>0</v>
      </c>
      <c r="M268" s="90">
        <v>-188393761.56999999</v>
      </c>
      <c r="N268" s="90">
        <v>-183418026.69999999</v>
      </c>
      <c r="O268" s="90">
        <v>-862465803.97000003</v>
      </c>
      <c r="P268" s="90">
        <v>404566167.23000002</v>
      </c>
      <c r="Q268" s="90">
        <v>-35040954.850000001</v>
      </c>
      <c r="R268" s="90">
        <v>0</v>
      </c>
      <c r="S268" s="90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 s="286" customFormat="1" ht="12.75" customHeight="1" x14ac:dyDescent="0.25">
      <c r="C269" s="286" t="s">
        <v>155</v>
      </c>
      <c r="D269" s="286" t="s">
        <v>70</v>
      </c>
      <c r="E269" s="229"/>
      <c r="F269" s="229">
        <v>-1159662736.3699999</v>
      </c>
      <c r="G269" s="230">
        <v>170609133.30000001</v>
      </c>
      <c r="H269" s="230">
        <v>94969934.620000005</v>
      </c>
      <c r="I269" s="230">
        <v>50520423.82</v>
      </c>
      <c r="J269" s="230">
        <v>-589532884.76999998</v>
      </c>
      <c r="K269" s="230">
        <v>-21476963.48</v>
      </c>
      <c r="L269" s="230">
        <v>0</v>
      </c>
      <c r="M269" s="230">
        <v>-188393761.56999999</v>
      </c>
      <c r="N269" s="230">
        <v>-183418026.69999999</v>
      </c>
      <c r="O269" s="230">
        <v>-862465803.97000003</v>
      </c>
      <c r="P269" s="230">
        <v>404566167.23000002</v>
      </c>
      <c r="Q269" s="230">
        <v>-35040954.850000001</v>
      </c>
      <c r="R269" s="230">
        <v>0</v>
      </c>
      <c r="S269" s="230">
        <v>0</v>
      </c>
      <c r="T269" s="230">
        <v>0</v>
      </c>
      <c r="U269" s="230">
        <v>0</v>
      </c>
      <c r="V269" s="230">
        <v>0</v>
      </c>
      <c r="W269" s="230">
        <v>0</v>
      </c>
      <c r="X269" s="230">
        <v>0</v>
      </c>
      <c r="Y269" s="230">
        <v>0</v>
      </c>
      <c r="Z269" s="230">
        <v>0</v>
      </c>
    </row>
    <row r="270" spans="1:26" ht="12.75" customHeight="1" x14ac:dyDescent="0.25">
      <c r="D270" s="89"/>
      <c r="E270" s="89" t="s">
        <v>73</v>
      </c>
      <c r="F270" s="90">
        <v>3349027.65</v>
      </c>
      <c r="G270" s="90">
        <v>776747.68</v>
      </c>
      <c r="H270" s="90">
        <v>434808.2</v>
      </c>
      <c r="I270" s="90">
        <v>230586.31</v>
      </c>
      <c r="J270" s="90">
        <v>69158.14</v>
      </c>
      <c r="K270" s="90">
        <v>-126.2</v>
      </c>
      <c r="L270" s="90">
        <v>0</v>
      </c>
      <c r="M270" s="90">
        <v>-1984.21</v>
      </c>
      <c r="N270" s="90">
        <v>387.65</v>
      </c>
      <c r="O270" s="90">
        <v>3160.94</v>
      </c>
      <c r="P270" s="90">
        <v>1836493.72</v>
      </c>
      <c r="Q270" s="90">
        <v>-204.58</v>
      </c>
      <c r="R270" s="90">
        <v>0</v>
      </c>
      <c r="S270" s="9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 ht="12.75" customHeight="1" x14ac:dyDescent="0.25">
      <c r="D271" t="s">
        <v>82</v>
      </c>
      <c r="E271" s="89" t="s">
        <v>70</v>
      </c>
      <c r="F271" s="90">
        <v>3349027.65</v>
      </c>
      <c r="G271" s="90">
        <v>776747.68</v>
      </c>
      <c r="H271" s="90">
        <v>434808.2</v>
      </c>
      <c r="I271" s="90">
        <v>230586.31</v>
      </c>
      <c r="J271" s="90">
        <v>69158.14</v>
      </c>
      <c r="K271" s="90">
        <v>-126.2</v>
      </c>
      <c r="L271" s="90">
        <v>0</v>
      </c>
      <c r="M271" s="90">
        <v>-1984.21</v>
      </c>
      <c r="N271" s="90">
        <v>387.65</v>
      </c>
      <c r="O271" s="90">
        <v>3160.94</v>
      </c>
      <c r="P271" s="90">
        <v>1836493.72</v>
      </c>
      <c r="Q271" s="90">
        <v>-204.58</v>
      </c>
      <c r="R271" s="90">
        <v>0</v>
      </c>
      <c r="S271" s="90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 ht="12.75" customHeight="1" x14ac:dyDescent="0.25">
      <c r="D272" s="89"/>
      <c r="E272" s="89" t="s">
        <v>73</v>
      </c>
      <c r="F272" s="90">
        <v>41209817.159999996</v>
      </c>
      <c r="G272" s="90">
        <v>9637405.7599999998</v>
      </c>
      <c r="H272" s="90">
        <v>5321594.8899999997</v>
      </c>
      <c r="I272" s="90">
        <v>2807759.94</v>
      </c>
      <c r="J272" s="90">
        <v>296456.36</v>
      </c>
      <c r="K272" s="90">
        <v>-1887.75</v>
      </c>
      <c r="L272" s="90">
        <v>0</v>
      </c>
      <c r="M272" s="90">
        <v>-14921.62</v>
      </c>
      <c r="N272" s="90">
        <v>76948.84</v>
      </c>
      <c r="O272" s="90">
        <v>272211.32</v>
      </c>
      <c r="P272" s="90">
        <v>22817085.760000002</v>
      </c>
      <c r="Q272" s="90">
        <v>-2836.34</v>
      </c>
      <c r="R272" s="90">
        <v>0</v>
      </c>
      <c r="S272" s="90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 ht="12.75" customHeight="1" x14ac:dyDescent="0.25">
      <c r="D273" t="s">
        <v>86</v>
      </c>
      <c r="E273" s="89" t="s">
        <v>70</v>
      </c>
      <c r="F273" s="90">
        <v>41209817.159999996</v>
      </c>
      <c r="G273" s="90">
        <v>9637405.7599999998</v>
      </c>
      <c r="H273" s="90">
        <v>5321594.8899999997</v>
      </c>
      <c r="I273" s="90">
        <v>2807759.94</v>
      </c>
      <c r="J273" s="90">
        <v>296456.36</v>
      </c>
      <c r="K273" s="90">
        <v>-1887.75</v>
      </c>
      <c r="L273" s="90">
        <v>0</v>
      </c>
      <c r="M273" s="90">
        <v>-14921.62</v>
      </c>
      <c r="N273" s="90">
        <v>76948.84</v>
      </c>
      <c r="O273" s="90">
        <v>272211.32</v>
      </c>
      <c r="P273" s="90">
        <v>22817085.760000002</v>
      </c>
      <c r="Q273" s="90">
        <v>-2836.34</v>
      </c>
      <c r="R273" s="90">
        <v>0</v>
      </c>
      <c r="S273" s="90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 ht="12.75" customHeight="1" x14ac:dyDescent="0.25">
      <c r="D274" s="89"/>
      <c r="E274" s="89" t="s">
        <v>73</v>
      </c>
      <c r="F274" s="90">
        <v>386774359.29000002</v>
      </c>
      <c r="G274" s="90">
        <v>89807951.980000004</v>
      </c>
      <c r="H274" s="90">
        <v>50056249.329999998</v>
      </c>
      <c r="I274" s="90">
        <v>26453206.510000002</v>
      </c>
      <c r="J274" s="90">
        <v>2761432.67</v>
      </c>
      <c r="K274" s="90">
        <v>64172.639999999999</v>
      </c>
      <c r="L274" s="90">
        <v>0</v>
      </c>
      <c r="M274" s="90">
        <v>559723.81999999995</v>
      </c>
      <c r="N274" s="90">
        <v>802483.71</v>
      </c>
      <c r="O274" s="90">
        <v>3769161.44</v>
      </c>
      <c r="P274" s="90">
        <v>212395270.94999999</v>
      </c>
      <c r="Q274" s="90">
        <v>104706.24000000001</v>
      </c>
      <c r="R274" s="90">
        <v>0</v>
      </c>
      <c r="S274" s="90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 spans="1:26" ht="12.75" customHeight="1" x14ac:dyDescent="0.25">
      <c r="C275" s="89"/>
      <c r="D275" s="89" t="s">
        <v>87</v>
      </c>
      <c r="E275" t="s">
        <v>70</v>
      </c>
      <c r="F275" s="90">
        <v>386774359.29000002</v>
      </c>
      <c r="G275" s="90">
        <v>89807951.980000004</v>
      </c>
      <c r="H275" s="90">
        <v>50056249.329999998</v>
      </c>
      <c r="I275" s="90">
        <v>26453206.510000002</v>
      </c>
      <c r="J275" s="90">
        <v>2761432.67</v>
      </c>
      <c r="K275" s="90">
        <v>64172.639999999999</v>
      </c>
      <c r="L275" s="90">
        <v>0</v>
      </c>
      <c r="M275" s="90">
        <v>559723.81999999995</v>
      </c>
      <c r="N275" s="90">
        <v>802483.71</v>
      </c>
      <c r="O275" s="90">
        <v>3769161.44</v>
      </c>
      <c r="P275" s="90">
        <v>212395270.94999999</v>
      </c>
      <c r="Q275" s="90">
        <v>104706.24000000001</v>
      </c>
      <c r="R275" s="90">
        <v>0</v>
      </c>
      <c r="S275" s="90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 s="94" customFormat="1" ht="12.75" customHeight="1" x14ac:dyDescent="0.25">
      <c r="C276" s="101" t="s">
        <v>119</v>
      </c>
      <c r="D276" s="101" t="s">
        <v>70</v>
      </c>
      <c r="F276" s="93">
        <v>431333204.10000002</v>
      </c>
      <c r="G276" s="93">
        <v>100222105.42</v>
      </c>
      <c r="H276" s="93">
        <v>55812652.420000002</v>
      </c>
      <c r="I276" s="93">
        <v>29491552.760000002</v>
      </c>
      <c r="J276" s="93">
        <v>3127047.17</v>
      </c>
      <c r="K276" s="93">
        <v>62158.69</v>
      </c>
      <c r="L276" s="93">
        <v>0</v>
      </c>
      <c r="M276" s="93">
        <v>542817.99</v>
      </c>
      <c r="N276" s="93">
        <v>879820.2</v>
      </c>
      <c r="O276" s="93">
        <v>4044533.7</v>
      </c>
      <c r="P276" s="93">
        <v>237048850.43000001</v>
      </c>
      <c r="Q276" s="93">
        <v>101665.32</v>
      </c>
      <c r="R276" s="93">
        <v>0</v>
      </c>
      <c r="S276" s="93">
        <v>0</v>
      </c>
      <c r="T276" s="94">
        <v>0</v>
      </c>
      <c r="U276" s="94">
        <v>0</v>
      </c>
      <c r="V276" s="94">
        <v>0</v>
      </c>
      <c r="W276" s="94">
        <v>0</v>
      </c>
      <c r="X276" s="94">
        <v>0</v>
      </c>
      <c r="Y276" s="94">
        <v>0</v>
      </c>
      <c r="Z276" s="94">
        <v>0</v>
      </c>
    </row>
    <row r="277" spans="1:26" s="226" customFormat="1" ht="12.75" customHeight="1" x14ac:dyDescent="0.25">
      <c r="A277" s="98"/>
      <c r="B277" s="98" t="s">
        <v>112</v>
      </c>
      <c r="C277" s="226" t="s">
        <v>70</v>
      </c>
      <c r="F277" s="100">
        <v>-728329532.26999998</v>
      </c>
      <c r="G277" s="100">
        <v>270831238.72000003</v>
      </c>
      <c r="H277" s="100">
        <v>150782587.03999999</v>
      </c>
      <c r="I277" s="100">
        <v>80011976.579999998</v>
      </c>
      <c r="J277" s="100">
        <v>-586405837.60000002</v>
      </c>
      <c r="K277" s="100">
        <v>-21414804.789999999</v>
      </c>
      <c r="L277" s="100">
        <v>0</v>
      </c>
      <c r="M277" s="100">
        <v>-187850943.58000001</v>
      </c>
      <c r="N277" s="100">
        <v>-182538206.5</v>
      </c>
      <c r="O277" s="100">
        <v>-858421270.26999998</v>
      </c>
      <c r="P277" s="100">
        <v>641615017.65999997</v>
      </c>
      <c r="Q277" s="100">
        <v>-34939289.530000001</v>
      </c>
      <c r="R277" s="100">
        <v>0</v>
      </c>
      <c r="S277" s="100">
        <v>0</v>
      </c>
      <c r="T277" s="226">
        <v>0</v>
      </c>
      <c r="U277" s="226">
        <v>0</v>
      </c>
      <c r="V277" s="226">
        <v>0</v>
      </c>
      <c r="W277" s="226">
        <v>0</v>
      </c>
      <c r="X277" s="226">
        <v>0</v>
      </c>
      <c r="Y277" s="226">
        <v>0</v>
      </c>
      <c r="Z277" s="226">
        <v>0</v>
      </c>
    </row>
    <row r="278" spans="1:26" ht="12.75" customHeight="1" x14ac:dyDescent="0.25">
      <c r="A278" s="89" t="s">
        <v>79</v>
      </c>
      <c r="B278" t="s">
        <v>70</v>
      </c>
      <c r="F278" s="90">
        <v>-728145481.55999994</v>
      </c>
      <c r="G278" s="90">
        <v>270867659.69</v>
      </c>
      <c r="H278" s="90">
        <v>150802880.59</v>
      </c>
      <c r="I278" s="90">
        <v>80022769.689999998</v>
      </c>
      <c r="J278" s="90">
        <v>-586396232.12</v>
      </c>
      <c r="K278" s="90">
        <v>-21414457.899999999</v>
      </c>
      <c r="L278" s="90">
        <v>0</v>
      </c>
      <c r="M278" s="90">
        <v>-187847900.69999999</v>
      </c>
      <c r="N278" s="90">
        <v>-182535313.24000001</v>
      </c>
      <c r="O278" s="90">
        <v>-858407539.64999998</v>
      </c>
      <c r="P278" s="90">
        <v>641701375.63</v>
      </c>
      <c r="Q278" s="90">
        <v>-34938723.549999997</v>
      </c>
      <c r="R278" s="90">
        <v>0</v>
      </c>
      <c r="S278" s="90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 ht="12.75" customHeight="1" x14ac:dyDescent="0.25">
      <c r="A279" t="s">
        <v>70</v>
      </c>
      <c r="E279" s="89"/>
      <c r="F279" s="90">
        <v>15164470133.85</v>
      </c>
      <c r="G279" s="90">
        <v>1397234347.3</v>
      </c>
      <c r="H279" s="90">
        <v>777698069.29999995</v>
      </c>
      <c r="I279" s="90">
        <v>413128787.85000002</v>
      </c>
      <c r="J279" s="90">
        <v>2893102008.3600001</v>
      </c>
      <c r="K279" s="90">
        <v>105114335.09</v>
      </c>
      <c r="L279" s="90">
        <v>37136884.869999997</v>
      </c>
      <c r="M279" s="90">
        <v>921808630.87</v>
      </c>
      <c r="N279" s="90">
        <v>901675329.64999998</v>
      </c>
      <c r="O279" s="90">
        <v>4237103901.29</v>
      </c>
      <c r="P279" s="90">
        <v>3309027404.5900002</v>
      </c>
      <c r="Q279" s="90">
        <v>171569871.18000001</v>
      </c>
      <c r="R279" s="90">
        <v>-129437.95</v>
      </c>
      <c r="S279" s="90">
        <v>0.87</v>
      </c>
      <c r="T279" s="150">
        <v>0.57999999999999996</v>
      </c>
      <c r="U279" s="150">
        <v>0</v>
      </c>
      <c r="V279" s="150">
        <v>0</v>
      </c>
      <c r="W279" s="150">
        <v>0</v>
      </c>
      <c r="X279">
        <v>0</v>
      </c>
      <c r="Y279">
        <v>0</v>
      </c>
      <c r="Z279">
        <v>0</v>
      </c>
    </row>
    <row r="280" spans="1:26" ht="12.75" hidden="1" customHeight="1" x14ac:dyDescent="0.25">
      <c r="A280" s="89"/>
      <c r="B280" s="89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spans="1:26" ht="12.75" hidden="1" customHeight="1" x14ac:dyDescent="0.25">
      <c r="E281" s="89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</row>
    <row r="282" spans="1:26" ht="12.75" hidden="1" customHeight="1" x14ac:dyDescent="0.25">
      <c r="D282" s="89"/>
      <c r="E282" s="89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</row>
    <row r="283" spans="1:26" ht="12.75" hidden="1" customHeight="1" x14ac:dyDescent="0.25">
      <c r="D283" s="89"/>
      <c r="E283" s="89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</row>
    <row r="284" spans="1:26" ht="12.75" hidden="1" customHeight="1" x14ac:dyDescent="0.25">
      <c r="E284" s="89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</row>
    <row r="285" spans="1:26" ht="12.75" hidden="1" customHeight="1" x14ac:dyDescent="0.25">
      <c r="D285" s="89"/>
      <c r="E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</row>
    <row r="286" spans="1:26" ht="12.75" hidden="1" customHeight="1" x14ac:dyDescent="0.25">
      <c r="E286" s="89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</row>
    <row r="287" spans="1:26" ht="12.75" hidden="1" customHeight="1" x14ac:dyDescent="0.25">
      <c r="D287" s="89"/>
      <c r="E287" s="89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</row>
    <row r="288" spans="1:26" ht="12.75" hidden="1" customHeight="1" x14ac:dyDescent="0.25">
      <c r="E288" s="89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</row>
    <row r="289" spans="1:23" ht="12.75" hidden="1" customHeight="1" x14ac:dyDescent="0.25">
      <c r="D289" s="89"/>
      <c r="E289" s="89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</row>
    <row r="290" spans="1:23" ht="12.75" hidden="1" customHeight="1" x14ac:dyDescent="0.25">
      <c r="C290" s="89"/>
      <c r="D290" s="89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</row>
    <row r="291" spans="1:23" ht="12.75" hidden="1" customHeight="1" x14ac:dyDescent="0.25">
      <c r="E291" s="89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</row>
    <row r="292" spans="1:23" ht="12.75" hidden="1" customHeight="1" x14ac:dyDescent="0.25">
      <c r="D292" s="89"/>
      <c r="E292" s="89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</row>
    <row r="293" spans="1:23" ht="12.75" hidden="1" customHeight="1" x14ac:dyDescent="0.25">
      <c r="E293" s="89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</row>
    <row r="294" spans="1:23" ht="12.75" hidden="1" customHeight="1" x14ac:dyDescent="0.25">
      <c r="D294" s="89"/>
      <c r="E294" s="89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</row>
    <row r="295" spans="1:23" ht="12.75" hidden="1" customHeight="1" x14ac:dyDescent="0.25">
      <c r="C295" s="89"/>
      <c r="D295" s="89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</row>
    <row r="296" spans="1:23" ht="12.75" hidden="1" customHeight="1" x14ac:dyDescent="0.25">
      <c r="B296" s="89"/>
      <c r="C296" s="89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</row>
    <row r="297" spans="1:23" ht="12.75" hidden="1" customHeight="1" x14ac:dyDescent="0.25">
      <c r="A297" s="89"/>
      <c r="B297" s="89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</row>
    <row r="298" spans="1:23" ht="12.75" hidden="1" customHeight="1" x14ac:dyDescent="0.25">
      <c r="A298" s="89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</row>
    <row r="299" spans="1:23" ht="12.75" hidden="1" customHeight="1" x14ac:dyDescent="0.25">
      <c r="A299" s="89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</row>
    <row r="300" spans="1:23" ht="12.75" hidden="1" customHeight="1" x14ac:dyDescent="0.25">
      <c r="A300" s="89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</row>
    <row r="301" spans="1:23" ht="12.75" hidden="1" customHeight="1" x14ac:dyDescent="0.25">
      <c r="A301" s="89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</row>
    <row r="302" spans="1:23" ht="12.75" hidden="1" customHeight="1" x14ac:dyDescent="0.25">
      <c r="A302" s="89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</row>
    <row r="303" spans="1:23" ht="12.75" hidden="1" customHeight="1" x14ac:dyDescent="0.25">
      <c r="A303" s="89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150"/>
      <c r="U303" s="150"/>
      <c r="V303" s="150"/>
      <c r="W303" s="150"/>
    </row>
    <row r="304" spans="1:23" ht="12.75" hidden="1" customHeight="1" x14ac:dyDescent="0.25">
      <c r="A304" s="89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150"/>
      <c r="U304" s="150"/>
      <c r="V304" s="150"/>
      <c r="W304" s="150"/>
    </row>
    <row r="305" spans="1:23" ht="12.75" hidden="1" customHeight="1" x14ac:dyDescent="0.25">
      <c r="A305" s="89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150"/>
      <c r="U305" s="150"/>
      <c r="V305" s="150"/>
      <c r="W305" s="150"/>
    </row>
    <row r="306" spans="1:23" ht="12.75" hidden="1" customHeight="1" x14ac:dyDescent="0.25">
      <c r="A306" s="89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150"/>
      <c r="U306" s="150"/>
      <c r="V306" s="150"/>
      <c r="W306" s="150"/>
    </row>
    <row r="307" spans="1:23" ht="12.75" hidden="1" customHeight="1" x14ac:dyDescent="0.25">
      <c r="A307" s="89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150"/>
      <c r="U307" s="150"/>
      <c r="V307" s="150"/>
      <c r="W307" s="150"/>
    </row>
    <row r="308" spans="1:23" ht="12.75" hidden="1" customHeight="1" x14ac:dyDescent="0.25">
      <c r="A308" s="89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150"/>
      <c r="U308" s="150"/>
      <c r="V308" s="150"/>
      <c r="W308" s="150"/>
    </row>
    <row r="309" spans="1:23" ht="12.75" hidden="1" customHeight="1" x14ac:dyDescent="0.25">
      <c r="A309" s="89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150"/>
      <c r="U309" s="150"/>
      <c r="V309" s="150"/>
      <c r="W309" s="150"/>
    </row>
    <row r="310" spans="1:23" ht="12.75" hidden="1" customHeight="1" x14ac:dyDescent="0.25">
      <c r="A310" s="89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150"/>
      <c r="U310" s="150"/>
      <c r="V310" s="150"/>
      <c r="W310" s="150"/>
    </row>
    <row r="311" spans="1:23" ht="12.75" hidden="1" customHeight="1" x14ac:dyDescent="0.25">
      <c r="A311" s="89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150"/>
      <c r="U311" s="150"/>
      <c r="V311" s="150"/>
      <c r="W311" s="150"/>
    </row>
    <row r="312" spans="1:23" ht="12.75" hidden="1" customHeight="1" x14ac:dyDescent="0.25">
      <c r="A312" s="89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150"/>
      <c r="U312" s="150"/>
      <c r="V312" s="150"/>
      <c r="W312" s="150"/>
    </row>
    <row r="313" spans="1:23" ht="12.75" hidden="1" customHeight="1" x14ac:dyDescent="0.25">
      <c r="A313" s="89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150"/>
      <c r="U313" s="150"/>
      <c r="V313" s="150"/>
      <c r="W313" s="150"/>
    </row>
    <row r="314" spans="1:23" ht="12.75" hidden="1" customHeight="1" x14ac:dyDescent="0.25">
      <c r="A314" s="89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150"/>
      <c r="U314" s="150"/>
      <c r="V314" s="150"/>
      <c r="W314" s="150"/>
    </row>
    <row r="315" spans="1:23" ht="12.75" hidden="1" customHeight="1" x14ac:dyDescent="0.25">
      <c r="A315" s="89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150"/>
      <c r="U315" s="150"/>
      <c r="V315" s="150"/>
      <c r="W315" s="150"/>
    </row>
    <row r="316" spans="1:23" ht="12.75" hidden="1" customHeight="1" x14ac:dyDescent="0.25">
      <c r="A316" s="89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150"/>
      <c r="U316" s="150"/>
      <c r="V316" s="150"/>
      <c r="W316" s="150"/>
    </row>
    <row r="317" spans="1:23" ht="12.75" hidden="1" customHeight="1" x14ac:dyDescent="0.25">
      <c r="A317" s="89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150"/>
      <c r="U317" s="150"/>
      <c r="V317" s="150"/>
      <c r="W317" s="150"/>
    </row>
    <row r="318" spans="1:23" ht="12.75" hidden="1" customHeight="1" x14ac:dyDescent="0.25">
      <c r="A318" s="89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150"/>
      <c r="U318" s="150"/>
      <c r="V318" s="150"/>
      <c r="W318" s="150"/>
    </row>
    <row r="319" spans="1:23" ht="12.75" hidden="1" customHeight="1" x14ac:dyDescent="0.25">
      <c r="A319" s="89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150"/>
      <c r="U319" s="150"/>
      <c r="V319" s="150"/>
      <c r="W319" s="150"/>
    </row>
    <row r="320" spans="1:23" ht="12.75" hidden="1" customHeight="1" x14ac:dyDescent="0.25">
      <c r="A320" s="89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150"/>
      <c r="U320" s="150"/>
      <c r="V320" s="150"/>
      <c r="W320" s="150"/>
    </row>
    <row r="321" spans="1:23" ht="12.75" hidden="1" customHeight="1" x14ac:dyDescent="0.25">
      <c r="A321" s="89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150"/>
      <c r="U321" s="150"/>
      <c r="V321" s="150"/>
      <c r="W321" s="150"/>
    </row>
    <row r="322" spans="1:23" ht="12.75" hidden="1" customHeight="1" x14ac:dyDescent="0.25">
      <c r="A322" s="89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150"/>
      <c r="U322" s="150"/>
      <c r="V322" s="150"/>
      <c r="W322" s="150"/>
    </row>
    <row r="323" spans="1:23" ht="12.75" hidden="1" customHeight="1" x14ac:dyDescent="0.25">
      <c r="A323" s="89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150"/>
      <c r="U323" s="150"/>
      <c r="V323" s="150"/>
      <c r="W323" s="150"/>
    </row>
    <row r="324" spans="1:23" ht="12.75" hidden="1" customHeight="1" x14ac:dyDescent="0.25">
      <c r="A324" s="89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150"/>
      <c r="U324" s="150"/>
      <c r="V324" s="150"/>
      <c r="W324" s="150"/>
    </row>
    <row r="325" spans="1:23" ht="12.75" hidden="1" customHeight="1" x14ac:dyDescent="0.25">
      <c r="A325" s="89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150"/>
      <c r="U325" s="150"/>
      <c r="V325" s="150"/>
      <c r="W325" s="150"/>
    </row>
    <row r="326" spans="1:23" ht="12.75" hidden="1" customHeight="1" x14ac:dyDescent="0.25">
      <c r="A326" s="89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150"/>
      <c r="U326" s="150"/>
      <c r="V326" s="150"/>
      <c r="W326" s="150"/>
    </row>
    <row r="327" spans="1:23" ht="12.75" hidden="1" customHeight="1" x14ac:dyDescent="0.25">
      <c r="A327" s="89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150"/>
      <c r="U327" s="150"/>
      <c r="V327" s="150"/>
      <c r="W327" s="150"/>
    </row>
    <row r="328" spans="1:23" ht="12.75" hidden="1" customHeight="1" x14ac:dyDescent="0.25">
      <c r="A328" s="89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150"/>
      <c r="U328" s="150"/>
      <c r="V328" s="150"/>
      <c r="W328" s="150"/>
    </row>
    <row r="329" spans="1:23" ht="12.75" hidden="1" customHeight="1" x14ac:dyDescent="0.25">
      <c r="A329" s="89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150"/>
      <c r="U329" s="150"/>
      <c r="V329" s="150"/>
      <c r="W329" s="150"/>
    </row>
    <row r="330" spans="1:23" ht="12.75" hidden="1" customHeight="1" x14ac:dyDescent="0.25">
      <c r="A330" s="89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150"/>
      <c r="U330" s="150"/>
      <c r="V330" s="150"/>
      <c r="W330" s="150"/>
    </row>
    <row r="331" spans="1:23" ht="12.75" hidden="1" customHeight="1" x14ac:dyDescent="0.25">
      <c r="A331" s="89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150"/>
      <c r="U331" s="150"/>
      <c r="V331" s="150"/>
      <c r="W331" s="150"/>
    </row>
    <row r="332" spans="1:23" ht="12.75" hidden="1" customHeight="1" x14ac:dyDescent="0.25">
      <c r="A332" s="89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150"/>
      <c r="U332" s="150"/>
      <c r="V332" s="150"/>
      <c r="W332" s="150"/>
    </row>
    <row r="333" spans="1:23" ht="12.75" hidden="1" customHeight="1" x14ac:dyDescent="0.25">
      <c r="A333" s="89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150"/>
      <c r="U333" s="150"/>
      <c r="V333" s="150"/>
      <c r="W333" s="150"/>
    </row>
    <row r="334" spans="1:23" ht="12.75" hidden="1" customHeight="1" x14ac:dyDescent="0.25">
      <c r="A334" s="89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150"/>
      <c r="U334" s="150"/>
      <c r="V334" s="150"/>
      <c r="W334" s="150"/>
    </row>
    <row r="335" spans="1:23" ht="12.75" hidden="1" customHeight="1" x14ac:dyDescent="0.25">
      <c r="A335" s="89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150"/>
      <c r="U335" s="150"/>
      <c r="V335" s="150"/>
      <c r="W335" s="150"/>
    </row>
    <row r="336" spans="1:23" ht="12.75" hidden="1" customHeight="1" x14ac:dyDescent="0.25">
      <c r="A336" s="89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150"/>
      <c r="U336" s="150"/>
      <c r="V336" s="150"/>
      <c r="W336" s="150"/>
    </row>
    <row r="337" spans="1:41" ht="12.75" customHeight="1" x14ac:dyDescent="0.25">
      <c r="A337" s="89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150"/>
      <c r="U337" s="150"/>
      <c r="V337" s="150"/>
      <c r="W337" s="150"/>
    </row>
    <row r="338" spans="1:41" ht="12.75" customHeight="1" x14ac:dyDescent="0.25">
      <c r="A338" s="89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150"/>
      <c r="U338" s="150"/>
      <c r="V338" s="150"/>
      <c r="W338" s="150"/>
    </row>
    <row r="339" spans="1:41" ht="12.75" customHeight="1" x14ac:dyDescent="0.25">
      <c r="C339" s="776" t="s">
        <v>2</v>
      </c>
      <c r="D339" s="774" t="s">
        <v>132</v>
      </c>
      <c r="E339" s="98" t="s">
        <v>70</v>
      </c>
      <c r="F339" s="100">
        <f>F261+F277+F241-L241-L261</f>
        <v>15126944698.979998</v>
      </c>
      <c r="G339" s="100">
        <f>G261+G241</f>
        <v>1126326219.8499999</v>
      </c>
      <c r="H339" s="100">
        <f t="shared" ref="H339:AO339" si="14">H261+H241</f>
        <v>626872640.33000004</v>
      </c>
      <c r="I339" s="100">
        <f t="shared" si="14"/>
        <v>333094025.81999999</v>
      </c>
      <c r="J339" s="100">
        <f t="shared" si="14"/>
        <v>3479487567.73</v>
      </c>
      <c r="K339" s="100">
        <f t="shared" si="14"/>
        <v>126528407.55</v>
      </c>
      <c r="L339" s="100">
        <f t="shared" si="14"/>
        <v>37136884.869999997</v>
      </c>
      <c r="M339" s="100">
        <f t="shared" si="14"/>
        <v>1109653150.5799999</v>
      </c>
      <c r="N339" s="100">
        <f t="shared" si="14"/>
        <v>1084207428.1499999</v>
      </c>
      <c r="O339" s="100">
        <f t="shared" si="14"/>
        <v>5095496184.7000008</v>
      </c>
      <c r="P339" s="100">
        <f t="shared" si="14"/>
        <v>2667230075.6599998</v>
      </c>
      <c r="Q339" s="100">
        <f t="shared" si="14"/>
        <v>206507965.87</v>
      </c>
      <c r="R339" s="100">
        <f t="shared" si="14"/>
        <v>-129436.44</v>
      </c>
      <c r="S339" s="100">
        <f t="shared" si="14"/>
        <v>0.87</v>
      </c>
      <c r="T339" s="100">
        <f t="shared" si="14"/>
        <v>0.57999999999999996</v>
      </c>
      <c r="U339" s="100">
        <f t="shared" si="14"/>
        <v>0</v>
      </c>
      <c r="V339" s="100">
        <f t="shared" si="14"/>
        <v>0</v>
      </c>
      <c r="W339" s="100">
        <f t="shared" si="14"/>
        <v>0</v>
      </c>
      <c r="X339" s="100">
        <f t="shared" si="14"/>
        <v>0</v>
      </c>
      <c r="Y339" s="100">
        <f t="shared" si="14"/>
        <v>0</v>
      </c>
      <c r="Z339" s="100">
        <f t="shared" si="14"/>
        <v>0</v>
      </c>
      <c r="AA339" s="100">
        <f t="shared" si="14"/>
        <v>0</v>
      </c>
      <c r="AB339" s="100">
        <f t="shared" si="14"/>
        <v>0</v>
      </c>
      <c r="AC339" s="100">
        <f t="shared" si="14"/>
        <v>0</v>
      </c>
      <c r="AD339" s="100">
        <f t="shared" si="14"/>
        <v>0</v>
      </c>
      <c r="AE339" s="100">
        <f t="shared" si="14"/>
        <v>0</v>
      </c>
      <c r="AF339" s="100">
        <f t="shared" si="14"/>
        <v>0</v>
      </c>
      <c r="AG339" s="100">
        <f t="shared" si="14"/>
        <v>0</v>
      </c>
      <c r="AH339" s="100">
        <f t="shared" si="14"/>
        <v>0</v>
      </c>
      <c r="AI339" s="100">
        <f t="shared" si="14"/>
        <v>0</v>
      </c>
      <c r="AJ339" s="100">
        <f t="shared" si="14"/>
        <v>0</v>
      </c>
      <c r="AK339" s="100">
        <f t="shared" si="14"/>
        <v>0</v>
      </c>
      <c r="AL339" s="100">
        <f t="shared" si="14"/>
        <v>0</v>
      </c>
      <c r="AM339" s="100">
        <f t="shared" si="14"/>
        <v>0</v>
      </c>
      <c r="AN339" s="100">
        <f t="shared" si="14"/>
        <v>0</v>
      </c>
      <c r="AO339" s="100">
        <f t="shared" si="14"/>
        <v>0</v>
      </c>
    </row>
    <row r="340" spans="1:41" ht="12.75" customHeight="1" x14ac:dyDescent="0.25">
      <c r="C340" s="776"/>
      <c r="D340" s="774"/>
      <c r="E340" s="98" t="s">
        <v>73</v>
      </c>
      <c r="F340" s="100">
        <f>F277</f>
        <v>-728329532.26999998</v>
      </c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</row>
    <row r="341" spans="1:41" ht="12.75" customHeight="1" x14ac:dyDescent="0.25">
      <c r="A341" s="90"/>
      <c r="C341" s="776"/>
      <c r="D341" s="774" t="s">
        <v>133</v>
      </c>
      <c r="E341" s="233" t="s">
        <v>70</v>
      </c>
      <c r="F341" s="234">
        <f>F266+F246-L246</f>
        <v>388550</v>
      </c>
      <c r="G341" s="234">
        <f>G246</f>
        <v>40467.760000000002</v>
      </c>
      <c r="H341" s="234">
        <f t="shared" ref="H341:AO341" si="15">H246</f>
        <v>22548.38</v>
      </c>
      <c r="I341" s="234">
        <f t="shared" si="15"/>
        <v>11992.34</v>
      </c>
      <c r="J341" s="234">
        <f t="shared" si="15"/>
        <v>10672.75</v>
      </c>
      <c r="K341" s="234">
        <f t="shared" si="15"/>
        <v>385.44</v>
      </c>
      <c r="L341" s="234">
        <f t="shared" si="15"/>
        <v>0</v>
      </c>
      <c r="M341" s="234">
        <f t="shared" si="15"/>
        <v>3380.99</v>
      </c>
      <c r="N341" s="234">
        <f t="shared" si="15"/>
        <v>3214.74</v>
      </c>
      <c r="O341" s="234">
        <f t="shared" si="15"/>
        <v>15256.24</v>
      </c>
      <c r="P341" s="234">
        <f t="shared" si="15"/>
        <v>95953.3</v>
      </c>
      <c r="Q341" s="234">
        <f t="shared" si="15"/>
        <v>628.86</v>
      </c>
      <c r="R341" s="234">
        <f t="shared" si="15"/>
        <v>-1.51</v>
      </c>
      <c r="S341" s="234">
        <f t="shared" si="15"/>
        <v>0</v>
      </c>
      <c r="T341" s="234">
        <f t="shared" si="15"/>
        <v>0</v>
      </c>
      <c r="U341" s="234">
        <f t="shared" si="15"/>
        <v>0</v>
      </c>
      <c r="V341" s="234">
        <f t="shared" si="15"/>
        <v>0</v>
      </c>
      <c r="W341" s="234">
        <f t="shared" si="15"/>
        <v>0</v>
      </c>
      <c r="X341" s="234">
        <f t="shared" si="15"/>
        <v>0</v>
      </c>
      <c r="Y341" s="234">
        <f t="shared" si="15"/>
        <v>0</v>
      </c>
      <c r="Z341" s="234">
        <f t="shared" si="15"/>
        <v>0</v>
      </c>
      <c r="AA341" s="234">
        <f t="shared" si="15"/>
        <v>0</v>
      </c>
      <c r="AB341" s="234">
        <f t="shared" si="15"/>
        <v>0</v>
      </c>
      <c r="AC341" s="234">
        <f t="shared" si="15"/>
        <v>0</v>
      </c>
      <c r="AD341" s="234">
        <f t="shared" si="15"/>
        <v>0</v>
      </c>
      <c r="AE341" s="234">
        <f t="shared" si="15"/>
        <v>0</v>
      </c>
      <c r="AF341" s="234">
        <f t="shared" si="15"/>
        <v>0</v>
      </c>
      <c r="AG341" s="234">
        <f t="shared" si="15"/>
        <v>0</v>
      </c>
      <c r="AH341" s="234">
        <f t="shared" si="15"/>
        <v>0</v>
      </c>
      <c r="AI341" s="234">
        <f t="shared" si="15"/>
        <v>0</v>
      </c>
      <c r="AJ341" s="234">
        <f t="shared" si="15"/>
        <v>0</v>
      </c>
      <c r="AK341" s="234">
        <f t="shared" si="15"/>
        <v>0</v>
      </c>
      <c r="AL341" s="234">
        <f t="shared" si="15"/>
        <v>0</v>
      </c>
      <c r="AM341" s="234">
        <f t="shared" si="15"/>
        <v>0</v>
      </c>
      <c r="AN341" s="234">
        <f t="shared" si="15"/>
        <v>0</v>
      </c>
      <c r="AO341" s="234">
        <f t="shared" si="15"/>
        <v>0</v>
      </c>
    </row>
    <row r="342" spans="1:41" ht="12.75" customHeight="1" x14ac:dyDescent="0.25">
      <c r="C342" s="776"/>
      <c r="D342" s="774"/>
      <c r="E342" s="233" t="s">
        <v>73</v>
      </c>
      <c r="F342" s="234">
        <f>F266</f>
        <v>184050.71</v>
      </c>
      <c r="G342" s="371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</row>
    <row r="343" spans="1:41" ht="12.75" customHeight="1" x14ac:dyDescent="0.3">
      <c r="A343" s="89"/>
      <c r="C343" s="97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</row>
    <row r="344" spans="1:41" ht="12.75" customHeight="1" x14ac:dyDescent="0.25">
      <c r="C344" s="776" t="s">
        <v>160</v>
      </c>
      <c r="D344" s="774" t="s">
        <v>132</v>
      </c>
      <c r="E344" s="223" t="s">
        <v>70</v>
      </c>
      <c r="F344" s="225">
        <v>0</v>
      </c>
      <c r="G344" s="225">
        <v>0</v>
      </c>
      <c r="H344" s="225">
        <v>0</v>
      </c>
      <c r="I344" s="225">
        <v>0</v>
      </c>
      <c r="J344" s="225">
        <v>0</v>
      </c>
      <c r="K344" s="225">
        <v>0</v>
      </c>
      <c r="L344" s="225">
        <v>0</v>
      </c>
      <c r="M344" s="225">
        <v>0</v>
      </c>
      <c r="N344" s="225">
        <v>0</v>
      </c>
      <c r="O344" s="225">
        <v>0</v>
      </c>
      <c r="P344" s="225">
        <v>0</v>
      </c>
      <c r="Q344" s="225">
        <v>0</v>
      </c>
      <c r="R344" s="225">
        <v>0</v>
      </c>
      <c r="S344" s="225">
        <v>0</v>
      </c>
      <c r="T344" s="225">
        <v>0</v>
      </c>
      <c r="U344" s="225"/>
      <c r="V344" s="225"/>
      <c r="W344" s="225"/>
      <c r="X344" s="225">
        <v>0</v>
      </c>
      <c r="Y344" s="225">
        <v>0</v>
      </c>
      <c r="Z344" s="225">
        <v>0</v>
      </c>
      <c r="AA344" s="225">
        <v>0</v>
      </c>
      <c r="AB344" s="225">
        <v>0</v>
      </c>
      <c r="AC344" s="225">
        <v>0</v>
      </c>
      <c r="AD344" s="225">
        <v>0</v>
      </c>
      <c r="AE344" s="225">
        <v>0</v>
      </c>
      <c r="AF344" s="225">
        <v>0</v>
      </c>
      <c r="AG344" s="225">
        <v>0</v>
      </c>
      <c r="AH344" s="225">
        <v>0</v>
      </c>
      <c r="AI344" s="225">
        <v>0</v>
      </c>
      <c r="AJ344" s="225">
        <v>0</v>
      </c>
      <c r="AK344" s="225">
        <v>0</v>
      </c>
      <c r="AL344" s="225">
        <v>0</v>
      </c>
      <c r="AM344" s="225">
        <v>0</v>
      </c>
      <c r="AN344" s="225">
        <v>0</v>
      </c>
      <c r="AO344" s="225">
        <v>0</v>
      </c>
    </row>
    <row r="345" spans="1:41" ht="12.75" customHeight="1" x14ac:dyDescent="0.25">
      <c r="C345" s="776"/>
      <c r="D345" s="774"/>
      <c r="E345" s="223" t="s">
        <v>73</v>
      </c>
      <c r="F345" s="225">
        <v>0</v>
      </c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</row>
    <row r="346" spans="1:41" ht="12.75" customHeight="1" x14ac:dyDescent="0.25">
      <c r="C346" s="776"/>
      <c r="D346" s="774" t="s">
        <v>133</v>
      </c>
      <c r="E346" s="227" t="s">
        <v>70</v>
      </c>
      <c r="F346" s="228">
        <v>0</v>
      </c>
      <c r="G346" s="228">
        <v>0</v>
      </c>
      <c r="H346" s="228">
        <v>0</v>
      </c>
      <c r="I346" s="228">
        <v>0</v>
      </c>
      <c r="J346" s="228">
        <v>0</v>
      </c>
      <c r="K346" s="228">
        <v>0</v>
      </c>
      <c r="L346" s="228">
        <v>0</v>
      </c>
      <c r="M346" s="228">
        <v>0</v>
      </c>
      <c r="N346" s="228">
        <v>0</v>
      </c>
      <c r="O346" s="228">
        <v>0</v>
      </c>
      <c r="P346" s="228">
        <v>0</v>
      </c>
      <c r="Q346" s="228">
        <v>0</v>
      </c>
      <c r="R346" s="228">
        <v>0</v>
      </c>
      <c r="S346" s="228">
        <v>0</v>
      </c>
      <c r="T346" s="228">
        <v>0</v>
      </c>
      <c r="U346" s="228"/>
      <c r="V346" s="228"/>
      <c r="W346" s="228"/>
      <c r="X346" s="228">
        <v>0</v>
      </c>
      <c r="Y346" s="228">
        <v>0</v>
      </c>
      <c r="Z346" s="228">
        <v>0</v>
      </c>
      <c r="AA346" s="228">
        <v>0</v>
      </c>
      <c r="AB346" s="228">
        <v>0</v>
      </c>
      <c r="AC346" s="228">
        <v>0</v>
      </c>
      <c r="AD346" s="228">
        <v>0</v>
      </c>
      <c r="AE346" s="228">
        <v>0</v>
      </c>
      <c r="AF346" s="228">
        <v>0</v>
      </c>
      <c r="AG346" s="228">
        <v>0</v>
      </c>
      <c r="AH346" s="228">
        <v>0</v>
      </c>
      <c r="AI346" s="228">
        <v>0</v>
      </c>
      <c r="AJ346" s="228">
        <v>0</v>
      </c>
      <c r="AK346" s="228">
        <v>0</v>
      </c>
      <c r="AL346" s="228">
        <v>0</v>
      </c>
      <c r="AM346" s="228">
        <v>0</v>
      </c>
      <c r="AN346" s="228">
        <v>0</v>
      </c>
      <c r="AO346" s="228">
        <v>0</v>
      </c>
    </row>
    <row r="347" spans="1:41" ht="12.75" customHeight="1" x14ac:dyDescent="0.25">
      <c r="C347" s="776"/>
      <c r="D347" s="774"/>
      <c r="E347" s="227" t="s">
        <v>73</v>
      </c>
      <c r="F347" s="228">
        <v>0</v>
      </c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</row>
    <row r="348" spans="1:41" ht="12.75" customHeight="1" x14ac:dyDescent="0.3">
      <c r="A348" s="89"/>
      <c r="C348" s="97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</row>
    <row r="349" spans="1:41" ht="12.75" customHeight="1" x14ac:dyDescent="0.25">
      <c r="C349" s="776" t="s">
        <v>155</v>
      </c>
      <c r="D349" s="774" t="s">
        <v>132</v>
      </c>
      <c r="E349" s="221" t="s">
        <v>70</v>
      </c>
      <c r="F349" s="222">
        <f>F269+F250+F237-L237-L250</f>
        <v>13864067607.68</v>
      </c>
      <c r="G349" s="222">
        <f>G250+G237</f>
        <v>957505646.90999997</v>
      </c>
      <c r="H349" s="222">
        <f t="shared" ref="H349:AO349" si="16">H250+H237</f>
        <v>533329075.66000003</v>
      </c>
      <c r="I349" s="222">
        <f t="shared" si="16"/>
        <v>283706851.68000001</v>
      </c>
      <c r="J349" s="222">
        <f t="shared" si="16"/>
        <v>3442331314.1399999</v>
      </c>
      <c r="K349" s="222">
        <f t="shared" si="16"/>
        <v>125405736.76000001</v>
      </c>
      <c r="L349" s="222">
        <f t="shared" si="16"/>
        <v>18959701.32</v>
      </c>
      <c r="M349" s="222">
        <f t="shared" si="16"/>
        <v>1099824389.1300001</v>
      </c>
      <c r="N349" s="222">
        <f t="shared" si="16"/>
        <v>1071554920.8099999</v>
      </c>
      <c r="O349" s="222">
        <f t="shared" si="16"/>
        <v>5037520003</v>
      </c>
      <c r="P349" s="222">
        <f t="shared" si="16"/>
        <v>2268004225.6799998</v>
      </c>
      <c r="Q349" s="222">
        <f t="shared" si="16"/>
        <v>204675214.26999998</v>
      </c>
      <c r="R349" s="222">
        <f t="shared" si="16"/>
        <v>-127034.03</v>
      </c>
      <c r="S349" s="222">
        <f t="shared" si="16"/>
        <v>-0.54</v>
      </c>
      <c r="T349" s="222">
        <f t="shared" si="16"/>
        <v>0.57999999999999996</v>
      </c>
      <c r="U349" s="222">
        <f t="shared" si="16"/>
        <v>0</v>
      </c>
      <c r="V349" s="222">
        <f t="shared" si="16"/>
        <v>0</v>
      </c>
      <c r="W349" s="222">
        <f t="shared" si="16"/>
        <v>0</v>
      </c>
      <c r="X349" s="222">
        <f t="shared" si="16"/>
        <v>0</v>
      </c>
      <c r="Y349" s="222">
        <f t="shared" si="16"/>
        <v>0</v>
      </c>
      <c r="Z349" s="222">
        <f t="shared" si="16"/>
        <v>0</v>
      </c>
      <c r="AA349" s="222">
        <f t="shared" si="16"/>
        <v>0</v>
      </c>
      <c r="AB349" s="222">
        <f t="shared" si="16"/>
        <v>0</v>
      </c>
      <c r="AC349" s="222">
        <f t="shared" si="16"/>
        <v>0</v>
      </c>
      <c r="AD349" s="222">
        <f t="shared" si="16"/>
        <v>0</v>
      </c>
      <c r="AE349" s="222">
        <f t="shared" si="16"/>
        <v>0</v>
      </c>
      <c r="AF349" s="222">
        <f t="shared" si="16"/>
        <v>0</v>
      </c>
      <c r="AG349" s="222">
        <f t="shared" si="16"/>
        <v>0</v>
      </c>
      <c r="AH349" s="222">
        <f t="shared" si="16"/>
        <v>0</v>
      </c>
      <c r="AI349" s="222">
        <f t="shared" si="16"/>
        <v>0</v>
      </c>
      <c r="AJ349" s="222">
        <f t="shared" si="16"/>
        <v>0</v>
      </c>
      <c r="AK349" s="222">
        <f t="shared" si="16"/>
        <v>0</v>
      </c>
      <c r="AL349" s="222">
        <f t="shared" si="16"/>
        <v>0</v>
      </c>
      <c r="AM349" s="222">
        <f t="shared" si="16"/>
        <v>0</v>
      </c>
      <c r="AN349" s="222">
        <f t="shared" si="16"/>
        <v>0</v>
      </c>
      <c r="AO349" s="222">
        <f t="shared" si="16"/>
        <v>0</v>
      </c>
    </row>
    <row r="350" spans="1:41" ht="12.75" customHeight="1" x14ac:dyDescent="0.25">
      <c r="C350" s="776"/>
      <c r="D350" s="774"/>
      <c r="E350" s="221" t="s">
        <v>73</v>
      </c>
      <c r="F350" s="222">
        <f>F269</f>
        <v>-1159662736.3699999</v>
      </c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</row>
    <row r="351" spans="1:41" ht="12.75" customHeight="1" x14ac:dyDescent="0.25">
      <c r="C351" s="776"/>
      <c r="D351" s="774" t="s">
        <v>133</v>
      </c>
      <c r="E351" s="229" t="s">
        <v>70</v>
      </c>
      <c r="F351" s="230">
        <f>F265+F245-L245</f>
        <v>388550</v>
      </c>
      <c r="G351" s="230">
        <f>G245</f>
        <v>40467.760000000002</v>
      </c>
      <c r="H351" s="230">
        <f t="shared" ref="H351:AO351" si="17">H245</f>
        <v>22548.38</v>
      </c>
      <c r="I351" s="230">
        <f t="shared" si="17"/>
        <v>11992.34</v>
      </c>
      <c r="J351" s="230">
        <f t="shared" si="17"/>
        <v>10672.75</v>
      </c>
      <c r="K351" s="230">
        <f t="shared" si="17"/>
        <v>385.44</v>
      </c>
      <c r="L351" s="230">
        <f t="shared" si="17"/>
        <v>0</v>
      </c>
      <c r="M351" s="230">
        <f t="shared" si="17"/>
        <v>3380.99</v>
      </c>
      <c r="N351" s="230">
        <f t="shared" si="17"/>
        <v>3214.74</v>
      </c>
      <c r="O351" s="230">
        <f t="shared" si="17"/>
        <v>15256.24</v>
      </c>
      <c r="P351" s="230">
        <f t="shared" si="17"/>
        <v>95953.3</v>
      </c>
      <c r="Q351" s="230">
        <f t="shared" si="17"/>
        <v>628.86</v>
      </c>
      <c r="R351" s="230">
        <f t="shared" si="17"/>
        <v>-1.51</v>
      </c>
      <c r="S351" s="230">
        <f t="shared" si="17"/>
        <v>0</v>
      </c>
      <c r="T351" s="230">
        <f t="shared" si="17"/>
        <v>0</v>
      </c>
      <c r="U351" s="230">
        <f t="shared" si="17"/>
        <v>0</v>
      </c>
      <c r="V351" s="230">
        <f t="shared" si="17"/>
        <v>0</v>
      </c>
      <c r="W351" s="230">
        <f t="shared" si="17"/>
        <v>0</v>
      </c>
      <c r="X351" s="230">
        <f t="shared" si="17"/>
        <v>0</v>
      </c>
      <c r="Y351" s="230">
        <f t="shared" si="17"/>
        <v>0</v>
      </c>
      <c r="Z351" s="230">
        <f t="shared" si="17"/>
        <v>0</v>
      </c>
      <c r="AA351" s="230">
        <f t="shared" si="17"/>
        <v>0</v>
      </c>
      <c r="AB351" s="230">
        <f t="shared" si="17"/>
        <v>0</v>
      </c>
      <c r="AC351" s="230">
        <f t="shared" si="17"/>
        <v>0</v>
      </c>
      <c r="AD351" s="230">
        <f t="shared" si="17"/>
        <v>0</v>
      </c>
      <c r="AE351" s="230">
        <f t="shared" si="17"/>
        <v>0</v>
      </c>
      <c r="AF351" s="230">
        <f t="shared" si="17"/>
        <v>0</v>
      </c>
      <c r="AG351" s="230">
        <f t="shared" si="17"/>
        <v>0</v>
      </c>
      <c r="AH351" s="230">
        <f t="shared" si="17"/>
        <v>0</v>
      </c>
      <c r="AI351" s="230">
        <f t="shared" si="17"/>
        <v>0</v>
      </c>
      <c r="AJ351" s="230">
        <f t="shared" si="17"/>
        <v>0</v>
      </c>
      <c r="AK351" s="230">
        <f t="shared" si="17"/>
        <v>0</v>
      </c>
      <c r="AL351" s="230">
        <f t="shared" si="17"/>
        <v>0</v>
      </c>
      <c r="AM351" s="230">
        <f t="shared" si="17"/>
        <v>0</v>
      </c>
      <c r="AN351" s="230">
        <f t="shared" si="17"/>
        <v>0</v>
      </c>
      <c r="AO351" s="230">
        <f t="shared" si="17"/>
        <v>0</v>
      </c>
    </row>
    <row r="352" spans="1:41" ht="12.75" customHeight="1" x14ac:dyDescent="0.25">
      <c r="C352" s="776"/>
      <c r="D352" s="774"/>
      <c r="E352" s="229" t="s">
        <v>73</v>
      </c>
      <c r="F352" s="230">
        <f>F265</f>
        <v>184050.71</v>
      </c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</row>
    <row r="353" spans="1:41" ht="12.75" customHeight="1" x14ac:dyDescent="0.3">
      <c r="A353" s="89"/>
      <c r="C353" s="97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</row>
    <row r="354" spans="1:41" ht="12.75" customHeight="1" x14ac:dyDescent="0.25">
      <c r="C354" s="777" t="s">
        <v>326</v>
      </c>
      <c r="D354" s="774" t="s">
        <v>132</v>
      </c>
      <c r="E354" s="373" t="s">
        <v>70</v>
      </c>
      <c r="F354" s="374">
        <v>0</v>
      </c>
      <c r="G354" s="374">
        <v>0</v>
      </c>
      <c r="H354" s="374">
        <v>0</v>
      </c>
      <c r="I354" s="374">
        <v>0</v>
      </c>
      <c r="J354" s="374">
        <v>0</v>
      </c>
      <c r="K354" s="374">
        <v>0</v>
      </c>
      <c r="L354" s="374">
        <v>0</v>
      </c>
      <c r="M354" s="374">
        <v>0</v>
      </c>
      <c r="N354" s="374">
        <v>0</v>
      </c>
      <c r="O354" s="374">
        <v>0</v>
      </c>
      <c r="P354" s="374">
        <v>0</v>
      </c>
      <c r="Q354" s="374">
        <v>0</v>
      </c>
      <c r="R354" s="374">
        <v>0</v>
      </c>
      <c r="S354" s="374">
        <v>0</v>
      </c>
      <c r="T354" s="374">
        <v>0</v>
      </c>
      <c r="U354" s="374">
        <v>0</v>
      </c>
      <c r="V354" s="374">
        <v>0</v>
      </c>
      <c r="W354" s="374">
        <v>0</v>
      </c>
      <c r="X354" s="374">
        <v>0</v>
      </c>
      <c r="Y354" s="374">
        <v>0</v>
      </c>
      <c r="Z354" s="374">
        <v>0</v>
      </c>
      <c r="AA354" s="374">
        <v>0</v>
      </c>
      <c r="AB354" s="374">
        <v>0</v>
      </c>
      <c r="AC354" s="374">
        <v>0</v>
      </c>
      <c r="AD354" s="374">
        <v>0</v>
      </c>
      <c r="AE354" s="374">
        <v>0</v>
      </c>
      <c r="AF354" s="374">
        <v>0</v>
      </c>
      <c r="AG354" s="374">
        <v>0</v>
      </c>
      <c r="AH354" s="374">
        <v>0</v>
      </c>
      <c r="AI354" s="374">
        <v>0</v>
      </c>
      <c r="AJ354" s="374">
        <v>0</v>
      </c>
      <c r="AK354" s="374">
        <v>0</v>
      </c>
      <c r="AL354" s="374">
        <v>0</v>
      </c>
      <c r="AM354" s="374">
        <v>0</v>
      </c>
      <c r="AN354" s="374">
        <v>0</v>
      </c>
      <c r="AO354" s="374">
        <v>0</v>
      </c>
    </row>
    <row r="355" spans="1:41" ht="12.75" customHeight="1" x14ac:dyDescent="0.25">
      <c r="C355" s="777"/>
      <c r="D355" s="774"/>
      <c r="E355" s="373" t="s">
        <v>73</v>
      </c>
      <c r="F355" s="374">
        <v>0</v>
      </c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</row>
    <row r="356" spans="1:41" ht="12.75" customHeight="1" x14ac:dyDescent="0.25">
      <c r="C356" s="777"/>
      <c r="D356" s="774" t="s">
        <v>133</v>
      </c>
      <c r="E356" s="242" t="s">
        <v>70</v>
      </c>
      <c r="F356" s="243">
        <v>0</v>
      </c>
      <c r="G356" s="243">
        <v>0</v>
      </c>
      <c r="H356" s="243">
        <v>0</v>
      </c>
      <c r="I356" s="243">
        <v>0</v>
      </c>
      <c r="J356" s="243">
        <v>0</v>
      </c>
      <c r="K356" s="243">
        <v>0</v>
      </c>
      <c r="L356" s="243">
        <v>0</v>
      </c>
      <c r="M356" s="243">
        <v>0</v>
      </c>
      <c r="N356" s="243">
        <v>0</v>
      </c>
      <c r="O356" s="243">
        <v>0</v>
      </c>
      <c r="P356" s="243">
        <v>0</v>
      </c>
      <c r="Q356" s="243">
        <v>0</v>
      </c>
      <c r="R356" s="243">
        <v>0</v>
      </c>
      <c r="S356" s="243">
        <v>0</v>
      </c>
      <c r="T356" s="243">
        <v>0</v>
      </c>
      <c r="U356" s="243">
        <v>0</v>
      </c>
      <c r="V356" s="243">
        <v>0</v>
      </c>
      <c r="W356" s="243">
        <v>0</v>
      </c>
      <c r="X356" s="243">
        <v>0</v>
      </c>
      <c r="Y356" s="243">
        <v>0</v>
      </c>
      <c r="Z356" s="243">
        <v>0</v>
      </c>
      <c r="AA356" s="243">
        <v>0</v>
      </c>
      <c r="AB356" s="243">
        <v>0</v>
      </c>
      <c r="AC356" s="243">
        <v>0</v>
      </c>
      <c r="AD356" s="243">
        <v>0</v>
      </c>
      <c r="AE356" s="243">
        <v>0</v>
      </c>
      <c r="AF356" s="243">
        <v>0</v>
      </c>
      <c r="AG356" s="243">
        <v>0</v>
      </c>
      <c r="AH356" s="243">
        <v>0</v>
      </c>
      <c r="AI356" s="243">
        <v>0</v>
      </c>
      <c r="AJ356" s="243">
        <v>0</v>
      </c>
      <c r="AK356" s="243">
        <v>0</v>
      </c>
      <c r="AL356" s="243">
        <v>0</v>
      </c>
      <c r="AM356" s="243">
        <v>0</v>
      </c>
      <c r="AN356" s="243">
        <v>0</v>
      </c>
      <c r="AO356" s="243">
        <v>0</v>
      </c>
    </row>
    <row r="357" spans="1:41" ht="12.75" customHeight="1" x14ac:dyDescent="0.25">
      <c r="C357" s="777"/>
      <c r="D357" s="774"/>
      <c r="E357" s="242" t="s">
        <v>73</v>
      </c>
      <c r="F357" s="243">
        <v>0</v>
      </c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</row>
    <row r="358" spans="1:41" ht="12.75" customHeight="1" x14ac:dyDescent="0.3">
      <c r="A358" s="89"/>
      <c r="C358" s="97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</row>
    <row r="359" spans="1:41" ht="12.75" customHeight="1" x14ac:dyDescent="0.25">
      <c r="C359" s="776" t="s">
        <v>119</v>
      </c>
      <c r="D359" s="774" t="s">
        <v>132</v>
      </c>
      <c r="E359" s="101" t="s">
        <v>70</v>
      </c>
      <c r="F359" s="93">
        <f>F276+F260+F240-L240-L260</f>
        <v>1262877091.3</v>
      </c>
      <c r="G359" s="93">
        <f>G260+G240</f>
        <v>168820572.94</v>
      </c>
      <c r="H359" s="93">
        <f t="shared" ref="H359:AO359" si="18">H260+H240</f>
        <v>93543564.670000002</v>
      </c>
      <c r="I359" s="93">
        <f t="shared" si="18"/>
        <v>49387174.140000001</v>
      </c>
      <c r="J359" s="93">
        <f t="shared" si="18"/>
        <v>37156253.589999996</v>
      </c>
      <c r="K359" s="93">
        <f t="shared" si="18"/>
        <v>1122670.79</v>
      </c>
      <c r="L359" s="93">
        <f t="shared" si="18"/>
        <v>18177183.550000001</v>
      </c>
      <c r="M359" s="93">
        <f t="shared" si="18"/>
        <v>9828761.4499999993</v>
      </c>
      <c r="N359" s="93">
        <f t="shared" si="18"/>
        <v>12652507.34</v>
      </c>
      <c r="O359" s="93">
        <f t="shared" si="18"/>
        <v>57976181.700000003</v>
      </c>
      <c r="P359" s="93">
        <f t="shared" si="18"/>
        <v>399225849.98000002</v>
      </c>
      <c r="Q359" s="93">
        <f t="shared" si="18"/>
        <v>1832751.6</v>
      </c>
      <c r="R359" s="93">
        <f t="shared" si="18"/>
        <v>-2402.41</v>
      </c>
      <c r="S359" s="93">
        <f t="shared" si="18"/>
        <v>1.41</v>
      </c>
      <c r="T359" s="93">
        <f t="shared" si="18"/>
        <v>0</v>
      </c>
      <c r="U359" s="93">
        <f t="shared" si="18"/>
        <v>0</v>
      </c>
      <c r="V359" s="93">
        <f t="shared" si="18"/>
        <v>0</v>
      </c>
      <c r="W359" s="93">
        <f t="shared" si="18"/>
        <v>0</v>
      </c>
      <c r="X359" s="93">
        <f t="shared" si="18"/>
        <v>0</v>
      </c>
      <c r="Y359" s="93">
        <f t="shared" si="18"/>
        <v>0</v>
      </c>
      <c r="Z359" s="93">
        <f t="shared" si="18"/>
        <v>0</v>
      </c>
      <c r="AA359" s="93">
        <f t="shared" si="18"/>
        <v>0</v>
      </c>
      <c r="AB359" s="93">
        <f t="shared" si="18"/>
        <v>0</v>
      </c>
      <c r="AC359" s="93">
        <f t="shared" si="18"/>
        <v>0</v>
      </c>
      <c r="AD359" s="93">
        <f t="shared" si="18"/>
        <v>0</v>
      </c>
      <c r="AE359" s="93">
        <f t="shared" si="18"/>
        <v>0</v>
      </c>
      <c r="AF359" s="93">
        <f t="shared" si="18"/>
        <v>0</v>
      </c>
      <c r="AG359" s="93">
        <f t="shared" si="18"/>
        <v>0</v>
      </c>
      <c r="AH359" s="93">
        <f t="shared" si="18"/>
        <v>0</v>
      </c>
      <c r="AI359" s="93">
        <f t="shared" si="18"/>
        <v>0</v>
      </c>
      <c r="AJ359" s="93">
        <f t="shared" si="18"/>
        <v>0</v>
      </c>
      <c r="AK359" s="93">
        <f t="shared" si="18"/>
        <v>0</v>
      </c>
      <c r="AL359" s="93">
        <f t="shared" si="18"/>
        <v>0</v>
      </c>
      <c r="AM359" s="93">
        <f t="shared" si="18"/>
        <v>0</v>
      </c>
      <c r="AN359" s="93">
        <f t="shared" si="18"/>
        <v>0</v>
      </c>
      <c r="AO359" s="93">
        <f t="shared" si="18"/>
        <v>0</v>
      </c>
    </row>
    <row r="360" spans="1:41" ht="12.75" customHeight="1" x14ac:dyDescent="0.25">
      <c r="C360" s="776"/>
      <c r="D360" s="774"/>
      <c r="E360" s="101" t="s">
        <v>73</v>
      </c>
      <c r="F360" s="93">
        <f>F276</f>
        <v>431333204.10000002</v>
      </c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</row>
    <row r="361" spans="1:41" ht="12.75" customHeight="1" x14ac:dyDescent="0.25">
      <c r="C361" s="776"/>
      <c r="D361" s="774" t="s">
        <v>133</v>
      </c>
      <c r="E361" s="235" t="s">
        <v>70</v>
      </c>
      <c r="F361" s="236">
        <v>0</v>
      </c>
      <c r="G361" s="236">
        <v>0</v>
      </c>
      <c r="H361" s="236">
        <v>0</v>
      </c>
      <c r="I361" s="236">
        <v>0</v>
      </c>
      <c r="J361" s="236">
        <v>0</v>
      </c>
      <c r="K361" s="236">
        <v>0</v>
      </c>
      <c r="L361" s="236">
        <v>0</v>
      </c>
      <c r="M361" s="236">
        <v>0</v>
      </c>
      <c r="N361" s="236">
        <v>0</v>
      </c>
      <c r="O361" s="236">
        <v>0</v>
      </c>
      <c r="P361" s="236">
        <v>0</v>
      </c>
      <c r="Q361" s="236">
        <v>0</v>
      </c>
      <c r="R361" s="236">
        <v>0</v>
      </c>
      <c r="S361" s="236">
        <v>0</v>
      </c>
      <c r="T361" s="236">
        <v>0</v>
      </c>
      <c r="U361" s="236">
        <v>0</v>
      </c>
      <c r="V361" s="236">
        <v>0</v>
      </c>
      <c r="W361" s="236">
        <v>0</v>
      </c>
      <c r="X361" s="236">
        <v>0</v>
      </c>
      <c r="Y361" s="236">
        <v>0</v>
      </c>
      <c r="Z361" s="236">
        <v>0</v>
      </c>
      <c r="AA361" s="236">
        <v>0</v>
      </c>
      <c r="AB361" s="236">
        <v>0</v>
      </c>
      <c r="AC361" s="236">
        <v>0</v>
      </c>
      <c r="AD361" s="236">
        <v>0</v>
      </c>
      <c r="AE361" s="236">
        <v>0</v>
      </c>
      <c r="AF361" s="236">
        <v>0</v>
      </c>
      <c r="AG361" s="236">
        <v>0</v>
      </c>
      <c r="AH361" s="236">
        <v>0</v>
      </c>
      <c r="AI361" s="236">
        <v>0</v>
      </c>
      <c r="AJ361" s="236">
        <v>0</v>
      </c>
      <c r="AK361" s="236">
        <v>0</v>
      </c>
      <c r="AL361" s="236">
        <v>0</v>
      </c>
      <c r="AM361" s="236">
        <v>0</v>
      </c>
      <c r="AN361" s="236">
        <v>0</v>
      </c>
      <c r="AO361" s="236">
        <v>0</v>
      </c>
    </row>
    <row r="362" spans="1:41" ht="12.75" customHeight="1" x14ac:dyDescent="0.25">
      <c r="C362" s="776"/>
      <c r="D362" s="774"/>
      <c r="E362" s="235" t="s">
        <v>73</v>
      </c>
      <c r="F362" s="236">
        <v>0</v>
      </c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</row>
    <row r="363" spans="1:41" ht="12.75" customHeight="1" x14ac:dyDescent="0.3">
      <c r="A363" s="89"/>
      <c r="C363" s="97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</row>
    <row r="364" spans="1:41" ht="12.75" customHeight="1" x14ac:dyDescent="0.25">
      <c r="C364" s="775" t="s">
        <v>161</v>
      </c>
      <c r="D364" s="774" t="s">
        <v>132</v>
      </c>
      <c r="E364" s="231" t="s">
        <v>70</v>
      </c>
      <c r="F364" s="232">
        <v>0</v>
      </c>
      <c r="G364" s="232">
        <v>0</v>
      </c>
      <c r="H364" s="232">
        <v>0</v>
      </c>
      <c r="I364" s="232">
        <v>0</v>
      </c>
      <c r="J364" s="232">
        <v>0</v>
      </c>
      <c r="K364" s="232">
        <v>0</v>
      </c>
      <c r="L364" s="232">
        <v>0</v>
      </c>
      <c r="M364" s="232">
        <v>0</v>
      </c>
      <c r="N364" s="232">
        <v>0</v>
      </c>
      <c r="O364" s="232">
        <v>0</v>
      </c>
      <c r="P364" s="232">
        <v>0</v>
      </c>
      <c r="Q364" s="232">
        <v>0</v>
      </c>
      <c r="R364" s="232">
        <v>0</v>
      </c>
      <c r="S364" s="232">
        <v>0</v>
      </c>
      <c r="T364" s="232">
        <v>0</v>
      </c>
      <c r="U364" s="232"/>
      <c r="V364" s="232"/>
      <c r="W364" s="232"/>
      <c r="X364" s="232">
        <v>0</v>
      </c>
      <c r="Y364" s="232">
        <v>0</v>
      </c>
      <c r="Z364" s="232">
        <v>0</v>
      </c>
      <c r="AA364" s="232">
        <v>0</v>
      </c>
      <c r="AB364" s="232">
        <v>0</v>
      </c>
      <c r="AC364" s="232">
        <v>0</v>
      </c>
      <c r="AD364" s="232">
        <v>0</v>
      </c>
      <c r="AE364" s="232">
        <v>0</v>
      </c>
      <c r="AF364" s="232">
        <v>0</v>
      </c>
      <c r="AG364" s="232">
        <v>0</v>
      </c>
      <c r="AH364" s="232">
        <v>0</v>
      </c>
      <c r="AI364" s="232">
        <v>0</v>
      </c>
      <c r="AJ364" s="232">
        <v>0</v>
      </c>
      <c r="AK364" s="232">
        <v>0</v>
      </c>
      <c r="AL364" s="232">
        <v>0</v>
      </c>
      <c r="AM364" s="232">
        <v>0</v>
      </c>
      <c r="AN364" s="232">
        <v>0</v>
      </c>
      <c r="AO364" s="232">
        <v>0</v>
      </c>
    </row>
    <row r="365" spans="1:41" ht="12.75" customHeight="1" x14ac:dyDescent="0.25">
      <c r="C365" s="775"/>
      <c r="D365" s="774"/>
      <c r="E365" s="231" t="s">
        <v>73</v>
      </c>
      <c r="F365" s="232">
        <v>0</v>
      </c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</row>
    <row r="366" spans="1:41" ht="12.75" customHeight="1" x14ac:dyDescent="0.25">
      <c r="C366" s="775"/>
      <c r="D366" s="774" t="s">
        <v>133</v>
      </c>
      <c r="E366" s="148" t="s">
        <v>70</v>
      </c>
      <c r="F366" s="149">
        <v>0</v>
      </c>
      <c r="G366" s="149">
        <v>0</v>
      </c>
      <c r="H366" s="149">
        <v>0</v>
      </c>
      <c r="I366" s="149">
        <v>0</v>
      </c>
      <c r="J366" s="149">
        <v>0</v>
      </c>
      <c r="K366" s="149">
        <v>0</v>
      </c>
      <c r="L366" s="149">
        <v>0</v>
      </c>
      <c r="M366" s="149">
        <v>0</v>
      </c>
      <c r="N366" s="149">
        <v>0</v>
      </c>
      <c r="O366" s="149">
        <v>0</v>
      </c>
      <c r="P366" s="149">
        <v>0</v>
      </c>
      <c r="Q366" s="149">
        <v>0</v>
      </c>
      <c r="R366" s="149">
        <v>0</v>
      </c>
      <c r="S366" s="149">
        <v>0</v>
      </c>
      <c r="T366" s="149">
        <v>0</v>
      </c>
      <c r="U366" s="149"/>
      <c r="V366" s="149"/>
      <c r="W366" s="149"/>
      <c r="X366" s="149">
        <v>0</v>
      </c>
      <c r="Y366" s="149">
        <v>0</v>
      </c>
      <c r="Z366" s="149">
        <v>0</v>
      </c>
      <c r="AA366" s="149">
        <v>0</v>
      </c>
      <c r="AB366" s="149">
        <v>0</v>
      </c>
      <c r="AC366" s="149">
        <v>0</v>
      </c>
      <c r="AD366" s="149">
        <v>0</v>
      </c>
      <c r="AE366" s="149">
        <v>0</v>
      </c>
      <c r="AF366" s="149">
        <v>0</v>
      </c>
      <c r="AG366" s="149">
        <v>0</v>
      </c>
      <c r="AH366" s="149">
        <v>0</v>
      </c>
      <c r="AI366" s="149">
        <v>0</v>
      </c>
      <c r="AJ366" s="149">
        <v>0</v>
      </c>
      <c r="AK366" s="149">
        <v>0</v>
      </c>
      <c r="AL366" s="149">
        <v>0</v>
      </c>
      <c r="AM366" s="149">
        <v>0</v>
      </c>
      <c r="AN366" s="149">
        <v>0</v>
      </c>
      <c r="AO366" s="149">
        <v>0</v>
      </c>
    </row>
    <row r="367" spans="1:41" ht="12.75" customHeight="1" x14ac:dyDescent="0.25">
      <c r="C367" s="775"/>
      <c r="D367" s="774"/>
      <c r="E367" s="148" t="s">
        <v>73</v>
      </c>
      <c r="F367" s="149">
        <v>0</v>
      </c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</row>
    <row r="368" spans="1:41" ht="12.75" customHeight="1" x14ac:dyDescent="0.25">
      <c r="C368" s="388"/>
      <c r="D368" s="220"/>
      <c r="E368" s="89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</row>
    <row r="369" spans="1:26" ht="12.75" customHeight="1" x14ac:dyDescent="0.25">
      <c r="D369" s="458" t="s">
        <v>186</v>
      </c>
      <c r="E369" s="459" t="s">
        <v>70</v>
      </c>
      <c r="F369" s="460">
        <f t="shared" ref="F369:Z369" si="19">F241</f>
        <v>-7866.61</v>
      </c>
      <c r="G369" s="460">
        <f t="shared" si="19"/>
        <v>-678.72</v>
      </c>
      <c r="H369" s="460">
        <f t="shared" si="19"/>
        <v>-288.36</v>
      </c>
      <c r="I369" s="460">
        <f t="shared" si="19"/>
        <v>-125.91</v>
      </c>
      <c r="J369" s="460">
        <f t="shared" si="19"/>
        <v>-1539.2</v>
      </c>
      <c r="K369" s="460">
        <f t="shared" si="19"/>
        <v>-63.42</v>
      </c>
      <c r="L369" s="460">
        <f t="shared" si="19"/>
        <v>0</v>
      </c>
      <c r="M369" s="460">
        <f t="shared" si="19"/>
        <v>-556.25</v>
      </c>
      <c r="N369" s="460">
        <f t="shared" si="19"/>
        <v>-697.22</v>
      </c>
      <c r="O369" s="460">
        <f t="shared" si="19"/>
        <v>-2341.94</v>
      </c>
      <c r="P369" s="460">
        <f t="shared" si="19"/>
        <v>-1472.13</v>
      </c>
      <c r="Q369" s="460">
        <f t="shared" si="19"/>
        <v>-103.46</v>
      </c>
      <c r="R369" s="460">
        <f t="shared" si="19"/>
        <v>0</v>
      </c>
      <c r="S369" s="460">
        <f t="shared" si="19"/>
        <v>0</v>
      </c>
      <c r="T369" s="460">
        <f t="shared" si="19"/>
        <v>0</v>
      </c>
      <c r="U369" s="460">
        <f t="shared" si="19"/>
        <v>0</v>
      </c>
      <c r="V369" s="460">
        <f t="shared" si="19"/>
        <v>0</v>
      </c>
      <c r="W369" s="460">
        <f t="shared" si="19"/>
        <v>0</v>
      </c>
      <c r="X369" s="460">
        <f t="shared" si="19"/>
        <v>0</v>
      </c>
      <c r="Y369" s="460">
        <f t="shared" si="19"/>
        <v>0</v>
      </c>
      <c r="Z369" s="460">
        <f t="shared" si="19"/>
        <v>0</v>
      </c>
    </row>
    <row r="370" spans="1:26" ht="12.75" customHeight="1" x14ac:dyDescent="0.25">
      <c r="C370" s="388"/>
      <c r="D370" s="220"/>
      <c r="E370" s="89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</row>
    <row r="371" spans="1:26" s="238" customFormat="1" ht="12.75" customHeight="1" x14ac:dyDescent="0.25">
      <c r="D371" s="239"/>
      <c r="E371" s="240"/>
      <c r="F371" s="240"/>
      <c r="G371" s="240"/>
      <c r="H371" s="240"/>
      <c r="I371" s="240"/>
      <c r="J371" s="240"/>
      <c r="K371" s="240"/>
      <c r="L371" s="240"/>
      <c r="M371" s="240"/>
      <c r="N371" s="240"/>
      <c r="O371" s="240"/>
      <c r="P371" s="240"/>
      <c r="Q371" s="240"/>
    </row>
    <row r="372" spans="1:26" ht="12.75" customHeight="1" x14ac:dyDescent="0.3">
      <c r="A372" s="89"/>
      <c r="B372" s="97" t="s">
        <v>88</v>
      </c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</row>
    <row r="373" spans="1:26" ht="12.75" customHeight="1" x14ac:dyDescent="0.25">
      <c r="A373" s="142"/>
      <c r="F373" s="89" t="s">
        <v>70</v>
      </c>
      <c r="G373" s="89" t="s">
        <v>64</v>
      </c>
      <c r="H373" s="89" t="s">
        <v>65</v>
      </c>
      <c r="I373" s="218" t="s">
        <v>164</v>
      </c>
      <c r="J373" s="89" t="s">
        <v>69</v>
      </c>
      <c r="K373" s="89" t="s">
        <v>68</v>
      </c>
      <c r="L373" s="89" t="s">
        <v>71</v>
      </c>
      <c r="M373" s="89" t="s">
        <v>66</v>
      </c>
      <c r="N373" s="89" t="s">
        <v>63</v>
      </c>
      <c r="O373" s="89" t="s">
        <v>61</v>
      </c>
      <c r="P373" s="89" t="s">
        <v>62</v>
      </c>
      <c r="Q373" s="89" t="s">
        <v>67</v>
      </c>
      <c r="R373" s="89" t="s">
        <v>77</v>
      </c>
      <c r="S373" s="89" t="s">
        <v>80</v>
      </c>
      <c r="T373" t="s">
        <v>135</v>
      </c>
      <c r="U373" t="s">
        <v>173</v>
      </c>
      <c r="V373" t="s">
        <v>222</v>
      </c>
      <c r="W373" t="s">
        <v>173</v>
      </c>
      <c r="X373" t="s">
        <v>173</v>
      </c>
      <c r="Y373" s="89" t="s">
        <v>135</v>
      </c>
      <c r="Z373" t="s">
        <v>167</v>
      </c>
    </row>
    <row r="374" spans="1:26" ht="12.75" customHeight="1" x14ac:dyDescent="0.25">
      <c r="E374" s="89" t="s">
        <v>72</v>
      </c>
      <c r="F374" s="371">
        <v>-4044.86</v>
      </c>
      <c r="G374" s="90">
        <v>-329.07</v>
      </c>
      <c r="H374" s="90">
        <v>-139.80000000000001</v>
      </c>
      <c r="I374" s="90">
        <v>-61.05</v>
      </c>
      <c r="J374" s="90">
        <v>-769.6</v>
      </c>
      <c r="K374" s="90">
        <v>-31.35</v>
      </c>
      <c r="L374" s="90">
        <v>0</v>
      </c>
      <c r="M374" s="90">
        <v>-274.92</v>
      </c>
      <c r="N374" s="90">
        <v>-349.59</v>
      </c>
      <c r="O374" s="90">
        <v>-1283.6400000000001</v>
      </c>
      <c r="P374" s="90">
        <v>-754.69</v>
      </c>
      <c r="Q374" s="90">
        <v>-51.15</v>
      </c>
      <c r="R374" s="90">
        <v>0</v>
      </c>
      <c r="S374" s="90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 s="90">
        <v>0</v>
      </c>
      <c r="Z374">
        <v>0</v>
      </c>
    </row>
    <row r="375" spans="1:26" ht="12.75" customHeight="1" x14ac:dyDescent="0.25">
      <c r="D375" t="s">
        <v>156</v>
      </c>
      <c r="E375" s="89" t="s">
        <v>70</v>
      </c>
      <c r="F375" s="371">
        <v>-4044.86</v>
      </c>
      <c r="G375" s="90">
        <v>-329.07</v>
      </c>
      <c r="H375" s="90">
        <v>-139.80000000000001</v>
      </c>
      <c r="I375" s="90">
        <v>-61.05</v>
      </c>
      <c r="J375" s="90">
        <v>-769.6</v>
      </c>
      <c r="K375" s="90">
        <v>-31.35</v>
      </c>
      <c r="L375" s="90">
        <v>0</v>
      </c>
      <c r="M375" s="90">
        <v>-274.92</v>
      </c>
      <c r="N375" s="90">
        <v>-349.59</v>
      </c>
      <c r="O375" s="90">
        <v>-1283.6400000000001</v>
      </c>
      <c r="P375" s="90">
        <v>-754.69</v>
      </c>
      <c r="Q375" s="90">
        <v>-51.15</v>
      </c>
      <c r="R375" s="90">
        <v>0</v>
      </c>
      <c r="S375" s="90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 s="90">
        <v>0</v>
      </c>
      <c r="Z375">
        <v>0</v>
      </c>
    </row>
    <row r="376" spans="1:26" s="656" customFormat="1" ht="12.75" customHeight="1" x14ac:dyDescent="0.25">
      <c r="C376" s="656" t="s">
        <v>155</v>
      </c>
      <c r="D376" s="657" t="s">
        <v>70</v>
      </c>
      <c r="E376" s="657"/>
      <c r="F376" s="658">
        <v>-4044.86</v>
      </c>
      <c r="G376" s="658">
        <v>-329.07</v>
      </c>
      <c r="H376" s="658">
        <v>-139.80000000000001</v>
      </c>
      <c r="I376" s="658">
        <v>-61.05</v>
      </c>
      <c r="J376" s="658">
        <v>-769.6</v>
      </c>
      <c r="K376" s="658">
        <v>-31.35</v>
      </c>
      <c r="L376" s="658">
        <v>0</v>
      </c>
      <c r="M376" s="658">
        <v>-274.92</v>
      </c>
      <c r="N376" s="658">
        <v>-349.59</v>
      </c>
      <c r="O376" s="658">
        <v>-1283.6400000000001</v>
      </c>
      <c r="P376" s="658">
        <v>-754.69</v>
      </c>
      <c r="Q376" s="658">
        <v>-51.15</v>
      </c>
      <c r="R376" s="658">
        <v>0</v>
      </c>
      <c r="S376" s="658">
        <v>0</v>
      </c>
      <c r="T376" s="656">
        <v>0</v>
      </c>
      <c r="U376" s="656">
        <v>0</v>
      </c>
      <c r="V376" s="656">
        <v>0</v>
      </c>
      <c r="W376" s="656">
        <v>0</v>
      </c>
      <c r="X376" s="656">
        <v>0</v>
      </c>
      <c r="Y376" s="658">
        <v>0</v>
      </c>
      <c r="Z376" s="656">
        <v>0</v>
      </c>
    </row>
    <row r="377" spans="1:26" ht="12.75" customHeight="1" x14ac:dyDescent="0.25">
      <c r="E377" s="89" t="s">
        <v>72</v>
      </c>
      <c r="F377" s="371">
        <v>-24249.29</v>
      </c>
      <c r="G377" s="90">
        <v>-1959.33</v>
      </c>
      <c r="H377" s="90">
        <v>-832.38</v>
      </c>
      <c r="I377" s="90">
        <v>-363.51</v>
      </c>
      <c r="J377" s="90">
        <v>-4489.3599999999997</v>
      </c>
      <c r="K377" s="90">
        <v>-182.85</v>
      </c>
      <c r="L377" s="90">
        <v>0</v>
      </c>
      <c r="M377" s="90">
        <v>-1603.68</v>
      </c>
      <c r="N377" s="90">
        <v>-2039.25</v>
      </c>
      <c r="O377" s="90">
        <v>-7487.88</v>
      </c>
      <c r="P377" s="90">
        <v>-4992.7</v>
      </c>
      <c r="Q377" s="90">
        <v>-298.35000000000002</v>
      </c>
      <c r="R377" s="90">
        <v>0</v>
      </c>
      <c r="S377" s="90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 s="90">
        <v>0</v>
      </c>
      <c r="Z377">
        <v>0</v>
      </c>
    </row>
    <row r="378" spans="1:26" ht="12.75" customHeight="1" x14ac:dyDescent="0.25">
      <c r="D378" t="s">
        <v>86</v>
      </c>
      <c r="E378" s="89" t="s">
        <v>70</v>
      </c>
      <c r="F378" s="371">
        <v>-24249.29</v>
      </c>
      <c r="G378" s="90">
        <v>-1959.33</v>
      </c>
      <c r="H378" s="90">
        <v>-832.38</v>
      </c>
      <c r="I378" s="90">
        <v>-363.51</v>
      </c>
      <c r="J378" s="90">
        <v>-4489.3599999999997</v>
      </c>
      <c r="K378" s="90">
        <v>-182.85</v>
      </c>
      <c r="L378" s="90">
        <v>0</v>
      </c>
      <c r="M378" s="90">
        <v>-1603.68</v>
      </c>
      <c r="N378" s="90">
        <v>-2039.25</v>
      </c>
      <c r="O378" s="90">
        <v>-7487.88</v>
      </c>
      <c r="P378" s="90">
        <v>-4992.7</v>
      </c>
      <c r="Q378" s="90">
        <v>-298.35000000000002</v>
      </c>
      <c r="R378" s="90">
        <v>0</v>
      </c>
      <c r="S378" s="90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 s="90">
        <v>0</v>
      </c>
      <c r="Z378">
        <v>0</v>
      </c>
    </row>
    <row r="379" spans="1:26" s="94" customFormat="1" ht="12.75" customHeight="1" x14ac:dyDescent="0.25">
      <c r="C379" s="101" t="s">
        <v>119</v>
      </c>
      <c r="D379" s="101" t="s">
        <v>70</v>
      </c>
      <c r="F379" s="93">
        <v>-24249.29</v>
      </c>
      <c r="G379" s="93">
        <v>-1959.33</v>
      </c>
      <c r="H379" s="93">
        <v>-832.38</v>
      </c>
      <c r="I379" s="93">
        <v>-363.51</v>
      </c>
      <c r="J379" s="93">
        <v>-4489.3599999999997</v>
      </c>
      <c r="K379" s="93">
        <v>-182.85</v>
      </c>
      <c r="L379" s="93">
        <v>0</v>
      </c>
      <c r="M379" s="93">
        <v>-1603.68</v>
      </c>
      <c r="N379" s="93">
        <v>-2039.25</v>
      </c>
      <c r="O379" s="93">
        <v>-7487.88</v>
      </c>
      <c r="P379" s="93">
        <v>-4992.7</v>
      </c>
      <c r="Q379" s="93">
        <v>-298.35000000000002</v>
      </c>
      <c r="R379" s="93">
        <v>0</v>
      </c>
      <c r="S379" s="93">
        <v>0</v>
      </c>
      <c r="T379" s="94">
        <v>0</v>
      </c>
      <c r="U379" s="94">
        <v>0</v>
      </c>
      <c r="V379" s="94">
        <v>0</v>
      </c>
      <c r="W379" s="94">
        <v>0</v>
      </c>
      <c r="X379" s="94">
        <v>0</v>
      </c>
      <c r="Y379" s="93">
        <v>0</v>
      </c>
      <c r="Z379" s="94">
        <v>0</v>
      </c>
    </row>
    <row r="380" spans="1:26" ht="12.75" customHeight="1" x14ac:dyDescent="0.25">
      <c r="B380" t="s">
        <v>112</v>
      </c>
      <c r="C380" t="s">
        <v>70</v>
      </c>
      <c r="E380" s="89"/>
      <c r="F380" s="371">
        <v>-28294.15</v>
      </c>
      <c r="G380" s="90">
        <v>-2288.4</v>
      </c>
      <c r="H380" s="90">
        <v>-972.18</v>
      </c>
      <c r="I380" s="90">
        <v>-424.56</v>
      </c>
      <c r="J380" s="90">
        <v>-5258.96</v>
      </c>
      <c r="K380" s="90">
        <v>-214.2</v>
      </c>
      <c r="L380" s="90">
        <v>0</v>
      </c>
      <c r="M380" s="90">
        <v>-1878.6</v>
      </c>
      <c r="N380" s="90">
        <v>-2388.84</v>
      </c>
      <c r="O380" s="90">
        <v>-8771.52</v>
      </c>
      <c r="P380" s="90">
        <v>-5747.39</v>
      </c>
      <c r="Q380" s="90">
        <v>-349.5</v>
      </c>
      <c r="R380" s="90">
        <v>0</v>
      </c>
      <c r="S380" s="9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 s="90">
        <v>0</v>
      </c>
      <c r="Z380">
        <v>0</v>
      </c>
    </row>
    <row r="381" spans="1:26" s="458" customFormat="1" x14ac:dyDescent="0.25">
      <c r="A381" s="458" t="s">
        <v>186</v>
      </c>
      <c r="B381" s="459" t="s">
        <v>70</v>
      </c>
      <c r="C381" s="459"/>
      <c r="F381" s="460">
        <v>-28294.15</v>
      </c>
      <c r="G381" s="460">
        <v>-2288.4</v>
      </c>
      <c r="H381" s="460">
        <v>-972.18</v>
      </c>
      <c r="I381" s="460">
        <v>-424.56</v>
      </c>
      <c r="J381" s="460">
        <v>-5258.96</v>
      </c>
      <c r="K381" s="460">
        <v>-214.2</v>
      </c>
      <c r="L381" s="460">
        <v>0</v>
      </c>
      <c r="M381" s="460">
        <v>-1878.6</v>
      </c>
      <c r="N381" s="460">
        <v>-2388.84</v>
      </c>
      <c r="O381" s="460">
        <v>-8771.52</v>
      </c>
      <c r="P381" s="460">
        <v>-5747.39</v>
      </c>
      <c r="Q381" s="460">
        <v>-349.5</v>
      </c>
      <c r="R381" s="460">
        <v>0</v>
      </c>
      <c r="S381" s="460">
        <v>0</v>
      </c>
      <c r="T381" s="460">
        <v>0</v>
      </c>
      <c r="U381" s="460">
        <v>0</v>
      </c>
      <c r="V381" s="460">
        <v>0</v>
      </c>
      <c r="W381" s="460">
        <v>0</v>
      </c>
      <c r="X381" s="460">
        <v>0</v>
      </c>
      <c r="Y381" s="460">
        <v>0</v>
      </c>
      <c r="Z381" s="460">
        <v>0</v>
      </c>
    </row>
    <row r="382" spans="1:26" ht="12.75" customHeight="1" x14ac:dyDescent="0.25">
      <c r="E382" s="89" t="s">
        <v>72</v>
      </c>
      <c r="F382" s="90">
        <v>75975446.420000002</v>
      </c>
      <c r="G382" s="90">
        <v>5691827.2800000003</v>
      </c>
      <c r="H382" s="90">
        <v>3176874.77</v>
      </c>
      <c r="I382" s="90">
        <v>1675639.84</v>
      </c>
      <c r="J382" s="90">
        <v>15143503.41</v>
      </c>
      <c r="K382" s="90">
        <v>466068.31</v>
      </c>
      <c r="L382" s="90">
        <v>0</v>
      </c>
      <c r="M382" s="90">
        <v>4044625.13</v>
      </c>
      <c r="N382" s="90">
        <v>4897443.16</v>
      </c>
      <c r="O382" s="90">
        <v>25040514.93</v>
      </c>
      <c r="P382" s="90">
        <v>15075645.16</v>
      </c>
      <c r="Q382" s="90">
        <v>763379.78</v>
      </c>
      <c r="R382" s="90">
        <v>-75.349999999999994</v>
      </c>
      <c r="S382" s="90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 s="90">
        <v>0</v>
      </c>
      <c r="Z382">
        <v>0</v>
      </c>
    </row>
    <row r="383" spans="1:26" ht="12.75" customHeight="1" x14ac:dyDescent="0.25">
      <c r="E383" s="89" t="s">
        <v>81</v>
      </c>
      <c r="F383" s="90">
        <v>656784.56999999995</v>
      </c>
      <c r="G383" s="90">
        <v>50154.31</v>
      </c>
      <c r="H383" s="90">
        <v>26212.95</v>
      </c>
      <c r="I383" s="90">
        <v>12852.55</v>
      </c>
      <c r="J383" s="90">
        <v>153350.54999999999</v>
      </c>
      <c r="K383" s="90">
        <v>4675.1000000000004</v>
      </c>
      <c r="L383" s="90">
        <v>5153.8500000000004</v>
      </c>
      <c r="M383" s="90">
        <v>40989.24</v>
      </c>
      <c r="N383" s="90">
        <v>51934.49</v>
      </c>
      <c r="O383" s="90">
        <v>171696.62</v>
      </c>
      <c r="P383" s="90">
        <v>132135.74</v>
      </c>
      <c r="Q383" s="90">
        <v>7629.16</v>
      </c>
      <c r="R383" s="90">
        <v>-0.92</v>
      </c>
      <c r="S383" s="90">
        <v>0</v>
      </c>
      <c r="T383">
        <v>0.93</v>
      </c>
      <c r="U383">
        <v>0</v>
      </c>
      <c r="V383">
        <v>0</v>
      </c>
      <c r="W383">
        <v>0</v>
      </c>
      <c r="X383">
        <v>0</v>
      </c>
      <c r="Y383" s="90">
        <v>0</v>
      </c>
      <c r="Z383">
        <v>0</v>
      </c>
    </row>
    <row r="384" spans="1:26" ht="12.75" customHeight="1" x14ac:dyDescent="0.25">
      <c r="D384" t="s">
        <v>156</v>
      </c>
      <c r="E384" s="89" t="s">
        <v>70</v>
      </c>
      <c r="F384" s="90">
        <v>76632230.989999995</v>
      </c>
      <c r="G384" s="90">
        <v>5741981.5899999999</v>
      </c>
      <c r="H384" s="90">
        <v>3203087.72</v>
      </c>
      <c r="I384" s="90">
        <v>1688492.39</v>
      </c>
      <c r="J384" s="90">
        <v>15296853.960000001</v>
      </c>
      <c r="K384" s="90">
        <v>470743.41</v>
      </c>
      <c r="L384" s="90">
        <v>5153.8500000000004</v>
      </c>
      <c r="M384" s="90">
        <v>4085614.37</v>
      </c>
      <c r="N384" s="90">
        <v>4949377.6500000004</v>
      </c>
      <c r="O384" s="90">
        <v>25212211.550000001</v>
      </c>
      <c r="P384" s="90">
        <v>15207780.9</v>
      </c>
      <c r="Q384" s="90">
        <v>771008.94</v>
      </c>
      <c r="R384" s="90">
        <v>-76.27</v>
      </c>
      <c r="S384" s="90">
        <v>0</v>
      </c>
      <c r="T384">
        <v>0.93</v>
      </c>
      <c r="U384">
        <v>0</v>
      </c>
      <c r="V384">
        <v>0</v>
      </c>
      <c r="W384">
        <v>0</v>
      </c>
      <c r="X384">
        <v>0</v>
      </c>
      <c r="Y384" s="90">
        <v>0</v>
      </c>
      <c r="Z384">
        <v>0</v>
      </c>
    </row>
    <row r="385" spans="2:26" s="656" customFormat="1" ht="12.75" customHeight="1" x14ac:dyDescent="0.25">
      <c r="C385" s="656" t="s">
        <v>155</v>
      </c>
      <c r="D385" s="657" t="s">
        <v>70</v>
      </c>
      <c r="E385" s="657"/>
      <c r="F385" s="658">
        <v>76632230.989999995</v>
      </c>
      <c r="G385" s="658">
        <v>5741981.5899999999</v>
      </c>
      <c r="H385" s="658">
        <v>3203087.72</v>
      </c>
      <c r="I385" s="658">
        <v>1688492.39</v>
      </c>
      <c r="J385" s="658">
        <v>15296853.960000001</v>
      </c>
      <c r="K385" s="658">
        <v>470743.41</v>
      </c>
      <c r="L385" s="658">
        <v>5153.8500000000004</v>
      </c>
      <c r="M385" s="658">
        <v>4085614.37</v>
      </c>
      <c r="N385" s="658">
        <v>4949377.6500000004</v>
      </c>
      <c r="O385" s="658">
        <v>25212211.550000001</v>
      </c>
      <c r="P385" s="658">
        <v>15207780.9</v>
      </c>
      <c r="Q385" s="658">
        <v>771008.94</v>
      </c>
      <c r="R385" s="658">
        <v>-76.27</v>
      </c>
      <c r="S385" s="658">
        <v>0</v>
      </c>
      <c r="T385" s="656">
        <v>0.93</v>
      </c>
      <c r="U385" s="656">
        <v>0</v>
      </c>
      <c r="V385" s="656">
        <v>0</v>
      </c>
      <c r="W385" s="656">
        <v>0</v>
      </c>
      <c r="X385" s="656">
        <v>0</v>
      </c>
      <c r="Y385" s="658">
        <v>0</v>
      </c>
      <c r="Z385" s="656">
        <v>0</v>
      </c>
    </row>
    <row r="386" spans="2:26" ht="12.75" customHeight="1" x14ac:dyDescent="0.25">
      <c r="E386" s="89" t="s">
        <v>72</v>
      </c>
      <c r="F386" s="90">
        <v>127540.7</v>
      </c>
      <c r="G386" s="90">
        <v>6084.92</v>
      </c>
      <c r="H386" s="90">
        <v>3435.56</v>
      </c>
      <c r="I386" s="90">
        <v>1803.23</v>
      </c>
      <c r="J386" s="90">
        <v>29192.34</v>
      </c>
      <c r="K386" s="90">
        <v>1102.99</v>
      </c>
      <c r="L386" s="90">
        <v>0</v>
      </c>
      <c r="M386" s="90">
        <v>9675.3700000000008</v>
      </c>
      <c r="N386" s="90">
        <v>9459.09</v>
      </c>
      <c r="O386" s="90">
        <v>48876.93</v>
      </c>
      <c r="P386" s="90">
        <v>16107.78</v>
      </c>
      <c r="Q386" s="90">
        <v>1799.61</v>
      </c>
      <c r="R386" s="90">
        <v>2.88</v>
      </c>
      <c r="S386" s="90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 s="90">
        <v>0</v>
      </c>
      <c r="Z386">
        <v>0</v>
      </c>
    </row>
    <row r="387" spans="2:26" ht="12.75" customHeight="1" x14ac:dyDescent="0.25">
      <c r="D387" t="s">
        <v>115</v>
      </c>
      <c r="E387" s="89" t="s">
        <v>70</v>
      </c>
      <c r="F387" s="371">
        <v>127540.7</v>
      </c>
      <c r="G387" s="90">
        <v>6084.92</v>
      </c>
      <c r="H387" s="90">
        <v>3435.56</v>
      </c>
      <c r="I387" s="90">
        <v>1803.23</v>
      </c>
      <c r="J387" s="90">
        <v>29192.34</v>
      </c>
      <c r="K387" s="90">
        <v>1102.99</v>
      </c>
      <c r="L387" s="90">
        <v>0</v>
      </c>
      <c r="M387" s="90">
        <v>9675.3700000000008</v>
      </c>
      <c r="N387" s="90">
        <v>9459.09</v>
      </c>
      <c r="O387" s="90">
        <v>48876.93</v>
      </c>
      <c r="P387" s="90">
        <v>16107.78</v>
      </c>
      <c r="Q387" s="90">
        <v>1799.61</v>
      </c>
      <c r="R387" s="90">
        <v>2.88</v>
      </c>
      <c r="S387" s="90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 s="90">
        <v>0</v>
      </c>
      <c r="Z387">
        <v>0</v>
      </c>
    </row>
    <row r="388" spans="2:26" ht="12.75" customHeight="1" x14ac:dyDescent="0.25">
      <c r="E388" s="89" t="s">
        <v>72</v>
      </c>
      <c r="F388" s="371">
        <v>424348.3</v>
      </c>
      <c r="G388" s="90">
        <v>31621.08</v>
      </c>
      <c r="H388" s="90">
        <v>17899.66</v>
      </c>
      <c r="I388" s="90">
        <v>9434.3700000000008</v>
      </c>
      <c r="J388" s="90">
        <v>85091.03</v>
      </c>
      <c r="K388" s="90">
        <v>2946.59</v>
      </c>
      <c r="L388" s="90">
        <v>0</v>
      </c>
      <c r="M388" s="90">
        <v>25847.3</v>
      </c>
      <c r="N388" s="90">
        <v>26616.080000000002</v>
      </c>
      <c r="O388" s="90">
        <v>135845.70000000001</v>
      </c>
      <c r="P388" s="90">
        <v>84232.18</v>
      </c>
      <c r="Q388" s="90">
        <v>4807.57</v>
      </c>
      <c r="R388" s="90">
        <v>6.74</v>
      </c>
      <c r="S388" s="90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 s="90">
        <v>0</v>
      </c>
      <c r="Z388">
        <v>0</v>
      </c>
    </row>
    <row r="389" spans="2:26" ht="12.75" customHeight="1" x14ac:dyDescent="0.25">
      <c r="E389" s="89" t="s">
        <v>81</v>
      </c>
      <c r="F389" s="371">
        <v>5980.45</v>
      </c>
      <c r="G389" s="90">
        <v>404.6</v>
      </c>
      <c r="H389" s="90">
        <v>228.63</v>
      </c>
      <c r="I389" s="90">
        <v>120.84</v>
      </c>
      <c r="J389" s="90">
        <v>1430.06</v>
      </c>
      <c r="K389" s="90">
        <v>48.37</v>
      </c>
      <c r="L389" s="90">
        <v>0</v>
      </c>
      <c r="M389" s="90">
        <v>424.43</v>
      </c>
      <c r="N389" s="90">
        <v>443.62</v>
      </c>
      <c r="O389" s="90">
        <v>1721.61</v>
      </c>
      <c r="P389" s="90">
        <v>1079.3499999999999</v>
      </c>
      <c r="Q389" s="90">
        <v>78.94</v>
      </c>
      <c r="R389" s="90">
        <v>0</v>
      </c>
      <c r="S389" s="90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 s="90">
        <v>0</v>
      </c>
      <c r="Z389">
        <v>0</v>
      </c>
    </row>
    <row r="390" spans="2:26" ht="12.75" customHeight="1" x14ac:dyDescent="0.25">
      <c r="D390" t="s">
        <v>118</v>
      </c>
      <c r="E390" s="89" t="s">
        <v>70</v>
      </c>
      <c r="F390" s="90">
        <v>430328.75</v>
      </c>
      <c r="G390" s="90">
        <v>32025.68</v>
      </c>
      <c r="H390" s="90">
        <v>18128.29</v>
      </c>
      <c r="I390" s="90">
        <v>9555.2099999999991</v>
      </c>
      <c r="J390" s="90">
        <v>86521.09</v>
      </c>
      <c r="K390" s="90">
        <v>2994.96</v>
      </c>
      <c r="L390" s="90">
        <v>0</v>
      </c>
      <c r="M390" s="90">
        <v>26271.73</v>
      </c>
      <c r="N390" s="90">
        <v>27059.7</v>
      </c>
      <c r="O390" s="90">
        <v>137567.31</v>
      </c>
      <c r="P390" s="90">
        <v>85311.53</v>
      </c>
      <c r="Q390" s="90">
        <v>4886.51</v>
      </c>
      <c r="R390" s="90">
        <v>6.74</v>
      </c>
      <c r="S390" s="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 s="90">
        <v>0</v>
      </c>
      <c r="Z390">
        <v>0</v>
      </c>
    </row>
    <row r="391" spans="2:26" s="224" customFormat="1" ht="12.75" customHeight="1" x14ac:dyDescent="0.25">
      <c r="C391" s="223" t="s">
        <v>120</v>
      </c>
      <c r="D391" s="223" t="s">
        <v>70</v>
      </c>
      <c r="F391" s="225">
        <v>557869.44999999995</v>
      </c>
      <c r="G391" s="225">
        <v>38110.6</v>
      </c>
      <c r="H391" s="225">
        <v>21563.85</v>
      </c>
      <c r="I391" s="225">
        <v>11358.44</v>
      </c>
      <c r="J391" s="225">
        <v>115713.43</v>
      </c>
      <c r="K391" s="225">
        <v>4097.95</v>
      </c>
      <c r="L391" s="225">
        <v>0</v>
      </c>
      <c r="M391" s="225">
        <v>35947.1</v>
      </c>
      <c r="N391" s="225">
        <v>36518.79</v>
      </c>
      <c r="O391" s="225">
        <v>186444.24</v>
      </c>
      <c r="P391" s="225">
        <v>101419.31</v>
      </c>
      <c r="Q391" s="225">
        <v>6686.12</v>
      </c>
      <c r="R391" s="225">
        <v>9.6199999999999992</v>
      </c>
      <c r="S391" s="225">
        <v>0</v>
      </c>
      <c r="T391" s="224">
        <v>0</v>
      </c>
      <c r="U391" s="224">
        <v>0</v>
      </c>
      <c r="V391" s="224">
        <v>0</v>
      </c>
      <c r="W391" s="224">
        <v>0</v>
      </c>
      <c r="X391" s="224">
        <v>0</v>
      </c>
      <c r="Y391" s="225">
        <v>0</v>
      </c>
      <c r="Z391" s="224">
        <v>0</v>
      </c>
    </row>
    <row r="392" spans="2:26" ht="12.75" customHeight="1" x14ac:dyDescent="0.25">
      <c r="E392" s="89" t="s">
        <v>72</v>
      </c>
      <c r="F392" s="90">
        <v>1184206.8700000001</v>
      </c>
      <c r="G392" s="90">
        <v>76488.91</v>
      </c>
      <c r="H392" s="90">
        <v>41553.49</v>
      </c>
      <c r="I392" s="90">
        <v>20986.59</v>
      </c>
      <c r="J392" s="90">
        <v>262024.02</v>
      </c>
      <c r="K392" s="90">
        <v>7297.34</v>
      </c>
      <c r="L392" s="90">
        <v>0</v>
      </c>
      <c r="M392" s="90">
        <v>64011.37</v>
      </c>
      <c r="N392" s="90">
        <v>82014.179999999993</v>
      </c>
      <c r="O392" s="90">
        <v>417139.52</v>
      </c>
      <c r="P392" s="90">
        <v>200777.43</v>
      </c>
      <c r="Q392" s="90">
        <v>11906.1</v>
      </c>
      <c r="R392" s="90">
        <v>7.92</v>
      </c>
      <c r="S392" s="90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 s="90">
        <v>0</v>
      </c>
      <c r="Z392">
        <v>0</v>
      </c>
    </row>
    <row r="393" spans="2:26" ht="12.75" customHeight="1" x14ac:dyDescent="0.25">
      <c r="E393" s="89" t="s">
        <v>81</v>
      </c>
      <c r="F393" s="371">
        <v>6159.8</v>
      </c>
      <c r="G393" s="90">
        <v>758.67</v>
      </c>
      <c r="H393" s="90">
        <v>425.73</v>
      </c>
      <c r="I393" s="90">
        <v>228.3</v>
      </c>
      <c r="J393" s="90">
        <v>1132.43</v>
      </c>
      <c r="K393" s="90">
        <v>27.92</v>
      </c>
      <c r="L393" s="90">
        <v>0</v>
      </c>
      <c r="M393" s="90">
        <v>244.66</v>
      </c>
      <c r="N393" s="90">
        <v>357.03</v>
      </c>
      <c r="O393" s="90">
        <v>911.55</v>
      </c>
      <c r="P393" s="90">
        <v>2028.11</v>
      </c>
      <c r="Q393" s="90">
        <v>45.46</v>
      </c>
      <c r="R393" s="90">
        <v>-0.06</v>
      </c>
      <c r="S393" s="90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 s="90">
        <v>0</v>
      </c>
      <c r="Z393">
        <v>0</v>
      </c>
    </row>
    <row r="394" spans="2:26" ht="12.75" customHeight="1" x14ac:dyDescent="0.25">
      <c r="D394" t="s">
        <v>82</v>
      </c>
      <c r="E394" s="89" t="s">
        <v>70</v>
      </c>
      <c r="F394" s="371">
        <v>1190366.67</v>
      </c>
      <c r="G394" s="90">
        <v>77247.58</v>
      </c>
      <c r="H394" s="90">
        <v>41979.22</v>
      </c>
      <c r="I394" s="90">
        <v>21214.89</v>
      </c>
      <c r="J394" s="90">
        <v>263156.45</v>
      </c>
      <c r="K394" s="90">
        <v>7325.26</v>
      </c>
      <c r="L394" s="90">
        <v>0</v>
      </c>
      <c r="M394" s="90">
        <v>64256.03</v>
      </c>
      <c r="N394" s="90">
        <v>82371.210000000006</v>
      </c>
      <c r="O394" s="90">
        <v>418051.07</v>
      </c>
      <c r="P394" s="90">
        <v>202805.54</v>
      </c>
      <c r="Q394" s="90">
        <v>11951.56</v>
      </c>
      <c r="R394" s="90">
        <v>7.86</v>
      </c>
      <c r="S394" s="90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 s="90">
        <v>0</v>
      </c>
      <c r="Z394">
        <v>0</v>
      </c>
    </row>
    <row r="395" spans="2:26" ht="12.75" customHeight="1" x14ac:dyDescent="0.25">
      <c r="E395" s="89" t="s">
        <v>72</v>
      </c>
      <c r="F395" s="371">
        <v>4160608.67</v>
      </c>
      <c r="G395" s="90">
        <v>215759.35</v>
      </c>
      <c r="H395" s="90">
        <v>112643.92</v>
      </c>
      <c r="I395" s="90">
        <v>61662.09</v>
      </c>
      <c r="J395" s="90">
        <v>921523.14</v>
      </c>
      <c r="K395" s="90">
        <v>32438.44</v>
      </c>
      <c r="L395" s="90">
        <v>0</v>
      </c>
      <c r="M395" s="90">
        <v>291482.42</v>
      </c>
      <c r="N395" s="90">
        <v>320422.44</v>
      </c>
      <c r="O395" s="90">
        <v>1582904.92</v>
      </c>
      <c r="P395" s="90">
        <v>567970.87</v>
      </c>
      <c r="Q395" s="90">
        <v>53825.599999999999</v>
      </c>
      <c r="R395" s="90">
        <v>-24.52</v>
      </c>
      <c r="S395" s="90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 s="90">
        <v>0</v>
      </c>
      <c r="Z395">
        <v>0</v>
      </c>
    </row>
    <row r="396" spans="2:26" ht="12.5" customHeight="1" x14ac:dyDescent="0.25">
      <c r="E396" s="89" t="s">
        <v>81</v>
      </c>
      <c r="F396" s="90">
        <v>32139.77</v>
      </c>
      <c r="G396" s="90">
        <v>2170.21</v>
      </c>
      <c r="H396" s="90">
        <v>1175.33</v>
      </c>
      <c r="I396" s="90">
        <v>629.36</v>
      </c>
      <c r="J396" s="90">
        <v>6177.79</v>
      </c>
      <c r="K396" s="90">
        <v>248.12</v>
      </c>
      <c r="L396" s="90">
        <v>0</v>
      </c>
      <c r="M396" s="90">
        <v>2256.23</v>
      </c>
      <c r="N396" s="90">
        <v>2500.2600000000002</v>
      </c>
      <c r="O396" s="90">
        <v>10791.22</v>
      </c>
      <c r="P396" s="90">
        <v>5788.8</v>
      </c>
      <c r="Q396" s="90">
        <v>402.55</v>
      </c>
      <c r="R396" s="90">
        <v>-0.1</v>
      </c>
      <c r="S396" s="90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 s="90">
        <v>0</v>
      </c>
      <c r="Z396">
        <v>0</v>
      </c>
    </row>
    <row r="397" spans="2:26" ht="12.75" customHeight="1" x14ac:dyDescent="0.25">
      <c r="D397" t="s">
        <v>86</v>
      </c>
      <c r="E397" s="89" t="s">
        <v>70</v>
      </c>
      <c r="F397" s="90">
        <v>4192748.44</v>
      </c>
      <c r="G397" s="90">
        <v>217929.56</v>
      </c>
      <c r="H397" s="90">
        <v>113819.25</v>
      </c>
      <c r="I397" s="90">
        <v>62291.45</v>
      </c>
      <c r="J397" s="90">
        <v>927700.93</v>
      </c>
      <c r="K397" s="90">
        <v>32686.560000000001</v>
      </c>
      <c r="L397" s="90">
        <v>0</v>
      </c>
      <c r="M397" s="90">
        <v>293738.65000000002</v>
      </c>
      <c r="N397" s="90">
        <v>322922.7</v>
      </c>
      <c r="O397" s="90">
        <v>1593696.14</v>
      </c>
      <c r="P397" s="90">
        <v>573759.67000000004</v>
      </c>
      <c r="Q397" s="90">
        <v>54228.15</v>
      </c>
      <c r="R397" s="90">
        <v>-24.62</v>
      </c>
      <c r="S397" s="90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 s="90">
        <v>0</v>
      </c>
      <c r="Z397">
        <v>0</v>
      </c>
    </row>
    <row r="398" spans="2:26" s="94" customFormat="1" ht="12.75" customHeight="1" x14ac:dyDescent="0.25">
      <c r="C398" s="101" t="s">
        <v>119</v>
      </c>
      <c r="D398" s="101" t="s">
        <v>70</v>
      </c>
      <c r="F398" s="93">
        <v>5383115.1100000003</v>
      </c>
      <c r="G398" s="93">
        <v>295177.14</v>
      </c>
      <c r="H398" s="93">
        <v>155798.47</v>
      </c>
      <c r="I398" s="93">
        <v>83506.34</v>
      </c>
      <c r="J398" s="93">
        <v>1190857.3799999999</v>
      </c>
      <c r="K398" s="93">
        <v>40011.82</v>
      </c>
      <c r="L398" s="93">
        <v>0</v>
      </c>
      <c r="M398" s="93">
        <v>357994.68</v>
      </c>
      <c r="N398" s="93">
        <v>405293.91</v>
      </c>
      <c r="O398" s="93">
        <v>2011747.21</v>
      </c>
      <c r="P398" s="93">
        <v>776565.21</v>
      </c>
      <c r="Q398" s="93">
        <v>66179.710000000006</v>
      </c>
      <c r="R398" s="93">
        <v>-16.760000000000002</v>
      </c>
      <c r="S398" s="93">
        <v>0</v>
      </c>
      <c r="T398" s="94">
        <v>0</v>
      </c>
      <c r="U398" s="94">
        <v>0</v>
      </c>
      <c r="V398" s="94">
        <v>0</v>
      </c>
      <c r="W398" s="94">
        <v>0</v>
      </c>
      <c r="X398" s="94">
        <v>0</v>
      </c>
      <c r="Y398" s="93">
        <v>0</v>
      </c>
      <c r="Z398" s="94">
        <v>0</v>
      </c>
    </row>
    <row r="399" spans="2:26" s="378" customFormat="1" ht="12.75" customHeight="1" x14ac:dyDescent="0.25">
      <c r="B399" s="378" t="s">
        <v>122</v>
      </c>
      <c r="C399" s="378" t="s">
        <v>70</v>
      </c>
      <c r="E399" s="376"/>
      <c r="F399" s="377">
        <v>82573215.549999997</v>
      </c>
      <c r="G399" s="377">
        <v>6075269.3300000001</v>
      </c>
      <c r="H399" s="377">
        <v>3380450.04</v>
      </c>
      <c r="I399" s="377">
        <v>1783357.17</v>
      </c>
      <c r="J399" s="377">
        <v>16603424.77</v>
      </c>
      <c r="K399" s="377">
        <v>514853.18</v>
      </c>
      <c r="L399" s="377">
        <v>5153.8500000000004</v>
      </c>
      <c r="M399" s="377">
        <v>4479556.1500000004</v>
      </c>
      <c r="N399" s="377">
        <v>5391190.3499999996</v>
      </c>
      <c r="O399" s="377">
        <v>27410403</v>
      </c>
      <c r="P399" s="377">
        <v>16085765.42</v>
      </c>
      <c r="Q399" s="377">
        <v>843874.77</v>
      </c>
      <c r="R399" s="377">
        <v>-83.41</v>
      </c>
      <c r="S399" s="377">
        <v>0</v>
      </c>
      <c r="T399" s="378">
        <v>0.93</v>
      </c>
      <c r="U399" s="378">
        <v>0</v>
      </c>
      <c r="V399" s="378">
        <v>0</v>
      </c>
      <c r="W399" s="378">
        <v>0</v>
      </c>
      <c r="X399" s="378">
        <v>0</v>
      </c>
      <c r="Y399" s="377">
        <v>0</v>
      </c>
      <c r="Z399" s="378">
        <v>0</v>
      </c>
    </row>
    <row r="400" spans="2:26" ht="12.75" customHeight="1" x14ac:dyDescent="0.25">
      <c r="E400" s="89" t="s">
        <v>72</v>
      </c>
      <c r="F400" s="90">
        <v>7003659421.1700001</v>
      </c>
      <c r="G400" s="90">
        <v>374774350.44</v>
      </c>
      <c r="H400" s="90">
        <v>208049577.94999999</v>
      </c>
      <c r="I400" s="90">
        <v>110764449.34</v>
      </c>
      <c r="J400" s="90">
        <v>1646166594.3800001</v>
      </c>
      <c r="K400" s="90">
        <v>57680588.869999997</v>
      </c>
      <c r="L400" s="90">
        <v>3969603.72</v>
      </c>
      <c r="M400" s="90">
        <v>504650259.18000001</v>
      </c>
      <c r="N400" s="90">
        <v>491338475.31999999</v>
      </c>
      <c r="O400" s="90">
        <v>2520403268.2800002</v>
      </c>
      <c r="P400" s="90">
        <v>991617251.90999997</v>
      </c>
      <c r="Q400" s="90">
        <v>94241315.799999997</v>
      </c>
      <c r="R400" s="90">
        <v>3685.98</v>
      </c>
      <c r="S400" s="9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 s="90">
        <v>0</v>
      </c>
      <c r="Z400">
        <v>0</v>
      </c>
    </row>
    <row r="401" spans="3:26" ht="12.75" customHeight="1" x14ac:dyDescent="0.25">
      <c r="E401" s="89" t="s">
        <v>81</v>
      </c>
      <c r="F401" s="371">
        <v>10284754.109999999</v>
      </c>
      <c r="G401" s="90">
        <v>1213427.94</v>
      </c>
      <c r="H401" s="90">
        <v>539696.13</v>
      </c>
      <c r="I401" s="90">
        <v>217499.02</v>
      </c>
      <c r="J401" s="90">
        <v>1729790.54</v>
      </c>
      <c r="K401" s="90">
        <v>64989.47</v>
      </c>
      <c r="L401" s="90">
        <v>4018.66</v>
      </c>
      <c r="M401" s="90">
        <v>564951.34</v>
      </c>
      <c r="N401" s="90">
        <v>638984.88</v>
      </c>
      <c r="O401" s="90">
        <v>1996805.8</v>
      </c>
      <c r="P401" s="90">
        <v>3208426.95</v>
      </c>
      <c r="Q401" s="90">
        <v>106120.33</v>
      </c>
      <c r="R401" s="90">
        <v>-27.34</v>
      </c>
      <c r="S401" s="90">
        <v>-0.04</v>
      </c>
      <c r="T401">
        <v>70.430000000000007</v>
      </c>
      <c r="U401">
        <v>0</v>
      </c>
      <c r="V401">
        <v>0</v>
      </c>
      <c r="W401">
        <v>0</v>
      </c>
      <c r="X401">
        <v>0</v>
      </c>
      <c r="Y401" s="90">
        <v>0</v>
      </c>
      <c r="Z401">
        <v>0</v>
      </c>
    </row>
    <row r="402" spans="3:26" ht="12.75" customHeight="1" x14ac:dyDescent="0.25">
      <c r="D402" t="s">
        <v>156</v>
      </c>
      <c r="E402" s="89" t="s">
        <v>70</v>
      </c>
      <c r="F402" s="90">
        <v>7013944175.2799997</v>
      </c>
      <c r="G402" s="90">
        <v>375987778.38</v>
      </c>
      <c r="H402" s="90">
        <v>208589274.08000001</v>
      </c>
      <c r="I402" s="90">
        <v>110981948.36</v>
      </c>
      <c r="J402" s="90">
        <v>1647896384.9200001</v>
      </c>
      <c r="K402" s="90">
        <v>57745578.340000004</v>
      </c>
      <c r="L402" s="90">
        <v>3973622.38</v>
      </c>
      <c r="M402" s="90">
        <v>505215210.51999998</v>
      </c>
      <c r="N402" s="90">
        <v>491977460.19999999</v>
      </c>
      <c r="O402" s="90">
        <v>2522400074.0799999</v>
      </c>
      <c r="P402" s="90">
        <v>994825678.86000001</v>
      </c>
      <c r="Q402" s="90">
        <v>94347436.129999995</v>
      </c>
      <c r="R402" s="90">
        <v>3658.64</v>
      </c>
      <c r="S402" s="90">
        <v>-0.04</v>
      </c>
      <c r="T402">
        <v>70.430000000000007</v>
      </c>
      <c r="U402">
        <v>0</v>
      </c>
      <c r="V402">
        <v>0</v>
      </c>
      <c r="W402">
        <v>0</v>
      </c>
      <c r="X402">
        <v>0</v>
      </c>
      <c r="Y402" s="90">
        <v>0</v>
      </c>
      <c r="Z402">
        <v>0</v>
      </c>
    </row>
    <row r="403" spans="3:26" s="656" customFormat="1" ht="12.75" customHeight="1" x14ac:dyDescent="0.25">
      <c r="C403" s="656" t="s">
        <v>155</v>
      </c>
      <c r="D403" s="657" t="s">
        <v>70</v>
      </c>
      <c r="E403" s="657"/>
      <c r="F403" s="658">
        <v>7013944175.2799997</v>
      </c>
      <c r="G403" s="658">
        <v>375987778.38</v>
      </c>
      <c r="H403" s="658">
        <v>208589274.08000001</v>
      </c>
      <c r="I403" s="658">
        <v>110981948.36</v>
      </c>
      <c r="J403" s="658">
        <v>1647896384.9200001</v>
      </c>
      <c r="K403" s="658">
        <v>57745578.340000004</v>
      </c>
      <c r="L403" s="658">
        <v>3973622.38</v>
      </c>
      <c r="M403" s="658">
        <v>505215210.51999998</v>
      </c>
      <c r="N403" s="658">
        <v>491977460.19999999</v>
      </c>
      <c r="O403" s="658">
        <v>2522400074.0799999</v>
      </c>
      <c r="P403" s="658">
        <v>994825678.86000001</v>
      </c>
      <c r="Q403" s="658">
        <v>94347436.129999995</v>
      </c>
      <c r="R403" s="658">
        <v>3658.64</v>
      </c>
      <c r="S403" s="658">
        <v>-0.04</v>
      </c>
      <c r="T403" s="656">
        <v>70.430000000000007</v>
      </c>
      <c r="U403" s="656">
        <v>0</v>
      </c>
      <c r="V403" s="656">
        <v>0</v>
      </c>
      <c r="W403" s="656">
        <v>0</v>
      </c>
      <c r="X403" s="656">
        <v>0</v>
      </c>
      <c r="Y403" s="658">
        <v>0</v>
      </c>
      <c r="Z403" s="656">
        <v>0</v>
      </c>
    </row>
    <row r="404" spans="3:26" ht="12.75" customHeight="1" x14ac:dyDescent="0.25">
      <c r="D404" s="89"/>
      <c r="E404" s="89" t="s">
        <v>72</v>
      </c>
      <c r="F404" s="371">
        <v>185863.09</v>
      </c>
      <c r="G404" s="90">
        <v>16002.5</v>
      </c>
      <c r="H404" s="90">
        <v>7661.13</v>
      </c>
      <c r="I404" s="90">
        <v>4162.5200000000004</v>
      </c>
      <c r="J404" s="90">
        <v>38697.85</v>
      </c>
      <c r="K404" s="90">
        <v>1085.83</v>
      </c>
      <c r="L404" s="90">
        <v>0</v>
      </c>
      <c r="M404" s="90">
        <v>9524.8799999999992</v>
      </c>
      <c r="N404" s="90">
        <v>10601.79</v>
      </c>
      <c r="O404" s="90">
        <v>53215.3</v>
      </c>
      <c r="P404" s="90">
        <v>43137.45</v>
      </c>
      <c r="Q404" s="90">
        <v>1771.62</v>
      </c>
      <c r="R404" s="90">
        <v>2.2200000000000002</v>
      </c>
      <c r="S404" s="90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 s="90">
        <v>0</v>
      </c>
      <c r="Z404">
        <v>0</v>
      </c>
    </row>
    <row r="405" spans="3:26" ht="12.75" customHeight="1" x14ac:dyDescent="0.25">
      <c r="D405" s="89"/>
      <c r="E405" s="89" t="s">
        <v>81</v>
      </c>
      <c r="F405" s="371">
        <v>569.01</v>
      </c>
      <c r="G405" s="90">
        <v>55.63</v>
      </c>
      <c r="H405" s="90">
        <v>25.69</v>
      </c>
      <c r="I405" s="90">
        <v>14.66</v>
      </c>
      <c r="J405" s="90">
        <v>110.44</v>
      </c>
      <c r="K405" s="90">
        <v>2.94</v>
      </c>
      <c r="L405" s="90">
        <v>0</v>
      </c>
      <c r="M405" s="90">
        <v>25.75</v>
      </c>
      <c r="N405" s="90">
        <v>29.17</v>
      </c>
      <c r="O405" s="90">
        <v>152.04</v>
      </c>
      <c r="P405" s="90">
        <v>147.88999999999999</v>
      </c>
      <c r="Q405" s="90">
        <v>4.79</v>
      </c>
      <c r="R405" s="90">
        <v>0.01</v>
      </c>
      <c r="S405" s="90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 s="90">
        <v>0</v>
      </c>
      <c r="Z405">
        <v>0</v>
      </c>
    </row>
    <row r="406" spans="3:26" ht="12.75" customHeight="1" x14ac:dyDescent="0.25">
      <c r="D406" s="89" t="s">
        <v>115</v>
      </c>
      <c r="E406" s="89" t="s">
        <v>70</v>
      </c>
      <c r="F406" s="371">
        <v>186432.1</v>
      </c>
      <c r="G406" s="90">
        <v>16058.13</v>
      </c>
      <c r="H406" s="90">
        <v>7686.82</v>
      </c>
      <c r="I406" s="90">
        <v>4177.18</v>
      </c>
      <c r="J406" s="90">
        <v>38808.29</v>
      </c>
      <c r="K406" s="90">
        <v>1088.77</v>
      </c>
      <c r="L406" s="90">
        <v>0</v>
      </c>
      <c r="M406" s="90">
        <v>9550.6299999999992</v>
      </c>
      <c r="N406" s="90">
        <v>10630.96</v>
      </c>
      <c r="O406" s="90">
        <v>53367.34</v>
      </c>
      <c r="P406" s="90">
        <v>43285.34</v>
      </c>
      <c r="Q406" s="90">
        <v>1776.41</v>
      </c>
      <c r="R406" s="90">
        <v>2.23</v>
      </c>
      <c r="S406" s="90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 s="90">
        <v>0</v>
      </c>
      <c r="Z406">
        <v>0</v>
      </c>
    </row>
    <row r="407" spans="3:26" ht="12.75" customHeight="1" x14ac:dyDescent="0.25">
      <c r="C407" s="89"/>
      <c r="D407" s="89"/>
      <c r="E407" t="s">
        <v>72</v>
      </c>
      <c r="F407" s="90">
        <v>423621.34</v>
      </c>
      <c r="G407" s="90">
        <v>21345.89</v>
      </c>
      <c r="H407" s="90">
        <v>11893.8</v>
      </c>
      <c r="I407" s="90">
        <v>6325.72</v>
      </c>
      <c r="J407" s="90">
        <v>101980.27</v>
      </c>
      <c r="K407" s="90">
        <v>3558.66</v>
      </c>
      <c r="L407" s="90">
        <v>0</v>
      </c>
      <c r="M407" s="90">
        <v>31216.25</v>
      </c>
      <c r="N407" s="90">
        <v>30048.89</v>
      </c>
      <c r="O407" s="90">
        <v>154927.42000000001</v>
      </c>
      <c r="P407" s="90">
        <v>56517.77</v>
      </c>
      <c r="Q407" s="90">
        <v>5806.18</v>
      </c>
      <c r="R407" s="90">
        <v>0.49</v>
      </c>
      <c r="S407" s="90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 s="90">
        <v>0</v>
      </c>
      <c r="Z407">
        <v>0</v>
      </c>
    </row>
    <row r="408" spans="3:26" ht="12.75" customHeight="1" x14ac:dyDescent="0.25">
      <c r="E408" s="89" t="s">
        <v>81</v>
      </c>
      <c r="F408" s="90">
        <v>38.57</v>
      </c>
      <c r="G408" s="90">
        <v>1.66</v>
      </c>
      <c r="H408" s="90">
        <v>0.94</v>
      </c>
      <c r="I408" s="90">
        <v>0.49</v>
      </c>
      <c r="J408" s="90">
        <v>9.73</v>
      </c>
      <c r="K408" s="90">
        <v>0.33</v>
      </c>
      <c r="L408" s="90">
        <v>0</v>
      </c>
      <c r="M408" s="90">
        <v>2.94</v>
      </c>
      <c r="N408" s="90">
        <v>2.83</v>
      </c>
      <c r="O408" s="90">
        <v>14.69</v>
      </c>
      <c r="P408" s="90">
        <v>4.41</v>
      </c>
      <c r="Q408" s="90">
        <v>0.55000000000000004</v>
      </c>
      <c r="R408" s="90">
        <v>0</v>
      </c>
      <c r="S408" s="90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 s="90">
        <v>0</v>
      </c>
      <c r="Z408">
        <v>0</v>
      </c>
    </row>
    <row r="409" spans="3:26" ht="12.75" customHeight="1" x14ac:dyDescent="0.25">
      <c r="D409" t="s">
        <v>118</v>
      </c>
      <c r="E409" s="89" t="s">
        <v>70</v>
      </c>
      <c r="F409" s="90">
        <v>423659.91</v>
      </c>
      <c r="G409" s="90">
        <v>21347.55</v>
      </c>
      <c r="H409" s="90">
        <v>11894.74</v>
      </c>
      <c r="I409" s="90">
        <v>6326.21</v>
      </c>
      <c r="J409" s="90">
        <v>101990</v>
      </c>
      <c r="K409" s="90">
        <v>3558.99</v>
      </c>
      <c r="L409" s="90">
        <v>0</v>
      </c>
      <c r="M409" s="90">
        <v>31219.19</v>
      </c>
      <c r="N409" s="90">
        <v>30051.72</v>
      </c>
      <c r="O409" s="90">
        <v>154942.10999999999</v>
      </c>
      <c r="P409" s="90">
        <v>56522.18</v>
      </c>
      <c r="Q409" s="90">
        <v>5806.73</v>
      </c>
      <c r="R409" s="90">
        <v>0.49</v>
      </c>
      <c r="S409" s="90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 s="90">
        <v>0</v>
      </c>
      <c r="Z409">
        <v>0</v>
      </c>
    </row>
    <row r="410" spans="3:26" s="224" customFormat="1" ht="12.75" customHeight="1" x14ac:dyDescent="0.25">
      <c r="C410" s="223" t="s">
        <v>120</v>
      </c>
      <c r="D410" s="223" t="s">
        <v>70</v>
      </c>
      <c r="F410" s="225">
        <v>610092.01</v>
      </c>
      <c r="G410" s="225">
        <v>37405.68</v>
      </c>
      <c r="H410" s="225">
        <v>19581.560000000001</v>
      </c>
      <c r="I410" s="225">
        <v>10503.39</v>
      </c>
      <c r="J410" s="225">
        <v>140798.29</v>
      </c>
      <c r="K410" s="225">
        <v>4647.76</v>
      </c>
      <c r="L410" s="225">
        <v>0</v>
      </c>
      <c r="M410" s="225">
        <v>40769.82</v>
      </c>
      <c r="N410" s="225">
        <v>40682.68</v>
      </c>
      <c r="O410" s="225">
        <v>208309.45</v>
      </c>
      <c r="P410" s="225">
        <v>99807.52</v>
      </c>
      <c r="Q410" s="225">
        <v>7583.14</v>
      </c>
      <c r="R410" s="225">
        <v>2.72</v>
      </c>
      <c r="S410" s="225">
        <v>0</v>
      </c>
      <c r="T410" s="224">
        <v>0</v>
      </c>
      <c r="U410" s="224">
        <v>0</v>
      </c>
      <c r="V410" s="224">
        <v>0</v>
      </c>
      <c r="W410" s="224">
        <v>0</v>
      </c>
      <c r="X410" s="224">
        <v>0</v>
      </c>
      <c r="Y410" s="225">
        <v>0</v>
      </c>
      <c r="Z410" s="224">
        <v>0</v>
      </c>
    </row>
    <row r="411" spans="3:26" ht="12.75" customHeight="1" x14ac:dyDescent="0.25">
      <c r="E411" s="89" t="s">
        <v>72</v>
      </c>
      <c r="F411" s="90">
        <v>247413415.55000001</v>
      </c>
      <c r="G411" s="90">
        <v>14994454.029999999</v>
      </c>
      <c r="H411" s="90">
        <v>8467042.5</v>
      </c>
      <c r="I411" s="90">
        <v>4477664.2300000004</v>
      </c>
      <c r="J411" s="90">
        <v>55730321.329999998</v>
      </c>
      <c r="K411" s="90">
        <v>1402128.83</v>
      </c>
      <c r="L411" s="90">
        <v>0</v>
      </c>
      <c r="M411" s="90">
        <v>12295038.92</v>
      </c>
      <c r="N411" s="90">
        <v>17597190.579999998</v>
      </c>
      <c r="O411" s="90">
        <v>90302516.069999993</v>
      </c>
      <c r="P411" s="90">
        <v>39849368.880000003</v>
      </c>
      <c r="Q411" s="90">
        <v>2297854.7000000002</v>
      </c>
      <c r="R411" s="90">
        <v>-164.52</v>
      </c>
      <c r="S411" s="90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 s="90">
        <v>0</v>
      </c>
      <c r="Z411">
        <v>0</v>
      </c>
    </row>
    <row r="412" spans="3:26" ht="12.75" customHeight="1" x14ac:dyDescent="0.25">
      <c r="D412" s="89"/>
      <c r="E412" s="89" t="s">
        <v>81</v>
      </c>
      <c r="F412" s="90">
        <v>784802.64</v>
      </c>
      <c r="G412" s="90">
        <v>71138.67</v>
      </c>
      <c r="H412" s="90">
        <v>40381.870000000003</v>
      </c>
      <c r="I412" s="90">
        <v>21492.720000000001</v>
      </c>
      <c r="J412" s="90">
        <v>199129.87</v>
      </c>
      <c r="K412" s="90">
        <v>5136.6499999999996</v>
      </c>
      <c r="L412" s="90">
        <v>0</v>
      </c>
      <c r="M412" s="90">
        <v>44905.13</v>
      </c>
      <c r="N412" s="90">
        <v>63932.38</v>
      </c>
      <c r="O412" s="90">
        <v>139794.21</v>
      </c>
      <c r="P412" s="90">
        <v>190453.81</v>
      </c>
      <c r="Q412" s="90">
        <v>8437.7999999999993</v>
      </c>
      <c r="R412" s="90">
        <v>-0.53</v>
      </c>
      <c r="S412" s="90">
        <v>0.02</v>
      </c>
      <c r="T412">
        <v>0.04</v>
      </c>
      <c r="U412">
        <v>0</v>
      </c>
      <c r="V412">
        <v>0</v>
      </c>
      <c r="W412">
        <v>0</v>
      </c>
      <c r="X412">
        <v>0</v>
      </c>
      <c r="Y412" s="90">
        <v>0</v>
      </c>
      <c r="Z412">
        <v>0</v>
      </c>
    </row>
    <row r="413" spans="3:26" ht="12.75" customHeight="1" x14ac:dyDescent="0.25">
      <c r="D413" t="s">
        <v>82</v>
      </c>
      <c r="E413" s="89" t="s">
        <v>70</v>
      </c>
      <c r="F413" s="90">
        <v>248198218.19</v>
      </c>
      <c r="G413" s="90">
        <v>15065592.699999999</v>
      </c>
      <c r="H413" s="90">
        <v>8507424.3699999992</v>
      </c>
      <c r="I413" s="90">
        <v>4499156.95</v>
      </c>
      <c r="J413" s="90">
        <v>55929451.200000003</v>
      </c>
      <c r="K413" s="90">
        <v>1407265.48</v>
      </c>
      <c r="L413" s="90">
        <v>0</v>
      </c>
      <c r="M413" s="90">
        <v>12339944.050000001</v>
      </c>
      <c r="N413" s="90">
        <v>17661122.960000001</v>
      </c>
      <c r="O413" s="90">
        <v>90442310.280000001</v>
      </c>
      <c r="P413" s="90">
        <v>40039822.689999998</v>
      </c>
      <c r="Q413" s="90">
        <v>2306292.5</v>
      </c>
      <c r="R413" s="90">
        <v>-165.05</v>
      </c>
      <c r="S413" s="90">
        <v>0.02</v>
      </c>
      <c r="T413">
        <v>0.04</v>
      </c>
      <c r="U413">
        <v>0</v>
      </c>
      <c r="V413">
        <v>0</v>
      </c>
      <c r="W413">
        <v>0</v>
      </c>
      <c r="X413">
        <v>0</v>
      </c>
      <c r="Y413" s="90">
        <v>0</v>
      </c>
      <c r="Z413">
        <v>0</v>
      </c>
    </row>
    <row r="414" spans="3:26" ht="12.75" customHeight="1" x14ac:dyDescent="0.25">
      <c r="E414" s="89" t="s">
        <v>72</v>
      </c>
      <c r="F414" s="90">
        <v>164459620.84999999</v>
      </c>
      <c r="G414" s="90">
        <v>14657052.93</v>
      </c>
      <c r="H414" s="90">
        <v>7987019.5499999998</v>
      </c>
      <c r="I414" s="90">
        <v>4165294.51</v>
      </c>
      <c r="J414" s="90">
        <v>28566888.760000002</v>
      </c>
      <c r="K414" s="90">
        <v>906393.52</v>
      </c>
      <c r="L414" s="90">
        <v>945653.36</v>
      </c>
      <c r="M414" s="90">
        <v>7999818.3200000003</v>
      </c>
      <c r="N414" s="90">
        <v>9872400.5</v>
      </c>
      <c r="O414" s="90">
        <v>48974036.539999999</v>
      </c>
      <c r="P414" s="90">
        <v>38902335.219999999</v>
      </c>
      <c r="Q414" s="90">
        <v>1483196.74</v>
      </c>
      <c r="R414" s="90">
        <v>-469.1</v>
      </c>
      <c r="S414" s="90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 s="90">
        <v>0</v>
      </c>
      <c r="Z414">
        <v>0</v>
      </c>
    </row>
    <row r="415" spans="3:26" ht="12.75" customHeight="1" x14ac:dyDescent="0.25">
      <c r="D415" s="89"/>
      <c r="E415" s="89" t="s">
        <v>81</v>
      </c>
      <c r="F415" s="90">
        <v>10830660.560000001</v>
      </c>
      <c r="G415" s="90">
        <v>1178876.96</v>
      </c>
      <c r="H415" s="90">
        <v>542814.75</v>
      </c>
      <c r="I415" s="90">
        <v>225396.96</v>
      </c>
      <c r="J415" s="90">
        <v>1871755.34</v>
      </c>
      <c r="K415" s="90">
        <v>69102.42</v>
      </c>
      <c r="L415" s="90">
        <v>9054.48</v>
      </c>
      <c r="M415" s="90">
        <v>605610.96</v>
      </c>
      <c r="N415" s="90">
        <v>733582.6</v>
      </c>
      <c r="O415" s="90">
        <v>2391699.87</v>
      </c>
      <c r="P415" s="90">
        <v>3089845.51</v>
      </c>
      <c r="Q415" s="90">
        <v>112817.53</v>
      </c>
      <c r="R415" s="90">
        <v>103.06</v>
      </c>
      <c r="S415" s="90">
        <v>-0.04</v>
      </c>
      <c r="T415">
        <v>0.16</v>
      </c>
      <c r="U415">
        <v>0</v>
      </c>
      <c r="V415">
        <v>0</v>
      </c>
      <c r="W415">
        <v>0</v>
      </c>
      <c r="X415">
        <v>0</v>
      </c>
      <c r="Y415" s="90">
        <v>0</v>
      </c>
      <c r="Z415">
        <v>0</v>
      </c>
    </row>
    <row r="416" spans="3:26" ht="12.75" customHeight="1" x14ac:dyDescent="0.25">
      <c r="C416" s="89"/>
      <c r="D416" s="89" t="s">
        <v>86</v>
      </c>
      <c r="E416" t="s">
        <v>70</v>
      </c>
      <c r="F416" s="90">
        <v>175290281.41</v>
      </c>
      <c r="G416" s="90">
        <v>15835929.890000001</v>
      </c>
      <c r="H416" s="90">
        <v>8529834.3000000007</v>
      </c>
      <c r="I416" s="90">
        <v>4390691.47</v>
      </c>
      <c r="J416" s="90">
        <v>30438644.100000001</v>
      </c>
      <c r="K416" s="90">
        <v>975495.94</v>
      </c>
      <c r="L416" s="90">
        <v>954707.84</v>
      </c>
      <c r="M416" s="90">
        <v>8605429.2799999993</v>
      </c>
      <c r="N416" s="90">
        <v>10605983.1</v>
      </c>
      <c r="O416" s="90">
        <v>51365736.409999996</v>
      </c>
      <c r="P416" s="90">
        <v>41992180.729999997</v>
      </c>
      <c r="Q416" s="90">
        <v>1596014.27</v>
      </c>
      <c r="R416" s="90">
        <v>-366.04</v>
      </c>
      <c r="S416" s="90">
        <v>-0.04</v>
      </c>
      <c r="T416">
        <v>0.16</v>
      </c>
      <c r="U416">
        <v>0</v>
      </c>
      <c r="V416">
        <v>0</v>
      </c>
      <c r="W416">
        <v>0</v>
      </c>
      <c r="X416">
        <v>0</v>
      </c>
      <c r="Y416" s="90">
        <v>0</v>
      </c>
      <c r="Z416">
        <v>0</v>
      </c>
    </row>
    <row r="417" spans="1:26" ht="12.75" customHeight="1" x14ac:dyDescent="0.25">
      <c r="B417" s="89"/>
      <c r="C417" s="89"/>
      <c r="E417" t="s">
        <v>72</v>
      </c>
      <c r="F417" s="90">
        <v>431102152.11000001</v>
      </c>
      <c r="G417" s="90">
        <v>65084742.219999999</v>
      </c>
      <c r="H417" s="90">
        <v>36405427.939999998</v>
      </c>
      <c r="I417" s="90">
        <v>19272428.57</v>
      </c>
      <c r="J417" s="90">
        <v>41772787.899999999</v>
      </c>
      <c r="K417" s="90">
        <v>1023645.19</v>
      </c>
      <c r="L417" s="90">
        <v>5116662.03</v>
      </c>
      <c r="M417" s="90">
        <v>8970241.9700000007</v>
      </c>
      <c r="N417" s="90">
        <v>12900633.08</v>
      </c>
      <c r="O417" s="90">
        <v>66313235.329999998</v>
      </c>
      <c r="P417" s="90">
        <v>172565599.09999999</v>
      </c>
      <c r="Q417" s="90">
        <v>1676991.19</v>
      </c>
      <c r="R417" s="90">
        <v>-242.41</v>
      </c>
      <c r="S417" s="90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 s="90">
        <v>0</v>
      </c>
      <c r="Z417">
        <v>0</v>
      </c>
    </row>
    <row r="418" spans="1:26" ht="12.75" customHeight="1" x14ac:dyDescent="0.25">
      <c r="A418" s="89"/>
      <c r="B418" s="89"/>
      <c r="E418" t="s">
        <v>81</v>
      </c>
      <c r="F418" s="90">
        <v>2147962.06</v>
      </c>
      <c r="G418" s="90">
        <v>363584.9</v>
      </c>
      <c r="H418" s="90">
        <v>201010.36</v>
      </c>
      <c r="I418" s="90">
        <v>106698.99</v>
      </c>
      <c r="J418" s="90">
        <v>188482.26</v>
      </c>
      <c r="K418" s="90">
        <v>4718.29</v>
      </c>
      <c r="L418" s="90">
        <v>18129.29</v>
      </c>
      <c r="M418" s="90">
        <v>41285.19</v>
      </c>
      <c r="N418" s="90">
        <v>58737.46</v>
      </c>
      <c r="O418" s="90">
        <v>185192.24</v>
      </c>
      <c r="P418" s="90">
        <v>972385.02</v>
      </c>
      <c r="Q418" s="90">
        <v>7738.51</v>
      </c>
      <c r="R418" s="90">
        <v>-0.45</v>
      </c>
      <c r="S418" s="90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 s="90">
        <v>0</v>
      </c>
      <c r="Z418">
        <v>0</v>
      </c>
    </row>
    <row r="419" spans="1:26" ht="12.75" customHeight="1" x14ac:dyDescent="0.25">
      <c r="A419" s="89"/>
      <c r="B419" s="89"/>
      <c r="D419" t="s">
        <v>87</v>
      </c>
      <c r="E419" t="s">
        <v>70</v>
      </c>
      <c r="F419" s="371">
        <v>433250114.17000002</v>
      </c>
      <c r="G419" s="90">
        <v>65448327.119999997</v>
      </c>
      <c r="H419" s="90">
        <v>36606438.299999997</v>
      </c>
      <c r="I419" s="90">
        <v>19379127.559999999</v>
      </c>
      <c r="J419" s="90">
        <v>41961270.159999996</v>
      </c>
      <c r="K419" s="90">
        <v>1028363.48</v>
      </c>
      <c r="L419" s="90">
        <v>5134791.32</v>
      </c>
      <c r="M419" s="90">
        <v>9011527.1600000001</v>
      </c>
      <c r="N419" s="90">
        <v>12959370.539999999</v>
      </c>
      <c r="O419" s="90">
        <v>66498427.57</v>
      </c>
      <c r="P419" s="90">
        <v>173537984.12</v>
      </c>
      <c r="Q419" s="90">
        <v>1684729.7</v>
      </c>
      <c r="R419" s="90">
        <v>-242.86</v>
      </c>
      <c r="S419" s="90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 s="90">
        <v>0</v>
      </c>
      <c r="Z419">
        <v>0</v>
      </c>
    </row>
    <row r="420" spans="1:26" s="94" customFormat="1" ht="12.75" customHeight="1" x14ac:dyDescent="0.25">
      <c r="C420" s="101" t="s">
        <v>119</v>
      </c>
      <c r="D420" s="101" t="s">
        <v>70</v>
      </c>
      <c r="F420" s="93">
        <v>856738613.76999998</v>
      </c>
      <c r="G420" s="93">
        <v>96349849.709999993</v>
      </c>
      <c r="H420" s="93">
        <v>53643696.969999999</v>
      </c>
      <c r="I420" s="93">
        <v>28268975.98</v>
      </c>
      <c r="J420" s="93">
        <v>128329365.45999999</v>
      </c>
      <c r="K420" s="93">
        <v>3411124.9</v>
      </c>
      <c r="L420" s="93">
        <v>6089499.1600000001</v>
      </c>
      <c r="M420" s="93">
        <v>29956900.489999998</v>
      </c>
      <c r="N420" s="93">
        <v>41226476.600000001</v>
      </c>
      <c r="O420" s="93">
        <v>208306474.25999999</v>
      </c>
      <c r="P420" s="93">
        <v>255569987.53999999</v>
      </c>
      <c r="Q420" s="93">
        <v>5587036.4699999997</v>
      </c>
      <c r="R420" s="93">
        <v>-773.95</v>
      </c>
      <c r="S420" s="93">
        <v>-0.02</v>
      </c>
      <c r="T420" s="94">
        <v>0.2</v>
      </c>
      <c r="U420" s="94">
        <v>0</v>
      </c>
      <c r="V420" s="94">
        <v>0</v>
      </c>
      <c r="W420" s="94">
        <v>0</v>
      </c>
      <c r="X420" s="94">
        <v>0</v>
      </c>
      <c r="Y420" s="93">
        <v>0</v>
      </c>
      <c r="Z420" s="94">
        <v>0</v>
      </c>
    </row>
    <row r="421" spans="1:26" s="226" customFormat="1" ht="12.75" customHeight="1" x14ac:dyDescent="0.25">
      <c r="B421" s="98" t="s">
        <v>112</v>
      </c>
      <c r="C421" s="98" t="s">
        <v>70</v>
      </c>
      <c r="F421" s="100">
        <v>7871292881.0600004</v>
      </c>
      <c r="G421" s="100">
        <v>472375033.76999998</v>
      </c>
      <c r="H421" s="100">
        <v>262252552.61000001</v>
      </c>
      <c r="I421" s="100">
        <v>139261427.72999999</v>
      </c>
      <c r="J421" s="100">
        <v>1776366548.6700001</v>
      </c>
      <c r="K421" s="100">
        <v>61161351</v>
      </c>
      <c r="L421" s="100">
        <v>10063121.539999999</v>
      </c>
      <c r="M421" s="100">
        <v>535212880.82999998</v>
      </c>
      <c r="N421" s="100">
        <v>533244619.48000002</v>
      </c>
      <c r="O421" s="100">
        <v>2730914857.79</v>
      </c>
      <c r="P421" s="100">
        <v>1250495473.9200001</v>
      </c>
      <c r="Q421" s="100">
        <v>99942055.739999995</v>
      </c>
      <c r="R421" s="100">
        <v>2887.41</v>
      </c>
      <c r="S421" s="100">
        <v>-0.06</v>
      </c>
      <c r="T421" s="226">
        <v>70.63</v>
      </c>
      <c r="U421" s="226">
        <v>0</v>
      </c>
      <c r="V421" s="226">
        <v>0</v>
      </c>
      <c r="W421" s="226">
        <v>0</v>
      </c>
      <c r="X421" s="226">
        <v>0</v>
      </c>
      <c r="Y421" s="100">
        <v>0</v>
      </c>
      <c r="Z421" s="226">
        <v>0</v>
      </c>
    </row>
    <row r="422" spans="1:26" ht="12" customHeight="1" x14ac:dyDescent="0.25">
      <c r="A422" s="89" t="s">
        <v>78</v>
      </c>
      <c r="B422" s="89" t="s">
        <v>70</v>
      </c>
      <c r="F422" s="371">
        <v>7953866096.6099997</v>
      </c>
      <c r="G422" s="90">
        <v>478450303.10000002</v>
      </c>
      <c r="H422" s="90">
        <v>265633002.65000001</v>
      </c>
      <c r="I422" s="90">
        <v>141044784.90000001</v>
      </c>
      <c r="J422" s="90">
        <v>1792969973.4400001</v>
      </c>
      <c r="K422" s="90">
        <v>61676204.18</v>
      </c>
      <c r="L422" s="90">
        <v>10068275.390000001</v>
      </c>
      <c r="M422" s="90">
        <v>539692436.98000002</v>
      </c>
      <c r="N422" s="90">
        <v>538635809.83000004</v>
      </c>
      <c r="O422" s="90">
        <v>2758325260.79</v>
      </c>
      <c r="P422" s="90">
        <v>1266581239.3399999</v>
      </c>
      <c r="Q422" s="90">
        <v>100785930.51000001</v>
      </c>
      <c r="R422" s="90">
        <v>2804</v>
      </c>
      <c r="S422" s="90">
        <v>-0.06</v>
      </c>
      <c r="T422">
        <v>71.56</v>
      </c>
      <c r="U422">
        <v>0</v>
      </c>
      <c r="V422">
        <v>0</v>
      </c>
      <c r="W422">
        <v>0</v>
      </c>
      <c r="X422">
        <v>0</v>
      </c>
      <c r="Y422" s="90">
        <v>0</v>
      </c>
      <c r="Z422">
        <v>0</v>
      </c>
    </row>
    <row r="423" spans="1:26" ht="12.75" customHeight="1" x14ac:dyDescent="0.25">
      <c r="E423" s="89" t="s">
        <v>73</v>
      </c>
      <c r="F423" s="90">
        <v>1179394.28</v>
      </c>
      <c r="G423" s="90">
        <v>424553.57</v>
      </c>
      <c r="H423" s="90">
        <v>241376.53</v>
      </c>
      <c r="I423" s="90">
        <v>128370.81</v>
      </c>
      <c r="J423" s="90">
        <v>-317773.76</v>
      </c>
      <c r="K423" s="90">
        <v>-1931.27</v>
      </c>
      <c r="L423" s="90">
        <v>0</v>
      </c>
      <c r="M423" s="90">
        <v>-16024.45</v>
      </c>
      <c r="N423" s="90">
        <v>-67996.77</v>
      </c>
      <c r="O423" s="90">
        <v>-336499.14</v>
      </c>
      <c r="P423" s="90">
        <v>1128571.78</v>
      </c>
      <c r="Q423" s="90">
        <v>-3253.02</v>
      </c>
      <c r="R423" s="90">
        <v>0</v>
      </c>
      <c r="S423" s="90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 s="90">
        <v>0</v>
      </c>
      <c r="Z423">
        <v>0</v>
      </c>
    </row>
    <row r="424" spans="1:26" ht="12.75" customHeight="1" x14ac:dyDescent="0.25">
      <c r="D424" t="s">
        <v>156</v>
      </c>
      <c r="E424" s="89" t="s">
        <v>70</v>
      </c>
      <c r="F424" s="90">
        <v>1179394.28</v>
      </c>
      <c r="G424" s="90">
        <v>424553.57</v>
      </c>
      <c r="H424" s="90">
        <v>241376.53</v>
      </c>
      <c r="I424" s="90">
        <v>128370.81</v>
      </c>
      <c r="J424" s="90">
        <v>-317773.76</v>
      </c>
      <c r="K424" s="90">
        <v>-1931.27</v>
      </c>
      <c r="L424" s="90">
        <v>0</v>
      </c>
      <c r="M424" s="90">
        <v>-16024.45</v>
      </c>
      <c r="N424" s="90">
        <v>-67996.77</v>
      </c>
      <c r="O424" s="90">
        <v>-336499.14</v>
      </c>
      <c r="P424" s="90">
        <v>1128571.78</v>
      </c>
      <c r="Q424" s="90">
        <v>-3253.02</v>
      </c>
      <c r="R424" s="90">
        <v>0</v>
      </c>
      <c r="S424" s="90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 s="90">
        <v>0</v>
      </c>
      <c r="Z424">
        <v>0</v>
      </c>
    </row>
    <row r="425" spans="1:26" s="656" customFormat="1" ht="12.75" customHeight="1" x14ac:dyDescent="0.25">
      <c r="C425" s="656" t="s">
        <v>155</v>
      </c>
      <c r="D425" s="657" t="s">
        <v>70</v>
      </c>
      <c r="E425" s="657"/>
      <c r="F425" s="738">
        <v>1179394.28</v>
      </c>
      <c r="G425" s="658">
        <v>424553.57</v>
      </c>
      <c r="H425" s="658">
        <v>241376.53</v>
      </c>
      <c r="I425" s="658">
        <v>128370.81</v>
      </c>
      <c r="J425" s="658">
        <v>-317773.76</v>
      </c>
      <c r="K425" s="658">
        <v>-1931.27</v>
      </c>
      <c r="L425" s="658">
        <v>0</v>
      </c>
      <c r="M425" s="658">
        <v>-16024.45</v>
      </c>
      <c r="N425" s="658">
        <v>-67996.77</v>
      </c>
      <c r="O425" s="658">
        <v>-336499.14</v>
      </c>
      <c r="P425" s="658">
        <v>1128571.78</v>
      </c>
      <c r="Q425" s="658">
        <v>-3253.02</v>
      </c>
      <c r="R425" s="658">
        <v>0</v>
      </c>
      <c r="S425" s="658">
        <v>0</v>
      </c>
      <c r="T425" s="656">
        <v>0</v>
      </c>
      <c r="U425" s="656">
        <v>0</v>
      </c>
      <c r="V425" s="656">
        <v>0</v>
      </c>
      <c r="W425" s="656">
        <v>0</v>
      </c>
      <c r="X425" s="656">
        <v>0</v>
      </c>
      <c r="Y425" s="658">
        <v>0</v>
      </c>
      <c r="Z425" s="656">
        <v>0</v>
      </c>
    </row>
    <row r="426" spans="1:26" ht="12.75" customHeight="1" x14ac:dyDescent="0.25">
      <c r="E426" s="89" t="s">
        <v>73</v>
      </c>
      <c r="F426" s="90">
        <v>-19130.7</v>
      </c>
      <c r="G426" s="90">
        <v>-912.73</v>
      </c>
      <c r="H426" s="90">
        <v>-515.34</v>
      </c>
      <c r="I426" s="90">
        <v>-270.49</v>
      </c>
      <c r="J426" s="90">
        <v>-4378.8599999999997</v>
      </c>
      <c r="K426" s="90">
        <v>-165.45</v>
      </c>
      <c r="L426" s="90">
        <v>0</v>
      </c>
      <c r="M426" s="90">
        <v>-1451.31</v>
      </c>
      <c r="N426" s="90">
        <v>-1418.87</v>
      </c>
      <c r="O426" s="90">
        <v>-7331.54</v>
      </c>
      <c r="P426" s="90">
        <v>-2416.16</v>
      </c>
      <c r="Q426" s="90">
        <v>-269.95</v>
      </c>
      <c r="R426" s="90">
        <v>0</v>
      </c>
      <c r="S426" s="90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 s="90">
        <v>0</v>
      </c>
      <c r="Z426">
        <v>0</v>
      </c>
    </row>
    <row r="427" spans="1:26" ht="12.75" customHeight="1" x14ac:dyDescent="0.25">
      <c r="D427" t="s">
        <v>115</v>
      </c>
      <c r="E427" s="89" t="s">
        <v>70</v>
      </c>
      <c r="F427" s="371">
        <v>-19130.7</v>
      </c>
      <c r="G427" s="90">
        <v>-912.73</v>
      </c>
      <c r="H427" s="90">
        <v>-515.34</v>
      </c>
      <c r="I427" s="90">
        <v>-270.49</v>
      </c>
      <c r="J427" s="90">
        <v>-4378.8599999999997</v>
      </c>
      <c r="K427" s="90">
        <v>-165.45</v>
      </c>
      <c r="L427" s="90">
        <v>0</v>
      </c>
      <c r="M427" s="90">
        <v>-1451.31</v>
      </c>
      <c r="N427" s="90">
        <v>-1418.87</v>
      </c>
      <c r="O427" s="90">
        <v>-7331.54</v>
      </c>
      <c r="P427" s="90">
        <v>-2416.16</v>
      </c>
      <c r="Q427" s="90">
        <v>-269.95</v>
      </c>
      <c r="R427" s="90">
        <v>0</v>
      </c>
      <c r="S427" s="90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 s="90">
        <v>0</v>
      </c>
      <c r="Z427">
        <v>0</v>
      </c>
    </row>
    <row r="428" spans="1:26" ht="12.75" customHeight="1" x14ac:dyDescent="0.25">
      <c r="E428" s="89" t="s">
        <v>73</v>
      </c>
      <c r="F428" s="371">
        <v>-61428.75</v>
      </c>
      <c r="G428" s="90">
        <v>3251.68</v>
      </c>
      <c r="H428" s="90">
        <v>1848.74</v>
      </c>
      <c r="I428" s="90">
        <v>975.9</v>
      </c>
      <c r="J428" s="90">
        <v>-24869.18</v>
      </c>
      <c r="K428" s="90">
        <v>-649.33000000000004</v>
      </c>
      <c r="L428" s="90">
        <v>0</v>
      </c>
      <c r="M428" s="90">
        <v>-5696.05</v>
      </c>
      <c r="N428" s="90">
        <v>-7187.5</v>
      </c>
      <c r="O428" s="90">
        <v>-36759.58</v>
      </c>
      <c r="P428" s="90">
        <v>8716</v>
      </c>
      <c r="Q428" s="90">
        <v>-1059.43</v>
      </c>
      <c r="R428" s="90">
        <v>0</v>
      </c>
      <c r="S428" s="90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 s="90">
        <v>0</v>
      </c>
      <c r="Z428">
        <v>0</v>
      </c>
    </row>
    <row r="429" spans="1:26" ht="12.75" customHeight="1" x14ac:dyDescent="0.25">
      <c r="D429" t="s">
        <v>118</v>
      </c>
      <c r="E429" s="89" t="s">
        <v>70</v>
      </c>
      <c r="F429" s="371">
        <v>-61428.75</v>
      </c>
      <c r="G429" s="90">
        <v>3251.68</v>
      </c>
      <c r="H429" s="90">
        <v>1848.74</v>
      </c>
      <c r="I429" s="90">
        <v>975.9</v>
      </c>
      <c r="J429" s="90">
        <v>-24869.18</v>
      </c>
      <c r="K429" s="90">
        <v>-649.33000000000004</v>
      </c>
      <c r="L429" s="90">
        <v>0</v>
      </c>
      <c r="M429" s="90">
        <v>-5696.05</v>
      </c>
      <c r="N429" s="90">
        <v>-7187.5</v>
      </c>
      <c r="O429" s="90">
        <v>-36759.58</v>
      </c>
      <c r="P429" s="90">
        <v>8716</v>
      </c>
      <c r="Q429" s="90">
        <v>-1059.43</v>
      </c>
      <c r="R429" s="90">
        <v>0</v>
      </c>
      <c r="S429" s="90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 s="90">
        <v>0</v>
      </c>
      <c r="Z429">
        <v>0</v>
      </c>
    </row>
    <row r="430" spans="1:26" s="224" customFormat="1" ht="12.75" customHeight="1" x14ac:dyDescent="0.25">
      <c r="C430" s="223" t="s">
        <v>120</v>
      </c>
      <c r="D430" s="223" t="s">
        <v>70</v>
      </c>
      <c r="F430" s="225">
        <v>-80559.45</v>
      </c>
      <c r="G430" s="225">
        <v>2338.9499999999998</v>
      </c>
      <c r="H430" s="225">
        <v>1333.4</v>
      </c>
      <c r="I430" s="225">
        <v>705.41</v>
      </c>
      <c r="J430" s="225">
        <v>-29248.04</v>
      </c>
      <c r="K430" s="225">
        <v>-814.78</v>
      </c>
      <c r="L430" s="225">
        <v>0</v>
      </c>
      <c r="M430" s="225">
        <v>-7147.36</v>
      </c>
      <c r="N430" s="225">
        <v>-8606.3700000000008</v>
      </c>
      <c r="O430" s="225">
        <v>-44091.12</v>
      </c>
      <c r="P430" s="225">
        <v>6299.84</v>
      </c>
      <c r="Q430" s="225">
        <v>-1329.38</v>
      </c>
      <c r="R430" s="225">
        <v>0</v>
      </c>
      <c r="S430" s="225">
        <v>0</v>
      </c>
      <c r="T430" s="224">
        <v>0</v>
      </c>
      <c r="U430" s="224">
        <v>0</v>
      </c>
      <c r="V430" s="224">
        <v>0</v>
      </c>
      <c r="W430" s="224">
        <v>0</v>
      </c>
      <c r="X430" s="224">
        <v>0</v>
      </c>
      <c r="Y430" s="225">
        <v>0</v>
      </c>
      <c r="Z430" s="224">
        <v>0</v>
      </c>
    </row>
    <row r="431" spans="1:26" ht="12.75" customHeight="1" x14ac:dyDescent="0.25">
      <c r="E431" s="89" t="s">
        <v>73</v>
      </c>
      <c r="F431" s="371">
        <v>-304296.67</v>
      </c>
      <c r="G431" s="90">
        <v>-21168.01</v>
      </c>
      <c r="H431" s="90">
        <v>-11886.78</v>
      </c>
      <c r="I431" s="90">
        <v>-6277.41</v>
      </c>
      <c r="J431" s="90">
        <v>-65112.4</v>
      </c>
      <c r="K431" s="90">
        <v>-1675.59</v>
      </c>
      <c r="L431" s="90">
        <v>0</v>
      </c>
      <c r="M431" s="90">
        <v>-14698.46</v>
      </c>
      <c r="N431" s="90">
        <v>-20458.47</v>
      </c>
      <c r="O431" s="90">
        <v>-103837.39</v>
      </c>
      <c r="P431" s="90">
        <v>-56448.29</v>
      </c>
      <c r="Q431" s="90">
        <v>-2733.87</v>
      </c>
      <c r="R431" s="90">
        <v>0</v>
      </c>
      <c r="S431" s="90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 s="90">
        <v>0</v>
      </c>
      <c r="Z431">
        <v>0</v>
      </c>
    </row>
    <row r="432" spans="1:26" ht="12.75" customHeight="1" x14ac:dyDescent="0.25">
      <c r="D432" t="s">
        <v>82</v>
      </c>
      <c r="E432" s="89" t="s">
        <v>70</v>
      </c>
      <c r="F432" s="371">
        <v>-304296.67</v>
      </c>
      <c r="G432" s="90">
        <v>-21168.01</v>
      </c>
      <c r="H432" s="90">
        <v>-11886.78</v>
      </c>
      <c r="I432" s="90">
        <v>-6277.41</v>
      </c>
      <c r="J432" s="90">
        <v>-65112.4</v>
      </c>
      <c r="K432" s="90">
        <v>-1675.59</v>
      </c>
      <c r="L432" s="90">
        <v>0</v>
      </c>
      <c r="M432" s="90">
        <v>-14698.46</v>
      </c>
      <c r="N432" s="90">
        <v>-20458.47</v>
      </c>
      <c r="O432" s="90">
        <v>-103837.39</v>
      </c>
      <c r="P432" s="90">
        <v>-56448.29</v>
      </c>
      <c r="Q432" s="90">
        <v>-2733.87</v>
      </c>
      <c r="R432" s="90">
        <v>0</v>
      </c>
      <c r="S432" s="90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 s="90">
        <v>0</v>
      </c>
      <c r="Z432">
        <v>0</v>
      </c>
    </row>
    <row r="433" spans="2:26" ht="12.75" customHeight="1" x14ac:dyDescent="0.25">
      <c r="E433" s="89" t="s">
        <v>73</v>
      </c>
      <c r="F433" s="371">
        <v>-2952.44</v>
      </c>
      <c r="G433" s="90">
        <v>19142.75</v>
      </c>
      <c r="H433" s="90">
        <v>10610.65</v>
      </c>
      <c r="I433" s="90">
        <v>5757.8</v>
      </c>
      <c r="J433" s="90">
        <v>-31327.54</v>
      </c>
      <c r="K433" s="90">
        <v>-382.53</v>
      </c>
      <c r="L433" s="90">
        <v>0</v>
      </c>
      <c r="M433" s="90">
        <v>-3356.49</v>
      </c>
      <c r="N433" s="90">
        <v>-8659.4599999999991</v>
      </c>
      <c r="O433" s="90">
        <v>-45295.67</v>
      </c>
      <c r="P433" s="90">
        <v>51393.61</v>
      </c>
      <c r="Q433" s="90">
        <v>-835.56</v>
      </c>
      <c r="R433" s="90">
        <v>0</v>
      </c>
      <c r="S433" s="90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 s="90">
        <v>0</v>
      </c>
      <c r="Z433">
        <v>0</v>
      </c>
    </row>
    <row r="434" spans="2:26" ht="12.75" customHeight="1" x14ac:dyDescent="0.25">
      <c r="D434" t="s">
        <v>86</v>
      </c>
      <c r="E434" s="89" t="s">
        <v>70</v>
      </c>
      <c r="F434" s="90">
        <v>-2952.44</v>
      </c>
      <c r="G434" s="90">
        <v>19142.75</v>
      </c>
      <c r="H434" s="90">
        <v>10610.65</v>
      </c>
      <c r="I434" s="90">
        <v>5757.8</v>
      </c>
      <c r="J434" s="90">
        <v>-31327.54</v>
      </c>
      <c r="K434" s="90">
        <v>-382.53</v>
      </c>
      <c r="L434" s="90">
        <v>0</v>
      </c>
      <c r="M434" s="90">
        <v>-3356.49</v>
      </c>
      <c r="N434" s="90">
        <v>-8659.4599999999991</v>
      </c>
      <c r="O434" s="90">
        <v>-45295.67</v>
      </c>
      <c r="P434" s="90">
        <v>51393.61</v>
      </c>
      <c r="Q434" s="90">
        <v>-835.56</v>
      </c>
      <c r="R434" s="90">
        <v>0</v>
      </c>
      <c r="S434" s="90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 s="90">
        <v>0</v>
      </c>
      <c r="Z434">
        <v>0</v>
      </c>
    </row>
    <row r="435" spans="2:26" s="94" customFormat="1" ht="12.75" customHeight="1" x14ac:dyDescent="0.25">
      <c r="C435" s="101" t="s">
        <v>119</v>
      </c>
      <c r="D435" s="101" t="s">
        <v>70</v>
      </c>
      <c r="F435" s="93">
        <v>-307249.11</v>
      </c>
      <c r="G435" s="93">
        <v>-2025.26</v>
      </c>
      <c r="H435" s="93">
        <v>-1276.1300000000001</v>
      </c>
      <c r="I435" s="93">
        <v>-519.61</v>
      </c>
      <c r="J435" s="93">
        <v>-96439.94</v>
      </c>
      <c r="K435" s="93">
        <v>-2058.12</v>
      </c>
      <c r="L435" s="93">
        <v>0</v>
      </c>
      <c r="M435" s="93">
        <v>-18054.95</v>
      </c>
      <c r="N435" s="93">
        <v>-29117.93</v>
      </c>
      <c r="O435" s="93">
        <v>-149133.06</v>
      </c>
      <c r="P435" s="93">
        <v>-5054.68</v>
      </c>
      <c r="Q435" s="93">
        <v>-3569.43</v>
      </c>
      <c r="R435" s="93">
        <v>0</v>
      </c>
      <c r="S435" s="93">
        <v>0</v>
      </c>
      <c r="T435" s="94">
        <v>0</v>
      </c>
      <c r="U435" s="94">
        <v>0</v>
      </c>
      <c r="V435" s="94">
        <v>0</v>
      </c>
      <c r="W435" s="94">
        <v>0</v>
      </c>
      <c r="X435" s="94">
        <v>0</v>
      </c>
      <c r="Y435" s="93">
        <v>0</v>
      </c>
      <c r="Z435" s="94">
        <v>0</v>
      </c>
    </row>
    <row r="436" spans="2:26" s="378" customFormat="1" ht="12.75" customHeight="1" x14ac:dyDescent="0.25">
      <c r="B436" s="378" t="s">
        <v>122</v>
      </c>
      <c r="C436" s="378" t="s">
        <v>70</v>
      </c>
      <c r="E436" s="376"/>
      <c r="F436" s="377">
        <v>791585.72</v>
      </c>
      <c r="G436" s="377">
        <v>424867.26</v>
      </c>
      <c r="H436" s="377">
        <v>241433.8</v>
      </c>
      <c r="I436" s="377">
        <v>128556.61</v>
      </c>
      <c r="J436" s="377">
        <v>-443461.74</v>
      </c>
      <c r="K436" s="377">
        <v>-4804.17</v>
      </c>
      <c r="L436" s="377">
        <v>0</v>
      </c>
      <c r="M436" s="377">
        <v>-41226.76</v>
      </c>
      <c r="N436" s="377">
        <v>-105721.07</v>
      </c>
      <c r="O436" s="377">
        <v>-529723.31999999995</v>
      </c>
      <c r="P436" s="377">
        <v>1129816.94</v>
      </c>
      <c r="Q436" s="377">
        <v>-8151.83</v>
      </c>
      <c r="R436" s="377">
        <v>0</v>
      </c>
      <c r="S436" s="377">
        <v>0</v>
      </c>
      <c r="T436" s="378">
        <v>0</v>
      </c>
      <c r="U436" s="378">
        <v>0</v>
      </c>
      <c r="V436" s="378">
        <v>0</v>
      </c>
      <c r="W436" s="378">
        <v>0</v>
      </c>
      <c r="X436" s="378">
        <v>0</v>
      </c>
      <c r="Y436" s="377">
        <v>0</v>
      </c>
      <c r="Z436" s="378">
        <v>0</v>
      </c>
    </row>
    <row r="437" spans="2:26" ht="12.75" customHeight="1" x14ac:dyDescent="0.25">
      <c r="E437" s="89" t="s">
        <v>73</v>
      </c>
      <c r="F437" s="90">
        <v>-349925534.42000002</v>
      </c>
      <c r="G437" s="90">
        <v>32112276.359999999</v>
      </c>
      <c r="H437" s="90">
        <v>17725320.07</v>
      </c>
      <c r="I437" s="90">
        <v>9388911.5199999996</v>
      </c>
      <c r="J437" s="90">
        <v>-155721097.44</v>
      </c>
      <c r="K437" s="90">
        <v>-5318836.08</v>
      </c>
      <c r="L437" s="90">
        <v>0</v>
      </c>
      <c r="M437" s="90">
        <v>-46686614.829999998</v>
      </c>
      <c r="N437" s="90">
        <v>-45114890.039999999</v>
      </c>
      <c r="O437" s="90">
        <v>-232756356.59999999</v>
      </c>
      <c r="P437" s="90">
        <v>85124027.640000001</v>
      </c>
      <c r="Q437" s="90">
        <v>-8678275.0199999996</v>
      </c>
      <c r="R437" s="90">
        <v>0</v>
      </c>
      <c r="S437" s="90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 s="90">
        <v>0</v>
      </c>
      <c r="Z437">
        <v>0</v>
      </c>
    </row>
    <row r="438" spans="2:26" ht="12.75" customHeight="1" x14ac:dyDescent="0.25">
      <c r="D438" s="89" t="s">
        <v>156</v>
      </c>
      <c r="E438" s="89" t="s">
        <v>70</v>
      </c>
      <c r="F438" s="90">
        <v>-349925534.42000002</v>
      </c>
      <c r="G438" s="90">
        <v>32112276.359999999</v>
      </c>
      <c r="H438" s="90">
        <v>17725320.07</v>
      </c>
      <c r="I438" s="90">
        <v>9388911.5199999996</v>
      </c>
      <c r="J438" s="90">
        <v>-155721097.44</v>
      </c>
      <c r="K438" s="90">
        <v>-5318836.08</v>
      </c>
      <c r="L438" s="90">
        <v>0</v>
      </c>
      <c r="M438" s="90">
        <v>-46686614.829999998</v>
      </c>
      <c r="N438" s="90">
        <v>-45114890.039999999</v>
      </c>
      <c r="O438" s="90">
        <v>-232756356.59999999</v>
      </c>
      <c r="P438" s="90">
        <v>85124027.640000001</v>
      </c>
      <c r="Q438" s="90">
        <v>-8678275.0199999996</v>
      </c>
      <c r="R438" s="90">
        <v>0</v>
      </c>
      <c r="S438" s="90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 s="90">
        <v>0</v>
      </c>
      <c r="Z438">
        <v>0</v>
      </c>
    </row>
    <row r="439" spans="2:26" s="656" customFormat="1" ht="12.75" customHeight="1" x14ac:dyDescent="0.25">
      <c r="C439" s="656" t="s">
        <v>155</v>
      </c>
      <c r="D439" s="657" t="s">
        <v>70</v>
      </c>
      <c r="E439" s="657"/>
      <c r="F439" s="738">
        <v>-349925534.42000002</v>
      </c>
      <c r="G439" s="658">
        <v>32112276.359999999</v>
      </c>
      <c r="H439" s="658">
        <v>17725320.07</v>
      </c>
      <c r="I439" s="658">
        <v>9388911.5199999996</v>
      </c>
      <c r="J439" s="658">
        <v>-155721097.44</v>
      </c>
      <c r="K439" s="658">
        <v>-5318836.08</v>
      </c>
      <c r="L439" s="658">
        <v>0</v>
      </c>
      <c r="M439" s="658">
        <v>-46686614.829999998</v>
      </c>
      <c r="N439" s="658">
        <v>-45114890.039999999</v>
      </c>
      <c r="O439" s="658">
        <v>-232756356.59999999</v>
      </c>
      <c r="P439" s="658">
        <v>85124027.640000001</v>
      </c>
      <c r="Q439" s="658">
        <v>-8678275.0199999996</v>
      </c>
      <c r="R439" s="658">
        <v>0</v>
      </c>
      <c r="S439" s="658">
        <v>0</v>
      </c>
      <c r="T439" s="656">
        <v>0</v>
      </c>
      <c r="U439" s="656">
        <v>0</v>
      </c>
      <c r="V439" s="656">
        <v>0</v>
      </c>
      <c r="W439" s="656">
        <v>0</v>
      </c>
      <c r="X439" s="656">
        <v>0</v>
      </c>
      <c r="Y439" s="658">
        <v>0</v>
      </c>
      <c r="Z439" s="656">
        <v>0</v>
      </c>
    </row>
    <row r="440" spans="2:26" ht="12.75" customHeight="1" x14ac:dyDescent="0.25">
      <c r="D440" s="89"/>
      <c r="E440" s="89" t="s">
        <v>73</v>
      </c>
      <c r="F440" s="371">
        <v>-6482.1</v>
      </c>
      <c r="G440" s="90">
        <v>-283.58999999999997</v>
      </c>
      <c r="H440" s="90">
        <v>-158.34</v>
      </c>
      <c r="I440" s="90">
        <v>-84.04</v>
      </c>
      <c r="J440" s="90">
        <v>-1646.56</v>
      </c>
      <c r="K440" s="90">
        <v>-55.75</v>
      </c>
      <c r="L440" s="90">
        <v>0</v>
      </c>
      <c r="M440" s="90">
        <v>-489.03</v>
      </c>
      <c r="N440" s="90">
        <v>-475.91</v>
      </c>
      <c r="O440" s="90">
        <v>-2447.06</v>
      </c>
      <c r="P440" s="90">
        <v>-750.86</v>
      </c>
      <c r="Q440" s="90">
        <v>-90.96</v>
      </c>
      <c r="R440" s="90">
        <v>0</v>
      </c>
      <c r="S440" s="9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 s="90">
        <v>0</v>
      </c>
      <c r="Z440">
        <v>0</v>
      </c>
    </row>
    <row r="441" spans="2:26" ht="12.65" customHeight="1" x14ac:dyDescent="0.25">
      <c r="D441" s="89" t="s">
        <v>115</v>
      </c>
      <c r="E441" s="89" t="s">
        <v>70</v>
      </c>
      <c r="F441" s="371">
        <v>-6482.1</v>
      </c>
      <c r="G441" s="90">
        <v>-283.58999999999997</v>
      </c>
      <c r="H441" s="90">
        <v>-158.34</v>
      </c>
      <c r="I441" s="90">
        <v>-84.04</v>
      </c>
      <c r="J441" s="90">
        <v>-1646.56</v>
      </c>
      <c r="K441" s="90">
        <v>-55.75</v>
      </c>
      <c r="L441" s="90">
        <v>0</v>
      </c>
      <c r="M441" s="90">
        <v>-489.03</v>
      </c>
      <c r="N441" s="90">
        <v>-475.91</v>
      </c>
      <c r="O441" s="90">
        <v>-2447.06</v>
      </c>
      <c r="P441" s="90">
        <v>-750.86</v>
      </c>
      <c r="Q441" s="90">
        <v>-90.96</v>
      </c>
      <c r="R441" s="90">
        <v>0</v>
      </c>
      <c r="S441" s="90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 s="90">
        <v>0</v>
      </c>
      <c r="Z441">
        <v>0</v>
      </c>
    </row>
    <row r="442" spans="2:26" ht="12.75" customHeight="1" x14ac:dyDescent="0.25">
      <c r="E442" s="89" t="s">
        <v>73</v>
      </c>
      <c r="F442" s="90">
        <v>-51999.91</v>
      </c>
      <c r="G442" s="90">
        <v>-1115.4000000000001</v>
      </c>
      <c r="H442" s="90">
        <v>-621.49</v>
      </c>
      <c r="I442" s="90">
        <v>-330.53</v>
      </c>
      <c r="J442" s="90">
        <v>-14615.11</v>
      </c>
      <c r="K442" s="90">
        <v>-510.79</v>
      </c>
      <c r="L442" s="90">
        <v>0</v>
      </c>
      <c r="M442" s="90">
        <v>-4480.55</v>
      </c>
      <c r="N442" s="90">
        <v>-4310.58</v>
      </c>
      <c r="O442" s="90">
        <v>-22228.78</v>
      </c>
      <c r="P442" s="90">
        <v>-2953.3</v>
      </c>
      <c r="Q442" s="90">
        <v>-833.38</v>
      </c>
      <c r="R442" s="90">
        <v>0</v>
      </c>
      <c r="S442" s="90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 s="90">
        <v>0</v>
      </c>
      <c r="Z442">
        <v>0</v>
      </c>
    </row>
    <row r="443" spans="2:26" ht="12.75" customHeight="1" x14ac:dyDescent="0.25">
      <c r="D443" s="89" t="s">
        <v>118</v>
      </c>
      <c r="E443" s="89" t="s">
        <v>70</v>
      </c>
      <c r="F443" s="90">
        <v>-51999.91</v>
      </c>
      <c r="G443" s="90">
        <v>-1115.4000000000001</v>
      </c>
      <c r="H443" s="90">
        <v>-621.49</v>
      </c>
      <c r="I443" s="90">
        <v>-330.53</v>
      </c>
      <c r="J443" s="90">
        <v>-14615.11</v>
      </c>
      <c r="K443" s="90">
        <v>-510.79</v>
      </c>
      <c r="L443" s="90">
        <v>0</v>
      </c>
      <c r="M443" s="90">
        <v>-4480.55</v>
      </c>
      <c r="N443" s="90">
        <v>-4310.58</v>
      </c>
      <c r="O443" s="90">
        <v>-22228.78</v>
      </c>
      <c r="P443" s="90">
        <v>-2953.3</v>
      </c>
      <c r="Q443" s="90">
        <v>-833.38</v>
      </c>
      <c r="R443" s="90">
        <v>0</v>
      </c>
      <c r="S443" s="90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 s="90">
        <v>0</v>
      </c>
      <c r="Z443">
        <v>0</v>
      </c>
    </row>
    <row r="444" spans="2:26" s="224" customFormat="1" ht="12.75" customHeight="1" x14ac:dyDescent="0.25">
      <c r="C444" s="223" t="s">
        <v>120</v>
      </c>
      <c r="D444" s="223" t="s">
        <v>70</v>
      </c>
      <c r="F444" s="225">
        <v>-58482.01</v>
      </c>
      <c r="G444" s="225">
        <v>-1398.99</v>
      </c>
      <c r="H444" s="225">
        <v>-779.83</v>
      </c>
      <c r="I444" s="225">
        <v>-414.57</v>
      </c>
      <c r="J444" s="225">
        <v>-16261.67</v>
      </c>
      <c r="K444" s="225">
        <v>-566.54</v>
      </c>
      <c r="L444" s="225">
        <v>0</v>
      </c>
      <c r="M444" s="225">
        <v>-4969.58</v>
      </c>
      <c r="N444" s="225">
        <v>-4786.49</v>
      </c>
      <c r="O444" s="225">
        <v>-24675.84</v>
      </c>
      <c r="P444" s="225">
        <v>-3704.16</v>
      </c>
      <c r="Q444" s="225">
        <v>-924.34</v>
      </c>
      <c r="R444" s="225">
        <v>0</v>
      </c>
      <c r="S444" s="225">
        <v>0</v>
      </c>
      <c r="T444" s="224">
        <v>0</v>
      </c>
      <c r="U444" s="224">
        <v>0</v>
      </c>
      <c r="V444" s="224">
        <v>0</v>
      </c>
      <c r="W444" s="224">
        <v>0</v>
      </c>
      <c r="X444" s="224">
        <v>0</v>
      </c>
      <c r="Y444" s="225">
        <v>0</v>
      </c>
      <c r="Z444" s="224">
        <v>0</v>
      </c>
    </row>
    <row r="445" spans="2:26" ht="12.75" customHeight="1" x14ac:dyDescent="0.25">
      <c r="E445" s="89" t="s">
        <v>73</v>
      </c>
      <c r="F445" s="90">
        <v>4231841.8099999996</v>
      </c>
      <c r="G445" s="90">
        <v>2106954.1</v>
      </c>
      <c r="H445" s="90">
        <v>1201280.75</v>
      </c>
      <c r="I445" s="90">
        <v>631244.68000000005</v>
      </c>
      <c r="J445" s="90">
        <v>-1605073.7</v>
      </c>
      <c r="K445" s="90">
        <v>-41303.440000000002</v>
      </c>
      <c r="L445" s="90">
        <v>0</v>
      </c>
      <c r="M445" s="90">
        <v>-362366.5</v>
      </c>
      <c r="N445" s="90">
        <v>-526249.52</v>
      </c>
      <c r="O445" s="90">
        <v>-2717524.23</v>
      </c>
      <c r="P445" s="90">
        <v>5612277.79</v>
      </c>
      <c r="Q445" s="90">
        <v>-67398.12</v>
      </c>
      <c r="R445" s="90">
        <v>0</v>
      </c>
      <c r="S445" s="90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 s="90">
        <v>0</v>
      </c>
      <c r="Z445">
        <v>0</v>
      </c>
    </row>
    <row r="446" spans="2:26" ht="12.75" customHeight="1" x14ac:dyDescent="0.25">
      <c r="D446" s="89" t="s">
        <v>82</v>
      </c>
      <c r="E446" s="89" t="s">
        <v>70</v>
      </c>
      <c r="F446" s="90">
        <v>4231841.8099999996</v>
      </c>
      <c r="G446" s="90">
        <v>2106954.1</v>
      </c>
      <c r="H446" s="90">
        <v>1201280.75</v>
      </c>
      <c r="I446" s="90">
        <v>631244.68000000005</v>
      </c>
      <c r="J446" s="90">
        <v>-1605073.7</v>
      </c>
      <c r="K446" s="90">
        <v>-41303.440000000002</v>
      </c>
      <c r="L446" s="90">
        <v>0</v>
      </c>
      <c r="M446" s="90">
        <v>-362366.5</v>
      </c>
      <c r="N446" s="90">
        <v>-526249.52</v>
      </c>
      <c r="O446" s="90">
        <v>-2717524.23</v>
      </c>
      <c r="P446" s="90">
        <v>5612277.79</v>
      </c>
      <c r="Q446" s="90">
        <v>-67398.12</v>
      </c>
      <c r="R446" s="90">
        <v>0</v>
      </c>
      <c r="S446" s="90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 s="90">
        <v>0</v>
      </c>
      <c r="Z446">
        <v>0</v>
      </c>
    </row>
    <row r="447" spans="2:26" ht="12.75" customHeight="1" x14ac:dyDescent="0.25">
      <c r="E447" s="89" t="s">
        <v>73</v>
      </c>
      <c r="F447" s="90">
        <v>28532548.890000001</v>
      </c>
      <c r="G447" s="90">
        <v>7134962.6799999997</v>
      </c>
      <c r="H447" s="90">
        <v>4021732.81</v>
      </c>
      <c r="I447" s="90">
        <v>2124900.3199999998</v>
      </c>
      <c r="J447" s="90">
        <v>-1244247.19</v>
      </c>
      <c r="K447" s="90">
        <v>-42984.08</v>
      </c>
      <c r="L447" s="90">
        <v>0</v>
      </c>
      <c r="M447" s="90">
        <v>-377650.97</v>
      </c>
      <c r="N447" s="90">
        <v>-379863</v>
      </c>
      <c r="O447" s="90">
        <v>-1648993.03</v>
      </c>
      <c r="P447" s="90">
        <v>19014853.940000001</v>
      </c>
      <c r="Q447" s="90">
        <v>-70162.59</v>
      </c>
      <c r="R447" s="90">
        <v>0</v>
      </c>
      <c r="S447" s="90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 s="90">
        <v>0</v>
      </c>
      <c r="Z447">
        <v>0</v>
      </c>
    </row>
    <row r="448" spans="2:26" ht="12.75" customHeight="1" x14ac:dyDescent="0.25">
      <c r="D448" s="89" t="s">
        <v>86</v>
      </c>
      <c r="E448" s="89" t="s">
        <v>70</v>
      </c>
      <c r="F448" s="90">
        <v>28532548.890000001</v>
      </c>
      <c r="G448" s="90">
        <v>7134962.6799999997</v>
      </c>
      <c r="H448" s="90">
        <v>4021732.81</v>
      </c>
      <c r="I448" s="90">
        <v>2124900.3199999998</v>
      </c>
      <c r="J448" s="90">
        <v>-1244247.19</v>
      </c>
      <c r="K448" s="90">
        <v>-42984.08</v>
      </c>
      <c r="L448" s="90">
        <v>0</v>
      </c>
      <c r="M448" s="90">
        <v>-377650.97</v>
      </c>
      <c r="N448" s="90">
        <v>-379863</v>
      </c>
      <c r="O448" s="90">
        <v>-1648993.03</v>
      </c>
      <c r="P448" s="90">
        <v>19014853.940000001</v>
      </c>
      <c r="Q448" s="90">
        <v>-70162.59</v>
      </c>
      <c r="R448" s="90">
        <v>0</v>
      </c>
      <c r="S448" s="90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 s="90">
        <v>0</v>
      </c>
      <c r="Z448">
        <v>0</v>
      </c>
    </row>
    <row r="449" spans="1:26" ht="12.75" customHeight="1" x14ac:dyDescent="0.25">
      <c r="E449" s="89" t="s">
        <v>73</v>
      </c>
      <c r="F449" s="90">
        <v>118005043.83</v>
      </c>
      <c r="G449" s="90">
        <v>24026262.469999999</v>
      </c>
      <c r="H449" s="90">
        <v>13553122.73</v>
      </c>
      <c r="I449" s="90">
        <v>7149125.9199999999</v>
      </c>
      <c r="J449" s="90">
        <v>2980728.28</v>
      </c>
      <c r="K449" s="90">
        <v>75062.460000000006</v>
      </c>
      <c r="L449" s="90">
        <v>0</v>
      </c>
      <c r="M449" s="90">
        <v>658478</v>
      </c>
      <c r="N449" s="90">
        <v>910695.93</v>
      </c>
      <c r="O449" s="90">
        <v>4654641.7</v>
      </c>
      <c r="P449" s="90">
        <v>63874439.479999997</v>
      </c>
      <c r="Q449" s="90">
        <v>122486.86</v>
      </c>
      <c r="R449" s="90">
        <v>0</v>
      </c>
      <c r="S449" s="90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 s="90">
        <v>0</v>
      </c>
      <c r="Z449">
        <v>0</v>
      </c>
    </row>
    <row r="450" spans="1:26" ht="12.75" customHeight="1" x14ac:dyDescent="0.25">
      <c r="D450" s="89" t="s">
        <v>87</v>
      </c>
      <c r="E450" s="89" t="s">
        <v>70</v>
      </c>
      <c r="F450" s="90">
        <v>118005043.83</v>
      </c>
      <c r="G450" s="90">
        <v>24026262.469999999</v>
      </c>
      <c r="H450" s="90">
        <v>13553122.73</v>
      </c>
      <c r="I450" s="90">
        <v>7149125.9199999999</v>
      </c>
      <c r="J450" s="90">
        <v>2980728.28</v>
      </c>
      <c r="K450" s="90">
        <v>75062.460000000006</v>
      </c>
      <c r="L450" s="90">
        <v>0</v>
      </c>
      <c r="M450" s="90">
        <v>658478</v>
      </c>
      <c r="N450" s="90">
        <v>910695.93</v>
      </c>
      <c r="O450" s="90">
        <v>4654641.7</v>
      </c>
      <c r="P450" s="90">
        <v>63874439.479999997</v>
      </c>
      <c r="Q450" s="90">
        <v>122486.86</v>
      </c>
      <c r="R450" s="90">
        <v>0</v>
      </c>
      <c r="S450" s="9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 s="90">
        <v>0</v>
      </c>
      <c r="Z450">
        <v>0</v>
      </c>
    </row>
    <row r="451" spans="1:26" s="94" customFormat="1" ht="12.75" customHeight="1" x14ac:dyDescent="0.25">
      <c r="C451" s="101" t="s">
        <v>119</v>
      </c>
      <c r="D451" s="101" t="s">
        <v>70</v>
      </c>
      <c r="F451" s="93">
        <v>150769434.53</v>
      </c>
      <c r="G451" s="93">
        <v>33268179.25</v>
      </c>
      <c r="H451" s="93">
        <v>18776136.289999999</v>
      </c>
      <c r="I451" s="93">
        <v>9905270.9199999999</v>
      </c>
      <c r="J451" s="93">
        <v>131407.39000000001</v>
      </c>
      <c r="K451" s="93">
        <v>-9225.0599999999904</v>
      </c>
      <c r="L451" s="93">
        <v>0</v>
      </c>
      <c r="M451" s="93">
        <v>-81539.47</v>
      </c>
      <c r="N451" s="93">
        <v>4583.41</v>
      </c>
      <c r="O451" s="93">
        <v>288124.44</v>
      </c>
      <c r="P451" s="93">
        <v>88501571.209999993</v>
      </c>
      <c r="Q451" s="93">
        <v>-15073.85</v>
      </c>
      <c r="R451" s="93">
        <v>0</v>
      </c>
      <c r="S451" s="93">
        <v>0</v>
      </c>
      <c r="T451" s="94">
        <v>0</v>
      </c>
      <c r="U451" s="94">
        <v>0</v>
      </c>
      <c r="V451" s="94">
        <v>0</v>
      </c>
      <c r="W451" s="94">
        <v>0</v>
      </c>
      <c r="X451" s="94">
        <v>0</v>
      </c>
      <c r="Y451" s="93">
        <v>0</v>
      </c>
      <c r="Z451" s="94">
        <v>0</v>
      </c>
    </row>
    <row r="452" spans="1:26" s="226" customFormat="1" ht="12.75" customHeight="1" x14ac:dyDescent="0.25">
      <c r="B452" s="98" t="s">
        <v>112</v>
      </c>
      <c r="C452" s="98" t="s">
        <v>70</v>
      </c>
      <c r="F452" s="100">
        <v>-199214581.90000001</v>
      </c>
      <c r="G452" s="100">
        <v>65379056.619999997</v>
      </c>
      <c r="H452" s="100">
        <v>36500676.530000001</v>
      </c>
      <c r="I452" s="100">
        <v>19293767.870000001</v>
      </c>
      <c r="J452" s="100">
        <v>-155605951.72</v>
      </c>
      <c r="K452" s="100">
        <v>-5328627.68</v>
      </c>
      <c r="L452" s="100">
        <v>0</v>
      </c>
      <c r="M452" s="100">
        <v>-46773123.880000003</v>
      </c>
      <c r="N452" s="100">
        <v>-45115093.119999997</v>
      </c>
      <c r="O452" s="100">
        <v>-232492908</v>
      </c>
      <c r="P452" s="100">
        <v>173621894.69</v>
      </c>
      <c r="Q452" s="100">
        <v>-8694273.2100000009</v>
      </c>
      <c r="R452" s="100">
        <v>0</v>
      </c>
      <c r="S452" s="100">
        <v>0</v>
      </c>
      <c r="T452" s="226">
        <v>0</v>
      </c>
      <c r="U452" s="226">
        <v>0</v>
      </c>
      <c r="V452" s="226">
        <v>0</v>
      </c>
      <c r="W452" s="226">
        <v>0</v>
      </c>
      <c r="X452" s="226">
        <v>0</v>
      </c>
      <c r="Y452" s="100">
        <v>0</v>
      </c>
      <c r="Z452" s="226">
        <v>0</v>
      </c>
    </row>
    <row r="453" spans="1:26" ht="12.75" customHeight="1" x14ac:dyDescent="0.25">
      <c r="A453" s="89" t="s">
        <v>79</v>
      </c>
      <c r="B453" s="89" t="s">
        <v>70</v>
      </c>
      <c r="F453" s="90">
        <v>-198422996.18000001</v>
      </c>
      <c r="G453" s="90">
        <v>65803923.880000003</v>
      </c>
      <c r="H453" s="90">
        <v>36742110.329999998</v>
      </c>
      <c r="I453" s="90">
        <v>19422324.48</v>
      </c>
      <c r="J453" s="90">
        <v>-156049413.46000001</v>
      </c>
      <c r="K453" s="90">
        <v>-5333431.8499999996</v>
      </c>
      <c r="L453" s="90">
        <v>0</v>
      </c>
      <c r="M453" s="90">
        <v>-46814350.640000001</v>
      </c>
      <c r="N453" s="90">
        <v>-45220814.189999998</v>
      </c>
      <c r="O453" s="90">
        <v>-233022631.31999999</v>
      </c>
      <c r="P453" s="90">
        <v>174751711.63</v>
      </c>
      <c r="Q453" s="90">
        <v>-8702425.0399999991</v>
      </c>
      <c r="R453" s="90">
        <v>0</v>
      </c>
      <c r="S453" s="90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 s="90">
        <v>0</v>
      </c>
      <c r="Z453">
        <v>0</v>
      </c>
    </row>
    <row r="454" spans="1:26" ht="12.75" customHeight="1" x14ac:dyDescent="0.25">
      <c r="A454" s="89" t="s">
        <v>70</v>
      </c>
      <c r="F454" s="90">
        <v>7755414806.2799997</v>
      </c>
      <c r="G454" s="90">
        <v>544251938.58000004</v>
      </c>
      <c r="H454" s="90">
        <v>302374140.80000001</v>
      </c>
      <c r="I454" s="90">
        <v>160466684.81999999</v>
      </c>
      <c r="J454" s="90">
        <v>1636915301.02</v>
      </c>
      <c r="K454" s="90">
        <v>56342558.130000003</v>
      </c>
      <c r="L454" s="90">
        <v>10068275.390000001</v>
      </c>
      <c r="M454" s="90">
        <v>492876207.74000001</v>
      </c>
      <c r="N454" s="90">
        <v>493412606.80000001</v>
      </c>
      <c r="O454" s="90">
        <v>2525293857.9499998</v>
      </c>
      <c r="P454" s="90">
        <v>1441327203.5799999</v>
      </c>
      <c r="Q454" s="90">
        <v>92083155.969999999</v>
      </c>
      <c r="R454" s="90">
        <v>2804</v>
      </c>
      <c r="S454" s="90">
        <v>-0.06</v>
      </c>
      <c r="T454">
        <v>71.56</v>
      </c>
      <c r="U454">
        <v>0</v>
      </c>
      <c r="V454">
        <v>0</v>
      </c>
      <c r="W454">
        <v>0</v>
      </c>
      <c r="X454">
        <v>0</v>
      </c>
      <c r="Y454" s="90">
        <v>0</v>
      </c>
      <c r="Z454">
        <v>0</v>
      </c>
    </row>
    <row r="455" spans="1:26" ht="12.75" customHeight="1" x14ac:dyDescent="0.25">
      <c r="A455" s="89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</row>
    <row r="456" spans="1:26" ht="12.75" hidden="1" customHeight="1" x14ac:dyDescent="0.25">
      <c r="A456" s="89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</row>
    <row r="457" spans="1:26" ht="12.75" hidden="1" customHeight="1" x14ac:dyDescent="0.25">
      <c r="A457" s="89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</row>
    <row r="458" spans="1:26" ht="12.75" hidden="1" customHeight="1" x14ac:dyDescent="0.25">
      <c r="A458" s="89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</row>
    <row r="459" spans="1:26" ht="12.75" hidden="1" customHeight="1" x14ac:dyDescent="0.25">
      <c r="A459" s="89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</row>
    <row r="460" spans="1:26" ht="12.75" hidden="1" customHeight="1" x14ac:dyDescent="0.25">
      <c r="A460" s="89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</row>
    <row r="461" spans="1:26" ht="12.75" hidden="1" customHeight="1" x14ac:dyDescent="0.25">
      <c r="A461" s="89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</row>
    <row r="462" spans="1:26" ht="12.75" hidden="1" customHeight="1" x14ac:dyDescent="0.25">
      <c r="A462" s="89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</row>
    <row r="463" spans="1:26" ht="12.75" hidden="1" customHeight="1" x14ac:dyDescent="0.25">
      <c r="A463" s="89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</row>
    <row r="464" spans="1:26" ht="12.75" hidden="1" customHeight="1" x14ac:dyDescent="0.25">
      <c r="A464" s="89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</row>
    <row r="465" spans="1:41" ht="12.75" hidden="1" customHeight="1" x14ac:dyDescent="0.25">
      <c r="A465" s="89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</row>
    <row r="466" spans="1:41" ht="12.75" hidden="1" customHeight="1" x14ac:dyDescent="0.25">
      <c r="A466" s="89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</row>
    <row r="467" spans="1:41" ht="12.75" hidden="1" customHeight="1" x14ac:dyDescent="0.25">
      <c r="A467" s="89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</row>
    <row r="468" spans="1:41" ht="12.75" hidden="1" customHeight="1" x14ac:dyDescent="0.25">
      <c r="A468" s="89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</row>
    <row r="469" spans="1:41" ht="12.75" hidden="1" customHeight="1" x14ac:dyDescent="0.25">
      <c r="A469" s="89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</row>
    <row r="470" spans="1:41" ht="12.75" hidden="1" customHeight="1" x14ac:dyDescent="0.25">
      <c r="A470" s="89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</row>
    <row r="471" spans="1:41" ht="12.75" customHeight="1" x14ac:dyDescent="0.25">
      <c r="A471" s="89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</row>
    <row r="472" spans="1:41" ht="12.75" customHeight="1" x14ac:dyDescent="0.25">
      <c r="C472" s="776" t="s">
        <v>2</v>
      </c>
      <c r="D472" s="774" t="s">
        <v>132</v>
      </c>
      <c r="E472" s="98" t="s">
        <v>70</v>
      </c>
      <c r="F472" s="100">
        <f>F421+F452+F380-L380-L421</f>
        <v>7661986883.4700012</v>
      </c>
      <c r="G472" s="100">
        <f t="shared" ref="G472:AO472" si="20">G421+G380</f>
        <v>472372745.37</v>
      </c>
      <c r="H472" s="100">
        <f t="shared" si="20"/>
        <v>262251580.43000001</v>
      </c>
      <c r="I472" s="100">
        <f t="shared" si="20"/>
        <v>139261003.16999999</v>
      </c>
      <c r="J472" s="100">
        <f t="shared" si="20"/>
        <v>1776361289.71</v>
      </c>
      <c r="K472" s="100">
        <f t="shared" si="20"/>
        <v>61161136.799999997</v>
      </c>
      <c r="L472" s="100">
        <f t="shared" si="20"/>
        <v>10063121.539999999</v>
      </c>
      <c r="M472" s="100">
        <f t="shared" si="20"/>
        <v>535211002.22999996</v>
      </c>
      <c r="N472" s="100">
        <f t="shared" si="20"/>
        <v>533242230.64000005</v>
      </c>
      <c r="O472" s="100">
        <f t="shared" si="20"/>
        <v>2730906086.27</v>
      </c>
      <c r="P472" s="100">
        <f t="shared" si="20"/>
        <v>1250489726.53</v>
      </c>
      <c r="Q472" s="100">
        <f t="shared" si="20"/>
        <v>99941706.239999995</v>
      </c>
      <c r="R472" s="100">
        <f t="shared" si="20"/>
        <v>2887.41</v>
      </c>
      <c r="S472" s="100">
        <f t="shared" si="20"/>
        <v>-0.06</v>
      </c>
      <c r="T472" s="100">
        <f t="shared" si="20"/>
        <v>70.63</v>
      </c>
      <c r="U472" s="100">
        <f t="shared" si="20"/>
        <v>0</v>
      </c>
      <c r="V472" s="100">
        <f t="shared" si="20"/>
        <v>0</v>
      </c>
      <c r="W472" s="100">
        <f t="shared" si="20"/>
        <v>0</v>
      </c>
      <c r="X472" s="100">
        <f t="shared" si="20"/>
        <v>0</v>
      </c>
      <c r="Y472" s="100">
        <f t="shared" si="20"/>
        <v>0</v>
      </c>
      <c r="Z472" s="100">
        <f t="shared" si="20"/>
        <v>0</v>
      </c>
      <c r="AA472" s="100">
        <f t="shared" si="20"/>
        <v>0</v>
      </c>
      <c r="AB472" s="100">
        <f t="shared" si="20"/>
        <v>0</v>
      </c>
      <c r="AC472" s="100">
        <f t="shared" si="20"/>
        <v>0</v>
      </c>
      <c r="AD472" s="100">
        <f t="shared" si="20"/>
        <v>0</v>
      </c>
      <c r="AE472" s="100">
        <f t="shared" si="20"/>
        <v>0</v>
      </c>
      <c r="AF472" s="100">
        <f t="shared" si="20"/>
        <v>0</v>
      </c>
      <c r="AG472" s="100">
        <f t="shared" si="20"/>
        <v>0</v>
      </c>
      <c r="AH472" s="100">
        <f t="shared" si="20"/>
        <v>0</v>
      </c>
      <c r="AI472" s="100">
        <f t="shared" si="20"/>
        <v>0</v>
      </c>
      <c r="AJ472" s="100">
        <f t="shared" si="20"/>
        <v>0</v>
      </c>
      <c r="AK472" s="100">
        <f t="shared" si="20"/>
        <v>0</v>
      </c>
      <c r="AL472" s="100">
        <f t="shared" si="20"/>
        <v>0</v>
      </c>
      <c r="AM472" s="100">
        <f t="shared" si="20"/>
        <v>0</v>
      </c>
      <c r="AN472" s="100">
        <f t="shared" si="20"/>
        <v>0</v>
      </c>
      <c r="AO472" s="100">
        <f t="shared" si="20"/>
        <v>0</v>
      </c>
    </row>
    <row r="473" spans="1:41" ht="12.75" customHeight="1" x14ac:dyDescent="0.25">
      <c r="C473" s="776"/>
      <c r="D473" s="774"/>
      <c r="E473" s="98" t="s">
        <v>73</v>
      </c>
      <c r="F473" s="100">
        <f>F452</f>
        <v>-199214581.90000001</v>
      </c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</row>
    <row r="474" spans="1:41" ht="12.75" customHeight="1" x14ac:dyDescent="0.25">
      <c r="C474" s="776"/>
      <c r="D474" s="774" t="s">
        <v>133</v>
      </c>
      <c r="E474" s="233" t="s">
        <v>70</v>
      </c>
      <c r="F474" s="234">
        <f>F436+F399-L399</f>
        <v>83359647.420000002</v>
      </c>
      <c r="G474" s="234">
        <f t="shared" ref="G474:AA474" si="21">G399</f>
        <v>6075269.3300000001</v>
      </c>
      <c r="H474" s="234">
        <f t="shared" si="21"/>
        <v>3380450.04</v>
      </c>
      <c r="I474" s="234">
        <f t="shared" si="21"/>
        <v>1783357.17</v>
      </c>
      <c r="J474" s="234">
        <f t="shared" si="21"/>
        <v>16603424.77</v>
      </c>
      <c r="K474" s="234">
        <f t="shared" si="21"/>
        <v>514853.18</v>
      </c>
      <c r="L474" s="234">
        <f t="shared" si="21"/>
        <v>5153.8500000000004</v>
      </c>
      <c r="M474" s="234">
        <f t="shared" si="21"/>
        <v>4479556.1500000004</v>
      </c>
      <c r="N474" s="234">
        <f t="shared" si="21"/>
        <v>5391190.3499999996</v>
      </c>
      <c r="O474" s="234">
        <f t="shared" si="21"/>
        <v>27410403</v>
      </c>
      <c r="P474" s="234">
        <f t="shared" si="21"/>
        <v>16085765.42</v>
      </c>
      <c r="Q474" s="234">
        <f t="shared" si="21"/>
        <v>843874.77</v>
      </c>
      <c r="R474" s="234">
        <f t="shared" si="21"/>
        <v>-83.41</v>
      </c>
      <c r="S474" s="234">
        <f t="shared" si="21"/>
        <v>0</v>
      </c>
      <c r="T474" s="234">
        <f t="shared" si="21"/>
        <v>0.93</v>
      </c>
      <c r="U474" s="234">
        <f t="shared" si="21"/>
        <v>0</v>
      </c>
      <c r="V474" s="234">
        <f t="shared" si="21"/>
        <v>0</v>
      </c>
      <c r="W474" s="234">
        <f t="shared" si="21"/>
        <v>0</v>
      </c>
      <c r="X474" s="234">
        <f t="shared" si="21"/>
        <v>0</v>
      </c>
      <c r="Y474" s="234">
        <f t="shared" si="21"/>
        <v>0</v>
      </c>
      <c r="Z474" s="234">
        <f t="shared" si="21"/>
        <v>0</v>
      </c>
      <c r="AA474" s="234">
        <f t="shared" si="21"/>
        <v>0</v>
      </c>
    </row>
    <row r="475" spans="1:41" ht="12.75" customHeight="1" x14ac:dyDescent="0.25">
      <c r="C475" s="776"/>
      <c r="D475" s="774"/>
      <c r="E475" s="233" t="s">
        <v>73</v>
      </c>
      <c r="F475" s="234">
        <f>F436</f>
        <v>791585.72</v>
      </c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</row>
    <row r="476" spans="1:41" ht="12.75" customHeight="1" x14ac:dyDescent="0.3">
      <c r="A476" s="89"/>
      <c r="C476" s="97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</row>
    <row r="477" spans="1:41" ht="12.75" customHeight="1" x14ac:dyDescent="0.25">
      <c r="C477" s="776" t="s">
        <v>160</v>
      </c>
      <c r="D477" s="774" t="s">
        <v>132</v>
      </c>
      <c r="E477" s="223" t="s">
        <v>70</v>
      </c>
      <c r="F477" s="225">
        <f>F444+F410-L410</f>
        <v>551610</v>
      </c>
      <c r="G477" s="225">
        <f t="shared" ref="G477:AO477" si="22">G410</f>
        <v>37405.68</v>
      </c>
      <c r="H477" s="225">
        <f t="shared" si="22"/>
        <v>19581.560000000001</v>
      </c>
      <c r="I477" s="225">
        <f t="shared" si="22"/>
        <v>10503.39</v>
      </c>
      <c r="J477" s="225">
        <f t="shared" si="22"/>
        <v>140798.29</v>
      </c>
      <c r="K477" s="225">
        <f t="shared" si="22"/>
        <v>4647.76</v>
      </c>
      <c r="L477" s="225">
        <f t="shared" si="22"/>
        <v>0</v>
      </c>
      <c r="M477" s="225">
        <f t="shared" si="22"/>
        <v>40769.82</v>
      </c>
      <c r="N477" s="225">
        <f t="shared" si="22"/>
        <v>40682.68</v>
      </c>
      <c r="O477" s="225">
        <f t="shared" si="22"/>
        <v>208309.45</v>
      </c>
      <c r="P477" s="225">
        <f t="shared" si="22"/>
        <v>99807.52</v>
      </c>
      <c r="Q477" s="225">
        <f t="shared" si="22"/>
        <v>7583.14</v>
      </c>
      <c r="R477" s="225">
        <f t="shared" si="22"/>
        <v>2.72</v>
      </c>
      <c r="S477" s="225">
        <f t="shared" si="22"/>
        <v>0</v>
      </c>
      <c r="T477" s="225">
        <f t="shared" si="22"/>
        <v>0</v>
      </c>
      <c r="U477" s="225">
        <f t="shared" si="22"/>
        <v>0</v>
      </c>
      <c r="V477" s="225">
        <f t="shared" si="22"/>
        <v>0</v>
      </c>
      <c r="W477" s="225">
        <f t="shared" si="22"/>
        <v>0</v>
      </c>
      <c r="X477" s="225">
        <f t="shared" si="22"/>
        <v>0</v>
      </c>
      <c r="Y477" s="225">
        <f t="shared" si="22"/>
        <v>0</v>
      </c>
      <c r="Z477" s="225">
        <f t="shared" si="22"/>
        <v>0</v>
      </c>
      <c r="AA477" s="225">
        <f t="shared" si="22"/>
        <v>0</v>
      </c>
      <c r="AB477" s="225">
        <f t="shared" si="22"/>
        <v>0</v>
      </c>
      <c r="AC477" s="225">
        <f t="shared" si="22"/>
        <v>0</v>
      </c>
      <c r="AD477" s="225">
        <f t="shared" si="22"/>
        <v>0</v>
      </c>
      <c r="AE477" s="225">
        <f t="shared" si="22"/>
        <v>0</v>
      </c>
      <c r="AF477" s="225">
        <f t="shared" si="22"/>
        <v>0</v>
      </c>
      <c r="AG477" s="225">
        <f t="shared" si="22"/>
        <v>0</v>
      </c>
      <c r="AH477" s="225">
        <f t="shared" si="22"/>
        <v>0</v>
      </c>
      <c r="AI477" s="225">
        <f t="shared" si="22"/>
        <v>0</v>
      </c>
      <c r="AJ477" s="225">
        <f t="shared" si="22"/>
        <v>0</v>
      </c>
      <c r="AK477" s="225">
        <f t="shared" si="22"/>
        <v>0</v>
      </c>
      <c r="AL477" s="225">
        <f t="shared" si="22"/>
        <v>0</v>
      </c>
      <c r="AM477" s="225">
        <f t="shared" si="22"/>
        <v>0</v>
      </c>
      <c r="AN477" s="225">
        <f t="shared" si="22"/>
        <v>0</v>
      </c>
      <c r="AO477" s="225">
        <f t="shared" si="22"/>
        <v>0</v>
      </c>
    </row>
    <row r="478" spans="1:41" ht="12.75" customHeight="1" x14ac:dyDescent="0.25">
      <c r="C478" s="776"/>
      <c r="D478" s="774"/>
      <c r="E478" s="223" t="s">
        <v>73</v>
      </c>
      <c r="F478" s="225">
        <f>F444</f>
        <v>-58482.01</v>
      </c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</row>
    <row r="479" spans="1:41" ht="12.75" customHeight="1" x14ac:dyDescent="0.25">
      <c r="C479" s="776"/>
      <c r="D479" s="774" t="s">
        <v>133</v>
      </c>
      <c r="E479" s="227" t="s">
        <v>70</v>
      </c>
      <c r="F479" s="228">
        <f>F430+F391-L391</f>
        <v>477309.99999999994</v>
      </c>
      <c r="G479" s="228">
        <f t="shared" ref="G479:Z479" si="23">G391</f>
        <v>38110.6</v>
      </c>
      <c r="H479" s="228">
        <f t="shared" si="23"/>
        <v>21563.85</v>
      </c>
      <c r="I479" s="228">
        <f t="shared" si="23"/>
        <v>11358.44</v>
      </c>
      <c r="J479" s="228">
        <f t="shared" si="23"/>
        <v>115713.43</v>
      </c>
      <c r="K479" s="228">
        <f t="shared" si="23"/>
        <v>4097.95</v>
      </c>
      <c r="L479" s="228">
        <f t="shared" si="23"/>
        <v>0</v>
      </c>
      <c r="M479" s="228">
        <f t="shared" si="23"/>
        <v>35947.1</v>
      </c>
      <c r="N479" s="228">
        <f t="shared" si="23"/>
        <v>36518.79</v>
      </c>
      <c r="O479" s="228">
        <f t="shared" si="23"/>
        <v>186444.24</v>
      </c>
      <c r="P479" s="228">
        <f t="shared" si="23"/>
        <v>101419.31</v>
      </c>
      <c r="Q479" s="228">
        <f t="shared" si="23"/>
        <v>6686.12</v>
      </c>
      <c r="R479" s="228">
        <f t="shared" si="23"/>
        <v>9.6199999999999992</v>
      </c>
      <c r="S479" s="228">
        <f t="shared" si="23"/>
        <v>0</v>
      </c>
      <c r="T479" s="228">
        <f t="shared" si="23"/>
        <v>0</v>
      </c>
      <c r="U479" s="228">
        <f t="shared" si="23"/>
        <v>0</v>
      </c>
      <c r="V479" s="228">
        <f t="shared" si="23"/>
        <v>0</v>
      </c>
      <c r="W479" s="228">
        <f t="shared" si="23"/>
        <v>0</v>
      </c>
      <c r="X479" s="228">
        <f t="shared" si="23"/>
        <v>0</v>
      </c>
      <c r="Y479" s="228">
        <f t="shared" si="23"/>
        <v>0</v>
      </c>
      <c r="Z479" s="228">
        <f t="shared" si="23"/>
        <v>0</v>
      </c>
    </row>
    <row r="480" spans="1:41" ht="12.75" customHeight="1" x14ac:dyDescent="0.25">
      <c r="C480" s="776"/>
      <c r="D480" s="774"/>
      <c r="E480" s="227" t="s">
        <v>73</v>
      </c>
      <c r="F480" s="228">
        <f>F430</f>
        <v>-80559.45</v>
      </c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</row>
    <row r="481" spans="1:41" ht="12.75" customHeight="1" x14ac:dyDescent="0.3">
      <c r="A481" s="89"/>
      <c r="C481" s="97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</row>
    <row r="482" spans="1:41" ht="12.75" customHeight="1" x14ac:dyDescent="0.25">
      <c r="C482" s="776" t="s">
        <v>155</v>
      </c>
      <c r="D482" s="774" t="s">
        <v>132</v>
      </c>
      <c r="E482" s="221" t="s">
        <v>70</v>
      </c>
      <c r="F482" s="222">
        <f>F439+F403+F376-L376-L403</f>
        <v>6660040973.6199999</v>
      </c>
      <c r="G482" s="222">
        <f t="shared" ref="G482:Z482" si="24">G403+G376</f>
        <v>375987449.31</v>
      </c>
      <c r="H482" s="222">
        <f t="shared" si="24"/>
        <v>208589134.28</v>
      </c>
      <c r="I482" s="222">
        <f t="shared" si="24"/>
        <v>110981887.31</v>
      </c>
      <c r="J482" s="222">
        <f t="shared" si="24"/>
        <v>1647895615.3200002</v>
      </c>
      <c r="K482" s="222">
        <f t="shared" si="24"/>
        <v>57745546.990000002</v>
      </c>
      <c r="L482" s="222">
        <f t="shared" si="24"/>
        <v>3973622.38</v>
      </c>
      <c r="M482" s="222">
        <f t="shared" si="24"/>
        <v>505214935.59999996</v>
      </c>
      <c r="N482" s="222">
        <f t="shared" si="24"/>
        <v>491977110.61000001</v>
      </c>
      <c r="O482" s="222">
        <f t="shared" si="24"/>
        <v>2522398790.4400001</v>
      </c>
      <c r="P482" s="222">
        <f t="shared" si="24"/>
        <v>994824924.16999996</v>
      </c>
      <c r="Q482" s="222">
        <f t="shared" si="24"/>
        <v>94347384.979999989</v>
      </c>
      <c r="R482" s="222">
        <f t="shared" si="24"/>
        <v>3658.64</v>
      </c>
      <c r="S482" s="222">
        <f t="shared" si="24"/>
        <v>-0.04</v>
      </c>
      <c r="T482" s="222">
        <f t="shared" si="24"/>
        <v>70.430000000000007</v>
      </c>
      <c r="U482" s="222">
        <f t="shared" si="24"/>
        <v>0</v>
      </c>
      <c r="V482" s="222">
        <f t="shared" si="24"/>
        <v>0</v>
      </c>
      <c r="W482" s="222">
        <f t="shared" si="24"/>
        <v>0</v>
      </c>
      <c r="X482" s="222">
        <f t="shared" si="24"/>
        <v>0</v>
      </c>
      <c r="Y482" s="222">
        <f t="shared" si="24"/>
        <v>0</v>
      </c>
      <c r="Z482" s="222">
        <f t="shared" si="24"/>
        <v>0</v>
      </c>
    </row>
    <row r="483" spans="1:41" ht="12.75" customHeight="1" x14ac:dyDescent="0.25">
      <c r="C483" s="776"/>
      <c r="D483" s="774"/>
      <c r="E483" s="221" t="s">
        <v>73</v>
      </c>
      <c r="F483" s="222">
        <f>F439</f>
        <v>-349925534.42000002</v>
      </c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</row>
    <row r="484" spans="1:41" ht="12.75" customHeight="1" x14ac:dyDescent="0.25">
      <c r="C484" s="776"/>
      <c r="D484" s="774" t="s">
        <v>133</v>
      </c>
      <c r="E484" s="229" t="s">
        <v>70</v>
      </c>
      <c r="F484" s="230">
        <f>F425+F385-L385</f>
        <v>77806471.420000002</v>
      </c>
      <c r="G484" s="230">
        <f t="shared" ref="G484:Z484" si="25">G385</f>
        <v>5741981.5899999999</v>
      </c>
      <c r="H484" s="230">
        <f t="shared" si="25"/>
        <v>3203087.72</v>
      </c>
      <c r="I484" s="230">
        <f t="shared" si="25"/>
        <v>1688492.39</v>
      </c>
      <c r="J484" s="230">
        <f t="shared" si="25"/>
        <v>15296853.960000001</v>
      </c>
      <c r="K484" s="230">
        <f t="shared" si="25"/>
        <v>470743.41</v>
      </c>
      <c r="L484" s="230">
        <f t="shared" si="25"/>
        <v>5153.8500000000004</v>
      </c>
      <c r="M484" s="230">
        <f t="shared" si="25"/>
        <v>4085614.37</v>
      </c>
      <c r="N484" s="230">
        <f t="shared" si="25"/>
        <v>4949377.6500000004</v>
      </c>
      <c r="O484" s="230">
        <f t="shared" si="25"/>
        <v>25212211.550000001</v>
      </c>
      <c r="P484" s="230">
        <f t="shared" si="25"/>
        <v>15207780.9</v>
      </c>
      <c r="Q484" s="230">
        <f t="shared" si="25"/>
        <v>771008.94</v>
      </c>
      <c r="R484" s="230">
        <f t="shared" si="25"/>
        <v>-76.27</v>
      </c>
      <c r="S484" s="230">
        <f t="shared" si="25"/>
        <v>0</v>
      </c>
      <c r="T484" s="230">
        <f t="shared" si="25"/>
        <v>0.93</v>
      </c>
      <c r="U484" s="230">
        <f t="shared" si="25"/>
        <v>0</v>
      </c>
      <c r="V484" s="230">
        <f t="shared" si="25"/>
        <v>0</v>
      </c>
      <c r="W484" s="230">
        <f t="shared" si="25"/>
        <v>0</v>
      </c>
      <c r="X484" s="230">
        <f t="shared" si="25"/>
        <v>0</v>
      </c>
      <c r="Y484" s="230">
        <f t="shared" si="25"/>
        <v>0</v>
      </c>
      <c r="Z484" s="230">
        <f t="shared" si="25"/>
        <v>0</v>
      </c>
    </row>
    <row r="485" spans="1:41" ht="12.75" customHeight="1" x14ac:dyDescent="0.25">
      <c r="C485" s="776"/>
      <c r="D485" s="774"/>
      <c r="E485" s="229" t="s">
        <v>73</v>
      </c>
      <c r="F485" s="230">
        <f>F425</f>
        <v>1179394.28</v>
      </c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</row>
    <row r="486" spans="1:41" ht="12.75" customHeight="1" x14ac:dyDescent="0.3">
      <c r="A486" s="89"/>
      <c r="C486" s="97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</row>
    <row r="487" spans="1:41" ht="12.75" customHeight="1" x14ac:dyDescent="0.25">
      <c r="C487" s="777" t="s">
        <v>326</v>
      </c>
      <c r="D487" s="774" t="s">
        <v>132</v>
      </c>
      <c r="E487" s="373" t="s">
        <v>70</v>
      </c>
      <c r="F487" s="374">
        <v>0</v>
      </c>
      <c r="G487" s="374">
        <v>0</v>
      </c>
      <c r="H487" s="374">
        <v>0</v>
      </c>
      <c r="I487" s="374">
        <v>0</v>
      </c>
      <c r="J487" s="374">
        <v>0</v>
      </c>
      <c r="K487" s="374">
        <v>0</v>
      </c>
      <c r="L487" s="374">
        <v>0</v>
      </c>
      <c r="M487" s="374">
        <v>0</v>
      </c>
      <c r="N487" s="374">
        <v>0</v>
      </c>
      <c r="O487" s="374">
        <v>0</v>
      </c>
      <c r="P487" s="374">
        <v>0</v>
      </c>
      <c r="Q487" s="374">
        <v>0</v>
      </c>
      <c r="R487" s="374">
        <v>0</v>
      </c>
      <c r="S487" s="374">
        <v>0</v>
      </c>
      <c r="T487" s="374">
        <v>0</v>
      </c>
      <c r="U487" s="374">
        <v>0</v>
      </c>
      <c r="V487" s="374">
        <v>0</v>
      </c>
      <c r="W487" s="374">
        <v>0</v>
      </c>
      <c r="X487" s="374">
        <v>0</v>
      </c>
      <c r="Y487" s="374">
        <v>0</v>
      </c>
      <c r="Z487" s="374">
        <v>0</v>
      </c>
      <c r="AA487" s="374">
        <v>0</v>
      </c>
      <c r="AB487" s="374">
        <v>0</v>
      </c>
      <c r="AC487" s="374">
        <v>0</v>
      </c>
      <c r="AD487" s="374">
        <v>0</v>
      </c>
      <c r="AE487" s="374">
        <v>0</v>
      </c>
      <c r="AF487" s="374">
        <v>0</v>
      </c>
      <c r="AG487" s="374">
        <v>0</v>
      </c>
      <c r="AH487" s="374">
        <v>0</v>
      </c>
      <c r="AI487" s="374">
        <v>0</v>
      </c>
      <c r="AJ487" s="374">
        <v>0</v>
      </c>
      <c r="AK487" s="374">
        <v>0</v>
      </c>
      <c r="AL487" s="374">
        <v>0</v>
      </c>
      <c r="AM487" s="374">
        <v>0</v>
      </c>
      <c r="AN487" s="374">
        <v>0</v>
      </c>
      <c r="AO487" s="374">
        <v>0</v>
      </c>
    </row>
    <row r="488" spans="1:41" ht="12.75" customHeight="1" x14ac:dyDescent="0.25">
      <c r="C488" s="777"/>
      <c r="D488" s="774"/>
      <c r="E488" s="373" t="s">
        <v>73</v>
      </c>
      <c r="F488" s="374">
        <v>0</v>
      </c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</row>
    <row r="489" spans="1:41" ht="12.75" customHeight="1" x14ac:dyDescent="0.25">
      <c r="C489" s="777"/>
      <c r="D489" s="774" t="s">
        <v>133</v>
      </c>
      <c r="E489" s="242" t="s">
        <v>70</v>
      </c>
      <c r="F489" s="243">
        <v>0</v>
      </c>
      <c r="G489" s="243">
        <v>0</v>
      </c>
      <c r="H489" s="243">
        <v>0</v>
      </c>
      <c r="I489" s="243">
        <v>0</v>
      </c>
      <c r="J489" s="243">
        <v>0</v>
      </c>
      <c r="K489" s="243">
        <v>0</v>
      </c>
      <c r="L489" s="243">
        <v>0</v>
      </c>
      <c r="M489" s="243">
        <v>0</v>
      </c>
      <c r="N489" s="243">
        <v>0</v>
      </c>
      <c r="O489" s="243">
        <v>0</v>
      </c>
      <c r="P489" s="243">
        <v>0</v>
      </c>
      <c r="Q489" s="243">
        <v>0</v>
      </c>
      <c r="R489" s="243">
        <v>0</v>
      </c>
      <c r="S489" s="243">
        <v>0</v>
      </c>
      <c r="T489" s="243">
        <v>0</v>
      </c>
      <c r="U489" s="243">
        <v>0</v>
      </c>
      <c r="V489" s="243">
        <v>0</v>
      </c>
      <c r="W489" s="243">
        <v>0</v>
      </c>
      <c r="X489" s="243">
        <v>0</v>
      </c>
      <c r="Y489" s="243">
        <v>0</v>
      </c>
      <c r="Z489" s="243">
        <v>0</v>
      </c>
      <c r="AA489" s="243">
        <v>0</v>
      </c>
      <c r="AB489" s="243">
        <v>0</v>
      </c>
      <c r="AC489" s="243">
        <v>0</v>
      </c>
      <c r="AD489" s="243">
        <v>0</v>
      </c>
      <c r="AE489" s="243">
        <v>0</v>
      </c>
      <c r="AF489" s="243">
        <v>0</v>
      </c>
      <c r="AG489" s="243">
        <v>0</v>
      </c>
      <c r="AH489" s="243">
        <v>0</v>
      </c>
      <c r="AI489" s="243">
        <v>0</v>
      </c>
      <c r="AJ489" s="243">
        <v>0</v>
      </c>
      <c r="AK489" s="243">
        <v>0</v>
      </c>
      <c r="AL489" s="243">
        <v>0</v>
      </c>
      <c r="AM489" s="243">
        <v>0</v>
      </c>
      <c r="AN489" s="243">
        <v>0</v>
      </c>
      <c r="AO489" s="243">
        <v>0</v>
      </c>
    </row>
    <row r="490" spans="1:41" ht="12.75" customHeight="1" x14ac:dyDescent="0.25">
      <c r="C490" s="777"/>
      <c r="D490" s="774"/>
      <c r="E490" s="242" t="s">
        <v>73</v>
      </c>
      <c r="F490" s="243">
        <v>0</v>
      </c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</row>
    <row r="491" spans="1:41" ht="12.75" customHeight="1" x14ac:dyDescent="0.3">
      <c r="A491" s="89"/>
      <c r="C491" s="97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</row>
    <row r="492" spans="1:41" ht="12.75" customHeight="1" x14ac:dyDescent="0.25">
      <c r="C492" s="776" t="s">
        <v>119</v>
      </c>
      <c r="D492" s="774" t="s">
        <v>132</v>
      </c>
      <c r="E492" s="101" t="s">
        <v>70</v>
      </c>
      <c r="F492" s="93">
        <f>F451+F420+F379-L379-L420</f>
        <v>1001394299.85</v>
      </c>
      <c r="G492" s="93">
        <f t="shared" ref="G492:AO492" si="26">G420+G379</f>
        <v>96347890.379999995</v>
      </c>
      <c r="H492" s="93">
        <f t="shared" si="26"/>
        <v>53642864.589999996</v>
      </c>
      <c r="I492" s="93">
        <f t="shared" si="26"/>
        <v>28268612.469999999</v>
      </c>
      <c r="J492" s="93">
        <f t="shared" si="26"/>
        <v>128324876.09999999</v>
      </c>
      <c r="K492" s="93">
        <f t="shared" si="26"/>
        <v>3410942.05</v>
      </c>
      <c r="L492" s="93">
        <f t="shared" si="26"/>
        <v>6089499.1600000001</v>
      </c>
      <c r="M492" s="93">
        <f t="shared" si="26"/>
        <v>29955296.809999999</v>
      </c>
      <c r="N492" s="93">
        <f t="shared" si="26"/>
        <v>41224437.350000001</v>
      </c>
      <c r="O492" s="93">
        <f t="shared" si="26"/>
        <v>208298986.38</v>
      </c>
      <c r="P492" s="93">
        <f t="shared" si="26"/>
        <v>255564994.84</v>
      </c>
      <c r="Q492" s="93">
        <f t="shared" si="26"/>
        <v>5586738.1200000001</v>
      </c>
      <c r="R492" s="93">
        <f t="shared" si="26"/>
        <v>-773.95</v>
      </c>
      <c r="S492" s="93">
        <f t="shared" si="26"/>
        <v>-0.02</v>
      </c>
      <c r="T492" s="93">
        <f t="shared" si="26"/>
        <v>0.2</v>
      </c>
      <c r="U492" s="93">
        <f t="shared" si="26"/>
        <v>0</v>
      </c>
      <c r="V492" s="93">
        <f t="shared" si="26"/>
        <v>0</v>
      </c>
      <c r="W492" s="93">
        <f t="shared" si="26"/>
        <v>0</v>
      </c>
      <c r="X492" s="93">
        <f t="shared" si="26"/>
        <v>0</v>
      </c>
      <c r="Y492" s="93">
        <f t="shared" si="26"/>
        <v>0</v>
      </c>
      <c r="Z492" s="93">
        <f t="shared" si="26"/>
        <v>0</v>
      </c>
      <c r="AA492" s="93">
        <f t="shared" si="26"/>
        <v>0</v>
      </c>
      <c r="AB492" s="93">
        <f t="shared" si="26"/>
        <v>0</v>
      </c>
      <c r="AC492" s="93">
        <f t="shared" si="26"/>
        <v>0</v>
      </c>
      <c r="AD492" s="93">
        <f t="shared" si="26"/>
        <v>0</v>
      </c>
      <c r="AE492" s="93">
        <f t="shared" si="26"/>
        <v>0</v>
      </c>
      <c r="AF492" s="93">
        <f t="shared" si="26"/>
        <v>0</v>
      </c>
      <c r="AG492" s="93">
        <f t="shared" si="26"/>
        <v>0</v>
      </c>
      <c r="AH492" s="93">
        <f t="shared" si="26"/>
        <v>0</v>
      </c>
      <c r="AI492" s="93">
        <f t="shared" si="26"/>
        <v>0</v>
      </c>
      <c r="AJ492" s="93">
        <f t="shared" si="26"/>
        <v>0</v>
      </c>
      <c r="AK492" s="93">
        <f t="shared" si="26"/>
        <v>0</v>
      </c>
      <c r="AL492" s="93">
        <f t="shared" si="26"/>
        <v>0</v>
      </c>
      <c r="AM492" s="93">
        <f t="shared" si="26"/>
        <v>0</v>
      </c>
      <c r="AN492" s="93">
        <f t="shared" si="26"/>
        <v>0</v>
      </c>
      <c r="AO492" s="93">
        <f t="shared" si="26"/>
        <v>0</v>
      </c>
    </row>
    <row r="493" spans="1:41" ht="12.75" customHeight="1" x14ac:dyDescent="0.25">
      <c r="C493" s="776"/>
      <c r="D493" s="774"/>
      <c r="E493" s="101" t="s">
        <v>73</v>
      </c>
      <c r="F493" s="93">
        <f>F451</f>
        <v>150769434.53</v>
      </c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</row>
    <row r="494" spans="1:41" ht="12.75" customHeight="1" x14ac:dyDescent="0.25">
      <c r="C494" s="776"/>
      <c r="D494" s="774" t="s">
        <v>133</v>
      </c>
      <c r="E494" s="235" t="s">
        <v>70</v>
      </c>
      <c r="F494" s="236">
        <f>F435+F398-L398</f>
        <v>5075866</v>
      </c>
      <c r="G494" s="236">
        <f t="shared" ref="G494:Z494" si="27">G398</f>
        <v>295177.14</v>
      </c>
      <c r="H494" s="236">
        <f t="shared" si="27"/>
        <v>155798.47</v>
      </c>
      <c r="I494" s="236">
        <f t="shared" si="27"/>
        <v>83506.34</v>
      </c>
      <c r="J494" s="236">
        <f t="shared" si="27"/>
        <v>1190857.3799999999</v>
      </c>
      <c r="K494" s="236">
        <f t="shared" si="27"/>
        <v>40011.82</v>
      </c>
      <c r="L494" s="236">
        <f t="shared" si="27"/>
        <v>0</v>
      </c>
      <c r="M494" s="236">
        <f t="shared" si="27"/>
        <v>357994.68</v>
      </c>
      <c r="N494" s="236">
        <f t="shared" si="27"/>
        <v>405293.91</v>
      </c>
      <c r="O494" s="236">
        <f t="shared" si="27"/>
        <v>2011747.21</v>
      </c>
      <c r="P494" s="236">
        <f t="shared" si="27"/>
        <v>776565.21</v>
      </c>
      <c r="Q494" s="236">
        <f t="shared" si="27"/>
        <v>66179.710000000006</v>
      </c>
      <c r="R494" s="236">
        <f t="shared" si="27"/>
        <v>-16.760000000000002</v>
      </c>
      <c r="S494" s="236">
        <f t="shared" si="27"/>
        <v>0</v>
      </c>
      <c r="T494" s="236">
        <f t="shared" si="27"/>
        <v>0</v>
      </c>
      <c r="U494" s="236">
        <f t="shared" si="27"/>
        <v>0</v>
      </c>
      <c r="V494" s="236">
        <f t="shared" si="27"/>
        <v>0</v>
      </c>
      <c r="W494" s="236">
        <f t="shared" si="27"/>
        <v>0</v>
      </c>
      <c r="X494" s="236">
        <f t="shared" si="27"/>
        <v>0</v>
      </c>
      <c r="Y494" s="236">
        <f t="shared" si="27"/>
        <v>0</v>
      </c>
      <c r="Z494" s="236">
        <f t="shared" si="27"/>
        <v>0</v>
      </c>
    </row>
    <row r="495" spans="1:41" ht="12.75" customHeight="1" x14ac:dyDescent="0.25">
      <c r="C495" s="776"/>
      <c r="D495" s="774"/>
      <c r="E495" s="235" t="s">
        <v>73</v>
      </c>
      <c r="F495" s="236">
        <f>F435</f>
        <v>-307249.11</v>
      </c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</row>
    <row r="496" spans="1:41" ht="12.75" customHeight="1" x14ac:dyDescent="0.3">
      <c r="A496" s="89"/>
      <c r="C496" s="97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</row>
    <row r="497" spans="1:41" ht="12.75" customHeight="1" x14ac:dyDescent="0.25">
      <c r="C497" s="775" t="s">
        <v>161</v>
      </c>
      <c r="D497" s="774" t="s">
        <v>132</v>
      </c>
      <c r="E497" s="231" t="s">
        <v>70</v>
      </c>
      <c r="F497" s="232">
        <v>0</v>
      </c>
      <c r="G497" s="232">
        <v>0</v>
      </c>
      <c r="H497" s="232">
        <v>0</v>
      </c>
      <c r="I497" s="232">
        <v>0</v>
      </c>
      <c r="J497" s="232">
        <v>0</v>
      </c>
      <c r="K497" s="232">
        <v>0</v>
      </c>
      <c r="L497" s="232">
        <v>0</v>
      </c>
      <c r="M497" s="232">
        <v>0</v>
      </c>
      <c r="N497" s="232">
        <v>0</v>
      </c>
      <c r="O497" s="232">
        <v>0</v>
      </c>
      <c r="P497" s="232">
        <v>0</v>
      </c>
      <c r="Q497" s="232">
        <v>0</v>
      </c>
      <c r="R497" s="232">
        <v>0</v>
      </c>
      <c r="S497" s="232">
        <v>0</v>
      </c>
      <c r="T497" s="232">
        <v>0</v>
      </c>
      <c r="U497" s="232">
        <v>0</v>
      </c>
      <c r="V497" s="232">
        <v>0</v>
      </c>
      <c r="W497" s="232">
        <v>0</v>
      </c>
      <c r="X497" s="232">
        <v>0</v>
      </c>
      <c r="Y497" s="232">
        <v>0</v>
      </c>
      <c r="Z497" s="232">
        <v>0</v>
      </c>
      <c r="AA497" s="232">
        <v>0</v>
      </c>
      <c r="AB497" s="232">
        <v>0</v>
      </c>
      <c r="AC497" s="232">
        <v>0</v>
      </c>
      <c r="AD497" s="232">
        <v>0</v>
      </c>
      <c r="AE497" s="232">
        <v>0</v>
      </c>
      <c r="AF497" s="232">
        <v>0</v>
      </c>
      <c r="AG497" s="232">
        <v>0</v>
      </c>
      <c r="AH497" s="232">
        <v>0</v>
      </c>
      <c r="AI497" s="232">
        <v>0</v>
      </c>
      <c r="AJ497" s="232">
        <v>0</v>
      </c>
      <c r="AK497" s="232">
        <v>0</v>
      </c>
      <c r="AL497" s="232">
        <v>0</v>
      </c>
      <c r="AM497" s="232">
        <v>0</v>
      </c>
      <c r="AN497" s="232">
        <v>0</v>
      </c>
      <c r="AO497" s="232">
        <v>0</v>
      </c>
    </row>
    <row r="498" spans="1:41" ht="12.75" customHeight="1" x14ac:dyDescent="0.25">
      <c r="C498" s="775"/>
      <c r="D498" s="774"/>
      <c r="E498" s="231" t="s">
        <v>73</v>
      </c>
      <c r="F498" s="232">
        <v>0</v>
      </c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</row>
    <row r="499" spans="1:41" ht="12.75" customHeight="1" x14ac:dyDescent="0.25">
      <c r="C499" s="775"/>
      <c r="E499" s="148" t="s">
        <v>70</v>
      </c>
      <c r="F499" s="149">
        <v>0</v>
      </c>
      <c r="G499" s="149">
        <v>0</v>
      </c>
      <c r="H499" s="149">
        <v>0</v>
      </c>
      <c r="I499" s="149">
        <v>0</v>
      </c>
      <c r="J499" s="149">
        <v>0</v>
      </c>
      <c r="K499" s="149">
        <v>0</v>
      </c>
      <c r="L499" s="149">
        <v>0</v>
      </c>
      <c r="M499" s="149">
        <v>0</v>
      </c>
      <c r="N499" s="149">
        <v>0</v>
      </c>
      <c r="O499" s="149">
        <v>0</v>
      </c>
      <c r="P499" s="149">
        <v>0</v>
      </c>
      <c r="Q499" s="149">
        <v>0</v>
      </c>
      <c r="R499" s="149">
        <v>0</v>
      </c>
      <c r="S499" s="149">
        <v>0</v>
      </c>
      <c r="T499" s="149">
        <v>0</v>
      </c>
      <c r="U499" s="149">
        <v>0</v>
      </c>
      <c r="V499" s="149">
        <v>0</v>
      </c>
      <c r="W499" s="149">
        <v>0</v>
      </c>
      <c r="X499" s="149">
        <v>0</v>
      </c>
      <c r="Y499" s="149">
        <v>0</v>
      </c>
      <c r="Z499" s="149">
        <v>0</v>
      </c>
    </row>
    <row r="500" spans="1:41" ht="12.75" customHeight="1" x14ac:dyDescent="0.25">
      <c r="C500" s="775"/>
      <c r="D500" s="220" t="s">
        <v>132</v>
      </c>
      <c r="E500" s="148" t="s">
        <v>73</v>
      </c>
      <c r="F500" s="149">
        <v>0</v>
      </c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</row>
    <row r="501" spans="1:41" ht="12.75" customHeight="1" x14ac:dyDescent="0.25">
      <c r="C501" s="388"/>
      <c r="D501" s="220"/>
      <c r="E501" s="89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</row>
    <row r="502" spans="1:41" ht="12.75" customHeight="1" x14ac:dyDescent="0.25">
      <c r="D502" s="458" t="s">
        <v>186</v>
      </c>
      <c r="E502" s="459" t="s">
        <v>70</v>
      </c>
      <c r="F502" s="460">
        <f t="shared" ref="F502:Z502" si="28">F381</f>
        <v>-28294.15</v>
      </c>
      <c r="G502" s="460">
        <f t="shared" si="28"/>
        <v>-2288.4</v>
      </c>
      <c r="H502" s="460">
        <f t="shared" si="28"/>
        <v>-972.18</v>
      </c>
      <c r="I502" s="460">
        <f t="shared" si="28"/>
        <v>-424.56</v>
      </c>
      <c r="J502" s="460">
        <f t="shared" si="28"/>
        <v>-5258.96</v>
      </c>
      <c r="K502" s="460">
        <f t="shared" si="28"/>
        <v>-214.2</v>
      </c>
      <c r="L502" s="460">
        <f t="shared" si="28"/>
        <v>0</v>
      </c>
      <c r="M502" s="460">
        <f t="shared" si="28"/>
        <v>-1878.6</v>
      </c>
      <c r="N502" s="460">
        <f t="shared" si="28"/>
        <v>-2388.84</v>
      </c>
      <c r="O502" s="460">
        <f t="shared" si="28"/>
        <v>-8771.52</v>
      </c>
      <c r="P502" s="460">
        <f t="shared" si="28"/>
        <v>-5747.39</v>
      </c>
      <c r="Q502" s="460">
        <f t="shared" si="28"/>
        <v>-349.5</v>
      </c>
      <c r="R502" s="460">
        <f t="shared" si="28"/>
        <v>0</v>
      </c>
      <c r="S502" s="460">
        <f t="shared" si="28"/>
        <v>0</v>
      </c>
      <c r="T502" s="460">
        <f t="shared" si="28"/>
        <v>0</v>
      </c>
      <c r="U502" s="460">
        <f t="shared" si="28"/>
        <v>0</v>
      </c>
      <c r="V502" s="460">
        <f t="shared" si="28"/>
        <v>0</v>
      </c>
      <c r="W502" s="460">
        <f t="shared" si="28"/>
        <v>0</v>
      </c>
      <c r="X502" s="460">
        <f t="shared" si="28"/>
        <v>0</v>
      </c>
      <c r="Y502" s="460">
        <f t="shared" si="28"/>
        <v>0</v>
      </c>
      <c r="Z502" s="460">
        <f t="shared" si="28"/>
        <v>0</v>
      </c>
    </row>
    <row r="503" spans="1:41" ht="12.75" customHeight="1" x14ac:dyDescent="0.25">
      <c r="C503" s="388"/>
      <c r="D503" s="220"/>
      <c r="E503" s="89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</row>
    <row r="504" spans="1:41" s="238" customFormat="1" ht="12.75" customHeight="1" x14ac:dyDescent="0.25">
      <c r="D504" s="239"/>
      <c r="E504" s="240"/>
      <c r="F504" s="240"/>
      <c r="G504" s="240"/>
      <c r="H504" s="240"/>
      <c r="I504" s="240"/>
      <c r="J504" s="240"/>
      <c r="K504" s="240"/>
      <c r="L504" s="240"/>
      <c r="M504" s="240"/>
      <c r="N504" s="240"/>
      <c r="O504" s="240"/>
      <c r="P504" s="240"/>
      <c r="Q504" s="240"/>
    </row>
    <row r="505" spans="1:41" ht="12.65" customHeight="1" x14ac:dyDescent="0.3">
      <c r="A505" s="89"/>
      <c r="B505" s="97" t="s">
        <v>93</v>
      </c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</row>
    <row r="506" spans="1:41" ht="12.75" customHeight="1" x14ac:dyDescent="0.25">
      <c r="F506" s="89" t="s">
        <v>70</v>
      </c>
      <c r="G506" s="89" t="s">
        <v>64</v>
      </c>
      <c r="H506" s="89" t="s">
        <v>65</v>
      </c>
      <c r="I506" s="218" t="s">
        <v>164</v>
      </c>
      <c r="J506" s="89" t="s">
        <v>69</v>
      </c>
      <c r="K506" s="89" t="s">
        <v>68</v>
      </c>
      <c r="L506" s="89" t="s">
        <v>71</v>
      </c>
      <c r="M506" s="89" t="s">
        <v>66</v>
      </c>
      <c r="N506" s="89" t="s">
        <v>63</v>
      </c>
      <c r="O506" s="89" t="s">
        <v>61</v>
      </c>
      <c r="P506" s="89" t="s">
        <v>62</v>
      </c>
      <c r="Q506" s="89" t="s">
        <v>67</v>
      </c>
      <c r="R506" s="89" t="s">
        <v>77</v>
      </c>
      <c r="S506" s="89" t="s">
        <v>80</v>
      </c>
      <c r="T506" s="89" t="s">
        <v>135</v>
      </c>
      <c r="U506" s="89" t="s">
        <v>173</v>
      </c>
      <c r="V506" s="89" t="s">
        <v>222</v>
      </c>
      <c r="W506" s="89" t="s">
        <v>173</v>
      </c>
      <c r="X506" t="s">
        <v>173</v>
      </c>
      <c r="Y506" s="89" t="s">
        <v>135</v>
      </c>
      <c r="Z506" t="s">
        <v>167</v>
      </c>
    </row>
    <row r="507" spans="1:41" ht="12.75" customHeight="1" x14ac:dyDescent="0.25">
      <c r="A507" s="89"/>
      <c r="B507" s="89"/>
      <c r="E507" t="s">
        <v>72</v>
      </c>
      <c r="F507" s="371">
        <v>-9919.7000000000007</v>
      </c>
      <c r="G507" s="90">
        <v>-794.89</v>
      </c>
      <c r="H507" s="90">
        <v>-337.68</v>
      </c>
      <c r="I507" s="90">
        <v>-147.47</v>
      </c>
      <c r="J507" s="90">
        <v>-1690.49</v>
      </c>
      <c r="K507" s="90">
        <v>-104.34</v>
      </c>
      <c r="L507" s="90">
        <v>0</v>
      </c>
      <c r="M507" s="90">
        <v>-915.1</v>
      </c>
      <c r="N507" s="90">
        <v>-767.16</v>
      </c>
      <c r="O507" s="90">
        <v>-2803.42</v>
      </c>
      <c r="P507" s="90">
        <v>-2188.9299999999998</v>
      </c>
      <c r="Q507" s="90">
        <v>-170.22</v>
      </c>
      <c r="R507" s="90">
        <v>0</v>
      </c>
      <c r="S507" s="90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41" ht="12.75" customHeight="1" x14ac:dyDescent="0.25">
      <c r="A508" s="89"/>
      <c r="B508" s="89"/>
      <c r="D508" t="s">
        <v>86</v>
      </c>
      <c r="E508" t="s">
        <v>70</v>
      </c>
      <c r="F508" s="371">
        <v>-9919.7000000000007</v>
      </c>
      <c r="G508" s="90">
        <v>-794.89</v>
      </c>
      <c r="H508" s="90">
        <v>-337.68</v>
      </c>
      <c r="I508" s="90">
        <v>-147.47</v>
      </c>
      <c r="J508" s="90">
        <v>-1690.49</v>
      </c>
      <c r="K508" s="90">
        <v>-104.34</v>
      </c>
      <c r="L508" s="90">
        <v>0</v>
      </c>
      <c r="M508" s="90">
        <v>-915.1</v>
      </c>
      <c r="N508" s="90">
        <v>-767.16</v>
      </c>
      <c r="O508" s="90">
        <v>-2803.42</v>
      </c>
      <c r="P508" s="90">
        <v>-2188.9299999999998</v>
      </c>
      <c r="Q508" s="90">
        <v>-170.22</v>
      </c>
      <c r="R508" s="90">
        <v>0</v>
      </c>
      <c r="S508" s="90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41" s="94" customFormat="1" ht="12.75" customHeight="1" x14ac:dyDescent="0.25">
      <c r="A509" s="101"/>
      <c r="B509" s="101"/>
      <c r="C509" s="94" t="s">
        <v>119</v>
      </c>
      <c r="D509" s="94" t="s">
        <v>70</v>
      </c>
      <c r="F509" s="769">
        <v>-9919.7000000000007</v>
      </c>
      <c r="G509" s="93">
        <v>-794.89</v>
      </c>
      <c r="H509" s="93">
        <v>-337.68</v>
      </c>
      <c r="I509" s="93">
        <v>-147.47</v>
      </c>
      <c r="J509" s="93">
        <v>-1690.49</v>
      </c>
      <c r="K509" s="93">
        <v>-104.34</v>
      </c>
      <c r="L509" s="93">
        <v>0</v>
      </c>
      <c r="M509" s="93">
        <v>-915.1</v>
      </c>
      <c r="N509" s="93">
        <v>-767.16</v>
      </c>
      <c r="O509" s="93">
        <v>-2803.42</v>
      </c>
      <c r="P509" s="93">
        <v>-2188.9299999999998</v>
      </c>
      <c r="Q509" s="93">
        <v>-170.22</v>
      </c>
      <c r="R509" s="93">
        <v>0</v>
      </c>
      <c r="S509" s="93">
        <v>0</v>
      </c>
      <c r="T509" s="94">
        <v>0</v>
      </c>
      <c r="U509" s="94">
        <v>0</v>
      </c>
      <c r="V509" s="94">
        <v>0</v>
      </c>
      <c r="W509" s="94">
        <v>0</v>
      </c>
      <c r="X509" s="94">
        <v>0</v>
      </c>
      <c r="Y509" s="94">
        <v>0</v>
      </c>
      <c r="Z509" s="94">
        <v>0</v>
      </c>
    </row>
    <row r="510" spans="1:41" ht="12.75" customHeight="1" x14ac:dyDescent="0.25">
      <c r="A510" s="89"/>
      <c r="B510" s="89" t="s">
        <v>112</v>
      </c>
      <c r="C510" t="s">
        <v>70</v>
      </c>
      <c r="F510" s="371">
        <v>-9919.7000000000007</v>
      </c>
      <c r="G510" s="90">
        <v>-794.89</v>
      </c>
      <c r="H510" s="90">
        <v>-337.68</v>
      </c>
      <c r="I510" s="90">
        <v>-147.47</v>
      </c>
      <c r="J510" s="90">
        <v>-1690.49</v>
      </c>
      <c r="K510" s="90">
        <v>-104.34</v>
      </c>
      <c r="L510" s="90">
        <v>0</v>
      </c>
      <c r="M510" s="90">
        <v>-915.1</v>
      </c>
      <c r="N510" s="90">
        <v>-767.16</v>
      </c>
      <c r="O510" s="90">
        <v>-2803.42</v>
      </c>
      <c r="P510" s="90">
        <v>-2188.9299999999998</v>
      </c>
      <c r="Q510" s="90">
        <v>-170.22</v>
      </c>
      <c r="R510" s="90">
        <v>0</v>
      </c>
      <c r="S510" s="9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41" s="458" customFormat="1" ht="12.75" customHeight="1" x14ac:dyDescent="0.25">
      <c r="A511" s="458" t="s">
        <v>186</v>
      </c>
      <c r="B511" s="458" t="s">
        <v>70</v>
      </c>
      <c r="F511" s="458">
        <v>-9919.7000000000007</v>
      </c>
      <c r="G511" s="458">
        <v>-794.89</v>
      </c>
      <c r="H511" s="458">
        <v>-337.68</v>
      </c>
      <c r="I511" s="458">
        <v>-147.47</v>
      </c>
      <c r="J511" s="458">
        <v>-1690.49</v>
      </c>
      <c r="K511" s="458">
        <v>-104.34</v>
      </c>
      <c r="L511" s="458">
        <v>0</v>
      </c>
      <c r="M511" s="458">
        <v>-915.1</v>
      </c>
      <c r="N511" s="458">
        <v>-767.16</v>
      </c>
      <c r="O511" s="458">
        <v>-2803.42</v>
      </c>
      <c r="P511" s="458">
        <v>-2188.9299999999998</v>
      </c>
      <c r="Q511" s="458">
        <v>-170.22</v>
      </c>
      <c r="R511" s="458">
        <v>0</v>
      </c>
      <c r="S511" s="458">
        <v>0</v>
      </c>
      <c r="T511" s="458">
        <v>0</v>
      </c>
      <c r="U511" s="458">
        <v>0</v>
      </c>
      <c r="V511" s="458">
        <v>0</v>
      </c>
      <c r="W511" s="458">
        <v>0</v>
      </c>
      <c r="X511" s="458">
        <v>0</v>
      </c>
      <c r="Y511" s="458">
        <v>0</v>
      </c>
      <c r="Z511" s="458">
        <v>0</v>
      </c>
    </row>
    <row r="512" spans="1:41" ht="12.75" customHeight="1" x14ac:dyDescent="0.25">
      <c r="C512" s="89"/>
      <c r="D512" s="89"/>
      <c r="E512" t="s">
        <v>72</v>
      </c>
      <c r="F512" s="371">
        <v>13103548971.030001</v>
      </c>
      <c r="G512" s="90">
        <v>669932511.12</v>
      </c>
      <c r="H512" s="90">
        <v>373173469.72000003</v>
      </c>
      <c r="I512" s="90">
        <v>198470721.94</v>
      </c>
      <c r="J512" s="90">
        <v>3227037982.8600001</v>
      </c>
      <c r="K512" s="90">
        <v>104792937.36</v>
      </c>
      <c r="L512" s="90">
        <v>10240250.5</v>
      </c>
      <c r="M512" s="90">
        <v>919151371.38</v>
      </c>
      <c r="N512" s="90">
        <v>891265658.63999999</v>
      </c>
      <c r="O512" s="90">
        <v>4548121921.2799997</v>
      </c>
      <c r="P512" s="90">
        <v>1990546497.8</v>
      </c>
      <c r="Q512" s="90">
        <v>170990263.02000001</v>
      </c>
      <c r="R512" s="90">
        <v>-174614.59</v>
      </c>
      <c r="S512" s="90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</row>
    <row r="513" spans="1:26" ht="12.75" customHeight="1" x14ac:dyDescent="0.25">
      <c r="C513" s="89"/>
      <c r="D513" s="89"/>
      <c r="E513" t="s">
        <v>81</v>
      </c>
      <c r="F513" s="90">
        <v>6471262.3899999997</v>
      </c>
      <c r="G513" s="90">
        <v>538809.39</v>
      </c>
      <c r="H513" s="90">
        <v>267387.01</v>
      </c>
      <c r="I513" s="90">
        <v>132943.46</v>
      </c>
      <c r="J513" s="90">
        <v>1119544.8799999999</v>
      </c>
      <c r="K513" s="90">
        <v>48646.68</v>
      </c>
      <c r="L513" s="90">
        <v>2472.4499999999998</v>
      </c>
      <c r="M513" s="90">
        <v>425838.69</v>
      </c>
      <c r="N513" s="90">
        <v>391117.76</v>
      </c>
      <c r="O513" s="90">
        <v>1862703.5</v>
      </c>
      <c r="P513" s="90">
        <v>1602403.3</v>
      </c>
      <c r="Q513" s="90">
        <v>79386.460000000006</v>
      </c>
      <c r="R513" s="90">
        <v>-3.5</v>
      </c>
      <c r="S513" s="90">
        <v>7.45</v>
      </c>
      <c r="T513">
        <v>4.8600000000000003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 ht="12.75" customHeight="1" x14ac:dyDescent="0.25">
      <c r="D514" t="s">
        <v>156</v>
      </c>
      <c r="E514" s="89" t="s">
        <v>70</v>
      </c>
      <c r="F514" s="90">
        <v>13110020233.42</v>
      </c>
      <c r="G514" s="90">
        <v>670471320.50999999</v>
      </c>
      <c r="H514" s="90">
        <v>373440856.73000002</v>
      </c>
      <c r="I514" s="90">
        <v>198603665.40000001</v>
      </c>
      <c r="J514" s="90">
        <v>3228157527.7399998</v>
      </c>
      <c r="K514" s="90">
        <v>104841584.04000001</v>
      </c>
      <c r="L514" s="90">
        <v>10242722.949999999</v>
      </c>
      <c r="M514" s="90">
        <v>919577210.07000005</v>
      </c>
      <c r="N514" s="90">
        <v>891656776.39999998</v>
      </c>
      <c r="O514" s="90">
        <v>4549984624.7799997</v>
      </c>
      <c r="P514" s="90">
        <v>1992148901.0999999</v>
      </c>
      <c r="Q514" s="90">
        <v>171069649.47999999</v>
      </c>
      <c r="R514" s="90">
        <v>-174618.09</v>
      </c>
      <c r="S514" s="90">
        <v>7.45</v>
      </c>
      <c r="T514">
        <v>4.8600000000000003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 s="656" customFormat="1" ht="12.75" customHeight="1" x14ac:dyDescent="0.25">
      <c r="A515" s="657"/>
      <c r="B515" s="657"/>
      <c r="C515" s="656" t="s">
        <v>155</v>
      </c>
      <c r="D515" s="656" t="s">
        <v>70</v>
      </c>
      <c r="F515" s="658">
        <v>13110020233.42</v>
      </c>
      <c r="G515" s="658">
        <v>670471320.50999999</v>
      </c>
      <c r="H515" s="658">
        <v>373440856.73000002</v>
      </c>
      <c r="I515" s="658">
        <v>198603665.40000001</v>
      </c>
      <c r="J515" s="658">
        <v>3228157527.7399998</v>
      </c>
      <c r="K515" s="658">
        <v>104841584.04000001</v>
      </c>
      <c r="L515" s="658">
        <v>10242722.949999999</v>
      </c>
      <c r="M515" s="658">
        <v>919577210.07000005</v>
      </c>
      <c r="N515" s="658">
        <v>891656776.39999998</v>
      </c>
      <c r="O515" s="658">
        <v>4549984624.7799997</v>
      </c>
      <c r="P515" s="658">
        <v>1992148901.0999999</v>
      </c>
      <c r="Q515" s="658">
        <v>171069649.47999999</v>
      </c>
      <c r="R515" s="658">
        <v>-174618.09</v>
      </c>
      <c r="S515" s="658">
        <v>7.45</v>
      </c>
      <c r="T515" s="656">
        <v>4.8600000000000003</v>
      </c>
      <c r="U515" s="656">
        <v>0</v>
      </c>
      <c r="V515" s="656">
        <v>0</v>
      </c>
      <c r="W515" s="656">
        <v>0</v>
      </c>
      <c r="X515" s="656">
        <v>0</v>
      </c>
      <c r="Y515" s="656">
        <v>0</v>
      </c>
      <c r="Z515" s="656">
        <v>0</v>
      </c>
    </row>
    <row r="516" spans="1:26" ht="12.75" customHeight="1" x14ac:dyDescent="0.25">
      <c r="E516" s="89" t="s">
        <v>72</v>
      </c>
      <c r="F516" s="90">
        <v>39553002.840000004</v>
      </c>
      <c r="G516" s="90">
        <v>2215909.86</v>
      </c>
      <c r="H516" s="90">
        <v>1228792.1499999999</v>
      </c>
      <c r="I516" s="90">
        <v>660533.63</v>
      </c>
      <c r="J516" s="90">
        <v>8755540.0899999999</v>
      </c>
      <c r="K516" s="90">
        <v>308173.39</v>
      </c>
      <c r="L516" s="90">
        <v>0</v>
      </c>
      <c r="M516" s="90">
        <v>2681973.7400000002</v>
      </c>
      <c r="N516" s="90">
        <v>2714242.31</v>
      </c>
      <c r="O516" s="90">
        <v>13855712.470000001</v>
      </c>
      <c r="P516" s="90">
        <v>6628530.25</v>
      </c>
      <c r="Q516" s="90">
        <v>503687.2</v>
      </c>
      <c r="R516" s="90">
        <v>-92.25</v>
      </c>
      <c r="S516" s="90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1:26" ht="12.75" customHeight="1" x14ac:dyDescent="0.25">
      <c r="E517" s="89" t="s">
        <v>81</v>
      </c>
      <c r="F517" s="371">
        <v>155001.68</v>
      </c>
      <c r="G517" s="90">
        <v>9430.48</v>
      </c>
      <c r="H517" s="90">
        <v>5061.29</v>
      </c>
      <c r="I517" s="90">
        <v>2739.42</v>
      </c>
      <c r="J517" s="90">
        <v>33781.17</v>
      </c>
      <c r="K517" s="90">
        <v>1101.58</v>
      </c>
      <c r="L517" s="90">
        <v>37.32</v>
      </c>
      <c r="M517" s="90">
        <v>9600.9699999999993</v>
      </c>
      <c r="N517" s="90">
        <v>10443.65</v>
      </c>
      <c r="O517" s="90">
        <v>52980.73</v>
      </c>
      <c r="P517" s="90">
        <v>28028.48</v>
      </c>
      <c r="Q517" s="90">
        <v>1796.38</v>
      </c>
      <c r="R517" s="90">
        <v>0.22</v>
      </c>
      <c r="S517" s="90">
        <v>-0.01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 ht="12.75" customHeight="1" x14ac:dyDescent="0.25">
      <c r="D518" t="s">
        <v>156</v>
      </c>
      <c r="E518" s="89" t="s">
        <v>70</v>
      </c>
      <c r="F518" s="371">
        <v>39708004.520000003</v>
      </c>
      <c r="G518" s="90">
        <v>2225340.34</v>
      </c>
      <c r="H518" s="90">
        <v>1233853.4399999999</v>
      </c>
      <c r="I518" s="90">
        <v>663273.05000000005</v>
      </c>
      <c r="J518" s="90">
        <v>8789321.2599999998</v>
      </c>
      <c r="K518" s="90">
        <v>309274.96999999997</v>
      </c>
      <c r="L518" s="90">
        <v>37.32</v>
      </c>
      <c r="M518" s="90">
        <v>2691574.71</v>
      </c>
      <c r="N518" s="90">
        <v>2724685.96</v>
      </c>
      <c r="O518" s="90">
        <v>13908693.199999999</v>
      </c>
      <c r="P518" s="90">
        <v>6656558.7300000004</v>
      </c>
      <c r="Q518" s="90">
        <v>505483.58</v>
      </c>
      <c r="R518" s="90">
        <v>-92.03</v>
      </c>
      <c r="S518" s="90">
        <v>-0.01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 s="739" customFormat="1" ht="12.75" customHeight="1" x14ac:dyDescent="0.25">
      <c r="C519" s="739" t="s">
        <v>326</v>
      </c>
      <c r="D519" s="739" t="s">
        <v>70</v>
      </c>
      <c r="E519" s="231"/>
      <c r="F519" s="740">
        <v>39708004.520000003</v>
      </c>
      <c r="G519" s="232">
        <v>2225340.34</v>
      </c>
      <c r="H519" s="232">
        <v>1233853.4399999999</v>
      </c>
      <c r="I519" s="232">
        <v>663273.05000000005</v>
      </c>
      <c r="J519" s="232">
        <v>8789321.2599999998</v>
      </c>
      <c r="K519" s="232">
        <v>309274.96999999997</v>
      </c>
      <c r="L519" s="232">
        <v>37.32</v>
      </c>
      <c r="M519" s="232">
        <v>2691574.71</v>
      </c>
      <c r="N519" s="232">
        <v>2724685.96</v>
      </c>
      <c r="O519" s="232">
        <v>13908693.199999999</v>
      </c>
      <c r="P519" s="232">
        <v>6656558.7300000004</v>
      </c>
      <c r="Q519" s="232">
        <v>505483.58</v>
      </c>
      <c r="R519" s="232">
        <v>-92.03</v>
      </c>
      <c r="S519" s="232">
        <v>-0.01</v>
      </c>
      <c r="T519" s="739">
        <v>0</v>
      </c>
      <c r="U519" s="739">
        <v>0</v>
      </c>
      <c r="V519" s="739">
        <v>0</v>
      </c>
      <c r="W519" s="739">
        <v>0</v>
      </c>
      <c r="X519" s="739">
        <v>0</v>
      </c>
      <c r="Y519" s="739">
        <v>0</v>
      </c>
      <c r="Z519" s="739">
        <v>0</v>
      </c>
    </row>
    <row r="520" spans="1:26" ht="12.75" customHeight="1" x14ac:dyDescent="0.25">
      <c r="E520" s="89" t="s">
        <v>72</v>
      </c>
      <c r="F520" s="371">
        <v>26870991.620000001</v>
      </c>
      <c r="G520" s="90">
        <v>1727729.16</v>
      </c>
      <c r="H520" s="90">
        <v>962703.61</v>
      </c>
      <c r="I520" s="90">
        <v>511492.32</v>
      </c>
      <c r="J520" s="90">
        <v>3908534.78</v>
      </c>
      <c r="K520" s="90">
        <v>171698.12</v>
      </c>
      <c r="L520" s="90">
        <v>0</v>
      </c>
      <c r="M520" s="90">
        <v>1500894.96</v>
      </c>
      <c r="N520" s="90">
        <v>1988123.17</v>
      </c>
      <c r="O520" s="90">
        <v>10645831.970000001</v>
      </c>
      <c r="P520" s="90">
        <v>5170992.45</v>
      </c>
      <c r="Q520" s="90">
        <v>283693.17</v>
      </c>
      <c r="R520" s="90">
        <v>-702.09</v>
      </c>
      <c r="S520" s="9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</row>
    <row r="521" spans="1:26" ht="12.75" customHeight="1" x14ac:dyDescent="0.25">
      <c r="E521" s="89" t="s">
        <v>81</v>
      </c>
      <c r="F521" s="90">
        <v>259647.75</v>
      </c>
      <c r="G521" s="90">
        <v>22300.04</v>
      </c>
      <c r="H521" s="90">
        <v>12207.84</v>
      </c>
      <c r="I521" s="90">
        <v>6551.33</v>
      </c>
      <c r="J521" s="90">
        <v>40201.21</v>
      </c>
      <c r="K521" s="90">
        <v>1404.15</v>
      </c>
      <c r="L521" s="90">
        <v>0</v>
      </c>
      <c r="M521" s="90">
        <v>12188.17</v>
      </c>
      <c r="N521" s="90">
        <v>15639.33</v>
      </c>
      <c r="O521" s="90">
        <v>80062.149999999994</v>
      </c>
      <c r="P521" s="90">
        <v>66764.02</v>
      </c>
      <c r="Q521" s="90">
        <v>2330</v>
      </c>
      <c r="R521" s="90">
        <v>-1.1200000000000001</v>
      </c>
      <c r="S521" s="90">
        <v>-0.03</v>
      </c>
      <c r="T521">
        <v>0.66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 ht="12.75" customHeight="1" x14ac:dyDescent="0.25">
      <c r="D522" s="89" t="s">
        <v>82</v>
      </c>
      <c r="E522" s="89" t="s">
        <v>70</v>
      </c>
      <c r="F522" s="90">
        <v>27130639.370000001</v>
      </c>
      <c r="G522" s="90">
        <v>1750029.2</v>
      </c>
      <c r="H522" s="90">
        <v>974911.45</v>
      </c>
      <c r="I522" s="90">
        <v>518043.65</v>
      </c>
      <c r="J522" s="90">
        <v>3948735.99</v>
      </c>
      <c r="K522" s="90">
        <v>173102.27</v>
      </c>
      <c r="L522" s="90">
        <v>0</v>
      </c>
      <c r="M522" s="90">
        <v>1513083.13</v>
      </c>
      <c r="N522" s="90">
        <v>2003762.5</v>
      </c>
      <c r="O522" s="90">
        <v>10725894.119999999</v>
      </c>
      <c r="P522" s="90">
        <v>5237756.47</v>
      </c>
      <c r="Q522" s="90">
        <v>286023.17</v>
      </c>
      <c r="R522" s="90">
        <v>-703.21</v>
      </c>
      <c r="S522" s="90">
        <v>-0.03</v>
      </c>
      <c r="T522">
        <v>0.66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 ht="12.75" customHeight="1" x14ac:dyDescent="0.25">
      <c r="C523" s="89"/>
      <c r="D523" s="89"/>
      <c r="E523" t="s">
        <v>72</v>
      </c>
      <c r="F523" s="90">
        <v>44149813.469999999</v>
      </c>
      <c r="G523" s="90">
        <v>3748830.13</v>
      </c>
      <c r="H523" s="90">
        <v>1934736.44</v>
      </c>
      <c r="I523" s="90">
        <v>1007594.05</v>
      </c>
      <c r="J523" s="90">
        <v>5312407.7</v>
      </c>
      <c r="K523" s="90">
        <v>355100.76</v>
      </c>
      <c r="L523" s="90">
        <v>186490.45</v>
      </c>
      <c r="M523" s="90">
        <v>3126009.41</v>
      </c>
      <c r="N523" s="90">
        <v>2974239.53</v>
      </c>
      <c r="O523" s="90">
        <v>13799222.859999999</v>
      </c>
      <c r="P523" s="90">
        <v>11125257.57</v>
      </c>
      <c r="Q523" s="90">
        <v>580602.9</v>
      </c>
      <c r="R523" s="90">
        <v>-678.33</v>
      </c>
      <c r="S523" s="90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ht="12.75" customHeight="1" x14ac:dyDescent="0.25">
      <c r="B524" s="89"/>
      <c r="C524" s="89"/>
      <c r="E524" t="s">
        <v>81</v>
      </c>
      <c r="F524" s="90">
        <v>6537537.1500000004</v>
      </c>
      <c r="G524" s="90">
        <v>643275.13</v>
      </c>
      <c r="H524" s="90">
        <v>302466.74</v>
      </c>
      <c r="I524" s="90">
        <v>149667.26999999999</v>
      </c>
      <c r="J524" s="90">
        <v>995998.1</v>
      </c>
      <c r="K524" s="90">
        <v>49541.760000000002</v>
      </c>
      <c r="L524" s="90">
        <v>0</v>
      </c>
      <c r="M524" s="90">
        <v>432061</v>
      </c>
      <c r="N524" s="90">
        <v>378399.52</v>
      </c>
      <c r="O524" s="90">
        <v>1612189.68</v>
      </c>
      <c r="P524" s="90">
        <v>1893168.3</v>
      </c>
      <c r="Q524" s="90">
        <v>80820.13</v>
      </c>
      <c r="R524" s="90">
        <v>-14.06</v>
      </c>
      <c r="S524" s="90">
        <v>184.59</v>
      </c>
      <c r="T524">
        <v>1.1200000000000001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-222.13</v>
      </c>
    </row>
    <row r="525" spans="1:26" ht="12.75" customHeight="1" x14ac:dyDescent="0.25">
      <c r="A525" s="89"/>
      <c r="B525" s="89"/>
      <c r="D525" t="s">
        <v>86</v>
      </c>
      <c r="E525" t="s">
        <v>70</v>
      </c>
      <c r="F525" s="90">
        <v>50687350.619999997</v>
      </c>
      <c r="G525" s="90">
        <v>4392105.26</v>
      </c>
      <c r="H525" s="90">
        <v>2237203.1800000002</v>
      </c>
      <c r="I525" s="90">
        <v>1157261.32</v>
      </c>
      <c r="J525" s="90">
        <v>6308405.7999999998</v>
      </c>
      <c r="K525" s="90">
        <v>404642.52</v>
      </c>
      <c r="L525" s="90">
        <v>186490.45</v>
      </c>
      <c r="M525" s="90">
        <v>3558070.41</v>
      </c>
      <c r="N525" s="90">
        <v>3352639.05</v>
      </c>
      <c r="O525" s="90">
        <v>15411412.539999999</v>
      </c>
      <c r="P525" s="90">
        <v>13018425.869999999</v>
      </c>
      <c r="Q525" s="90">
        <v>661423.03</v>
      </c>
      <c r="R525" s="90">
        <v>-692.39</v>
      </c>
      <c r="S525" s="90">
        <v>184.59</v>
      </c>
      <c r="T525">
        <v>1.1200000000000001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-222.13</v>
      </c>
    </row>
    <row r="526" spans="1:26" ht="12.75" customHeight="1" x14ac:dyDescent="0.25">
      <c r="E526" s="89" t="s">
        <v>72</v>
      </c>
      <c r="F526" s="90">
        <v>130766002.62</v>
      </c>
      <c r="G526" s="90">
        <v>18437203.059999999</v>
      </c>
      <c r="H526" s="90">
        <v>10266134.050000001</v>
      </c>
      <c r="I526" s="90">
        <v>5453583.9800000004</v>
      </c>
      <c r="J526" s="90">
        <v>9581556.2899999991</v>
      </c>
      <c r="K526" s="90">
        <v>357019.7</v>
      </c>
      <c r="L526" s="90">
        <v>1725000</v>
      </c>
      <c r="M526" s="90">
        <v>3131962.98</v>
      </c>
      <c r="N526" s="90">
        <v>4059728.57</v>
      </c>
      <c r="O526" s="90">
        <v>21932631.620000001</v>
      </c>
      <c r="P526" s="90">
        <v>55229943.479999997</v>
      </c>
      <c r="Q526" s="90">
        <v>592334.46</v>
      </c>
      <c r="R526" s="90">
        <v>-1095.57</v>
      </c>
      <c r="S526" s="90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 ht="12.75" customHeight="1" x14ac:dyDescent="0.25">
      <c r="A527" s="89"/>
      <c r="B527" s="89"/>
      <c r="E527" t="s">
        <v>81</v>
      </c>
      <c r="F527" s="90">
        <v>1477308.68</v>
      </c>
      <c r="G527" s="90">
        <v>207551.98</v>
      </c>
      <c r="H527" s="90">
        <v>106665.88</v>
      </c>
      <c r="I527" s="90">
        <v>58069.89</v>
      </c>
      <c r="J527" s="90">
        <v>147707.72</v>
      </c>
      <c r="K527" s="90">
        <v>4097.68</v>
      </c>
      <c r="L527" s="90">
        <v>0</v>
      </c>
      <c r="M527" s="90">
        <v>35898.29</v>
      </c>
      <c r="N527" s="90">
        <v>47192.34</v>
      </c>
      <c r="O527" s="90">
        <v>240926.31</v>
      </c>
      <c r="P527" s="90">
        <v>622390.29</v>
      </c>
      <c r="Q527" s="90">
        <v>6807.89</v>
      </c>
      <c r="R527" s="90">
        <v>0.44</v>
      </c>
      <c r="S527" s="90">
        <v>-0.03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ht="12.75" customHeight="1" x14ac:dyDescent="0.25">
      <c r="D528" t="s">
        <v>87</v>
      </c>
      <c r="E528" s="89" t="s">
        <v>70</v>
      </c>
      <c r="F528" s="90">
        <v>132243311.3</v>
      </c>
      <c r="G528" s="90">
        <v>18644755.039999999</v>
      </c>
      <c r="H528" s="90">
        <v>10372799.93</v>
      </c>
      <c r="I528" s="90">
        <v>5511653.8700000001</v>
      </c>
      <c r="J528" s="90">
        <v>9729264.0099999998</v>
      </c>
      <c r="K528" s="90">
        <v>361117.38</v>
      </c>
      <c r="L528" s="90">
        <v>1725000</v>
      </c>
      <c r="M528" s="90">
        <v>3167861.27</v>
      </c>
      <c r="N528" s="90">
        <v>4106920.91</v>
      </c>
      <c r="O528" s="90">
        <v>22173557.93</v>
      </c>
      <c r="P528" s="90">
        <v>55852333.770000003</v>
      </c>
      <c r="Q528" s="90">
        <v>599142.35</v>
      </c>
      <c r="R528" s="90">
        <v>-1095.1300000000001</v>
      </c>
      <c r="S528" s="90">
        <v>-0.03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 s="94" customFormat="1" ht="12.75" customHeight="1" x14ac:dyDescent="0.25">
      <c r="A529" s="101"/>
      <c r="B529" s="101"/>
      <c r="C529" s="94" t="s">
        <v>119</v>
      </c>
      <c r="D529" s="94" t="s">
        <v>70</v>
      </c>
      <c r="F529" s="93">
        <v>210061301.28999999</v>
      </c>
      <c r="G529" s="93">
        <v>24786889.5</v>
      </c>
      <c r="H529" s="93">
        <v>13584914.560000001</v>
      </c>
      <c r="I529" s="93">
        <v>7186958.8399999999</v>
      </c>
      <c r="J529" s="93">
        <v>19986405.800000001</v>
      </c>
      <c r="K529" s="93">
        <v>938862.17</v>
      </c>
      <c r="L529" s="93">
        <v>1911490.45</v>
      </c>
      <c r="M529" s="93">
        <v>8239014.8099999996</v>
      </c>
      <c r="N529" s="93">
        <v>9463322.4600000009</v>
      </c>
      <c r="O529" s="93">
        <v>48310864.590000004</v>
      </c>
      <c r="P529" s="93">
        <v>74108516.109999999</v>
      </c>
      <c r="Q529" s="93">
        <v>1546588.55</v>
      </c>
      <c r="R529" s="93">
        <v>-2490.73</v>
      </c>
      <c r="S529" s="93">
        <v>184.53</v>
      </c>
      <c r="T529" s="94">
        <v>1.78</v>
      </c>
      <c r="U529" s="94">
        <v>0</v>
      </c>
      <c r="V529" s="94">
        <v>0</v>
      </c>
      <c r="W529" s="94">
        <v>0</v>
      </c>
      <c r="X529" s="94">
        <v>0</v>
      </c>
      <c r="Y529" s="94">
        <v>0</v>
      </c>
      <c r="Z529" s="94">
        <v>-222.13</v>
      </c>
    </row>
    <row r="530" spans="1:26" s="226" customFormat="1" ht="12.75" customHeight="1" x14ac:dyDescent="0.25">
      <c r="B530" s="226" t="s">
        <v>112</v>
      </c>
      <c r="C530" s="226" t="s">
        <v>70</v>
      </c>
      <c r="E530" s="98"/>
      <c r="F530" s="100">
        <v>13359789539.23</v>
      </c>
      <c r="G530" s="100">
        <v>697483550.35000002</v>
      </c>
      <c r="H530" s="100">
        <v>388259624.73000002</v>
      </c>
      <c r="I530" s="100">
        <v>206453897.28999999</v>
      </c>
      <c r="J530" s="100">
        <v>3256933254.8000002</v>
      </c>
      <c r="K530" s="100">
        <v>106089721.18000001</v>
      </c>
      <c r="L530" s="100">
        <v>12154250.720000001</v>
      </c>
      <c r="M530" s="100">
        <v>930507799.59000003</v>
      </c>
      <c r="N530" s="100">
        <v>903844784.82000005</v>
      </c>
      <c r="O530" s="100">
        <v>4612204182.5699997</v>
      </c>
      <c r="P530" s="100">
        <v>2072913975.9400001</v>
      </c>
      <c r="Q530" s="100">
        <v>173121721.61000001</v>
      </c>
      <c r="R530" s="100">
        <v>-177200.85</v>
      </c>
      <c r="S530" s="100">
        <v>191.97</v>
      </c>
      <c r="T530" s="226">
        <v>6.64</v>
      </c>
      <c r="U530" s="226">
        <v>0</v>
      </c>
      <c r="V530" s="226">
        <v>0</v>
      </c>
      <c r="W530" s="226">
        <v>0</v>
      </c>
      <c r="X530" s="226">
        <v>0</v>
      </c>
      <c r="Y530" s="226">
        <v>0</v>
      </c>
      <c r="Z530" s="226">
        <v>-222.13</v>
      </c>
    </row>
    <row r="531" spans="1:26" ht="13.5" customHeight="1" x14ac:dyDescent="0.25">
      <c r="A531" t="s">
        <v>78</v>
      </c>
      <c r="B531" t="s">
        <v>70</v>
      </c>
      <c r="E531" s="89"/>
      <c r="F531" s="90">
        <v>13359789539.23</v>
      </c>
      <c r="G531" s="90">
        <v>697483550.35000002</v>
      </c>
      <c r="H531" s="90">
        <v>388259624.73000002</v>
      </c>
      <c r="I531" s="90">
        <v>206453897.28999999</v>
      </c>
      <c r="J531" s="90">
        <v>3256933254.8000002</v>
      </c>
      <c r="K531" s="90">
        <v>106089721.18000001</v>
      </c>
      <c r="L531" s="90">
        <v>12154250.720000001</v>
      </c>
      <c r="M531" s="90">
        <v>930507799.59000003</v>
      </c>
      <c r="N531" s="90">
        <v>903844784.82000005</v>
      </c>
      <c r="O531" s="90">
        <v>4612204182.5699997</v>
      </c>
      <c r="P531" s="90">
        <v>2072913975.9400001</v>
      </c>
      <c r="Q531" s="90">
        <v>173121721.61000001</v>
      </c>
      <c r="R531" s="90">
        <v>-177200.85</v>
      </c>
      <c r="S531" s="90">
        <v>191.97</v>
      </c>
      <c r="T531">
        <v>6.64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-222.13</v>
      </c>
    </row>
    <row r="532" spans="1:26" ht="12.75" customHeight="1" x14ac:dyDescent="0.25">
      <c r="E532" s="89" t="s">
        <v>73</v>
      </c>
      <c r="F532" s="371">
        <v>-1068991619.42</v>
      </c>
      <c r="G532" s="90">
        <v>-26955000.010000002</v>
      </c>
      <c r="H532" s="90">
        <v>-15048174.15</v>
      </c>
      <c r="I532" s="90">
        <v>-8012548.9800000004</v>
      </c>
      <c r="J532" s="90">
        <v>-309977205.54000002</v>
      </c>
      <c r="K532" s="90">
        <v>-9872576.1300000008</v>
      </c>
      <c r="L532" s="90">
        <v>0</v>
      </c>
      <c r="M532" s="90">
        <v>-86660839.920000002</v>
      </c>
      <c r="N532" s="90">
        <v>-85962039.349999994</v>
      </c>
      <c r="O532" s="90">
        <v>-431618951.45999998</v>
      </c>
      <c r="P532" s="90">
        <v>-78771208.950000003</v>
      </c>
      <c r="Q532" s="90">
        <v>-16113074.93</v>
      </c>
      <c r="R532" s="90">
        <v>0</v>
      </c>
      <c r="S532" s="90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 ht="12.75" customHeight="1" x14ac:dyDescent="0.25">
      <c r="D533" t="s">
        <v>156</v>
      </c>
      <c r="E533" s="89" t="s">
        <v>70</v>
      </c>
      <c r="F533" s="371">
        <v>-1068991619.42</v>
      </c>
      <c r="G533" s="90">
        <v>-26955000.010000002</v>
      </c>
      <c r="H533" s="90">
        <v>-15048174.15</v>
      </c>
      <c r="I533" s="90">
        <v>-8012548.9800000004</v>
      </c>
      <c r="J533" s="90">
        <v>-309977205.54000002</v>
      </c>
      <c r="K533" s="90">
        <v>-9872576.1300000008</v>
      </c>
      <c r="L533" s="90">
        <v>0</v>
      </c>
      <c r="M533" s="90">
        <v>-86660839.920000002</v>
      </c>
      <c r="N533" s="90">
        <v>-85962039.349999994</v>
      </c>
      <c r="O533" s="90">
        <v>-431618951.45999998</v>
      </c>
      <c r="P533" s="90">
        <v>-78771208.950000003</v>
      </c>
      <c r="Q533" s="90">
        <v>-16113074.93</v>
      </c>
      <c r="R533" s="90">
        <v>0</v>
      </c>
      <c r="S533" s="90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 s="656" customFormat="1" ht="12.75" customHeight="1" x14ac:dyDescent="0.25">
      <c r="A534" s="657"/>
      <c r="B534" s="657"/>
      <c r="C534" s="656" t="s">
        <v>155</v>
      </c>
      <c r="D534" s="656" t="s">
        <v>70</v>
      </c>
      <c r="F534" s="658">
        <v>-1068991619.42</v>
      </c>
      <c r="G534" s="658">
        <v>-26955000.010000002</v>
      </c>
      <c r="H534" s="658">
        <v>-15048174.15</v>
      </c>
      <c r="I534" s="658">
        <v>-8012548.9800000004</v>
      </c>
      <c r="J534" s="658">
        <v>-309977205.54000002</v>
      </c>
      <c r="K534" s="658">
        <v>-9872576.1300000008</v>
      </c>
      <c r="L534" s="658">
        <v>0</v>
      </c>
      <c r="M534" s="658">
        <v>-86660839.920000002</v>
      </c>
      <c r="N534" s="658">
        <v>-85962039.349999994</v>
      </c>
      <c r="O534" s="658">
        <v>-431618951.45999998</v>
      </c>
      <c r="P534" s="658">
        <v>-78771208.950000003</v>
      </c>
      <c r="Q534" s="658">
        <v>-16113074.93</v>
      </c>
      <c r="R534" s="658">
        <v>0</v>
      </c>
      <c r="S534" s="658">
        <v>0</v>
      </c>
      <c r="T534" s="656">
        <v>0</v>
      </c>
      <c r="U534" s="656">
        <v>0</v>
      </c>
      <c r="V534" s="656">
        <v>0</v>
      </c>
      <c r="W534" s="656">
        <v>0</v>
      </c>
      <c r="X534" s="656">
        <v>0</v>
      </c>
      <c r="Y534" s="656">
        <v>0</v>
      </c>
      <c r="Z534" s="656">
        <v>0</v>
      </c>
    </row>
    <row r="535" spans="1:26" ht="12.75" customHeight="1" x14ac:dyDescent="0.25">
      <c r="E535" s="89" t="s">
        <v>73</v>
      </c>
      <c r="F535" s="371">
        <v>-4922796.5199999996</v>
      </c>
      <c r="G535" s="90">
        <v>-246580.75</v>
      </c>
      <c r="H535" s="90">
        <v>-137640.37</v>
      </c>
      <c r="I535" s="90">
        <v>-72989.58</v>
      </c>
      <c r="J535" s="90">
        <v>-1115833.3700000001</v>
      </c>
      <c r="K535" s="90">
        <v>-40549.72</v>
      </c>
      <c r="L535" s="90">
        <v>0</v>
      </c>
      <c r="M535" s="90">
        <v>-354991.52</v>
      </c>
      <c r="N535" s="90">
        <v>-352681.96</v>
      </c>
      <c r="O535" s="90">
        <v>-1795528.16</v>
      </c>
      <c r="P535" s="90">
        <v>-739842.15</v>
      </c>
      <c r="Q535" s="90">
        <v>-66158.94</v>
      </c>
      <c r="R535" s="90">
        <v>0</v>
      </c>
      <c r="S535" s="90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ht="12.75" customHeight="1" x14ac:dyDescent="0.25">
      <c r="D536" t="s">
        <v>156</v>
      </c>
      <c r="E536" s="89" t="s">
        <v>70</v>
      </c>
      <c r="F536" s="371">
        <v>-4922796.5199999996</v>
      </c>
      <c r="G536" s="90">
        <v>-246580.75</v>
      </c>
      <c r="H536" s="90">
        <v>-137640.37</v>
      </c>
      <c r="I536" s="90">
        <v>-72989.58</v>
      </c>
      <c r="J536" s="90">
        <v>-1115833.3700000001</v>
      </c>
      <c r="K536" s="90">
        <v>-40549.72</v>
      </c>
      <c r="L536" s="90">
        <v>0</v>
      </c>
      <c r="M536" s="90">
        <v>-354991.52</v>
      </c>
      <c r="N536" s="90">
        <v>-352681.96</v>
      </c>
      <c r="O536" s="90">
        <v>-1795528.16</v>
      </c>
      <c r="P536" s="90">
        <v>-739842.15</v>
      </c>
      <c r="Q536" s="90">
        <v>-66158.94</v>
      </c>
      <c r="R536" s="90">
        <v>0</v>
      </c>
      <c r="S536" s="90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 s="739" customFormat="1" ht="12.75" customHeight="1" x14ac:dyDescent="0.25">
      <c r="C537" s="739" t="s">
        <v>326</v>
      </c>
      <c r="D537" s="739" t="s">
        <v>70</v>
      </c>
      <c r="E537" s="231"/>
      <c r="F537" s="740">
        <v>-4922796.5199999996</v>
      </c>
      <c r="G537" s="232">
        <v>-246580.75</v>
      </c>
      <c r="H537" s="232">
        <v>-137640.37</v>
      </c>
      <c r="I537" s="232">
        <v>-72989.58</v>
      </c>
      <c r="J537" s="232">
        <v>-1115833.3700000001</v>
      </c>
      <c r="K537" s="232">
        <v>-40549.72</v>
      </c>
      <c r="L537" s="232">
        <v>0</v>
      </c>
      <c r="M537" s="232">
        <v>-354991.52</v>
      </c>
      <c r="N537" s="232">
        <v>-352681.96</v>
      </c>
      <c r="O537" s="232">
        <v>-1795528.16</v>
      </c>
      <c r="P537" s="232">
        <v>-739842.15</v>
      </c>
      <c r="Q537" s="232">
        <v>-66158.94</v>
      </c>
      <c r="R537" s="232">
        <v>0</v>
      </c>
      <c r="S537" s="232">
        <v>0</v>
      </c>
      <c r="T537" s="739">
        <v>0</v>
      </c>
      <c r="U537" s="739">
        <v>0</v>
      </c>
      <c r="V537" s="739">
        <v>0</v>
      </c>
      <c r="W537" s="739">
        <v>0</v>
      </c>
      <c r="X537" s="739">
        <v>0</v>
      </c>
      <c r="Y537" s="739">
        <v>0</v>
      </c>
      <c r="Z537" s="739">
        <v>0</v>
      </c>
    </row>
    <row r="538" spans="1:26" ht="12.75" customHeight="1" x14ac:dyDescent="0.25">
      <c r="E538" s="89" t="s">
        <v>73</v>
      </c>
      <c r="F538" s="371">
        <v>1747360.63</v>
      </c>
      <c r="G538" s="90">
        <v>540507.52</v>
      </c>
      <c r="H538" s="90">
        <v>303174.92</v>
      </c>
      <c r="I538" s="90">
        <v>160526.76999999999</v>
      </c>
      <c r="J538" s="90">
        <v>-123602.97</v>
      </c>
      <c r="K538" s="90">
        <v>-8613.16</v>
      </c>
      <c r="L538" s="90">
        <v>0</v>
      </c>
      <c r="M538" s="90">
        <v>-77258.16</v>
      </c>
      <c r="N538" s="90">
        <v>-100817.14</v>
      </c>
      <c r="O538" s="90">
        <v>-556195.12</v>
      </c>
      <c r="P538" s="90">
        <v>1623819.37</v>
      </c>
      <c r="Q538" s="90">
        <v>-14181.4</v>
      </c>
      <c r="R538" s="90">
        <v>0</v>
      </c>
      <c r="S538" s="90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 ht="12.75" customHeight="1" x14ac:dyDescent="0.25">
      <c r="D539" s="89" t="s">
        <v>82</v>
      </c>
      <c r="E539" s="89" t="s">
        <v>70</v>
      </c>
      <c r="F539" s="90">
        <v>1747360.63</v>
      </c>
      <c r="G539" s="90">
        <v>540507.52</v>
      </c>
      <c r="H539" s="90">
        <v>303174.92</v>
      </c>
      <c r="I539" s="90">
        <v>160526.76999999999</v>
      </c>
      <c r="J539" s="90">
        <v>-123602.97</v>
      </c>
      <c r="K539" s="90">
        <v>-8613.16</v>
      </c>
      <c r="L539" s="90">
        <v>0</v>
      </c>
      <c r="M539" s="90">
        <v>-77258.16</v>
      </c>
      <c r="N539" s="90">
        <v>-100817.14</v>
      </c>
      <c r="O539" s="90">
        <v>-556195.12</v>
      </c>
      <c r="P539" s="90">
        <v>1623819.37</v>
      </c>
      <c r="Q539" s="90">
        <v>-14181.4</v>
      </c>
      <c r="R539" s="90">
        <v>0</v>
      </c>
      <c r="S539" s="90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 ht="12.75" customHeight="1" x14ac:dyDescent="0.25">
      <c r="E540" s="89" t="s">
        <v>73</v>
      </c>
      <c r="F540" s="90">
        <v>9098665.0800000001</v>
      </c>
      <c r="G540" s="90">
        <v>1799551.68</v>
      </c>
      <c r="H540" s="90">
        <v>983840.45</v>
      </c>
      <c r="I540" s="90">
        <v>526360.34</v>
      </c>
      <c r="J540" s="90">
        <v>21092.01</v>
      </c>
      <c r="K540" s="90">
        <v>-1987.13</v>
      </c>
      <c r="L540" s="90">
        <v>0</v>
      </c>
      <c r="M540" s="90">
        <v>-10690.42</v>
      </c>
      <c r="N540" s="90">
        <v>61218.73</v>
      </c>
      <c r="O540" s="90">
        <v>320642.96999999997</v>
      </c>
      <c r="P540" s="90">
        <v>5401874.5</v>
      </c>
      <c r="Q540" s="90">
        <v>-3238.05</v>
      </c>
      <c r="R540" s="90">
        <v>0</v>
      </c>
      <c r="S540" s="9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</row>
    <row r="541" spans="1:26" ht="12.75" customHeight="1" x14ac:dyDescent="0.25">
      <c r="D541" s="89" t="s">
        <v>86</v>
      </c>
      <c r="E541" s="89" t="s">
        <v>70</v>
      </c>
      <c r="F541" s="90">
        <v>9098665.0800000001</v>
      </c>
      <c r="G541" s="90">
        <v>1799551.68</v>
      </c>
      <c r="H541" s="90">
        <v>983840.45</v>
      </c>
      <c r="I541" s="90">
        <v>526360.34</v>
      </c>
      <c r="J541" s="90">
        <v>21092.01</v>
      </c>
      <c r="K541" s="90">
        <v>-1987.13</v>
      </c>
      <c r="L541" s="90">
        <v>0</v>
      </c>
      <c r="M541" s="90">
        <v>-10690.42</v>
      </c>
      <c r="N541" s="90">
        <v>61218.73</v>
      </c>
      <c r="O541" s="90">
        <v>320642.96999999997</v>
      </c>
      <c r="P541" s="90">
        <v>5401874.5</v>
      </c>
      <c r="Q541" s="90">
        <v>-3238.05</v>
      </c>
      <c r="R541" s="90">
        <v>0</v>
      </c>
      <c r="S541" s="90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</row>
    <row r="542" spans="1:26" ht="12.75" customHeight="1" x14ac:dyDescent="0.25">
      <c r="E542" s="89" t="s">
        <v>73</v>
      </c>
      <c r="F542" s="90">
        <v>45248425.700000003</v>
      </c>
      <c r="G542" s="90">
        <v>8625469.0500000007</v>
      </c>
      <c r="H542" s="90">
        <v>4818427.25</v>
      </c>
      <c r="I542" s="90">
        <v>2554910.2799999998</v>
      </c>
      <c r="J542" s="90">
        <v>1254800.29</v>
      </c>
      <c r="K542" s="90">
        <v>33093.14</v>
      </c>
      <c r="L542" s="90">
        <v>0</v>
      </c>
      <c r="M542" s="90">
        <v>290290.5</v>
      </c>
      <c r="N542" s="90">
        <v>270479.43</v>
      </c>
      <c r="O542" s="90">
        <v>1483724.87</v>
      </c>
      <c r="P542" s="90">
        <v>25863237.039999999</v>
      </c>
      <c r="Q542" s="90">
        <v>53993.85</v>
      </c>
      <c r="R542" s="90">
        <v>0</v>
      </c>
      <c r="S542" s="90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 ht="12.75" customHeight="1" x14ac:dyDescent="0.25">
      <c r="D543" s="89" t="s">
        <v>87</v>
      </c>
      <c r="E543" s="89" t="s">
        <v>70</v>
      </c>
      <c r="F543" s="90">
        <v>45248425.700000003</v>
      </c>
      <c r="G543" s="90">
        <v>8625469.0500000007</v>
      </c>
      <c r="H543" s="90">
        <v>4818427.25</v>
      </c>
      <c r="I543" s="90">
        <v>2554910.2799999998</v>
      </c>
      <c r="J543" s="90">
        <v>1254800.29</v>
      </c>
      <c r="K543" s="90">
        <v>33093.14</v>
      </c>
      <c r="L543" s="90">
        <v>0</v>
      </c>
      <c r="M543" s="90">
        <v>290290.5</v>
      </c>
      <c r="N543" s="90">
        <v>270479.43</v>
      </c>
      <c r="O543" s="90">
        <v>1483724.87</v>
      </c>
      <c r="P543" s="90">
        <v>25863237.039999999</v>
      </c>
      <c r="Q543" s="90">
        <v>53993.85</v>
      </c>
      <c r="R543" s="90">
        <v>0</v>
      </c>
      <c r="S543" s="90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 s="94" customFormat="1" ht="12.75" customHeight="1" x14ac:dyDescent="0.25">
      <c r="C544" s="94" t="s">
        <v>119</v>
      </c>
      <c r="D544" s="94" t="s">
        <v>70</v>
      </c>
      <c r="E544" s="101"/>
      <c r="F544" s="93">
        <v>56094451.409999996</v>
      </c>
      <c r="G544" s="93">
        <v>10965528.25</v>
      </c>
      <c r="H544" s="93">
        <v>6105442.6200000001</v>
      </c>
      <c r="I544" s="93">
        <v>3241797.39</v>
      </c>
      <c r="J544" s="93">
        <v>1152289.33</v>
      </c>
      <c r="K544" s="93">
        <v>22492.85</v>
      </c>
      <c r="L544" s="93">
        <v>0</v>
      </c>
      <c r="M544" s="93">
        <v>202341.92</v>
      </c>
      <c r="N544" s="93">
        <v>230881.02</v>
      </c>
      <c r="O544" s="93">
        <v>1248172.72</v>
      </c>
      <c r="P544" s="93">
        <v>32888930.91</v>
      </c>
      <c r="Q544" s="93">
        <v>36574.400000000001</v>
      </c>
      <c r="R544" s="93">
        <v>0</v>
      </c>
      <c r="S544" s="93">
        <v>0</v>
      </c>
      <c r="T544" s="94">
        <v>0</v>
      </c>
      <c r="U544" s="94">
        <v>0</v>
      </c>
      <c r="V544" s="94">
        <v>0</v>
      </c>
      <c r="W544" s="94">
        <v>0</v>
      </c>
      <c r="X544" s="94">
        <v>0</v>
      </c>
      <c r="Y544" s="94">
        <v>0</v>
      </c>
      <c r="Z544" s="94">
        <v>0</v>
      </c>
    </row>
    <row r="545" spans="1:41" s="226" customFormat="1" ht="12.75" customHeight="1" x14ac:dyDescent="0.25">
      <c r="B545" s="98" t="s">
        <v>112</v>
      </c>
      <c r="C545" s="98" t="s">
        <v>70</v>
      </c>
      <c r="F545" s="100">
        <v>-1017819964.53</v>
      </c>
      <c r="G545" s="100">
        <v>-16236052.51</v>
      </c>
      <c r="H545" s="100">
        <v>-9080371.9000000004</v>
      </c>
      <c r="I545" s="100">
        <v>-4843741.17</v>
      </c>
      <c r="J545" s="100">
        <v>-309940749.57999998</v>
      </c>
      <c r="K545" s="100">
        <v>-9890633</v>
      </c>
      <c r="L545" s="100">
        <v>0</v>
      </c>
      <c r="M545" s="100">
        <v>-86813489.519999996</v>
      </c>
      <c r="N545" s="100">
        <v>-86083840.290000007</v>
      </c>
      <c r="O545" s="100">
        <v>-432166306.89999998</v>
      </c>
      <c r="P545" s="100">
        <v>-46622120.189999998</v>
      </c>
      <c r="Q545" s="100">
        <v>-16142659.470000001</v>
      </c>
      <c r="R545" s="100">
        <v>0</v>
      </c>
      <c r="S545" s="100">
        <v>0</v>
      </c>
      <c r="T545" s="226">
        <v>0</v>
      </c>
      <c r="U545" s="226">
        <v>0</v>
      </c>
      <c r="V545" s="226">
        <v>0</v>
      </c>
      <c r="W545" s="226">
        <v>0</v>
      </c>
      <c r="X545" s="226">
        <v>0</v>
      </c>
      <c r="Y545" s="226">
        <v>0</v>
      </c>
      <c r="Z545" s="226">
        <v>0</v>
      </c>
    </row>
    <row r="546" spans="1:41" ht="12.75" customHeight="1" x14ac:dyDescent="0.25">
      <c r="A546" s="89" t="s">
        <v>79</v>
      </c>
      <c r="B546" s="89" t="s">
        <v>70</v>
      </c>
      <c r="F546" s="90">
        <v>-1017819964.53</v>
      </c>
      <c r="G546" s="90">
        <v>-16236052.51</v>
      </c>
      <c r="H546" s="90">
        <v>-9080371.9000000004</v>
      </c>
      <c r="I546" s="90">
        <v>-4843741.17</v>
      </c>
      <c r="J546" s="90">
        <v>-309940749.57999998</v>
      </c>
      <c r="K546" s="90">
        <v>-9890633</v>
      </c>
      <c r="L546" s="90">
        <v>0</v>
      </c>
      <c r="M546" s="90">
        <v>-86813489.519999996</v>
      </c>
      <c r="N546" s="90">
        <v>-86083840.290000007</v>
      </c>
      <c r="O546" s="90">
        <v>-432166306.89999998</v>
      </c>
      <c r="P546" s="90">
        <v>-46622120.189999998</v>
      </c>
      <c r="Q546" s="90">
        <v>-16142659.470000001</v>
      </c>
      <c r="R546" s="90">
        <v>0</v>
      </c>
      <c r="S546" s="90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41" ht="12.75" customHeight="1" x14ac:dyDescent="0.25">
      <c r="A547" s="89" t="s">
        <v>70</v>
      </c>
      <c r="F547" s="90">
        <v>12341959655</v>
      </c>
      <c r="G547" s="90">
        <v>681246702.95000005</v>
      </c>
      <c r="H547" s="90">
        <v>379178915.14999998</v>
      </c>
      <c r="I547" s="90">
        <v>201610008.65000001</v>
      </c>
      <c r="J547" s="90">
        <v>2946990814.73</v>
      </c>
      <c r="K547" s="90">
        <v>96198983.840000004</v>
      </c>
      <c r="L547" s="90">
        <v>12154250.720000001</v>
      </c>
      <c r="M547" s="90">
        <v>843693394.97000003</v>
      </c>
      <c r="N547" s="90">
        <v>817760177.37</v>
      </c>
      <c r="O547" s="90">
        <v>4180035072.25</v>
      </c>
      <c r="P547" s="90">
        <v>2026289666.8199999</v>
      </c>
      <c r="Q547" s="90">
        <v>156978891.91999999</v>
      </c>
      <c r="R547" s="90">
        <v>-177200.85</v>
      </c>
      <c r="S547" s="90">
        <v>191.97</v>
      </c>
      <c r="T547">
        <v>6.64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-222.13</v>
      </c>
    </row>
    <row r="548" spans="1:41" ht="12.75" customHeight="1" x14ac:dyDescent="0.25">
      <c r="A548" s="89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150"/>
    </row>
    <row r="549" spans="1:41" ht="12.75" customHeight="1" x14ac:dyDescent="0.25">
      <c r="A549" s="89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</row>
    <row r="550" spans="1:41" ht="12.75" customHeight="1" x14ac:dyDescent="0.25">
      <c r="A550" s="89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</row>
    <row r="551" spans="1:41" ht="12.75" customHeight="1" x14ac:dyDescent="0.25">
      <c r="C551" s="776" t="s">
        <v>2</v>
      </c>
      <c r="D551" s="774" t="s">
        <v>132</v>
      </c>
      <c r="E551" s="98" t="s">
        <v>70</v>
      </c>
      <c r="F551" s="100">
        <f>F545+F530+F510-L510-L530</f>
        <v>12329805404.279999</v>
      </c>
      <c r="G551" s="100">
        <f t="shared" ref="G551:AO551" si="29">G530+G510</f>
        <v>697482755.46000004</v>
      </c>
      <c r="H551" s="100">
        <f t="shared" si="29"/>
        <v>388259287.05000001</v>
      </c>
      <c r="I551" s="100">
        <f t="shared" si="29"/>
        <v>206453749.81999999</v>
      </c>
      <c r="J551" s="100">
        <f t="shared" si="29"/>
        <v>3256931564.3100004</v>
      </c>
      <c r="K551" s="100">
        <f t="shared" si="29"/>
        <v>106089616.84</v>
      </c>
      <c r="L551" s="100">
        <f t="shared" si="29"/>
        <v>12154250.720000001</v>
      </c>
      <c r="M551" s="100">
        <f t="shared" si="29"/>
        <v>930506884.49000001</v>
      </c>
      <c r="N551" s="100">
        <f t="shared" si="29"/>
        <v>903844017.66000009</v>
      </c>
      <c r="O551" s="100">
        <f t="shared" si="29"/>
        <v>4612201379.1499996</v>
      </c>
      <c r="P551" s="100">
        <f t="shared" si="29"/>
        <v>2072911787.01</v>
      </c>
      <c r="Q551" s="100">
        <f t="shared" si="29"/>
        <v>173121551.39000002</v>
      </c>
      <c r="R551" s="100">
        <f t="shared" si="29"/>
        <v>-177200.85</v>
      </c>
      <c r="S551" s="100">
        <f t="shared" si="29"/>
        <v>191.97</v>
      </c>
      <c r="T551" s="100">
        <f t="shared" si="29"/>
        <v>6.64</v>
      </c>
      <c r="U551" s="100">
        <f t="shared" si="29"/>
        <v>0</v>
      </c>
      <c r="V551" s="100">
        <f t="shared" si="29"/>
        <v>0</v>
      </c>
      <c r="W551" s="100">
        <f t="shared" si="29"/>
        <v>0</v>
      </c>
      <c r="X551" s="100">
        <f t="shared" si="29"/>
        <v>0</v>
      </c>
      <c r="Y551" s="100">
        <f t="shared" si="29"/>
        <v>0</v>
      </c>
      <c r="Z551" s="100">
        <f t="shared" si="29"/>
        <v>-222.13</v>
      </c>
      <c r="AA551" s="100">
        <f t="shared" si="29"/>
        <v>0</v>
      </c>
      <c r="AB551" s="100">
        <f t="shared" si="29"/>
        <v>0</v>
      </c>
      <c r="AC551" s="100">
        <f t="shared" si="29"/>
        <v>0</v>
      </c>
      <c r="AD551" s="100">
        <f t="shared" si="29"/>
        <v>0</v>
      </c>
      <c r="AE551" s="100">
        <f t="shared" si="29"/>
        <v>0</v>
      </c>
      <c r="AF551" s="100">
        <f t="shared" si="29"/>
        <v>0</v>
      </c>
      <c r="AG551" s="100">
        <f t="shared" si="29"/>
        <v>0</v>
      </c>
      <c r="AH551" s="100">
        <f t="shared" si="29"/>
        <v>0</v>
      </c>
      <c r="AI551" s="100">
        <f t="shared" si="29"/>
        <v>0</v>
      </c>
      <c r="AJ551" s="100">
        <f t="shared" si="29"/>
        <v>0</v>
      </c>
      <c r="AK551" s="100">
        <f t="shared" si="29"/>
        <v>0</v>
      </c>
      <c r="AL551" s="100">
        <f t="shared" si="29"/>
        <v>0</v>
      </c>
      <c r="AM551" s="100">
        <f t="shared" si="29"/>
        <v>0</v>
      </c>
      <c r="AN551" s="100">
        <f t="shared" si="29"/>
        <v>0</v>
      </c>
      <c r="AO551" s="100">
        <f t="shared" si="29"/>
        <v>0</v>
      </c>
    </row>
    <row r="552" spans="1:41" ht="12.75" customHeight="1" x14ac:dyDescent="0.25">
      <c r="C552" s="776"/>
      <c r="D552" s="774"/>
      <c r="E552" s="98" t="s">
        <v>73</v>
      </c>
      <c r="F552" s="100">
        <f>F545</f>
        <v>-1017819964.53</v>
      </c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</row>
    <row r="553" spans="1:41" ht="12.75" customHeight="1" x14ac:dyDescent="0.25">
      <c r="C553" s="776"/>
      <c r="D553" s="774" t="s">
        <v>133</v>
      </c>
      <c r="E553" s="233" t="s">
        <v>70</v>
      </c>
      <c r="F553" s="234">
        <v>0</v>
      </c>
      <c r="G553" s="234">
        <v>0</v>
      </c>
      <c r="H553" s="234">
        <v>0</v>
      </c>
      <c r="I553" s="234">
        <v>0</v>
      </c>
      <c r="J553" s="234">
        <v>0</v>
      </c>
      <c r="K553" s="234">
        <v>0</v>
      </c>
      <c r="L553" s="234">
        <v>0</v>
      </c>
      <c r="M553" s="234">
        <v>0</v>
      </c>
      <c r="N553" s="234">
        <v>0</v>
      </c>
      <c r="O553" s="234">
        <v>0</v>
      </c>
      <c r="P553" s="234">
        <v>0</v>
      </c>
      <c r="Q553" s="234">
        <v>0</v>
      </c>
      <c r="R553" s="234">
        <v>0</v>
      </c>
      <c r="S553" s="234">
        <v>0</v>
      </c>
      <c r="T553" s="234">
        <v>0</v>
      </c>
      <c r="U553" s="234">
        <v>0</v>
      </c>
      <c r="V553" s="234">
        <v>0</v>
      </c>
      <c r="W553" s="234">
        <v>0</v>
      </c>
      <c r="X553" s="234">
        <v>0</v>
      </c>
      <c r="Y553" s="234">
        <v>0</v>
      </c>
      <c r="Z553" s="234">
        <v>0</v>
      </c>
      <c r="AA553" s="234">
        <v>0</v>
      </c>
      <c r="AB553" s="234">
        <v>0</v>
      </c>
      <c r="AC553" s="234">
        <v>0</v>
      </c>
      <c r="AD553" s="234">
        <v>0</v>
      </c>
      <c r="AE553" s="234">
        <v>0</v>
      </c>
      <c r="AF553" s="234">
        <v>0</v>
      </c>
      <c r="AG553" s="234">
        <v>0</v>
      </c>
      <c r="AH553" s="234">
        <v>0</v>
      </c>
      <c r="AI553" s="234">
        <v>0</v>
      </c>
      <c r="AJ553" s="234">
        <v>0</v>
      </c>
      <c r="AK553" s="234">
        <v>0</v>
      </c>
      <c r="AL553" s="234">
        <v>0</v>
      </c>
      <c r="AM553" s="234">
        <v>0</v>
      </c>
      <c r="AN553" s="234">
        <v>0</v>
      </c>
      <c r="AO553" s="234">
        <v>0</v>
      </c>
    </row>
    <row r="554" spans="1:41" ht="12.75" customHeight="1" x14ac:dyDescent="0.25">
      <c r="C554" s="776"/>
      <c r="D554" s="774"/>
      <c r="E554" s="233" t="s">
        <v>73</v>
      </c>
      <c r="F554" s="234">
        <v>0</v>
      </c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</row>
    <row r="555" spans="1:41" ht="12.75" customHeight="1" x14ac:dyDescent="0.3">
      <c r="A555" s="89"/>
      <c r="C555" s="97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</row>
    <row r="556" spans="1:41" ht="12.75" customHeight="1" x14ac:dyDescent="0.25">
      <c r="C556" s="776" t="s">
        <v>160</v>
      </c>
      <c r="D556" s="774" t="s">
        <v>132</v>
      </c>
      <c r="E556" s="223" t="s">
        <v>70</v>
      </c>
      <c r="F556" s="225">
        <v>0</v>
      </c>
      <c r="G556" s="225">
        <v>0</v>
      </c>
      <c r="H556" s="225">
        <v>0</v>
      </c>
      <c r="I556" s="225">
        <v>0</v>
      </c>
      <c r="J556" s="225">
        <v>0</v>
      </c>
      <c r="K556" s="225">
        <v>0</v>
      </c>
      <c r="L556" s="225">
        <v>0</v>
      </c>
      <c r="M556" s="225">
        <v>0</v>
      </c>
      <c r="N556" s="225">
        <v>0</v>
      </c>
      <c r="O556" s="225">
        <v>0</v>
      </c>
      <c r="P556" s="225">
        <v>0</v>
      </c>
      <c r="Q556" s="225">
        <v>0</v>
      </c>
      <c r="R556" s="225">
        <v>0</v>
      </c>
      <c r="S556" s="225">
        <v>0</v>
      </c>
      <c r="T556" s="225">
        <v>0</v>
      </c>
      <c r="U556" s="225"/>
      <c r="V556" s="225"/>
      <c r="W556" s="225"/>
      <c r="X556" s="225">
        <v>0</v>
      </c>
      <c r="Y556" s="225">
        <v>0</v>
      </c>
      <c r="Z556" s="225">
        <v>0</v>
      </c>
      <c r="AA556" s="225">
        <v>0</v>
      </c>
      <c r="AB556" s="225">
        <v>0</v>
      </c>
      <c r="AC556" s="225">
        <v>0</v>
      </c>
      <c r="AD556" s="225">
        <v>0</v>
      </c>
      <c r="AE556" s="225">
        <v>0</v>
      </c>
      <c r="AF556" s="225">
        <v>0</v>
      </c>
      <c r="AG556" s="225">
        <v>0</v>
      </c>
      <c r="AH556" s="225">
        <v>0</v>
      </c>
      <c r="AI556" s="225">
        <v>0</v>
      </c>
      <c r="AJ556" s="225">
        <v>0</v>
      </c>
      <c r="AK556" s="225">
        <v>0</v>
      </c>
      <c r="AL556" s="225">
        <v>0</v>
      </c>
      <c r="AM556" s="225">
        <v>0</v>
      </c>
      <c r="AN556" s="225">
        <v>0</v>
      </c>
      <c r="AO556" s="225">
        <v>0</v>
      </c>
    </row>
    <row r="557" spans="1:41" ht="12.75" customHeight="1" x14ac:dyDescent="0.25">
      <c r="C557" s="776"/>
      <c r="D557" s="774"/>
      <c r="E557" s="223" t="s">
        <v>73</v>
      </c>
      <c r="F557" s="225">
        <v>0</v>
      </c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</row>
    <row r="558" spans="1:41" ht="12.75" customHeight="1" x14ac:dyDescent="0.25">
      <c r="C558" s="776"/>
      <c r="D558" s="774" t="s">
        <v>133</v>
      </c>
      <c r="E558" s="227" t="s">
        <v>70</v>
      </c>
      <c r="F558" s="228">
        <v>0</v>
      </c>
      <c r="G558" s="228">
        <v>0</v>
      </c>
      <c r="H558" s="228">
        <v>0</v>
      </c>
      <c r="I558" s="228">
        <v>0</v>
      </c>
      <c r="J558" s="228">
        <v>0</v>
      </c>
      <c r="K558" s="228">
        <v>0</v>
      </c>
      <c r="L558" s="228">
        <v>0</v>
      </c>
      <c r="M558" s="228">
        <v>0</v>
      </c>
      <c r="N558" s="228">
        <v>0</v>
      </c>
      <c r="O558" s="228">
        <v>0</v>
      </c>
      <c r="P558" s="228">
        <v>0</v>
      </c>
      <c r="Q558" s="228">
        <v>0</v>
      </c>
      <c r="R558" s="228">
        <v>0</v>
      </c>
      <c r="S558" s="228">
        <v>0</v>
      </c>
      <c r="T558" s="228">
        <v>0</v>
      </c>
      <c r="U558" s="228"/>
      <c r="V558" s="228"/>
      <c r="W558" s="228"/>
      <c r="X558" s="228">
        <v>0</v>
      </c>
      <c r="Y558" s="228">
        <v>0</v>
      </c>
      <c r="Z558" s="228">
        <v>0</v>
      </c>
      <c r="AA558" s="228">
        <v>0</v>
      </c>
      <c r="AB558" s="228">
        <v>0</v>
      </c>
      <c r="AC558" s="228">
        <v>0</v>
      </c>
      <c r="AD558" s="228">
        <v>0</v>
      </c>
      <c r="AE558" s="228">
        <v>0</v>
      </c>
      <c r="AF558" s="228">
        <v>0</v>
      </c>
      <c r="AG558" s="228">
        <v>0</v>
      </c>
      <c r="AH558" s="228">
        <v>0</v>
      </c>
      <c r="AI558" s="228">
        <v>0</v>
      </c>
      <c r="AJ558" s="228">
        <v>0</v>
      </c>
      <c r="AK558" s="228">
        <v>0</v>
      </c>
      <c r="AL558" s="228">
        <v>0</v>
      </c>
      <c r="AM558" s="228">
        <v>0</v>
      </c>
      <c r="AN558" s="228">
        <v>0</v>
      </c>
      <c r="AO558" s="228">
        <v>0</v>
      </c>
    </row>
    <row r="559" spans="1:41" ht="12.75" customHeight="1" x14ac:dyDescent="0.25">
      <c r="C559" s="776"/>
      <c r="D559" s="774"/>
      <c r="E559" s="227" t="s">
        <v>73</v>
      </c>
      <c r="F559" s="228">
        <v>0</v>
      </c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</row>
    <row r="560" spans="1:41" ht="12.75" customHeight="1" x14ac:dyDescent="0.3">
      <c r="A560" s="89"/>
      <c r="C560" s="97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</row>
    <row r="561" spans="1:41" ht="12.75" customHeight="1" x14ac:dyDescent="0.25">
      <c r="C561" s="776" t="s">
        <v>155</v>
      </c>
      <c r="D561" s="774" t="s">
        <v>132</v>
      </c>
      <c r="E561" s="221" t="s">
        <v>70</v>
      </c>
      <c r="F561" s="222">
        <f>F534+F515-L515</f>
        <v>12030785891.049999</v>
      </c>
      <c r="G561" s="222">
        <f>G515</f>
        <v>670471320.50999999</v>
      </c>
      <c r="H561" s="222">
        <f t="shared" ref="H561:AO561" si="30">H515</f>
        <v>373440856.73000002</v>
      </c>
      <c r="I561" s="222">
        <f t="shared" si="30"/>
        <v>198603665.40000001</v>
      </c>
      <c r="J561" s="222">
        <f t="shared" si="30"/>
        <v>3228157527.7399998</v>
      </c>
      <c r="K561" s="222">
        <f t="shared" si="30"/>
        <v>104841584.04000001</v>
      </c>
      <c r="L561" s="222">
        <f t="shared" si="30"/>
        <v>10242722.949999999</v>
      </c>
      <c r="M561" s="222">
        <f t="shared" si="30"/>
        <v>919577210.07000005</v>
      </c>
      <c r="N561" s="222">
        <f t="shared" si="30"/>
        <v>891656776.39999998</v>
      </c>
      <c r="O561" s="222">
        <f t="shared" si="30"/>
        <v>4549984624.7799997</v>
      </c>
      <c r="P561" s="222">
        <f t="shared" si="30"/>
        <v>1992148901.0999999</v>
      </c>
      <c r="Q561" s="222">
        <f t="shared" si="30"/>
        <v>171069649.47999999</v>
      </c>
      <c r="R561" s="222">
        <f t="shared" si="30"/>
        <v>-174618.09</v>
      </c>
      <c r="S561" s="222">
        <f t="shared" si="30"/>
        <v>7.45</v>
      </c>
      <c r="T561" s="222">
        <f t="shared" si="30"/>
        <v>4.8600000000000003</v>
      </c>
      <c r="U561" s="222">
        <f t="shared" si="30"/>
        <v>0</v>
      </c>
      <c r="V561" s="222">
        <f t="shared" si="30"/>
        <v>0</v>
      </c>
      <c r="W561" s="222">
        <f t="shared" si="30"/>
        <v>0</v>
      </c>
      <c r="X561" s="222">
        <f t="shared" si="30"/>
        <v>0</v>
      </c>
      <c r="Y561" s="222">
        <f t="shared" si="30"/>
        <v>0</v>
      </c>
      <c r="Z561" s="222">
        <f t="shared" si="30"/>
        <v>0</v>
      </c>
      <c r="AA561" s="222">
        <f t="shared" si="30"/>
        <v>0</v>
      </c>
      <c r="AB561" s="222">
        <f t="shared" si="30"/>
        <v>0</v>
      </c>
      <c r="AC561" s="222">
        <f t="shared" si="30"/>
        <v>0</v>
      </c>
      <c r="AD561" s="222">
        <f t="shared" si="30"/>
        <v>0</v>
      </c>
      <c r="AE561" s="222">
        <f t="shared" si="30"/>
        <v>0</v>
      </c>
      <c r="AF561" s="222">
        <f t="shared" si="30"/>
        <v>0</v>
      </c>
      <c r="AG561" s="222">
        <f t="shared" si="30"/>
        <v>0</v>
      </c>
      <c r="AH561" s="222">
        <f t="shared" si="30"/>
        <v>0</v>
      </c>
      <c r="AI561" s="222">
        <f t="shared" si="30"/>
        <v>0</v>
      </c>
      <c r="AJ561" s="222">
        <f t="shared" si="30"/>
        <v>0</v>
      </c>
      <c r="AK561" s="222">
        <f t="shared" si="30"/>
        <v>0</v>
      </c>
      <c r="AL561" s="222">
        <f t="shared" si="30"/>
        <v>0</v>
      </c>
      <c r="AM561" s="222">
        <f t="shared" si="30"/>
        <v>0</v>
      </c>
      <c r="AN561" s="222">
        <f t="shared" si="30"/>
        <v>0</v>
      </c>
      <c r="AO561" s="222">
        <f t="shared" si="30"/>
        <v>0</v>
      </c>
    </row>
    <row r="562" spans="1:41" ht="12.75" customHeight="1" x14ac:dyDescent="0.25">
      <c r="C562" s="776"/>
      <c r="D562" s="774"/>
      <c r="E562" s="221" t="s">
        <v>73</v>
      </c>
      <c r="F562" s="222">
        <f>F534</f>
        <v>-1068991619.42</v>
      </c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</row>
    <row r="563" spans="1:41" ht="12.75" customHeight="1" x14ac:dyDescent="0.25">
      <c r="C563" s="776"/>
      <c r="D563" s="774" t="s">
        <v>133</v>
      </c>
      <c r="E563" s="242" t="s">
        <v>70</v>
      </c>
      <c r="F563" s="243">
        <v>0</v>
      </c>
      <c r="G563" s="243">
        <v>0</v>
      </c>
      <c r="H563" s="243">
        <v>0</v>
      </c>
      <c r="I563" s="243">
        <v>0</v>
      </c>
      <c r="J563" s="243">
        <v>0</v>
      </c>
      <c r="K563" s="243">
        <v>0</v>
      </c>
      <c r="L563" s="243">
        <v>0</v>
      </c>
      <c r="M563" s="243">
        <v>0</v>
      </c>
      <c r="N563" s="243">
        <v>0</v>
      </c>
      <c r="O563" s="243">
        <v>0</v>
      </c>
      <c r="P563" s="243">
        <v>0</v>
      </c>
      <c r="Q563" s="243">
        <v>0</v>
      </c>
      <c r="R563" s="243">
        <v>0</v>
      </c>
      <c r="S563" s="243">
        <v>0</v>
      </c>
      <c r="T563" s="243">
        <v>0</v>
      </c>
      <c r="U563" s="243">
        <v>0</v>
      </c>
      <c r="V563" s="243">
        <v>0</v>
      </c>
      <c r="W563" s="243">
        <v>0</v>
      </c>
      <c r="X563" s="243">
        <v>0</v>
      </c>
      <c r="Y563" s="243">
        <v>0</v>
      </c>
      <c r="Z563" s="243">
        <v>0</v>
      </c>
      <c r="AA563" s="243">
        <v>0</v>
      </c>
      <c r="AB563" s="243">
        <v>0</v>
      </c>
      <c r="AC563" s="243">
        <v>0</v>
      </c>
      <c r="AD563" s="243">
        <v>0</v>
      </c>
      <c r="AE563" s="243">
        <v>0</v>
      </c>
      <c r="AF563" s="243">
        <v>0</v>
      </c>
      <c r="AG563" s="243">
        <v>0</v>
      </c>
      <c r="AH563" s="243">
        <v>0</v>
      </c>
      <c r="AI563" s="243">
        <v>0</v>
      </c>
      <c r="AJ563" s="243">
        <v>0</v>
      </c>
      <c r="AK563" s="243">
        <v>0</v>
      </c>
      <c r="AL563" s="243">
        <v>0</v>
      </c>
      <c r="AM563" s="243">
        <v>0</v>
      </c>
      <c r="AN563" s="243">
        <v>0</v>
      </c>
      <c r="AO563" s="243">
        <v>0</v>
      </c>
    </row>
    <row r="564" spans="1:41" ht="12.75" customHeight="1" x14ac:dyDescent="0.25">
      <c r="C564" s="776"/>
      <c r="D564" s="774"/>
      <c r="E564" s="242" t="s">
        <v>73</v>
      </c>
      <c r="F564" s="243">
        <v>0</v>
      </c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</row>
    <row r="565" spans="1:41" ht="12.75" customHeight="1" x14ac:dyDescent="0.3">
      <c r="A565" s="89"/>
      <c r="C565" s="97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</row>
    <row r="566" spans="1:41" ht="12.75" customHeight="1" x14ac:dyDescent="0.25">
      <c r="C566" s="777" t="s">
        <v>326</v>
      </c>
      <c r="D566" s="774" t="s">
        <v>132</v>
      </c>
      <c r="E566" s="373" t="s">
        <v>70</v>
      </c>
      <c r="F566" s="374">
        <f>F537+F519-L519</f>
        <v>34785170.68</v>
      </c>
      <c r="G566" s="374">
        <f>G519</f>
        <v>2225340.34</v>
      </c>
      <c r="H566" s="374">
        <f t="shared" ref="H566:AO566" si="31">H519</f>
        <v>1233853.4399999999</v>
      </c>
      <c r="I566" s="374">
        <f t="shared" si="31"/>
        <v>663273.05000000005</v>
      </c>
      <c r="J566" s="374">
        <f t="shared" si="31"/>
        <v>8789321.2599999998</v>
      </c>
      <c r="K566" s="374">
        <f t="shared" si="31"/>
        <v>309274.96999999997</v>
      </c>
      <c r="L566" s="374">
        <f>L519</f>
        <v>37.32</v>
      </c>
      <c r="M566" s="374">
        <f t="shared" si="31"/>
        <v>2691574.71</v>
      </c>
      <c r="N566" s="374">
        <f t="shared" si="31"/>
        <v>2724685.96</v>
      </c>
      <c r="O566" s="374">
        <f t="shared" si="31"/>
        <v>13908693.199999999</v>
      </c>
      <c r="P566" s="374">
        <f t="shared" si="31"/>
        <v>6656558.7300000004</v>
      </c>
      <c r="Q566" s="374">
        <f t="shared" si="31"/>
        <v>505483.58</v>
      </c>
      <c r="R566" s="374">
        <f t="shared" si="31"/>
        <v>-92.03</v>
      </c>
      <c r="S566" s="374">
        <f t="shared" si="31"/>
        <v>-0.01</v>
      </c>
      <c r="T566" s="374">
        <f t="shared" si="31"/>
        <v>0</v>
      </c>
      <c r="U566" s="374">
        <f t="shared" si="31"/>
        <v>0</v>
      </c>
      <c r="V566" s="374">
        <f t="shared" si="31"/>
        <v>0</v>
      </c>
      <c r="W566" s="374">
        <f t="shared" si="31"/>
        <v>0</v>
      </c>
      <c r="X566" s="374">
        <f t="shared" si="31"/>
        <v>0</v>
      </c>
      <c r="Y566" s="374">
        <f t="shared" si="31"/>
        <v>0</v>
      </c>
      <c r="Z566" s="374">
        <f t="shared" si="31"/>
        <v>0</v>
      </c>
      <c r="AA566" s="374">
        <f t="shared" si="31"/>
        <v>0</v>
      </c>
      <c r="AB566" s="374">
        <f t="shared" si="31"/>
        <v>0</v>
      </c>
      <c r="AC566" s="374">
        <f t="shared" si="31"/>
        <v>0</v>
      </c>
      <c r="AD566" s="374">
        <f t="shared" si="31"/>
        <v>0</v>
      </c>
      <c r="AE566" s="374">
        <f t="shared" si="31"/>
        <v>0</v>
      </c>
      <c r="AF566" s="374">
        <f t="shared" si="31"/>
        <v>0</v>
      </c>
      <c r="AG566" s="374">
        <f t="shared" si="31"/>
        <v>0</v>
      </c>
      <c r="AH566" s="374">
        <f t="shared" si="31"/>
        <v>0</v>
      </c>
      <c r="AI566" s="374">
        <f t="shared" si="31"/>
        <v>0</v>
      </c>
      <c r="AJ566" s="374">
        <f t="shared" si="31"/>
        <v>0</v>
      </c>
      <c r="AK566" s="374">
        <f t="shared" si="31"/>
        <v>0</v>
      </c>
      <c r="AL566" s="374">
        <f t="shared" si="31"/>
        <v>0</v>
      </c>
      <c r="AM566" s="374">
        <f t="shared" si="31"/>
        <v>0</v>
      </c>
      <c r="AN566" s="374">
        <f t="shared" si="31"/>
        <v>0</v>
      </c>
      <c r="AO566" s="374">
        <f t="shared" si="31"/>
        <v>0</v>
      </c>
    </row>
    <row r="567" spans="1:41" ht="12.75" customHeight="1" x14ac:dyDescent="0.25">
      <c r="C567" s="777"/>
      <c r="D567" s="774"/>
      <c r="E567" s="373" t="s">
        <v>73</v>
      </c>
      <c r="F567" s="374">
        <f>F537</f>
        <v>-4922796.5199999996</v>
      </c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</row>
    <row r="568" spans="1:41" ht="12.75" customHeight="1" x14ac:dyDescent="0.25">
      <c r="C568" s="777"/>
      <c r="D568" s="774" t="s">
        <v>133</v>
      </c>
      <c r="E568" s="242" t="s">
        <v>70</v>
      </c>
      <c r="F568" s="243">
        <v>0</v>
      </c>
      <c r="G568" s="243">
        <v>0</v>
      </c>
      <c r="H568" s="243">
        <v>0</v>
      </c>
      <c r="I568" s="243">
        <v>0</v>
      </c>
      <c r="J568" s="243">
        <v>0</v>
      </c>
      <c r="K568" s="243">
        <v>0</v>
      </c>
      <c r="L568" s="243">
        <v>0</v>
      </c>
      <c r="M568" s="243">
        <v>0</v>
      </c>
      <c r="N568" s="243">
        <v>0</v>
      </c>
      <c r="O568" s="243">
        <v>0</v>
      </c>
      <c r="P568" s="243">
        <v>0</v>
      </c>
      <c r="Q568" s="243">
        <v>0</v>
      </c>
      <c r="R568" s="243">
        <v>0</v>
      </c>
      <c r="S568" s="243">
        <v>0</v>
      </c>
      <c r="T568" s="243">
        <v>0</v>
      </c>
      <c r="U568" s="243">
        <v>0</v>
      </c>
      <c r="V568" s="243">
        <v>0</v>
      </c>
      <c r="W568" s="243">
        <v>0</v>
      </c>
      <c r="X568" s="243">
        <v>0</v>
      </c>
      <c r="Y568" s="243">
        <v>0</v>
      </c>
      <c r="Z568" s="243">
        <v>0</v>
      </c>
      <c r="AA568" s="243">
        <v>0</v>
      </c>
      <c r="AB568" s="243">
        <v>0</v>
      </c>
      <c r="AC568" s="243">
        <v>0</v>
      </c>
      <c r="AD568" s="243">
        <v>0</v>
      </c>
      <c r="AE568" s="243">
        <v>0</v>
      </c>
      <c r="AF568" s="243">
        <v>0</v>
      </c>
      <c r="AG568" s="243">
        <v>0</v>
      </c>
      <c r="AH568" s="243">
        <v>0</v>
      </c>
      <c r="AI568" s="243">
        <v>0</v>
      </c>
      <c r="AJ568" s="243">
        <v>0</v>
      </c>
      <c r="AK568" s="243">
        <v>0</v>
      </c>
      <c r="AL568" s="243">
        <v>0</v>
      </c>
      <c r="AM568" s="243">
        <v>0</v>
      </c>
      <c r="AN568" s="243">
        <v>0</v>
      </c>
      <c r="AO568" s="243">
        <v>0</v>
      </c>
    </row>
    <row r="569" spans="1:41" ht="12.75" customHeight="1" x14ac:dyDescent="0.25">
      <c r="C569" s="777"/>
      <c r="D569" s="774"/>
      <c r="E569" s="242" t="s">
        <v>73</v>
      </c>
      <c r="F569" s="243">
        <v>0</v>
      </c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</row>
    <row r="570" spans="1:41" ht="12.75" customHeight="1" x14ac:dyDescent="0.25">
      <c r="C570" s="719"/>
      <c r="D570" s="220"/>
      <c r="E570" s="89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</row>
    <row r="571" spans="1:41" ht="12.75" customHeight="1" x14ac:dyDescent="0.25">
      <c r="C571" s="776" t="s">
        <v>119</v>
      </c>
      <c r="D571" s="774" t="s">
        <v>132</v>
      </c>
      <c r="E571" s="101" t="s">
        <v>70</v>
      </c>
      <c r="F571" s="93">
        <f>F529+F544+F509-L509-L529</f>
        <v>264234342.55000001</v>
      </c>
      <c r="G571" s="93">
        <f t="shared" ref="G571:AO571" si="32">G529+G509</f>
        <v>24786094.609999999</v>
      </c>
      <c r="H571" s="93">
        <f t="shared" si="32"/>
        <v>13584576.880000001</v>
      </c>
      <c r="I571" s="93">
        <f t="shared" si="32"/>
        <v>7186811.3700000001</v>
      </c>
      <c r="J571" s="93">
        <f t="shared" si="32"/>
        <v>19984715.310000002</v>
      </c>
      <c r="K571" s="93">
        <f t="shared" si="32"/>
        <v>938757.83000000007</v>
      </c>
      <c r="L571" s="93">
        <f t="shared" si="32"/>
        <v>1911490.45</v>
      </c>
      <c r="M571" s="93">
        <f t="shared" si="32"/>
        <v>8238099.71</v>
      </c>
      <c r="N571" s="93">
        <f t="shared" si="32"/>
        <v>9462555.3000000007</v>
      </c>
      <c r="O571" s="93">
        <f t="shared" si="32"/>
        <v>48308061.170000002</v>
      </c>
      <c r="P571" s="93">
        <f t="shared" si="32"/>
        <v>74106327.179999992</v>
      </c>
      <c r="Q571" s="93">
        <f t="shared" si="32"/>
        <v>1546418.33</v>
      </c>
      <c r="R571" s="93">
        <f t="shared" si="32"/>
        <v>-2490.73</v>
      </c>
      <c r="S571" s="93">
        <f t="shared" si="32"/>
        <v>184.53</v>
      </c>
      <c r="T571" s="93">
        <f t="shared" si="32"/>
        <v>1.78</v>
      </c>
      <c r="U571" s="93">
        <f t="shared" si="32"/>
        <v>0</v>
      </c>
      <c r="V571" s="93">
        <f t="shared" si="32"/>
        <v>0</v>
      </c>
      <c r="W571" s="93">
        <f t="shared" si="32"/>
        <v>0</v>
      </c>
      <c r="X571" s="93">
        <f t="shared" si="32"/>
        <v>0</v>
      </c>
      <c r="Y571" s="93">
        <f t="shared" si="32"/>
        <v>0</v>
      </c>
      <c r="Z571" s="93">
        <f t="shared" si="32"/>
        <v>-222.13</v>
      </c>
      <c r="AA571" s="93">
        <f t="shared" si="32"/>
        <v>0</v>
      </c>
      <c r="AB571" s="93">
        <f t="shared" si="32"/>
        <v>0</v>
      </c>
      <c r="AC571" s="93">
        <f t="shared" si="32"/>
        <v>0</v>
      </c>
      <c r="AD571" s="93">
        <f t="shared" si="32"/>
        <v>0</v>
      </c>
      <c r="AE571" s="93">
        <f t="shared" si="32"/>
        <v>0</v>
      </c>
      <c r="AF571" s="93">
        <f t="shared" si="32"/>
        <v>0</v>
      </c>
      <c r="AG571" s="93">
        <f t="shared" si="32"/>
        <v>0</v>
      </c>
      <c r="AH571" s="93">
        <f t="shared" si="32"/>
        <v>0</v>
      </c>
      <c r="AI571" s="93">
        <f t="shared" si="32"/>
        <v>0</v>
      </c>
      <c r="AJ571" s="93">
        <f t="shared" si="32"/>
        <v>0</v>
      </c>
      <c r="AK571" s="93">
        <f t="shared" si="32"/>
        <v>0</v>
      </c>
      <c r="AL571" s="93">
        <f t="shared" si="32"/>
        <v>0</v>
      </c>
      <c r="AM571" s="93">
        <f t="shared" si="32"/>
        <v>0</v>
      </c>
      <c r="AN571" s="93">
        <f t="shared" si="32"/>
        <v>0</v>
      </c>
      <c r="AO571" s="93">
        <f t="shared" si="32"/>
        <v>0</v>
      </c>
    </row>
    <row r="572" spans="1:41" ht="12.75" customHeight="1" x14ac:dyDescent="0.25">
      <c r="C572" s="776"/>
      <c r="D572" s="774"/>
      <c r="E572" s="101" t="s">
        <v>73</v>
      </c>
      <c r="F572" s="93">
        <f>F544</f>
        <v>56094451.409999996</v>
      </c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</row>
    <row r="573" spans="1:41" ht="12.75" customHeight="1" x14ac:dyDescent="0.25">
      <c r="C573" s="776"/>
      <c r="D573" s="774" t="s">
        <v>133</v>
      </c>
      <c r="E573" s="235" t="s">
        <v>70</v>
      </c>
      <c r="F573" s="236">
        <v>0</v>
      </c>
      <c r="G573" s="236">
        <v>0</v>
      </c>
      <c r="H573" s="236">
        <v>0</v>
      </c>
      <c r="I573" s="236">
        <v>0</v>
      </c>
      <c r="J573" s="236">
        <v>0</v>
      </c>
      <c r="K573" s="236">
        <v>0</v>
      </c>
      <c r="L573" s="236">
        <v>0</v>
      </c>
      <c r="M573" s="236">
        <v>0</v>
      </c>
      <c r="N573" s="236">
        <v>0</v>
      </c>
      <c r="O573" s="236">
        <v>0</v>
      </c>
      <c r="P573" s="236">
        <v>0</v>
      </c>
      <c r="Q573" s="236">
        <v>0</v>
      </c>
      <c r="R573" s="236">
        <v>0</v>
      </c>
      <c r="S573" s="236">
        <v>0</v>
      </c>
      <c r="T573" s="236">
        <v>0</v>
      </c>
      <c r="U573" s="236">
        <v>0</v>
      </c>
      <c r="V573" s="236">
        <v>0</v>
      </c>
      <c r="W573" s="236">
        <v>0</v>
      </c>
      <c r="X573" s="236">
        <v>0</v>
      </c>
      <c r="Y573" s="236">
        <v>0</v>
      </c>
      <c r="Z573" s="236">
        <v>0</v>
      </c>
      <c r="AA573" s="236">
        <v>0</v>
      </c>
      <c r="AB573" s="236">
        <v>0</v>
      </c>
      <c r="AC573" s="236">
        <v>0</v>
      </c>
      <c r="AD573" s="236">
        <v>0</v>
      </c>
      <c r="AE573" s="236">
        <v>0</v>
      </c>
      <c r="AF573" s="236">
        <v>0</v>
      </c>
      <c r="AG573" s="236">
        <v>0</v>
      </c>
      <c r="AH573" s="236">
        <v>0</v>
      </c>
      <c r="AI573" s="236">
        <v>0</v>
      </c>
      <c r="AJ573" s="236">
        <v>0</v>
      </c>
      <c r="AK573" s="236">
        <v>0</v>
      </c>
      <c r="AL573" s="236">
        <v>0</v>
      </c>
      <c r="AM573" s="236">
        <v>0</v>
      </c>
      <c r="AN573" s="236">
        <v>0</v>
      </c>
      <c r="AO573" s="236">
        <v>0</v>
      </c>
    </row>
    <row r="574" spans="1:41" ht="12.75" customHeight="1" x14ac:dyDescent="0.25">
      <c r="C574" s="776"/>
      <c r="D574" s="774"/>
      <c r="E574" s="235" t="s">
        <v>73</v>
      </c>
      <c r="F574" s="236">
        <v>0</v>
      </c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</row>
    <row r="575" spans="1:41" ht="12.75" customHeight="1" x14ac:dyDescent="0.3">
      <c r="A575" s="89"/>
      <c r="C575" s="97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</row>
    <row r="576" spans="1:41" ht="12.75" customHeight="1" x14ac:dyDescent="0.25">
      <c r="C576" s="775" t="s">
        <v>161</v>
      </c>
      <c r="D576" s="774" t="s">
        <v>132</v>
      </c>
      <c r="E576" s="231" t="s">
        <v>70</v>
      </c>
      <c r="F576" s="232">
        <v>0</v>
      </c>
      <c r="G576" s="232">
        <v>0</v>
      </c>
      <c r="H576" s="232">
        <v>0</v>
      </c>
      <c r="I576" s="232">
        <v>0</v>
      </c>
      <c r="J576" s="232">
        <v>0</v>
      </c>
      <c r="K576" s="232">
        <v>0</v>
      </c>
      <c r="L576" s="232">
        <v>0</v>
      </c>
      <c r="M576" s="232">
        <v>0</v>
      </c>
      <c r="N576" s="232">
        <v>0</v>
      </c>
      <c r="O576" s="232">
        <v>0</v>
      </c>
      <c r="P576" s="232">
        <v>0</v>
      </c>
      <c r="Q576" s="232">
        <v>0</v>
      </c>
      <c r="R576" s="232">
        <v>0</v>
      </c>
      <c r="S576" s="232">
        <v>0</v>
      </c>
      <c r="T576" s="232">
        <v>0</v>
      </c>
      <c r="U576" s="232"/>
      <c r="V576" s="232"/>
      <c r="W576" s="232"/>
      <c r="X576" s="232">
        <v>0</v>
      </c>
      <c r="Y576" s="232">
        <v>0</v>
      </c>
      <c r="Z576" s="232">
        <v>0</v>
      </c>
      <c r="AA576" s="232">
        <v>0</v>
      </c>
      <c r="AB576" s="232">
        <v>0</v>
      </c>
      <c r="AC576" s="232">
        <v>0</v>
      </c>
      <c r="AD576" s="232">
        <v>0</v>
      </c>
      <c r="AE576" s="232">
        <v>0</v>
      </c>
      <c r="AF576" s="232">
        <v>0</v>
      </c>
      <c r="AG576" s="232">
        <v>0</v>
      </c>
      <c r="AH576" s="232">
        <v>0</v>
      </c>
      <c r="AI576" s="232">
        <v>0</v>
      </c>
      <c r="AJ576" s="232">
        <v>0</v>
      </c>
      <c r="AK576" s="232">
        <v>0</v>
      </c>
      <c r="AL576" s="232">
        <v>0</v>
      </c>
      <c r="AM576" s="232">
        <v>0</v>
      </c>
      <c r="AN576" s="232">
        <v>0</v>
      </c>
      <c r="AO576" s="232">
        <v>0</v>
      </c>
    </row>
    <row r="577" spans="3:27" ht="12.75" customHeight="1" x14ac:dyDescent="0.25">
      <c r="C577" s="775"/>
      <c r="D577" s="774"/>
      <c r="E577" s="231" t="s">
        <v>73</v>
      </c>
      <c r="F577" s="232">
        <v>0</v>
      </c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</row>
    <row r="578" spans="3:27" ht="12.75" customHeight="1" x14ac:dyDescent="0.25">
      <c r="C578" s="775"/>
      <c r="E578" s="148" t="s">
        <v>70</v>
      </c>
      <c r="F578" s="149">
        <v>0</v>
      </c>
      <c r="G578" s="149">
        <v>0</v>
      </c>
      <c r="H578" s="149">
        <v>0</v>
      </c>
      <c r="I578" s="149">
        <v>0</v>
      </c>
      <c r="J578" s="149">
        <v>0</v>
      </c>
      <c r="K578" s="149">
        <v>0</v>
      </c>
      <c r="L578" s="149">
        <v>0</v>
      </c>
      <c r="M578" s="149">
        <v>0</v>
      </c>
      <c r="N578" s="149">
        <v>0</v>
      </c>
      <c r="O578" s="149">
        <v>0</v>
      </c>
      <c r="P578" s="149">
        <v>0</v>
      </c>
      <c r="Q578" s="149">
        <v>0</v>
      </c>
      <c r="R578" s="149">
        <v>0</v>
      </c>
      <c r="S578" s="149">
        <v>0</v>
      </c>
      <c r="T578" s="149">
        <v>0</v>
      </c>
      <c r="U578" s="149"/>
      <c r="V578" s="149"/>
      <c r="W578" s="149"/>
      <c r="X578" s="149">
        <v>0</v>
      </c>
      <c r="Y578" s="149">
        <v>0</v>
      </c>
      <c r="Z578" s="149">
        <v>0</v>
      </c>
      <c r="AA578" s="149">
        <v>0</v>
      </c>
    </row>
    <row r="579" spans="3:27" ht="12.75" customHeight="1" x14ac:dyDescent="0.25">
      <c r="C579" s="775"/>
      <c r="D579" s="220" t="s">
        <v>132</v>
      </c>
      <c r="E579" s="148" t="s">
        <v>73</v>
      </c>
      <c r="F579" s="149">
        <v>0</v>
      </c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</row>
    <row r="580" spans="3:27" ht="12.75" customHeight="1" x14ac:dyDescent="0.25">
      <c r="C580" s="388"/>
      <c r="D580" s="220"/>
      <c r="E580" s="89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</row>
    <row r="581" spans="3:27" ht="12.75" customHeight="1" x14ac:dyDescent="0.25">
      <c r="D581" s="458" t="s">
        <v>186</v>
      </c>
      <c r="E581" s="459" t="s">
        <v>70</v>
      </c>
      <c r="F581" s="460">
        <f>F511</f>
        <v>-9919.7000000000007</v>
      </c>
      <c r="G581" s="460">
        <f t="shared" ref="G581:AA581" si="33">G511</f>
        <v>-794.89</v>
      </c>
      <c r="H581" s="460">
        <f t="shared" si="33"/>
        <v>-337.68</v>
      </c>
      <c r="I581" s="460">
        <f t="shared" si="33"/>
        <v>-147.47</v>
      </c>
      <c r="J581" s="460">
        <f t="shared" si="33"/>
        <v>-1690.49</v>
      </c>
      <c r="K581" s="460">
        <f t="shared" si="33"/>
        <v>-104.34</v>
      </c>
      <c r="L581" s="460">
        <f t="shared" si="33"/>
        <v>0</v>
      </c>
      <c r="M581" s="460">
        <f t="shared" si="33"/>
        <v>-915.1</v>
      </c>
      <c r="N581" s="460">
        <f t="shared" si="33"/>
        <v>-767.16</v>
      </c>
      <c r="O581" s="460">
        <f t="shared" si="33"/>
        <v>-2803.42</v>
      </c>
      <c r="P581" s="460">
        <f t="shared" si="33"/>
        <v>-2188.9299999999998</v>
      </c>
      <c r="Q581" s="460">
        <f t="shared" si="33"/>
        <v>-170.22</v>
      </c>
      <c r="R581" s="460">
        <f t="shared" si="33"/>
        <v>0</v>
      </c>
      <c r="S581" s="460">
        <f t="shared" si="33"/>
        <v>0</v>
      </c>
      <c r="T581" s="460">
        <f t="shared" si="33"/>
        <v>0</v>
      </c>
      <c r="U581" s="460">
        <f t="shared" si="33"/>
        <v>0</v>
      </c>
      <c r="V581" s="460">
        <f t="shared" si="33"/>
        <v>0</v>
      </c>
      <c r="W581" s="460">
        <f t="shared" si="33"/>
        <v>0</v>
      </c>
      <c r="X581" s="460">
        <f t="shared" si="33"/>
        <v>0</v>
      </c>
      <c r="Y581" s="460">
        <f t="shared" si="33"/>
        <v>0</v>
      </c>
      <c r="Z581" s="460">
        <f t="shared" si="33"/>
        <v>0</v>
      </c>
      <c r="AA581" s="460">
        <f t="shared" si="33"/>
        <v>0</v>
      </c>
    </row>
    <row r="582" spans="3:27" ht="12.75" customHeight="1" x14ac:dyDescent="0.25">
      <c r="C582" s="388"/>
      <c r="D582" s="220"/>
      <c r="E582" s="89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</row>
    <row r="583" spans="3:27" s="238" customFormat="1" ht="12.75" customHeight="1" x14ac:dyDescent="0.25">
      <c r="D583" s="239"/>
      <c r="E583" s="240"/>
      <c r="F583" s="240"/>
      <c r="G583" s="240"/>
      <c r="H583" s="240"/>
      <c r="I583" s="240"/>
      <c r="J583" s="240"/>
      <c r="K583" s="240"/>
      <c r="L583" s="240"/>
      <c r="M583" s="240"/>
      <c r="N583" s="240"/>
      <c r="O583" s="240"/>
      <c r="P583" s="240"/>
      <c r="Q583" s="240"/>
    </row>
  </sheetData>
  <mergeCells count="87">
    <mergeCell ref="D354:D355"/>
    <mergeCell ref="D356:D357"/>
    <mergeCell ref="C215:C218"/>
    <mergeCell ref="D215:D216"/>
    <mergeCell ref="D217:D218"/>
    <mergeCell ref="C225:C228"/>
    <mergeCell ref="D225:D226"/>
    <mergeCell ref="C339:C342"/>
    <mergeCell ref="D339:D340"/>
    <mergeCell ref="D341:D342"/>
    <mergeCell ref="C576:C579"/>
    <mergeCell ref="C551:C554"/>
    <mergeCell ref="D551:D552"/>
    <mergeCell ref="D553:D554"/>
    <mergeCell ref="C556:C559"/>
    <mergeCell ref="D556:D557"/>
    <mergeCell ref="D558:D559"/>
    <mergeCell ref="C561:C564"/>
    <mergeCell ref="D561:D562"/>
    <mergeCell ref="D563:D564"/>
    <mergeCell ref="C571:C574"/>
    <mergeCell ref="D571:D572"/>
    <mergeCell ref="D573:D574"/>
    <mergeCell ref="D576:D577"/>
    <mergeCell ref="C566:C569"/>
    <mergeCell ref="D566:D567"/>
    <mergeCell ref="D212:D213"/>
    <mergeCell ref="D222:D223"/>
    <mergeCell ref="C71:C74"/>
    <mergeCell ref="D71:D72"/>
    <mergeCell ref="D73:D74"/>
    <mergeCell ref="C200:C203"/>
    <mergeCell ref="D200:D201"/>
    <mergeCell ref="D202:D203"/>
    <mergeCell ref="C205:C208"/>
    <mergeCell ref="D205:D206"/>
    <mergeCell ref="D210:D211"/>
    <mergeCell ref="C210:C213"/>
    <mergeCell ref="C220:C223"/>
    <mergeCell ref="D220:D221"/>
    <mergeCell ref="D68:D69"/>
    <mergeCell ref="C51:C54"/>
    <mergeCell ref="C56:C59"/>
    <mergeCell ref="D207:D208"/>
    <mergeCell ref="C46:C49"/>
    <mergeCell ref="D46:D47"/>
    <mergeCell ref="D48:D49"/>
    <mergeCell ref="C66:C69"/>
    <mergeCell ref="D51:D52"/>
    <mergeCell ref="D53:D54"/>
    <mergeCell ref="D56:D57"/>
    <mergeCell ref="D58:D59"/>
    <mergeCell ref="D66:D67"/>
    <mergeCell ref="C61:C64"/>
    <mergeCell ref="D61:D62"/>
    <mergeCell ref="D63:D64"/>
    <mergeCell ref="C472:C475"/>
    <mergeCell ref="D472:D473"/>
    <mergeCell ref="D474:D475"/>
    <mergeCell ref="C344:C347"/>
    <mergeCell ref="D344:D345"/>
    <mergeCell ref="D346:D347"/>
    <mergeCell ref="C349:C352"/>
    <mergeCell ref="D349:D350"/>
    <mergeCell ref="D351:D352"/>
    <mergeCell ref="C359:C362"/>
    <mergeCell ref="D359:D360"/>
    <mergeCell ref="D361:D362"/>
    <mergeCell ref="C364:C367"/>
    <mergeCell ref="D364:D365"/>
    <mergeCell ref="D366:D367"/>
    <mergeCell ref="C354:C357"/>
    <mergeCell ref="D568:D569"/>
    <mergeCell ref="C497:C500"/>
    <mergeCell ref="C477:C480"/>
    <mergeCell ref="D477:D478"/>
    <mergeCell ref="D479:D480"/>
    <mergeCell ref="C482:C485"/>
    <mergeCell ref="D482:D483"/>
    <mergeCell ref="D484:D485"/>
    <mergeCell ref="C492:C495"/>
    <mergeCell ref="D492:D493"/>
    <mergeCell ref="D494:D495"/>
    <mergeCell ref="D497:D498"/>
    <mergeCell ref="C487:C490"/>
    <mergeCell ref="D487:D488"/>
    <mergeCell ref="D489:D490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449"/>
  <sheetViews>
    <sheetView zoomScaleNormal="100" workbookViewId="0">
      <pane ySplit="2" topLeftCell="A3" activePane="bottomLeft" state="frozen"/>
      <selection activeCell="D22" sqref="D22"/>
      <selection pane="bottomLeft" activeCell="D22" sqref="D22"/>
    </sheetView>
  </sheetViews>
  <sheetFormatPr baseColWidth="10" defaultRowHeight="12.5" x14ac:dyDescent="0.25"/>
  <cols>
    <col min="2" max="2" width="22.453125" bestFit="1" customWidth="1"/>
    <col min="3" max="3" width="18.81640625" customWidth="1"/>
    <col min="4" max="4" width="23.1796875" bestFit="1" customWidth="1"/>
    <col min="5" max="5" width="15.1796875" bestFit="1" customWidth="1"/>
    <col min="6" max="6" width="15.453125" bestFit="1" customWidth="1"/>
    <col min="7" max="8" width="16.1796875" bestFit="1" customWidth="1"/>
    <col min="9" max="9" width="15.1796875" bestFit="1" customWidth="1"/>
    <col min="10" max="10" width="17" bestFit="1" customWidth="1"/>
    <col min="11" max="11" width="13.54296875" bestFit="1" customWidth="1"/>
    <col min="12" max="12" width="15.54296875" bestFit="1" customWidth="1"/>
    <col min="13" max="15" width="15.1796875" bestFit="1" customWidth="1"/>
    <col min="16" max="16" width="20.453125" bestFit="1" customWidth="1"/>
    <col min="17" max="17" width="11.54296875" customWidth="1"/>
    <col min="18" max="18" width="13.54296875" bestFit="1" customWidth="1"/>
  </cols>
  <sheetData>
    <row r="1" spans="2:18" ht="13" x14ac:dyDescent="0.3">
      <c r="B1" s="97" t="s">
        <v>74</v>
      </c>
    </row>
    <row r="2" spans="2:18" ht="12.75" customHeight="1" x14ac:dyDescent="0.25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4" t="s">
        <v>225</v>
      </c>
    </row>
    <row r="3" spans="2:18" ht="12.75" customHeight="1" x14ac:dyDescent="0.25">
      <c r="D3" t="s">
        <v>72</v>
      </c>
      <c r="E3" s="384">
        <v>55834234.200000003</v>
      </c>
      <c r="F3" s="89">
        <v>3094647.39</v>
      </c>
      <c r="G3" s="89">
        <v>1682765.24</v>
      </c>
      <c r="H3" s="384">
        <v>530662.91</v>
      </c>
      <c r="I3" s="89">
        <v>14660029.060000001</v>
      </c>
      <c r="J3" s="89">
        <v>506485.61</v>
      </c>
      <c r="K3" s="89">
        <v>0</v>
      </c>
      <c r="L3" s="89">
        <v>5081668.92</v>
      </c>
      <c r="M3" s="89">
        <v>4157674.46</v>
      </c>
      <c r="N3" s="89">
        <v>16968785.870000001</v>
      </c>
      <c r="O3" s="89">
        <v>8430868.9900000002</v>
      </c>
      <c r="P3" s="89">
        <v>720682.78</v>
      </c>
      <c r="Q3" s="89">
        <v>-37.03</v>
      </c>
      <c r="R3">
        <v>0</v>
      </c>
    </row>
    <row r="4" spans="2:18" ht="12.75" customHeight="1" x14ac:dyDescent="0.25">
      <c r="D4" t="s">
        <v>81</v>
      </c>
      <c r="E4">
        <v>3707.99</v>
      </c>
      <c r="F4">
        <v>156.46</v>
      </c>
      <c r="G4">
        <v>86.98</v>
      </c>
      <c r="H4">
        <v>46.44</v>
      </c>
      <c r="I4">
        <v>813.79</v>
      </c>
      <c r="J4">
        <v>38.21</v>
      </c>
      <c r="K4">
        <v>0</v>
      </c>
      <c r="L4">
        <v>335.01</v>
      </c>
      <c r="M4">
        <v>322.77999999999997</v>
      </c>
      <c r="N4">
        <v>1416.95</v>
      </c>
      <c r="O4">
        <v>429</v>
      </c>
      <c r="P4">
        <v>62.35</v>
      </c>
      <c r="Q4">
        <v>0.02</v>
      </c>
      <c r="R4">
        <v>0</v>
      </c>
    </row>
    <row r="5" spans="2:18" ht="12.75" customHeight="1" x14ac:dyDescent="0.25">
      <c r="C5" t="s">
        <v>156</v>
      </c>
      <c r="D5" t="s">
        <v>70</v>
      </c>
      <c r="E5">
        <v>55837942.189999998</v>
      </c>
      <c r="F5">
        <v>3094803.85</v>
      </c>
      <c r="G5">
        <v>1682852.22</v>
      </c>
      <c r="H5">
        <v>530709.35</v>
      </c>
      <c r="I5">
        <v>14660842.85</v>
      </c>
      <c r="J5">
        <v>506523.82</v>
      </c>
      <c r="K5">
        <v>0</v>
      </c>
      <c r="L5">
        <v>5082003.93</v>
      </c>
      <c r="M5">
        <v>4157997.24</v>
      </c>
      <c r="N5">
        <v>16970202.82</v>
      </c>
      <c r="O5">
        <v>8431297.9900000002</v>
      </c>
      <c r="P5">
        <v>720745.13</v>
      </c>
      <c r="Q5">
        <v>-37.01</v>
      </c>
      <c r="R5">
        <v>0</v>
      </c>
    </row>
    <row r="6" spans="2:18" s="286" customFormat="1" ht="12.75" customHeight="1" x14ac:dyDescent="0.25">
      <c r="B6" s="286" t="s">
        <v>155</v>
      </c>
      <c r="C6" s="286" t="s">
        <v>70</v>
      </c>
      <c r="E6" s="286">
        <v>55837942.189999998</v>
      </c>
      <c r="F6" s="286">
        <v>3094803.85</v>
      </c>
      <c r="G6" s="286">
        <v>1682852.22</v>
      </c>
      <c r="H6" s="286">
        <v>530709.35</v>
      </c>
      <c r="I6" s="286">
        <v>14660842.85</v>
      </c>
      <c r="J6" s="286">
        <v>506523.82</v>
      </c>
      <c r="K6" s="286">
        <v>0</v>
      </c>
      <c r="L6" s="286">
        <v>5082003.93</v>
      </c>
      <c r="M6" s="286">
        <v>4157997.24</v>
      </c>
      <c r="N6" s="286">
        <v>16970202.82</v>
      </c>
      <c r="O6" s="286">
        <v>8431297.9900000002</v>
      </c>
      <c r="P6" s="286">
        <v>720745.13</v>
      </c>
      <c r="Q6" s="286">
        <v>-37.01</v>
      </c>
      <c r="R6" s="286">
        <v>0</v>
      </c>
    </row>
    <row r="7" spans="2:18" ht="12.75" customHeight="1" x14ac:dyDescent="0.25">
      <c r="B7" s="142"/>
      <c r="D7" t="s">
        <v>72</v>
      </c>
      <c r="E7" s="142">
        <v>2493179.15</v>
      </c>
      <c r="F7">
        <v>105458.8</v>
      </c>
      <c r="G7">
        <v>60546.26</v>
      </c>
      <c r="H7">
        <v>25821.53</v>
      </c>
      <c r="I7">
        <v>658727.02</v>
      </c>
      <c r="J7">
        <v>20098.400000000001</v>
      </c>
      <c r="K7">
        <v>0</v>
      </c>
      <c r="L7">
        <v>179573.87</v>
      </c>
      <c r="M7">
        <v>217698.78</v>
      </c>
      <c r="N7">
        <v>900619.58</v>
      </c>
      <c r="O7">
        <v>296715.15000000002</v>
      </c>
      <c r="P7">
        <v>27929.759999999998</v>
      </c>
      <c r="Q7">
        <v>-10</v>
      </c>
      <c r="R7">
        <v>0</v>
      </c>
    </row>
    <row r="8" spans="2:18" ht="12.75" customHeight="1" x14ac:dyDescent="0.25">
      <c r="B8" s="142"/>
      <c r="D8" t="s">
        <v>81</v>
      </c>
      <c r="E8" s="142">
        <v>732.75</v>
      </c>
      <c r="F8">
        <v>36.24</v>
      </c>
      <c r="G8">
        <v>18.73</v>
      </c>
      <c r="H8">
        <v>10.23</v>
      </c>
      <c r="I8">
        <v>195.31</v>
      </c>
      <c r="J8">
        <v>4.71</v>
      </c>
      <c r="K8">
        <v>0</v>
      </c>
      <c r="L8">
        <v>41.31</v>
      </c>
      <c r="M8">
        <v>56.94</v>
      </c>
      <c r="N8">
        <v>262.11</v>
      </c>
      <c r="O8">
        <v>99.47</v>
      </c>
      <c r="P8">
        <v>7.68</v>
      </c>
      <c r="Q8">
        <v>0.02</v>
      </c>
      <c r="R8">
        <v>0</v>
      </c>
    </row>
    <row r="9" spans="2:18" ht="12.75" customHeight="1" x14ac:dyDescent="0.25">
      <c r="B9" s="142"/>
      <c r="C9" t="s">
        <v>82</v>
      </c>
      <c r="D9" t="s">
        <v>70</v>
      </c>
      <c r="E9" s="142">
        <v>2493911.9</v>
      </c>
      <c r="F9">
        <v>105495.03999999999</v>
      </c>
      <c r="G9">
        <v>60564.99</v>
      </c>
      <c r="H9">
        <v>25831.759999999998</v>
      </c>
      <c r="I9">
        <v>658922.32999999996</v>
      </c>
      <c r="J9">
        <v>20103.11</v>
      </c>
      <c r="K9">
        <v>0</v>
      </c>
      <c r="L9">
        <v>179615.18</v>
      </c>
      <c r="M9">
        <v>217755.72</v>
      </c>
      <c r="N9">
        <v>900881.69</v>
      </c>
      <c r="O9">
        <v>296814.62</v>
      </c>
      <c r="P9">
        <v>27937.439999999999</v>
      </c>
      <c r="Q9">
        <v>-9.98</v>
      </c>
      <c r="R9">
        <v>0</v>
      </c>
    </row>
    <row r="10" spans="2:18" ht="12.75" customHeight="1" x14ac:dyDescent="0.25">
      <c r="B10" s="142"/>
      <c r="D10" t="s">
        <v>72</v>
      </c>
      <c r="E10">
        <v>2223198.56</v>
      </c>
      <c r="F10">
        <v>147874.32999999999</v>
      </c>
      <c r="G10">
        <v>83270.12</v>
      </c>
      <c r="H10">
        <v>44538.96</v>
      </c>
      <c r="I10">
        <v>324582.71999999997</v>
      </c>
      <c r="J10">
        <v>14764.44</v>
      </c>
      <c r="K10">
        <v>0</v>
      </c>
      <c r="L10">
        <v>134454.14000000001</v>
      </c>
      <c r="M10">
        <v>151788.79999999999</v>
      </c>
      <c r="N10">
        <v>653436.37</v>
      </c>
      <c r="O10">
        <v>644060.97</v>
      </c>
      <c r="P10">
        <v>24424.93</v>
      </c>
      <c r="Q10">
        <v>2.78</v>
      </c>
      <c r="R10">
        <v>0</v>
      </c>
    </row>
    <row r="11" spans="2:18" ht="12.75" customHeight="1" x14ac:dyDescent="0.25">
      <c r="B11" s="142"/>
      <c r="D11" t="s">
        <v>81</v>
      </c>
      <c r="E11">
        <v>676.52</v>
      </c>
      <c r="F11">
        <v>18.420000000000002</v>
      </c>
      <c r="G11">
        <v>9.52</v>
      </c>
      <c r="H11">
        <v>5.19</v>
      </c>
      <c r="I11">
        <v>108.14</v>
      </c>
      <c r="J11">
        <v>12.59</v>
      </c>
      <c r="K11">
        <v>0</v>
      </c>
      <c r="L11">
        <v>109.25</v>
      </c>
      <c r="M11">
        <v>100.54</v>
      </c>
      <c r="N11">
        <v>242.05</v>
      </c>
      <c r="O11">
        <v>50.3</v>
      </c>
      <c r="P11">
        <v>20.52</v>
      </c>
      <c r="Q11">
        <v>0</v>
      </c>
      <c r="R11">
        <v>0</v>
      </c>
    </row>
    <row r="12" spans="2:18" ht="12.75" customHeight="1" x14ac:dyDescent="0.25">
      <c r="B12" s="142"/>
      <c r="C12" t="s">
        <v>86</v>
      </c>
      <c r="D12" t="s">
        <v>70</v>
      </c>
      <c r="E12" s="142">
        <v>2223875.08</v>
      </c>
      <c r="F12">
        <v>147892.75</v>
      </c>
      <c r="G12">
        <v>83279.64</v>
      </c>
      <c r="H12">
        <v>44544.15</v>
      </c>
      <c r="I12">
        <v>324690.86</v>
      </c>
      <c r="J12">
        <v>14777.03</v>
      </c>
      <c r="K12">
        <v>0</v>
      </c>
      <c r="L12">
        <v>134563.39000000001</v>
      </c>
      <c r="M12">
        <v>151889.34</v>
      </c>
      <c r="N12">
        <v>653678.42000000004</v>
      </c>
      <c r="O12">
        <v>644111.27</v>
      </c>
      <c r="P12">
        <v>24445.45</v>
      </c>
      <c r="Q12">
        <v>2.78</v>
      </c>
      <c r="R12">
        <v>0</v>
      </c>
    </row>
    <row r="13" spans="2:18" ht="12.75" customHeight="1" x14ac:dyDescent="0.25">
      <c r="B13" s="142"/>
      <c r="D13" t="s">
        <v>72</v>
      </c>
      <c r="E13" s="142">
        <v>20285168.59</v>
      </c>
      <c r="F13">
        <v>2616610.9900000002</v>
      </c>
      <c r="G13">
        <v>1450507.37</v>
      </c>
      <c r="H13">
        <v>764170.91</v>
      </c>
      <c r="I13">
        <v>2505995.41</v>
      </c>
      <c r="J13">
        <v>57900.44</v>
      </c>
      <c r="K13">
        <v>1030668</v>
      </c>
      <c r="L13">
        <v>683264.29</v>
      </c>
      <c r="M13">
        <v>755299.62</v>
      </c>
      <c r="N13">
        <v>2961182.99</v>
      </c>
      <c r="O13">
        <v>7368849.3899999997</v>
      </c>
      <c r="P13">
        <v>90741.67</v>
      </c>
      <c r="Q13">
        <v>-22.49</v>
      </c>
      <c r="R13">
        <v>0</v>
      </c>
    </row>
    <row r="14" spans="2:18" ht="12.75" customHeight="1" x14ac:dyDescent="0.25">
      <c r="B14" s="142"/>
      <c r="D14" t="s">
        <v>81</v>
      </c>
      <c r="E14" s="142">
        <v>22217.37</v>
      </c>
      <c r="F14">
        <v>1381.19</v>
      </c>
      <c r="G14">
        <v>639.86</v>
      </c>
      <c r="H14">
        <v>371.8</v>
      </c>
      <c r="I14">
        <v>5346.65</v>
      </c>
      <c r="J14">
        <v>194.18</v>
      </c>
      <c r="K14">
        <v>0</v>
      </c>
      <c r="L14">
        <v>1703.91</v>
      </c>
      <c r="M14">
        <v>1518.67</v>
      </c>
      <c r="N14">
        <v>6962.94</v>
      </c>
      <c r="O14">
        <v>3781.33</v>
      </c>
      <c r="P14">
        <v>316.83</v>
      </c>
      <c r="Q14">
        <v>0.01</v>
      </c>
      <c r="R14">
        <v>0</v>
      </c>
    </row>
    <row r="15" spans="2:18" ht="12.75" customHeight="1" x14ac:dyDescent="0.25">
      <c r="B15" s="142"/>
      <c r="C15" s="89" t="s">
        <v>87</v>
      </c>
      <c r="D15" s="89" t="s">
        <v>70</v>
      </c>
      <c r="E15" s="90">
        <v>20307385.960000001</v>
      </c>
      <c r="F15" s="90">
        <v>2617992.1800000002</v>
      </c>
      <c r="G15" s="90">
        <v>1451147.23</v>
      </c>
      <c r="H15" s="90">
        <v>764542.71</v>
      </c>
      <c r="I15" s="90">
        <v>2511342.06</v>
      </c>
      <c r="J15" s="90">
        <v>58094.62</v>
      </c>
      <c r="K15" s="90">
        <v>1030668</v>
      </c>
      <c r="L15" s="90">
        <v>684968.2</v>
      </c>
      <c r="M15" s="90">
        <v>756818.29</v>
      </c>
      <c r="N15" s="90">
        <v>2968145.93</v>
      </c>
      <c r="O15" s="90">
        <v>7372630.7199999997</v>
      </c>
      <c r="P15" s="90">
        <v>91058.5</v>
      </c>
      <c r="Q15" s="90">
        <v>-22.48</v>
      </c>
      <c r="R15">
        <v>0</v>
      </c>
    </row>
    <row r="16" spans="2:18" s="94" customFormat="1" ht="12.75" customHeight="1" x14ac:dyDescent="0.25">
      <c r="B16" s="101" t="s">
        <v>119</v>
      </c>
      <c r="C16" s="101" t="s">
        <v>70</v>
      </c>
      <c r="E16" s="93">
        <v>25025172.940000001</v>
      </c>
      <c r="F16" s="93">
        <v>2871379.97</v>
      </c>
      <c r="G16" s="93">
        <v>1594991.86</v>
      </c>
      <c r="H16" s="93">
        <v>834918.62</v>
      </c>
      <c r="I16" s="93">
        <v>3494955.25</v>
      </c>
      <c r="J16" s="93">
        <v>92974.76</v>
      </c>
      <c r="K16" s="93">
        <v>1030668</v>
      </c>
      <c r="L16" s="93">
        <v>999146.77</v>
      </c>
      <c r="M16" s="93">
        <v>1126463.3500000001</v>
      </c>
      <c r="N16" s="93">
        <v>4522706.04</v>
      </c>
      <c r="O16" s="93">
        <v>8313556.6100000003</v>
      </c>
      <c r="P16" s="93">
        <v>143441.39000000001</v>
      </c>
      <c r="Q16" s="93">
        <v>-29.68</v>
      </c>
      <c r="R16" s="94">
        <v>0</v>
      </c>
    </row>
    <row r="17" spans="1:18" s="226" customFormat="1" ht="12.75" customHeight="1" x14ac:dyDescent="0.25">
      <c r="A17" s="98" t="s">
        <v>78</v>
      </c>
      <c r="B17" s="98" t="s">
        <v>70</v>
      </c>
      <c r="E17" s="100">
        <v>80863115.129999995</v>
      </c>
      <c r="F17" s="100">
        <v>5966183.8200000003</v>
      </c>
      <c r="G17" s="100">
        <v>3277844.08</v>
      </c>
      <c r="H17" s="100">
        <v>1365627.97</v>
      </c>
      <c r="I17" s="100">
        <v>18155798.100000001</v>
      </c>
      <c r="J17" s="100">
        <v>599498.57999999996</v>
      </c>
      <c r="K17" s="100">
        <v>1030668</v>
      </c>
      <c r="L17" s="100">
        <v>6081150.7000000002</v>
      </c>
      <c r="M17" s="100">
        <v>5284460.59</v>
      </c>
      <c r="N17" s="100">
        <v>21492908.859999999</v>
      </c>
      <c r="O17" s="100">
        <v>16744854.6</v>
      </c>
      <c r="P17" s="100">
        <v>864186.52</v>
      </c>
      <c r="Q17" s="100">
        <v>-66.69</v>
      </c>
      <c r="R17" s="226">
        <v>0</v>
      </c>
    </row>
    <row r="18" spans="1:18" ht="12.75" customHeight="1" x14ac:dyDescent="0.25">
      <c r="D18" s="89" t="s">
        <v>73</v>
      </c>
      <c r="E18" s="371">
        <v>-19207013.52</v>
      </c>
      <c r="F18" s="90">
        <v>-617716.24</v>
      </c>
      <c r="G18" s="90">
        <v>-328873.02</v>
      </c>
      <c r="H18" s="90">
        <v>-172186.54</v>
      </c>
      <c r="I18" s="90">
        <v>-5306584.67</v>
      </c>
      <c r="J18" s="90">
        <v>-192729.4</v>
      </c>
      <c r="K18" s="90">
        <v>0</v>
      </c>
      <c r="L18" s="90">
        <v>-1649344.07</v>
      </c>
      <c r="M18" s="90">
        <v>-1543787.46</v>
      </c>
      <c r="N18" s="90">
        <v>-7413085.6900000004</v>
      </c>
      <c r="O18" s="90">
        <v>-1667377.89</v>
      </c>
      <c r="P18" s="90">
        <v>-315328.53999999998</v>
      </c>
      <c r="Q18" s="90">
        <v>0</v>
      </c>
      <c r="R18">
        <v>0</v>
      </c>
    </row>
    <row r="19" spans="1:18" ht="12.75" customHeight="1" x14ac:dyDescent="0.25">
      <c r="C19" s="89" t="s">
        <v>156</v>
      </c>
      <c r="D19" s="89" t="s">
        <v>70</v>
      </c>
      <c r="E19" s="90">
        <v>-19207013.52</v>
      </c>
      <c r="F19" s="90">
        <v>-617716.24</v>
      </c>
      <c r="G19" s="90">
        <v>-328873.02</v>
      </c>
      <c r="H19" s="90">
        <v>-172186.54</v>
      </c>
      <c r="I19" s="90">
        <v>-5306584.67</v>
      </c>
      <c r="J19" s="90">
        <v>-192729.4</v>
      </c>
      <c r="K19" s="90">
        <v>0</v>
      </c>
      <c r="L19" s="90">
        <v>-1649344.07</v>
      </c>
      <c r="M19" s="90">
        <v>-1543787.46</v>
      </c>
      <c r="N19" s="90">
        <v>-7413085.6900000004</v>
      </c>
      <c r="O19" s="90">
        <v>-1667377.89</v>
      </c>
      <c r="P19" s="90">
        <v>-315328.53999999998</v>
      </c>
      <c r="Q19" s="90">
        <v>0</v>
      </c>
      <c r="R19">
        <v>0</v>
      </c>
    </row>
    <row r="20" spans="1:18" s="286" customFormat="1" ht="12.75" customHeight="1" x14ac:dyDescent="0.25">
      <c r="B20" s="286" t="s">
        <v>155</v>
      </c>
      <c r="C20" s="286" t="s">
        <v>70</v>
      </c>
      <c r="E20" s="286">
        <v>-19207013.52</v>
      </c>
      <c r="F20" s="286">
        <v>-617716.24</v>
      </c>
      <c r="G20" s="286">
        <v>-328873.02</v>
      </c>
      <c r="H20" s="286">
        <v>-172186.54</v>
      </c>
      <c r="I20" s="286">
        <v>-5306584.67</v>
      </c>
      <c r="J20" s="286">
        <v>-192729.4</v>
      </c>
      <c r="K20" s="286">
        <v>0</v>
      </c>
      <c r="L20" s="286">
        <v>-1649344.07</v>
      </c>
      <c r="M20" s="286">
        <v>-1543787.46</v>
      </c>
      <c r="N20" s="286">
        <v>-7413085.6900000004</v>
      </c>
      <c r="O20" s="286">
        <v>-1667377.89</v>
      </c>
      <c r="P20" s="286">
        <v>-315328.53999999998</v>
      </c>
      <c r="Q20" s="286">
        <v>0</v>
      </c>
      <c r="R20" s="286">
        <v>0</v>
      </c>
    </row>
    <row r="21" spans="1:18" ht="12.75" customHeight="1" x14ac:dyDescent="0.25">
      <c r="D21" s="89" t="s">
        <v>73</v>
      </c>
      <c r="E21" s="371">
        <v>-372078.25</v>
      </c>
      <c r="F21" s="90">
        <v>-10720.26</v>
      </c>
      <c r="G21" s="90">
        <v>-5973.28</v>
      </c>
      <c r="H21" s="90">
        <v>-4443.92</v>
      </c>
      <c r="I21" s="90">
        <v>-103772.07</v>
      </c>
      <c r="J21" s="90">
        <v>-4179.18</v>
      </c>
      <c r="K21" s="90">
        <v>0</v>
      </c>
      <c r="L21" s="90">
        <v>-33851.550000000003</v>
      </c>
      <c r="M21" s="90">
        <v>-33425.82</v>
      </c>
      <c r="N21" s="90">
        <v>-139613.89000000001</v>
      </c>
      <c r="O21" s="90">
        <v>-29279.68</v>
      </c>
      <c r="P21" s="90">
        <v>-6818.6</v>
      </c>
      <c r="Q21" s="90">
        <v>0</v>
      </c>
      <c r="R21">
        <v>0</v>
      </c>
    </row>
    <row r="22" spans="1:18" ht="12.75" customHeight="1" x14ac:dyDescent="0.25">
      <c r="C22" s="89" t="s">
        <v>82</v>
      </c>
      <c r="D22" s="89" t="s">
        <v>70</v>
      </c>
      <c r="E22" s="90">
        <v>-372078.25</v>
      </c>
      <c r="F22" s="90">
        <v>-10720.26</v>
      </c>
      <c r="G22" s="90">
        <v>-5973.28</v>
      </c>
      <c r="H22" s="90">
        <v>-4443.92</v>
      </c>
      <c r="I22" s="90">
        <v>-103772.07</v>
      </c>
      <c r="J22" s="90">
        <v>-4179.18</v>
      </c>
      <c r="K22" s="90">
        <v>0</v>
      </c>
      <c r="L22" s="90">
        <v>-33851.550000000003</v>
      </c>
      <c r="M22" s="90">
        <v>-33425.82</v>
      </c>
      <c r="N22" s="90">
        <v>-139613.89000000001</v>
      </c>
      <c r="O22" s="90">
        <v>-29279.68</v>
      </c>
      <c r="P22" s="90">
        <v>-6818.6</v>
      </c>
      <c r="Q22" s="90">
        <v>0</v>
      </c>
      <c r="R22">
        <v>0</v>
      </c>
    </row>
    <row r="23" spans="1:18" ht="12.75" customHeight="1" x14ac:dyDescent="0.25">
      <c r="D23" s="89" t="s">
        <v>73</v>
      </c>
      <c r="E23" s="90">
        <v>561663.56999999995</v>
      </c>
      <c r="F23" s="90">
        <v>85215.3</v>
      </c>
      <c r="G23" s="90">
        <v>47452.88</v>
      </c>
      <c r="H23" s="90">
        <v>25221.759999999998</v>
      </c>
      <c r="I23" s="90">
        <v>57091.22</v>
      </c>
      <c r="J23" s="90">
        <v>1115.44</v>
      </c>
      <c r="K23" s="90">
        <v>0</v>
      </c>
      <c r="L23" s="90">
        <v>8666.7900000000009</v>
      </c>
      <c r="M23" s="90">
        <v>16123.86</v>
      </c>
      <c r="N23" s="90">
        <v>85989.95</v>
      </c>
      <c r="O23" s="90">
        <v>232941.23</v>
      </c>
      <c r="P23" s="90">
        <v>1845.14</v>
      </c>
      <c r="Q23" s="90">
        <v>0</v>
      </c>
      <c r="R23">
        <v>0</v>
      </c>
    </row>
    <row r="24" spans="1:18" ht="12.75" customHeight="1" x14ac:dyDescent="0.25">
      <c r="C24" s="89" t="s">
        <v>86</v>
      </c>
      <c r="D24" s="89" t="s">
        <v>70</v>
      </c>
      <c r="E24" s="90">
        <v>561663.56999999995</v>
      </c>
      <c r="F24" s="90">
        <v>85215.3</v>
      </c>
      <c r="G24" s="90">
        <v>47452.88</v>
      </c>
      <c r="H24" s="90">
        <v>25221.759999999998</v>
      </c>
      <c r="I24" s="90">
        <v>57091.22</v>
      </c>
      <c r="J24" s="90">
        <v>1115.44</v>
      </c>
      <c r="K24" s="90">
        <v>0</v>
      </c>
      <c r="L24" s="90">
        <v>8666.7900000000009</v>
      </c>
      <c r="M24" s="90">
        <v>16123.86</v>
      </c>
      <c r="N24" s="90">
        <v>85989.95</v>
      </c>
      <c r="O24" s="90">
        <v>232941.23</v>
      </c>
      <c r="P24" s="90">
        <v>1845.14</v>
      </c>
      <c r="Q24" s="90">
        <v>0</v>
      </c>
      <c r="R24">
        <v>0</v>
      </c>
    </row>
    <row r="25" spans="1:18" ht="12.75" customHeight="1" x14ac:dyDescent="0.25">
      <c r="D25" s="89" t="s">
        <v>73</v>
      </c>
      <c r="E25" s="90">
        <v>6792970.0899999999</v>
      </c>
      <c r="F25" s="90">
        <v>1198577.79</v>
      </c>
      <c r="G25" s="90">
        <v>647576.97</v>
      </c>
      <c r="H25" s="90">
        <v>267551.01</v>
      </c>
      <c r="I25" s="90">
        <v>336837.22</v>
      </c>
      <c r="J25" s="90">
        <v>10835.7</v>
      </c>
      <c r="K25" s="90">
        <v>0</v>
      </c>
      <c r="L25" s="90">
        <v>130771.96</v>
      </c>
      <c r="M25" s="90">
        <v>148376.47</v>
      </c>
      <c r="N25" s="90">
        <v>751931.64</v>
      </c>
      <c r="O25" s="90">
        <v>3281949.72</v>
      </c>
      <c r="P25" s="90">
        <v>18561.61</v>
      </c>
      <c r="Q25" s="90">
        <v>0</v>
      </c>
      <c r="R25">
        <v>0</v>
      </c>
    </row>
    <row r="26" spans="1:18" ht="12.75" customHeight="1" x14ac:dyDescent="0.25">
      <c r="C26" s="89" t="s">
        <v>87</v>
      </c>
      <c r="D26" s="89" t="s">
        <v>70</v>
      </c>
      <c r="E26" s="90">
        <v>6792970.0899999999</v>
      </c>
      <c r="F26" s="90">
        <v>1198577.79</v>
      </c>
      <c r="G26" s="90">
        <v>647576.97</v>
      </c>
      <c r="H26" s="90">
        <v>267551.01</v>
      </c>
      <c r="I26" s="90">
        <v>336837.22</v>
      </c>
      <c r="J26" s="90">
        <v>10835.7</v>
      </c>
      <c r="K26" s="90">
        <v>0</v>
      </c>
      <c r="L26" s="90">
        <v>130771.96</v>
      </c>
      <c r="M26" s="90">
        <v>148376.47</v>
      </c>
      <c r="N26" s="90">
        <v>751931.64</v>
      </c>
      <c r="O26" s="90">
        <v>3281949.72</v>
      </c>
      <c r="P26" s="90">
        <v>18561.61</v>
      </c>
      <c r="Q26" s="90">
        <v>0</v>
      </c>
      <c r="R26">
        <v>0</v>
      </c>
    </row>
    <row r="27" spans="1:18" s="94" customFormat="1" ht="12.75" customHeight="1" x14ac:dyDescent="0.25">
      <c r="B27" s="101" t="s">
        <v>119</v>
      </c>
      <c r="C27" s="101" t="s">
        <v>70</v>
      </c>
      <c r="E27" s="93">
        <v>6982555.4100000001</v>
      </c>
      <c r="F27" s="93">
        <v>1273072.83</v>
      </c>
      <c r="G27" s="93">
        <v>689056.57</v>
      </c>
      <c r="H27" s="93">
        <v>288328.84999999998</v>
      </c>
      <c r="I27" s="93">
        <v>290156.37</v>
      </c>
      <c r="J27" s="93">
        <v>7771.96</v>
      </c>
      <c r="K27" s="93">
        <v>0</v>
      </c>
      <c r="L27" s="93">
        <v>105587.2</v>
      </c>
      <c r="M27" s="93">
        <v>131074.51</v>
      </c>
      <c r="N27" s="93">
        <v>698307.7</v>
      </c>
      <c r="O27" s="93">
        <v>3485611.27</v>
      </c>
      <c r="P27" s="93">
        <v>13588.15</v>
      </c>
      <c r="Q27" s="93">
        <v>0</v>
      </c>
      <c r="R27" s="94">
        <v>0</v>
      </c>
    </row>
    <row r="28" spans="1:18" s="226" customFormat="1" ht="12.75" customHeight="1" x14ac:dyDescent="0.25">
      <c r="A28" s="98" t="s">
        <v>79</v>
      </c>
      <c r="B28" s="98" t="s">
        <v>70</v>
      </c>
      <c r="E28" s="100">
        <v>-12224458.109999999</v>
      </c>
      <c r="F28" s="100">
        <v>655356.59</v>
      </c>
      <c r="G28" s="100">
        <v>360183.55</v>
      </c>
      <c r="H28" s="100">
        <v>116142.31</v>
      </c>
      <c r="I28" s="100">
        <v>-5016428.3</v>
      </c>
      <c r="J28" s="100">
        <v>-184957.44</v>
      </c>
      <c r="K28" s="100">
        <v>0</v>
      </c>
      <c r="L28" s="100">
        <v>-1543756.87</v>
      </c>
      <c r="M28" s="100">
        <v>-1412712.95</v>
      </c>
      <c r="N28" s="100">
        <v>-6714777.9900000002</v>
      </c>
      <c r="O28" s="100">
        <v>1818233.38</v>
      </c>
      <c r="P28" s="100">
        <v>-301740.39</v>
      </c>
      <c r="Q28" s="100">
        <v>0</v>
      </c>
      <c r="R28" s="226">
        <v>0</v>
      </c>
    </row>
    <row r="29" spans="1:18" ht="12.75" customHeight="1" x14ac:dyDescent="0.25">
      <c r="A29" s="89" t="s">
        <v>70</v>
      </c>
      <c r="E29" s="90">
        <v>68638657.019999996</v>
      </c>
      <c r="F29" s="90">
        <v>6621540.4100000001</v>
      </c>
      <c r="G29" s="90">
        <v>3638027.63</v>
      </c>
      <c r="H29" s="90">
        <v>1481770.28</v>
      </c>
      <c r="I29" s="90">
        <v>13139369.800000001</v>
      </c>
      <c r="J29" s="90">
        <v>414541.14</v>
      </c>
      <c r="K29" s="90">
        <v>1030668</v>
      </c>
      <c r="L29" s="90">
        <v>4537393.83</v>
      </c>
      <c r="M29" s="90">
        <v>3871747.64</v>
      </c>
      <c r="N29" s="90">
        <v>14778130.869999999</v>
      </c>
      <c r="O29" s="90">
        <v>18563087.98</v>
      </c>
      <c r="P29" s="90">
        <v>562446.13</v>
      </c>
      <c r="Q29" s="90">
        <v>-66.69</v>
      </c>
      <c r="R29" s="144">
        <v>0</v>
      </c>
    </row>
    <row r="30" spans="1:18" ht="12.75" customHeight="1" x14ac:dyDescent="0.25">
      <c r="A30" s="89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</row>
    <row r="31" spans="1:18" ht="12.75" customHeight="1" x14ac:dyDescent="0.25">
      <c r="A31" s="89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</row>
    <row r="32" spans="1:18" ht="12.75" hidden="1" customHeight="1" x14ac:dyDescent="0.25">
      <c r="A32" s="89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</row>
    <row r="33" spans="1:19" ht="12.75" hidden="1" customHeight="1" x14ac:dyDescent="0.25">
      <c r="A33" s="89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</row>
    <row r="34" spans="1:19" ht="12.75" hidden="1" customHeight="1" x14ac:dyDescent="0.25">
      <c r="A34" s="89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</row>
    <row r="35" spans="1:19" ht="12.75" hidden="1" customHeight="1" x14ac:dyDescent="0.25">
      <c r="A35" s="89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</row>
    <row r="36" spans="1:19" ht="12.75" hidden="1" customHeight="1" x14ac:dyDescent="0.25">
      <c r="A36" s="89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</row>
    <row r="37" spans="1:19" ht="12.75" hidden="1" customHeight="1" x14ac:dyDescent="0.25">
      <c r="A37" s="89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</row>
    <row r="38" spans="1:19" ht="12.75" hidden="1" customHeight="1" x14ac:dyDescent="0.25">
      <c r="A38" s="89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</row>
    <row r="39" spans="1:19" ht="12.75" hidden="1" customHeight="1" x14ac:dyDescent="0.25">
      <c r="A39" s="89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</row>
    <row r="40" spans="1:19" ht="12.75" hidden="1" customHeight="1" x14ac:dyDescent="0.25">
      <c r="A40" s="89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</row>
    <row r="41" spans="1:19" ht="12.75" customHeight="1" x14ac:dyDescent="0.25">
      <c r="A41" s="89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</row>
    <row r="42" spans="1:19" ht="12.75" customHeight="1" x14ac:dyDescent="0.25">
      <c r="A42" s="89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</row>
    <row r="43" spans="1:19" ht="12.75" customHeight="1" x14ac:dyDescent="0.25">
      <c r="B43" s="776" t="s">
        <v>2</v>
      </c>
      <c r="C43" s="774" t="s">
        <v>132</v>
      </c>
      <c r="D43" s="98" t="s">
        <v>70</v>
      </c>
      <c r="E43" s="100">
        <f>E17+E28-K17</f>
        <v>67607989.019999996</v>
      </c>
      <c r="F43" s="100">
        <f>F17</f>
        <v>5966183.8200000003</v>
      </c>
      <c r="G43" s="100">
        <f t="shared" ref="G43:S43" si="0">G17</f>
        <v>3277844.08</v>
      </c>
      <c r="H43" s="100">
        <f t="shared" si="0"/>
        <v>1365627.97</v>
      </c>
      <c r="I43" s="100">
        <f t="shared" si="0"/>
        <v>18155798.100000001</v>
      </c>
      <c r="J43" s="100">
        <f t="shared" si="0"/>
        <v>599498.57999999996</v>
      </c>
      <c r="K43" s="100">
        <f t="shared" si="0"/>
        <v>1030668</v>
      </c>
      <c r="L43" s="100">
        <f t="shared" si="0"/>
        <v>6081150.7000000002</v>
      </c>
      <c r="M43" s="100">
        <f t="shared" si="0"/>
        <v>5284460.59</v>
      </c>
      <c r="N43" s="100">
        <f t="shared" si="0"/>
        <v>21492908.859999999</v>
      </c>
      <c r="O43" s="100">
        <f t="shared" si="0"/>
        <v>16744854.6</v>
      </c>
      <c r="P43" s="100">
        <f t="shared" si="0"/>
        <v>864186.52</v>
      </c>
      <c r="Q43" s="100">
        <f t="shared" si="0"/>
        <v>-66.69</v>
      </c>
      <c r="R43" s="100">
        <f t="shared" si="0"/>
        <v>0</v>
      </c>
      <c r="S43" s="100">
        <f t="shared" si="0"/>
        <v>0</v>
      </c>
    </row>
    <row r="44" spans="1:19" ht="12.75" customHeight="1" x14ac:dyDescent="0.25">
      <c r="B44" s="776"/>
      <c r="C44" s="774"/>
      <c r="D44" s="98" t="s">
        <v>73</v>
      </c>
      <c r="E44" s="100">
        <f>E28</f>
        <v>-12224458.109999999</v>
      </c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</row>
    <row r="45" spans="1:19" ht="12.75" customHeight="1" x14ac:dyDescent="0.3">
      <c r="A45" s="89"/>
      <c r="B45" s="97"/>
      <c r="E45" s="371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</row>
    <row r="46" spans="1:19" ht="12.75" customHeight="1" x14ac:dyDescent="0.25">
      <c r="B46" s="776" t="s">
        <v>160</v>
      </c>
      <c r="C46" s="774" t="s">
        <v>132</v>
      </c>
      <c r="D46" s="223" t="s">
        <v>70</v>
      </c>
      <c r="E46" s="225">
        <v>0</v>
      </c>
      <c r="F46" s="225">
        <v>0</v>
      </c>
      <c r="G46" s="225">
        <v>0</v>
      </c>
      <c r="H46" s="225">
        <v>0</v>
      </c>
      <c r="I46" s="225">
        <v>0</v>
      </c>
      <c r="J46" s="225">
        <v>0</v>
      </c>
      <c r="K46" s="225">
        <v>0</v>
      </c>
      <c r="L46" s="225">
        <v>0</v>
      </c>
      <c r="M46" s="225">
        <v>0</v>
      </c>
      <c r="N46" s="225">
        <v>0</v>
      </c>
      <c r="O46" s="225">
        <v>0</v>
      </c>
      <c r="P46" s="225">
        <v>0</v>
      </c>
      <c r="Q46" s="225">
        <v>0</v>
      </c>
      <c r="R46" s="225">
        <v>0</v>
      </c>
      <c r="S46" s="225">
        <v>0</v>
      </c>
    </row>
    <row r="47" spans="1:19" ht="12.75" customHeight="1" x14ac:dyDescent="0.25">
      <c r="B47" s="776"/>
      <c r="C47" s="774"/>
      <c r="D47" s="223" t="s">
        <v>73</v>
      </c>
      <c r="E47" s="225">
        <v>0</v>
      </c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</row>
    <row r="48" spans="1:19" ht="12.75" customHeight="1" x14ac:dyDescent="0.3">
      <c r="A48" s="89"/>
      <c r="B48" s="97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</row>
    <row r="49" spans="1:19" ht="12.75" customHeight="1" x14ac:dyDescent="0.25">
      <c r="B49" s="776" t="s">
        <v>155</v>
      </c>
      <c r="C49" s="774" t="s">
        <v>132</v>
      </c>
      <c r="D49" s="221" t="s">
        <v>70</v>
      </c>
      <c r="E49" s="222">
        <f>E20+E6-K6</f>
        <v>36630928.670000002</v>
      </c>
      <c r="F49" s="222">
        <f>F6</f>
        <v>3094803.85</v>
      </c>
      <c r="G49" s="222">
        <f t="shared" ref="G49:S49" si="1">G6</f>
        <v>1682852.22</v>
      </c>
      <c r="H49" s="222">
        <f t="shared" si="1"/>
        <v>530709.35</v>
      </c>
      <c r="I49" s="222">
        <f t="shared" si="1"/>
        <v>14660842.85</v>
      </c>
      <c r="J49" s="222">
        <f t="shared" si="1"/>
        <v>506523.82</v>
      </c>
      <c r="K49" s="222">
        <f t="shared" si="1"/>
        <v>0</v>
      </c>
      <c r="L49" s="222">
        <f t="shared" si="1"/>
        <v>5082003.93</v>
      </c>
      <c r="M49" s="222">
        <f t="shared" si="1"/>
        <v>4157997.24</v>
      </c>
      <c r="N49" s="222">
        <f t="shared" si="1"/>
        <v>16970202.82</v>
      </c>
      <c r="O49" s="222">
        <f t="shared" si="1"/>
        <v>8431297.9900000002</v>
      </c>
      <c r="P49" s="222">
        <f t="shared" si="1"/>
        <v>720745.13</v>
      </c>
      <c r="Q49" s="222">
        <f t="shared" si="1"/>
        <v>-37.01</v>
      </c>
      <c r="R49" s="222">
        <f t="shared" si="1"/>
        <v>0</v>
      </c>
      <c r="S49" s="222">
        <f t="shared" si="1"/>
        <v>0</v>
      </c>
    </row>
    <row r="50" spans="1:19" ht="12.75" customHeight="1" x14ac:dyDescent="0.25">
      <c r="B50" s="776"/>
      <c r="C50" s="774"/>
      <c r="D50" s="221" t="s">
        <v>73</v>
      </c>
      <c r="E50" s="222">
        <f>E20</f>
        <v>-19207013.52</v>
      </c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</row>
    <row r="51" spans="1:19" ht="12.75" customHeight="1" x14ac:dyDescent="0.3">
      <c r="A51" s="89"/>
      <c r="B51" s="97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</row>
    <row r="52" spans="1:19" ht="12.75" customHeight="1" x14ac:dyDescent="0.25">
      <c r="B52" s="777" t="s">
        <v>326</v>
      </c>
      <c r="C52" s="774" t="s">
        <v>132</v>
      </c>
      <c r="D52" s="373" t="s">
        <v>70</v>
      </c>
      <c r="E52" s="374">
        <v>0</v>
      </c>
      <c r="F52" s="374">
        <v>0</v>
      </c>
      <c r="G52" s="374">
        <v>0</v>
      </c>
      <c r="H52" s="374">
        <v>0</v>
      </c>
      <c r="I52" s="374">
        <v>0</v>
      </c>
      <c r="J52" s="374">
        <v>0</v>
      </c>
      <c r="K52" s="374">
        <v>0</v>
      </c>
      <c r="L52" s="374">
        <v>0</v>
      </c>
      <c r="M52" s="374">
        <v>0</v>
      </c>
      <c r="N52" s="374">
        <v>0</v>
      </c>
      <c r="O52" s="374">
        <v>0</v>
      </c>
      <c r="P52" s="374">
        <v>0</v>
      </c>
      <c r="Q52" s="374">
        <v>0</v>
      </c>
      <c r="R52" s="374">
        <v>0</v>
      </c>
    </row>
    <row r="53" spans="1:19" ht="12.75" customHeight="1" x14ac:dyDescent="0.25">
      <c r="B53" s="777"/>
      <c r="C53" s="774"/>
      <c r="D53" s="373" t="s">
        <v>73</v>
      </c>
      <c r="E53" s="374">
        <v>0</v>
      </c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</row>
    <row r="54" spans="1:19" ht="12.75" customHeight="1" x14ac:dyDescent="0.3">
      <c r="A54" s="89"/>
      <c r="B54" s="97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</row>
    <row r="55" spans="1:19" ht="12.75" customHeight="1" x14ac:dyDescent="0.25">
      <c r="B55" s="776" t="s">
        <v>119</v>
      </c>
      <c r="C55" s="774" t="s">
        <v>132</v>
      </c>
      <c r="D55" s="101" t="s">
        <v>70</v>
      </c>
      <c r="E55" s="93">
        <f>E16+E27-K16</f>
        <v>30977060.350000001</v>
      </c>
      <c r="F55" s="93">
        <f>F16</f>
        <v>2871379.97</v>
      </c>
      <c r="G55" s="93">
        <f t="shared" ref="G55:S55" si="2">G16</f>
        <v>1594991.86</v>
      </c>
      <c r="H55" s="93">
        <f t="shared" si="2"/>
        <v>834918.62</v>
      </c>
      <c r="I55" s="93">
        <f t="shared" si="2"/>
        <v>3494955.25</v>
      </c>
      <c r="J55" s="93">
        <f t="shared" si="2"/>
        <v>92974.76</v>
      </c>
      <c r="K55" s="93">
        <f t="shared" si="2"/>
        <v>1030668</v>
      </c>
      <c r="L55" s="93">
        <f t="shared" si="2"/>
        <v>999146.77</v>
      </c>
      <c r="M55" s="93">
        <f t="shared" si="2"/>
        <v>1126463.3500000001</v>
      </c>
      <c r="N55" s="93">
        <f t="shared" si="2"/>
        <v>4522706.04</v>
      </c>
      <c r="O55" s="93">
        <f t="shared" si="2"/>
        <v>8313556.6100000003</v>
      </c>
      <c r="P55" s="93">
        <f t="shared" si="2"/>
        <v>143441.39000000001</v>
      </c>
      <c r="Q55" s="93">
        <f t="shared" si="2"/>
        <v>-29.68</v>
      </c>
      <c r="R55" s="93">
        <f t="shared" si="2"/>
        <v>0</v>
      </c>
      <c r="S55" s="93">
        <f t="shared" si="2"/>
        <v>0</v>
      </c>
    </row>
    <row r="56" spans="1:19" ht="12.75" customHeight="1" x14ac:dyDescent="0.25">
      <c r="B56" s="776"/>
      <c r="C56" s="774"/>
      <c r="D56" s="101" t="s">
        <v>73</v>
      </c>
      <c r="E56" s="93">
        <f>E27</f>
        <v>6982555.4100000001</v>
      </c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</row>
    <row r="57" spans="1:19" ht="12.75" customHeight="1" x14ac:dyDescent="0.3">
      <c r="A57" s="89"/>
      <c r="B57" s="97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</row>
    <row r="58" spans="1:19" ht="12.75" customHeight="1" x14ac:dyDescent="0.25">
      <c r="B58" s="775" t="s">
        <v>161</v>
      </c>
      <c r="C58" s="774" t="s">
        <v>132</v>
      </c>
      <c r="D58" s="231" t="s">
        <v>70</v>
      </c>
      <c r="E58" s="232">
        <v>0</v>
      </c>
      <c r="F58" s="232">
        <v>0</v>
      </c>
      <c r="G58" s="232">
        <v>0</v>
      </c>
      <c r="H58" s="232">
        <v>0</v>
      </c>
      <c r="I58" s="232">
        <v>0</v>
      </c>
      <c r="J58" s="232">
        <v>0</v>
      </c>
      <c r="K58" s="232">
        <v>0</v>
      </c>
      <c r="L58" s="232">
        <v>0</v>
      </c>
      <c r="M58" s="232">
        <v>0</v>
      </c>
      <c r="N58" s="232">
        <v>0</v>
      </c>
      <c r="O58" s="232">
        <v>0</v>
      </c>
      <c r="P58" s="232">
        <v>0</v>
      </c>
      <c r="Q58" s="232">
        <v>0</v>
      </c>
      <c r="R58" s="232">
        <v>0</v>
      </c>
      <c r="S58" s="232">
        <v>0</v>
      </c>
    </row>
    <row r="59" spans="1:19" ht="12.75" customHeight="1" x14ac:dyDescent="0.25">
      <c r="B59" s="775"/>
      <c r="C59" s="774"/>
      <c r="D59" s="231" t="s">
        <v>73</v>
      </c>
      <c r="E59" s="232">
        <v>0</v>
      </c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</row>
    <row r="60" spans="1:19" s="238" customFormat="1" x14ac:dyDescent="0.25"/>
    <row r="61" spans="1:19" ht="13" x14ac:dyDescent="0.3">
      <c r="B61" s="97" t="s">
        <v>75</v>
      </c>
    </row>
    <row r="62" spans="1:19" ht="12.75" customHeight="1" x14ac:dyDescent="0.25">
      <c r="E62" s="89" t="s">
        <v>70</v>
      </c>
      <c r="F62" s="89" t="s">
        <v>64</v>
      </c>
      <c r="G62" s="89" t="s">
        <v>65</v>
      </c>
      <c r="H62" s="219" t="s">
        <v>164</v>
      </c>
      <c r="I62" s="89" t="s">
        <v>69</v>
      </c>
      <c r="J62" s="89" t="s">
        <v>68</v>
      </c>
      <c r="K62" s="89" t="s">
        <v>83</v>
      </c>
      <c r="L62" s="89" t="s">
        <v>66</v>
      </c>
      <c r="M62" s="89" t="s">
        <v>63</v>
      </c>
      <c r="N62" s="89" t="s">
        <v>61</v>
      </c>
      <c r="O62" s="89" t="s">
        <v>62</v>
      </c>
      <c r="P62" s="89" t="s">
        <v>67</v>
      </c>
      <c r="Q62" s="89" t="s">
        <v>84</v>
      </c>
      <c r="R62" s="384" t="s">
        <v>225</v>
      </c>
    </row>
    <row r="63" spans="1:19" ht="12.75" customHeight="1" x14ac:dyDescent="0.25">
      <c r="B63" s="142"/>
      <c r="D63" s="89" t="s">
        <v>72</v>
      </c>
      <c r="E63" s="90">
        <v>28225718.140000001</v>
      </c>
      <c r="F63" s="90">
        <v>1523009.46</v>
      </c>
      <c r="G63" s="90">
        <v>856635.8</v>
      </c>
      <c r="H63" s="90">
        <v>368666.94</v>
      </c>
      <c r="I63" s="90">
        <v>7399643.1900000004</v>
      </c>
      <c r="J63" s="90">
        <v>281341.88</v>
      </c>
      <c r="K63" s="90">
        <v>0</v>
      </c>
      <c r="L63" s="90">
        <v>2447043.87</v>
      </c>
      <c r="M63" s="90">
        <v>2235081.81</v>
      </c>
      <c r="N63" s="90">
        <v>9487154.6899999995</v>
      </c>
      <c r="O63" s="90">
        <v>3223970.95</v>
      </c>
      <c r="P63" s="90">
        <v>403174.67</v>
      </c>
      <c r="Q63" s="90">
        <v>-5.12</v>
      </c>
      <c r="R63">
        <v>0</v>
      </c>
    </row>
    <row r="64" spans="1:19" ht="12.75" customHeight="1" x14ac:dyDescent="0.25">
      <c r="B64" s="142"/>
      <c r="D64" s="89" t="s">
        <v>81</v>
      </c>
      <c r="E64" s="90">
        <v>29203.02</v>
      </c>
      <c r="F64" s="90">
        <v>2472.94</v>
      </c>
      <c r="G64" s="90">
        <v>1390.25</v>
      </c>
      <c r="H64" s="90">
        <v>736.34</v>
      </c>
      <c r="I64" s="90">
        <v>6081.52</v>
      </c>
      <c r="J64" s="90">
        <v>220.48</v>
      </c>
      <c r="K64" s="90">
        <v>0</v>
      </c>
      <c r="L64" s="90">
        <v>1927.94</v>
      </c>
      <c r="M64" s="90">
        <v>1958.92</v>
      </c>
      <c r="N64" s="90">
        <v>9161.85</v>
      </c>
      <c r="O64" s="90">
        <v>4893.03</v>
      </c>
      <c r="P64" s="90">
        <v>359.83</v>
      </c>
      <c r="Q64" s="90">
        <v>-0.08</v>
      </c>
      <c r="R64">
        <v>0</v>
      </c>
    </row>
    <row r="65" spans="2:18" ht="12.75" customHeight="1" x14ac:dyDescent="0.25">
      <c r="B65" s="142"/>
      <c r="C65" t="s">
        <v>156</v>
      </c>
      <c r="D65" s="89" t="s">
        <v>70</v>
      </c>
      <c r="E65" s="371">
        <v>28254921.16</v>
      </c>
      <c r="F65" s="90">
        <v>1525482.4</v>
      </c>
      <c r="G65" s="90">
        <v>858026.05</v>
      </c>
      <c r="H65" s="90">
        <v>369403.28</v>
      </c>
      <c r="I65" s="90">
        <v>7405724.71</v>
      </c>
      <c r="J65" s="90">
        <v>281562.36</v>
      </c>
      <c r="K65" s="90">
        <v>0</v>
      </c>
      <c r="L65" s="90">
        <v>2448971.81</v>
      </c>
      <c r="M65" s="90">
        <v>2237040.73</v>
      </c>
      <c r="N65" s="90">
        <v>9496316.5399999991</v>
      </c>
      <c r="O65" s="90">
        <v>3228863.98</v>
      </c>
      <c r="P65" s="90">
        <v>403534.5</v>
      </c>
      <c r="Q65" s="90">
        <v>-5.2</v>
      </c>
      <c r="R65">
        <v>0</v>
      </c>
    </row>
    <row r="66" spans="2:18" s="286" customFormat="1" ht="12.75" customHeight="1" x14ac:dyDescent="0.25">
      <c r="B66" s="751" t="s">
        <v>155</v>
      </c>
      <c r="C66" s="286" t="s">
        <v>70</v>
      </c>
      <c r="D66" s="229"/>
      <c r="E66" s="752">
        <v>28254921.16</v>
      </c>
      <c r="F66" s="230">
        <v>1525482.4</v>
      </c>
      <c r="G66" s="230">
        <v>858026.05</v>
      </c>
      <c r="H66" s="230">
        <v>369403.28</v>
      </c>
      <c r="I66" s="230">
        <v>7405724.71</v>
      </c>
      <c r="J66" s="230">
        <v>281562.36</v>
      </c>
      <c r="K66" s="230">
        <v>0</v>
      </c>
      <c r="L66" s="230">
        <v>2448971.81</v>
      </c>
      <c r="M66" s="230">
        <v>2237040.73</v>
      </c>
      <c r="N66" s="230">
        <v>9496316.5399999991</v>
      </c>
      <c r="O66" s="230">
        <v>3228863.98</v>
      </c>
      <c r="P66" s="230">
        <v>403534.5</v>
      </c>
      <c r="Q66" s="230">
        <v>-5.2</v>
      </c>
      <c r="R66" s="286">
        <v>0</v>
      </c>
    </row>
    <row r="67" spans="2:18" ht="12.65" customHeight="1" x14ac:dyDescent="0.25">
      <c r="B67" s="142"/>
      <c r="D67" s="89" t="s">
        <v>72</v>
      </c>
      <c r="E67" s="371">
        <v>4760792.88</v>
      </c>
      <c r="F67" s="90">
        <v>288724.81</v>
      </c>
      <c r="G67" s="90">
        <v>147272.85</v>
      </c>
      <c r="H67" s="90">
        <v>68470.77</v>
      </c>
      <c r="I67" s="90">
        <v>1185854.17</v>
      </c>
      <c r="J67" s="90">
        <v>38000.33</v>
      </c>
      <c r="K67" s="90">
        <v>0</v>
      </c>
      <c r="L67" s="90">
        <v>338950.86</v>
      </c>
      <c r="M67" s="90">
        <v>397158.13</v>
      </c>
      <c r="N67" s="90">
        <v>1672085.87</v>
      </c>
      <c r="O67" s="90">
        <v>564784.72</v>
      </c>
      <c r="P67" s="90">
        <v>59478.02</v>
      </c>
      <c r="Q67" s="90">
        <v>12.35</v>
      </c>
      <c r="R67">
        <v>0</v>
      </c>
    </row>
    <row r="68" spans="2:18" ht="12.75" customHeight="1" x14ac:dyDescent="0.25">
      <c r="B68" s="142"/>
      <c r="D68" s="89" t="s">
        <v>81</v>
      </c>
      <c r="E68" s="371">
        <v>1273.8499999999999</v>
      </c>
      <c r="F68" s="90">
        <v>57.57</v>
      </c>
      <c r="G68" s="90">
        <v>31.73</v>
      </c>
      <c r="H68" s="90">
        <v>17.29</v>
      </c>
      <c r="I68" s="90">
        <v>328.43</v>
      </c>
      <c r="J68" s="90">
        <v>10.77</v>
      </c>
      <c r="K68" s="90">
        <v>0</v>
      </c>
      <c r="L68" s="90">
        <v>94.4</v>
      </c>
      <c r="M68" s="90">
        <v>105.7</v>
      </c>
      <c r="N68" s="90">
        <v>489.16</v>
      </c>
      <c r="O68" s="90">
        <v>121.19</v>
      </c>
      <c r="P68" s="90">
        <v>17.54</v>
      </c>
      <c r="Q68" s="90">
        <v>7.0000000000000007E-2</v>
      </c>
      <c r="R68">
        <v>0</v>
      </c>
    </row>
    <row r="69" spans="2:18" ht="12.75" customHeight="1" x14ac:dyDescent="0.25">
      <c r="B69" s="142"/>
      <c r="C69" t="s">
        <v>115</v>
      </c>
      <c r="D69" s="89" t="s">
        <v>70</v>
      </c>
      <c r="E69" s="90">
        <v>4762066.7300000004</v>
      </c>
      <c r="F69" s="90">
        <v>288782.38</v>
      </c>
      <c r="G69" s="90">
        <v>147304.57999999999</v>
      </c>
      <c r="H69" s="90">
        <v>68488.06</v>
      </c>
      <c r="I69" s="90">
        <v>1186182.6000000001</v>
      </c>
      <c r="J69" s="90">
        <v>38011.1</v>
      </c>
      <c r="K69" s="90">
        <v>0</v>
      </c>
      <c r="L69" s="90">
        <v>339045.26</v>
      </c>
      <c r="M69" s="90">
        <v>397263.83</v>
      </c>
      <c r="N69" s="90">
        <v>1672575.03</v>
      </c>
      <c r="O69" s="90">
        <v>564905.91</v>
      </c>
      <c r="P69" s="90">
        <v>59495.56</v>
      </c>
      <c r="Q69" s="90">
        <v>12.42</v>
      </c>
      <c r="R69">
        <v>0</v>
      </c>
    </row>
    <row r="70" spans="2:18" ht="12.75" customHeight="1" x14ac:dyDescent="0.25">
      <c r="B70" s="142"/>
      <c r="C70" s="89"/>
      <c r="D70" s="89" t="s">
        <v>72</v>
      </c>
      <c r="E70" s="371">
        <v>1297078.8700000001</v>
      </c>
      <c r="F70" s="90">
        <v>82842.16</v>
      </c>
      <c r="G70" s="90">
        <v>44279.79</v>
      </c>
      <c r="H70" s="90">
        <v>17659.150000000001</v>
      </c>
      <c r="I70" s="90">
        <v>374931.03</v>
      </c>
      <c r="J70" s="90">
        <v>10152.120000000001</v>
      </c>
      <c r="K70" s="90">
        <v>0</v>
      </c>
      <c r="L70" s="90">
        <v>101140.81</v>
      </c>
      <c r="M70" s="90">
        <v>102043.75</v>
      </c>
      <c r="N70" s="90">
        <v>389699.31</v>
      </c>
      <c r="O70" s="90">
        <v>162492.81</v>
      </c>
      <c r="P70" s="90">
        <v>11838.7</v>
      </c>
      <c r="Q70" s="90">
        <v>-0.76</v>
      </c>
      <c r="R70">
        <v>0</v>
      </c>
    </row>
    <row r="71" spans="2:18" ht="12.75" customHeight="1" x14ac:dyDescent="0.25">
      <c r="B71" s="142"/>
      <c r="C71" s="89" t="s">
        <v>116</v>
      </c>
      <c r="D71" s="89" t="s">
        <v>70</v>
      </c>
      <c r="E71" s="371">
        <v>1297078.8700000001</v>
      </c>
      <c r="F71" s="90">
        <v>82842.16</v>
      </c>
      <c r="G71" s="90">
        <v>44279.79</v>
      </c>
      <c r="H71" s="90">
        <v>17659.150000000001</v>
      </c>
      <c r="I71" s="90">
        <v>374931.03</v>
      </c>
      <c r="J71" s="90">
        <v>10152.120000000001</v>
      </c>
      <c r="K71" s="90">
        <v>0</v>
      </c>
      <c r="L71" s="90">
        <v>101140.81</v>
      </c>
      <c r="M71" s="90">
        <v>102043.75</v>
      </c>
      <c r="N71" s="90">
        <v>389699.31</v>
      </c>
      <c r="O71" s="90">
        <v>162492.81</v>
      </c>
      <c r="P71" s="90">
        <v>11838.7</v>
      </c>
      <c r="Q71" s="90">
        <v>-0.76</v>
      </c>
      <c r="R71">
        <v>0</v>
      </c>
    </row>
    <row r="72" spans="2:18" ht="12.75" customHeight="1" x14ac:dyDescent="0.25">
      <c r="B72" s="142"/>
      <c r="C72" s="89"/>
      <c r="D72" s="89" t="s">
        <v>72</v>
      </c>
      <c r="E72" s="371">
        <v>12436550.33</v>
      </c>
      <c r="F72" s="90">
        <v>747251</v>
      </c>
      <c r="G72" s="90">
        <v>415550.99</v>
      </c>
      <c r="H72" s="90">
        <v>136961.03</v>
      </c>
      <c r="I72" s="90">
        <v>3490640.05</v>
      </c>
      <c r="J72" s="90">
        <v>121618.81</v>
      </c>
      <c r="K72" s="90">
        <v>0</v>
      </c>
      <c r="L72" s="90">
        <v>1058162.8899999999</v>
      </c>
      <c r="M72" s="90">
        <v>963885.06</v>
      </c>
      <c r="N72" s="90">
        <v>3891234.42</v>
      </c>
      <c r="O72" s="90">
        <v>1454466.58</v>
      </c>
      <c r="P72" s="90">
        <v>156806.01999999999</v>
      </c>
      <c r="Q72" s="90">
        <v>-26.52</v>
      </c>
      <c r="R72">
        <v>0</v>
      </c>
    </row>
    <row r="73" spans="2:18" ht="12.75" customHeight="1" x14ac:dyDescent="0.25">
      <c r="B73" s="142"/>
      <c r="C73" s="89"/>
      <c r="D73" s="89" t="s">
        <v>81</v>
      </c>
      <c r="E73" s="371">
        <v>1943.21</v>
      </c>
      <c r="F73" s="90">
        <v>127.65</v>
      </c>
      <c r="G73" s="90">
        <v>68.95</v>
      </c>
      <c r="H73" s="90">
        <v>37.92</v>
      </c>
      <c r="I73" s="90">
        <v>491.88</v>
      </c>
      <c r="J73" s="90">
        <v>12.97</v>
      </c>
      <c r="K73" s="90">
        <v>0</v>
      </c>
      <c r="L73" s="90">
        <v>113.86</v>
      </c>
      <c r="M73" s="90">
        <v>145.35</v>
      </c>
      <c r="N73" s="90">
        <v>675.45</v>
      </c>
      <c r="O73" s="90">
        <v>247.87</v>
      </c>
      <c r="P73" s="90">
        <v>21.19</v>
      </c>
      <c r="Q73" s="90">
        <v>0.12</v>
      </c>
      <c r="R73">
        <v>0</v>
      </c>
    </row>
    <row r="74" spans="2:18" ht="12.75" customHeight="1" x14ac:dyDescent="0.25">
      <c r="B74" s="142"/>
      <c r="C74" s="89" t="s">
        <v>118</v>
      </c>
      <c r="D74" s="89" t="s">
        <v>70</v>
      </c>
      <c r="E74" s="371">
        <v>12438493.539999999</v>
      </c>
      <c r="F74" s="90">
        <v>747378.65</v>
      </c>
      <c r="G74" s="90">
        <v>415619.94</v>
      </c>
      <c r="H74" s="90">
        <v>136998.95000000001</v>
      </c>
      <c r="I74" s="90">
        <v>3491131.93</v>
      </c>
      <c r="J74" s="90">
        <v>121631.78</v>
      </c>
      <c r="K74" s="90">
        <v>0</v>
      </c>
      <c r="L74" s="90">
        <v>1058276.75</v>
      </c>
      <c r="M74" s="90">
        <v>964030.41</v>
      </c>
      <c r="N74" s="90">
        <v>3891909.87</v>
      </c>
      <c r="O74" s="90">
        <v>1454714.45</v>
      </c>
      <c r="P74" s="90">
        <v>156827.21</v>
      </c>
      <c r="Q74" s="90">
        <v>-26.4</v>
      </c>
      <c r="R74">
        <v>0</v>
      </c>
    </row>
    <row r="75" spans="2:18" s="224" customFormat="1" ht="12.75" customHeight="1" x14ac:dyDescent="0.25">
      <c r="B75" s="224" t="s">
        <v>120</v>
      </c>
      <c r="C75" s="224" t="s">
        <v>70</v>
      </c>
      <c r="E75" s="224">
        <v>18497639.140000001</v>
      </c>
      <c r="F75" s="224">
        <v>1119003.19</v>
      </c>
      <c r="G75" s="224">
        <v>607204.31000000006</v>
      </c>
      <c r="H75" s="224">
        <v>223146.16</v>
      </c>
      <c r="I75" s="224">
        <v>5052245.5599999996</v>
      </c>
      <c r="J75" s="224">
        <v>169795</v>
      </c>
      <c r="K75" s="224">
        <v>0</v>
      </c>
      <c r="L75" s="224">
        <v>1498462.82</v>
      </c>
      <c r="M75" s="224">
        <v>1463337.99</v>
      </c>
      <c r="N75" s="224">
        <v>5954184.21</v>
      </c>
      <c r="O75" s="224">
        <v>2182113.17</v>
      </c>
      <c r="P75" s="224">
        <v>228161.47</v>
      </c>
      <c r="Q75" s="224">
        <v>-14.74</v>
      </c>
      <c r="R75" s="224">
        <v>0</v>
      </c>
    </row>
    <row r="76" spans="2:18" ht="12.75" customHeight="1" x14ac:dyDescent="0.25">
      <c r="D76" t="s">
        <v>72</v>
      </c>
      <c r="E76" s="142">
        <v>11228659.189999999</v>
      </c>
      <c r="F76">
        <v>627548.18999999994</v>
      </c>
      <c r="G76">
        <v>345070.03</v>
      </c>
      <c r="H76">
        <v>150190.6</v>
      </c>
      <c r="I76">
        <v>3094084.63</v>
      </c>
      <c r="J76">
        <v>82036.02</v>
      </c>
      <c r="K76">
        <v>0</v>
      </c>
      <c r="L76">
        <v>744009.01</v>
      </c>
      <c r="M76">
        <v>843104.93</v>
      </c>
      <c r="N76">
        <v>3956025.24</v>
      </c>
      <c r="O76">
        <v>1253497.46</v>
      </c>
      <c r="P76">
        <v>133159.91</v>
      </c>
      <c r="Q76">
        <v>-66.83</v>
      </c>
      <c r="R76">
        <v>0</v>
      </c>
    </row>
    <row r="77" spans="2:18" ht="12.75" customHeight="1" x14ac:dyDescent="0.25">
      <c r="D77" t="s">
        <v>81</v>
      </c>
      <c r="E77" s="142">
        <v>11721.9</v>
      </c>
      <c r="F77">
        <v>1152.27</v>
      </c>
      <c r="G77">
        <v>593.19000000000005</v>
      </c>
      <c r="H77">
        <v>336.21</v>
      </c>
      <c r="I77">
        <v>2440.1</v>
      </c>
      <c r="J77">
        <v>71.239999999999995</v>
      </c>
      <c r="K77">
        <v>0</v>
      </c>
      <c r="L77">
        <v>625.01</v>
      </c>
      <c r="M77">
        <v>723.16</v>
      </c>
      <c r="N77">
        <v>3359.71</v>
      </c>
      <c r="O77">
        <v>2304.85</v>
      </c>
      <c r="P77">
        <v>116.27</v>
      </c>
      <c r="Q77">
        <v>-0.11</v>
      </c>
      <c r="R77">
        <v>0</v>
      </c>
    </row>
    <row r="78" spans="2:18" ht="12.75" customHeight="1" x14ac:dyDescent="0.25">
      <c r="C78" t="s">
        <v>82</v>
      </c>
      <c r="D78" t="s">
        <v>70</v>
      </c>
      <c r="E78" s="142">
        <v>11240381.09</v>
      </c>
      <c r="F78">
        <v>628700.46</v>
      </c>
      <c r="G78">
        <v>345663.22</v>
      </c>
      <c r="H78">
        <v>150526.81</v>
      </c>
      <c r="I78">
        <v>3096524.73</v>
      </c>
      <c r="J78">
        <v>82107.259999999995</v>
      </c>
      <c r="K78">
        <v>0</v>
      </c>
      <c r="L78">
        <v>744634.02</v>
      </c>
      <c r="M78">
        <v>843828.09</v>
      </c>
      <c r="N78">
        <v>3959384.95</v>
      </c>
      <c r="O78">
        <v>1255802.31</v>
      </c>
      <c r="P78">
        <v>133276.18</v>
      </c>
      <c r="Q78">
        <v>-66.94</v>
      </c>
      <c r="R78">
        <v>0</v>
      </c>
    </row>
    <row r="79" spans="2:18" ht="12.75" customHeight="1" x14ac:dyDescent="0.25">
      <c r="D79" t="s">
        <v>72</v>
      </c>
      <c r="E79" s="142">
        <v>41530970.549999997</v>
      </c>
      <c r="F79">
        <v>3446223.9</v>
      </c>
      <c r="G79">
        <v>1837407</v>
      </c>
      <c r="H79">
        <v>839836.39</v>
      </c>
      <c r="I79">
        <v>10048658.09</v>
      </c>
      <c r="J79">
        <v>294477.08</v>
      </c>
      <c r="K79">
        <v>0</v>
      </c>
      <c r="L79">
        <v>2560741.0699999998</v>
      </c>
      <c r="M79">
        <v>2844892.45</v>
      </c>
      <c r="N79">
        <v>12464432.92</v>
      </c>
      <c r="O79">
        <v>6734618.4199999999</v>
      </c>
      <c r="P79">
        <v>459737.13</v>
      </c>
      <c r="Q79">
        <v>-53.9</v>
      </c>
      <c r="R79">
        <v>0</v>
      </c>
    </row>
    <row r="80" spans="2:18" ht="12.75" customHeight="1" x14ac:dyDescent="0.25">
      <c r="D80" t="s">
        <v>81</v>
      </c>
      <c r="E80" s="142">
        <v>838272.78</v>
      </c>
      <c r="F80">
        <v>158907.47</v>
      </c>
      <c r="G80">
        <v>77095.070000000007</v>
      </c>
      <c r="H80">
        <v>35087.199999999997</v>
      </c>
      <c r="I80">
        <v>85486.28</v>
      </c>
      <c r="J80">
        <v>2763.9</v>
      </c>
      <c r="K80">
        <v>0</v>
      </c>
      <c r="L80">
        <v>24264.38</v>
      </c>
      <c r="M80">
        <v>29986.1</v>
      </c>
      <c r="N80">
        <v>110461.52</v>
      </c>
      <c r="O80">
        <v>309708.84000000003</v>
      </c>
      <c r="P80">
        <v>4508.8500000000004</v>
      </c>
      <c r="Q80">
        <v>3.17</v>
      </c>
      <c r="R80">
        <v>0</v>
      </c>
    </row>
    <row r="81" spans="1:18" ht="12.75" customHeight="1" x14ac:dyDescent="0.25">
      <c r="C81" t="s">
        <v>86</v>
      </c>
      <c r="D81" t="s">
        <v>70</v>
      </c>
      <c r="E81">
        <v>42369243.329999998</v>
      </c>
      <c r="F81">
        <v>3605131.37</v>
      </c>
      <c r="G81">
        <v>1914502.07</v>
      </c>
      <c r="H81">
        <v>874923.59</v>
      </c>
      <c r="I81">
        <v>10134144.369999999</v>
      </c>
      <c r="J81">
        <v>297240.98</v>
      </c>
      <c r="K81">
        <v>0</v>
      </c>
      <c r="L81">
        <v>2585005.4500000002</v>
      </c>
      <c r="M81">
        <v>2874878.55</v>
      </c>
      <c r="N81">
        <v>12574894.439999999</v>
      </c>
      <c r="O81">
        <v>7044327.2599999998</v>
      </c>
      <c r="P81">
        <v>464245.98</v>
      </c>
      <c r="Q81">
        <v>-50.73</v>
      </c>
      <c r="R81">
        <v>0</v>
      </c>
    </row>
    <row r="82" spans="1:18" ht="12.75" customHeight="1" x14ac:dyDescent="0.25">
      <c r="D82" t="s">
        <v>72</v>
      </c>
      <c r="E82">
        <v>70333717</v>
      </c>
      <c r="F82">
        <v>14300185.77</v>
      </c>
      <c r="G82">
        <v>7461392.8300000001</v>
      </c>
      <c r="H82">
        <v>3919492.24</v>
      </c>
      <c r="I82">
        <v>4692682.5</v>
      </c>
      <c r="J82">
        <v>110418.13</v>
      </c>
      <c r="K82">
        <v>219000</v>
      </c>
      <c r="L82">
        <v>937656.42</v>
      </c>
      <c r="M82">
        <v>1233594.21</v>
      </c>
      <c r="N82">
        <v>5715904.7300000004</v>
      </c>
      <c r="O82">
        <v>31568840.210000001</v>
      </c>
      <c r="P82">
        <v>174575.03</v>
      </c>
      <c r="Q82">
        <v>-25.07</v>
      </c>
      <c r="R82">
        <v>0</v>
      </c>
    </row>
    <row r="83" spans="1:18" ht="12.75" customHeight="1" x14ac:dyDescent="0.25">
      <c r="D83" t="s">
        <v>81</v>
      </c>
      <c r="E83" s="142">
        <v>2597.8200000000002</v>
      </c>
      <c r="F83">
        <v>534.71</v>
      </c>
      <c r="G83">
        <v>300.32</v>
      </c>
      <c r="H83">
        <v>158.46</v>
      </c>
      <c r="I83">
        <v>184.7</v>
      </c>
      <c r="J83">
        <v>5.14</v>
      </c>
      <c r="K83">
        <v>0</v>
      </c>
      <c r="L83">
        <v>45.12</v>
      </c>
      <c r="M83">
        <v>52.17</v>
      </c>
      <c r="N83">
        <v>247.23</v>
      </c>
      <c r="O83">
        <v>1061.5999999999999</v>
      </c>
      <c r="P83">
        <v>8.3800000000000008</v>
      </c>
      <c r="Q83">
        <v>-0.01</v>
      </c>
      <c r="R83">
        <v>0</v>
      </c>
    </row>
    <row r="84" spans="1:18" ht="12.75" customHeight="1" x14ac:dyDescent="0.25">
      <c r="C84" s="89" t="s">
        <v>87</v>
      </c>
      <c r="D84" s="89" t="s">
        <v>70</v>
      </c>
      <c r="E84" s="90">
        <v>70336314.819999993</v>
      </c>
      <c r="F84" s="90">
        <v>14300720.48</v>
      </c>
      <c r="G84" s="90">
        <v>7461693.1500000004</v>
      </c>
      <c r="H84" s="90">
        <v>3919650.7</v>
      </c>
      <c r="I84" s="90">
        <v>4692867.2</v>
      </c>
      <c r="J84" s="90">
        <v>110423.27</v>
      </c>
      <c r="K84" s="90">
        <v>219000</v>
      </c>
      <c r="L84" s="90">
        <v>937701.54</v>
      </c>
      <c r="M84" s="90">
        <v>1233646.3799999999</v>
      </c>
      <c r="N84" s="90">
        <v>5716151.96</v>
      </c>
      <c r="O84" s="90">
        <v>31569901.809999999</v>
      </c>
      <c r="P84" s="90">
        <v>174583.41</v>
      </c>
      <c r="Q84" s="90">
        <v>-25.08</v>
      </c>
      <c r="R84">
        <v>0</v>
      </c>
    </row>
    <row r="85" spans="1:18" s="94" customFormat="1" ht="12.75" customHeight="1" x14ac:dyDescent="0.25">
      <c r="B85" s="94" t="s">
        <v>119</v>
      </c>
      <c r="C85" s="101" t="s">
        <v>70</v>
      </c>
      <c r="D85" s="101"/>
      <c r="E85" s="93">
        <v>123945939.23999999</v>
      </c>
      <c r="F85" s="93">
        <v>18534552.309999999</v>
      </c>
      <c r="G85" s="93">
        <v>9721858.4399999995</v>
      </c>
      <c r="H85" s="93">
        <v>4945101.0999999996</v>
      </c>
      <c r="I85" s="93">
        <v>17923536.300000001</v>
      </c>
      <c r="J85" s="93">
        <v>489771.51</v>
      </c>
      <c r="K85" s="93">
        <v>219000</v>
      </c>
      <c r="L85" s="93">
        <v>4267341.01</v>
      </c>
      <c r="M85" s="93">
        <v>4952353.0199999996</v>
      </c>
      <c r="N85" s="93">
        <v>22250431.350000001</v>
      </c>
      <c r="O85" s="93">
        <v>39870031.380000003</v>
      </c>
      <c r="P85" s="93">
        <v>772105.57</v>
      </c>
      <c r="Q85" s="93">
        <v>-142.75</v>
      </c>
      <c r="R85" s="94">
        <v>0</v>
      </c>
    </row>
    <row r="86" spans="1:18" s="226" customFormat="1" ht="12.75" customHeight="1" x14ac:dyDescent="0.25">
      <c r="A86" s="98" t="s">
        <v>78</v>
      </c>
      <c r="B86" s="98" t="s">
        <v>70</v>
      </c>
      <c r="E86" s="100">
        <v>170698499.53999999</v>
      </c>
      <c r="F86" s="100">
        <v>21179037.899999999</v>
      </c>
      <c r="G86" s="100">
        <v>11187088.800000001</v>
      </c>
      <c r="H86" s="100">
        <v>5537650.54</v>
      </c>
      <c r="I86" s="100">
        <v>30381506.57</v>
      </c>
      <c r="J86" s="100">
        <v>941128.87</v>
      </c>
      <c r="K86" s="100">
        <v>219000</v>
      </c>
      <c r="L86" s="100">
        <v>8214775.6399999997</v>
      </c>
      <c r="M86" s="100">
        <v>8652731.7400000002</v>
      </c>
      <c r="N86" s="100">
        <v>37700932.100000001</v>
      </c>
      <c r="O86" s="100">
        <v>45281008.530000001</v>
      </c>
      <c r="P86" s="100">
        <v>1403801.54</v>
      </c>
      <c r="Q86" s="100">
        <v>-162.69</v>
      </c>
      <c r="R86" s="226">
        <v>0</v>
      </c>
    </row>
    <row r="87" spans="1:18" ht="12.75" customHeight="1" x14ac:dyDescent="0.25">
      <c r="C87" s="89"/>
      <c r="D87" s="89" t="s">
        <v>73</v>
      </c>
      <c r="E87" s="90">
        <v>-7717840.6500000004</v>
      </c>
      <c r="F87" s="90">
        <v>-223244.82</v>
      </c>
      <c r="G87" s="90">
        <v>-129355.59</v>
      </c>
      <c r="H87" s="90">
        <v>-75143.33</v>
      </c>
      <c r="I87" s="90">
        <v>-2015008.83</v>
      </c>
      <c r="J87" s="90">
        <v>-82434.13</v>
      </c>
      <c r="K87" s="90">
        <v>0</v>
      </c>
      <c r="L87" s="90">
        <v>-715732.9</v>
      </c>
      <c r="M87" s="90">
        <v>-685682.04</v>
      </c>
      <c r="N87" s="90">
        <v>-3229430.68</v>
      </c>
      <c r="O87" s="90">
        <v>-428639.54</v>
      </c>
      <c r="P87" s="90">
        <v>-133168.79</v>
      </c>
      <c r="Q87" s="90">
        <v>0</v>
      </c>
      <c r="R87">
        <v>0</v>
      </c>
    </row>
    <row r="88" spans="1:18" ht="12.75" customHeight="1" x14ac:dyDescent="0.25">
      <c r="C88" s="89" t="s">
        <v>156</v>
      </c>
      <c r="D88" s="89" t="s">
        <v>70</v>
      </c>
      <c r="E88" s="371">
        <v>-7717840.6500000004</v>
      </c>
      <c r="F88" s="90">
        <v>-223244.82</v>
      </c>
      <c r="G88" s="90">
        <v>-129355.59</v>
      </c>
      <c r="H88" s="90">
        <v>-75143.33</v>
      </c>
      <c r="I88" s="90">
        <v>-2015008.83</v>
      </c>
      <c r="J88" s="90">
        <v>-82434.13</v>
      </c>
      <c r="K88" s="90">
        <v>0</v>
      </c>
      <c r="L88" s="90">
        <v>-715732.9</v>
      </c>
      <c r="M88" s="90">
        <v>-685682.04</v>
      </c>
      <c r="N88" s="90">
        <v>-3229430.68</v>
      </c>
      <c r="O88" s="90">
        <v>-428639.54</v>
      </c>
      <c r="P88" s="90">
        <v>-133168.79</v>
      </c>
      <c r="Q88" s="90">
        <v>0</v>
      </c>
      <c r="R88">
        <v>0</v>
      </c>
    </row>
    <row r="89" spans="1:18" s="286" customFormat="1" ht="12.75" customHeight="1" x14ac:dyDescent="0.25">
      <c r="B89" s="286" t="s">
        <v>155</v>
      </c>
      <c r="C89" s="229" t="s">
        <v>70</v>
      </c>
      <c r="D89" s="229"/>
      <c r="E89" s="752">
        <v>-7717840.6500000004</v>
      </c>
      <c r="F89" s="230">
        <v>-223244.82</v>
      </c>
      <c r="G89" s="230">
        <v>-129355.59</v>
      </c>
      <c r="H89" s="230">
        <v>-75143.33</v>
      </c>
      <c r="I89" s="230">
        <v>-2015008.83</v>
      </c>
      <c r="J89" s="230">
        <v>-82434.13</v>
      </c>
      <c r="K89" s="230">
        <v>0</v>
      </c>
      <c r="L89" s="230">
        <v>-715732.9</v>
      </c>
      <c r="M89" s="230">
        <v>-685682.04</v>
      </c>
      <c r="N89" s="230">
        <v>-3229430.68</v>
      </c>
      <c r="O89" s="230">
        <v>-428639.54</v>
      </c>
      <c r="P89" s="230">
        <v>-133168.79</v>
      </c>
      <c r="Q89" s="230">
        <v>0</v>
      </c>
      <c r="R89" s="286">
        <v>0</v>
      </c>
    </row>
    <row r="90" spans="1:18" ht="12.75" customHeight="1" x14ac:dyDescent="0.25">
      <c r="C90" s="89"/>
      <c r="D90" s="89" t="s">
        <v>73</v>
      </c>
      <c r="E90" s="371">
        <v>-1727591.77</v>
      </c>
      <c r="F90" s="90">
        <v>-66699.009999999995</v>
      </c>
      <c r="G90" s="90">
        <v>-37718.199999999997</v>
      </c>
      <c r="H90" s="90">
        <v>-21366.1</v>
      </c>
      <c r="I90" s="90">
        <v>-470847.92</v>
      </c>
      <c r="J90" s="90">
        <v>-14108.12</v>
      </c>
      <c r="K90" s="90">
        <v>0</v>
      </c>
      <c r="L90" s="90">
        <v>-121593.44</v>
      </c>
      <c r="M90" s="90">
        <v>-145997.1</v>
      </c>
      <c r="N90" s="90">
        <v>-696216.07</v>
      </c>
      <c r="O90" s="90">
        <v>-130027.11</v>
      </c>
      <c r="P90" s="90">
        <v>-23018.7</v>
      </c>
      <c r="Q90" s="90">
        <v>0</v>
      </c>
      <c r="R90">
        <v>0</v>
      </c>
    </row>
    <row r="91" spans="1:18" ht="12.75" customHeight="1" x14ac:dyDescent="0.25">
      <c r="C91" s="89" t="s">
        <v>115</v>
      </c>
      <c r="D91" s="89" t="s">
        <v>70</v>
      </c>
      <c r="E91" s="90">
        <v>-1727591.77</v>
      </c>
      <c r="F91" s="90">
        <v>-66699.009999999995</v>
      </c>
      <c r="G91" s="90">
        <v>-37718.199999999997</v>
      </c>
      <c r="H91" s="90">
        <v>-21366.1</v>
      </c>
      <c r="I91" s="90">
        <v>-470847.92</v>
      </c>
      <c r="J91" s="90">
        <v>-14108.12</v>
      </c>
      <c r="K91" s="90">
        <v>0</v>
      </c>
      <c r="L91" s="90">
        <v>-121593.44</v>
      </c>
      <c r="M91" s="90">
        <v>-145997.1</v>
      </c>
      <c r="N91" s="90">
        <v>-696216.07</v>
      </c>
      <c r="O91" s="90">
        <v>-130027.11</v>
      </c>
      <c r="P91" s="90">
        <v>-23018.7</v>
      </c>
      <c r="Q91" s="90">
        <v>0</v>
      </c>
      <c r="R91">
        <v>0</v>
      </c>
    </row>
    <row r="92" spans="1:18" ht="12.75" customHeight="1" x14ac:dyDescent="0.25">
      <c r="C92" s="89"/>
      <c r="D92" s="89" t="s">
        <v>73</v>
      </c>
      <c r="E92" s="371">
        <v>-451067.07</v>
      </c>
      <c r="F92" s="90">
        <v>-14827.04</v>
      </c>
      <c r="G92" s="90">
        <v>-8309.25</v>
      </c>
      <c r="H92" s="90">
        <v>-5522</v>
      </c>
      <c r="I92" s="90">
        <v>-130344.19</v>
      </c>
      <c r="J92" s="90">
        <v>-3806.48</v>
      </c>
      <c r="K92" s="90">
        <v>0</v>
      </c>
      <c r="L92" s="90">
        <v>-33390.01</v>
      </c>
      <c r="M92" s="90">
        <v>-38655.21</v>
      </c>
      <c r="N92" s="90">
        <v>-181383.9</v>
      </c>
      <c r="O92" s="90">
        <v>-28618.400000000001</v>
      </c>
      <c r="P92" s="90">
        <v>-6210.59</v>
      </c>
      <c r="Q92" s="90">
        <v>0</v>
      </c>
      <c r="R92">
        <v>0</v>
      </c>
    </row>
    <row r="93" spans="1:18" ht="12.75" customHeight="1" x14ac:dyDescent="0.25">
      <c r="C93" s="89" t="s">
        <v>116</v>
      </c>
      <c r="D93" s="89" t="s">
        <v>70</v>
      </c>
      <c r="E93" s="90">
        <v>-451067.07</v>
      </c>
      <c r="F93" s="90">
        <v>-14827.04</v>
      </c>
      <c r="G93" s="90">
        <v>-8309.25</v>
      </c>
      <c r="H93" s="90">
        <v>-5522</v>
      </c>
      <c r="I93" s="90">
        <v>-130344.19</v>
      </c>
      <c r="J93" s="90">
        <v>-3806.48</v>
      </c>
      <c r="K93" s="90">
        <v>0</v>
      </c>
      <c r="L93" s="90">
        <v>-33390.01</v>
      </c>
      <c r="M93" s="90">
        <v>-38655.21</v>
      </c>
      <c r="N93" s="90">
        <v>-181383.9</v>
      </c>
      <c r="O93" s="90">
        <v>-28618.400000000001</v>
      </c>
      <c r="P93" s="90">
        <v>-6210.59</v>
      </c>
      <c r="Q93" s="90">
        <v>0</v>
      </c>
      <c r="R93">
        <v>0</v>
      </c>
    </row>
    <row r="94" spans="1:18" ht="12.75" customHeight="1" x14ac:dyDescent="0.25">
      <c r="C94" s="89"/>
      <c r="D94" s="89" t="s">
        <v>73</v>
      </c>
      <c r="E94" s="371">
        <v>-4663033.87</v>
      </c>
      <c r="F94" s="90">
        <v>-168863.63</v>
      </c>
      <c r="G94" s="90">
        <v>-100236.26</v>
      </c>
      <c r="H94" s="90">
        <v>-51045.95</v>
      </c>
      <c r="I94" s="90">
        <v>-1292045.42</v>
      </c>
      <c r="J94" s="90">
        <v>-43838.41</v>
      </c>
      <c r="K94" s="90">
        <v>0</v>
      </c>
      <c r="L94" s="90">
        <v>-384070.02</v>
      </c>
      <c r="M94" s="90">
        <v>-387480.88</v>
      </c>
      <c r="N94" s="90">
        <v>-1833929.85</v>
      </c>
      <c r="O94" s="90">
        <v>-329765.11</v>
      </c>
      <c r="P94" s="90">
        <v>-71758.34</v>
      </c>
      <c r="Q94" s="90">
        <v>0</v>
      </c>
      <c r="R94">
        <v>0</v>
      </c>
    </row>
    <row r="95" spans="1:18" ht="12.75" customHeight="1" x14ac:dyDescent="0.25">
      <c r="C95" s="89" t="s">
        <v>118</v>
      </c>
      <c r="D95" s="89" t="s">
        <v>70</v>
      </c>
      <c r="E95" s="371">
        <v>-4663033.87</v>
      </c>
      <c r="F95" s="90">
        <v>-168863.63</v>
      </c>
      <c r="G95" s="90">
        <v>-100236.26</v>
      </c>
      <c r="H95" s="90">
        <v>-51045.95</v>
      </c>
      <c r="I95" s="90">
        <v>-1292045.42</v>
      </c>
      <c r="J95" s="90">
        <v>-43838.41</v>
      </c>
      <c r="K95" s="90">
        <v>0</v>
      </c>
      <c r="L95" s="90">
        <v>-384070.02</v>
      </c>
      <c r="M95" s="90">
        <v>-387480.88</v>
      </c>
      <c r="N95" s="90">
        <v>-1833929.85</v>
      </c>
      <c r="O95" s="90">
        <v>-329765.11</v>
      </c>
      <c r="P95" s="90">
        <v>-71758.34</v>
      </c>
      <c r="Q95" s="90">
        <v>0</v>
      </c>
      <c r="R95">
        <v>0</v>
      </c>
    </row>
    <row r="96" spans="1:18" s="224" customFormat="1" ht="12.75" customHeight="1" x14ac:dyDescent="0.25">
      <c r="B96" s="223" t="s">
        <v>120</v>
      </c>
      <c r="C96" s="223" t="s">
        <v>70</v>
      </c>
      <c r="E96" s="225">
        <v>-6841692.71</v>
      </c>
      <c r="F96" s="225">
        <v>-250389.68</v>
      </c>
      <c r="G96" s="225">
        <v>-146263.71</v>
      </c>
      <c r="H96" s="225">
        <v>-77934.05</v>
      </c>
      <c r="I96" s="225">
        <v>-1893237.53</v>
      </c>
      <c r="J96" s="225">
        <v>-61753.01</v>
      </c>
      <c r="K96" s="225">
        <v>0</v>
      </c>
      <c r="L96" s="225">
        <v>-539053.47</v>
      </c>
      <c r="M96" s="225">
        <v>-572133.18999999994</v>
      </c>
      <c r="N96" s="225">
        <v>-2711529.82</v>
      </c>
      <c r="O96" s="225">
        <v>-488410.62</v>
      </c>
      <c r="P96" s="225">
        <v>-100987.63</v>
      </c>
      <c r="Q96" s="225">
        <v>0</v>
      </c>
      <c r="R96" s="224">
        <v>0</v>
      </c>
    </row>
    <row r="97" spans="1:19" ht="12.75" customHeight="1" x14ac:dyDescent="0.25">
      <c r="D97" s="89" t="s">
        <v>73</v>
      </c>
      <c r="E97" s="371">
        <v>-2917701.62</v>
      </c>
      <c r="F97" s="90">
        <v>-111832.49</v>
      </c>
      <c r="G97" s="90">
        <v>-64149.93</v>
      </c>
      <c r="H97" s="90">
        <v>-36385.65</v>
      </c>
      <c r="I97" s="90">
        <v>-814075.83</v>
      </c>
      <c r="J97" s="90">
        <v>-23223.91</v>
      </c>
      <c r="K97" s="90">
        <v>0</v>
      </c>
      <c r="L97" s="90">
        <v>-196498.78</v>
      </c>
      <c r="M97" s="90">
        <v>-246815.7</v>
      </c>
      <c r="N97" s="90">
        <v>-1170171.52</v>
      </c>
      <c r="O97" s="90">
        <v>-217199.08</v>
      </c>
      <c r="P97" s="90">
        <v>-37348.730000000003</v>
      </c>
      <c r="Q97" s="90">
        <v>0</v>
      </c>
      <c r="R97">
        <v>0</v>
      </c>
    </row>
    <row r="98" spans="1:19" ht="12.75" customHeight="1" x14ac:dyDescent="0.25">
      <c r="C98" t="s">
        <v>82</v>
      </c>
      <c r="D98" s="89" t="s">
        <v>70</v>
      </c>
      <c r="E98" s="371">
        <v>-2917701.62</v>
      </c>
      <c r="F98" s="90">
        <v>-111832.49</v>
      </c>
      <c r="G98" s="90">
        <v>-64149.93</v>
      </c>
      <c r="H98" s="90">
        <v>-36385.65</v>
      </c>
      <c r="I98" s="90">
        <v>-814075.83</v>
      </c>
      <c r="J98" s="90">
        <v>-23223.91</v>
      </c>
      <c r="K98" s="90">
        <v>0</v>
      </c>
      <c r="L98" s="90">
        <v>-196498.78</v>
      </c>
      <c r="M98" s="90">
        <v>-246815.7</v>
      </c>
      <c r="N98" s="90">
        <v>-1170171.52</v>
      </c>
      <c r="O98" s="90">
        <v>-217199.08</v>
      </c>
      <c r="P98" s="90">
        <v>-37348.730000000003</v>
      </c>
      <c r="Q98" s="90">
        <v>0</v>
      </c>
      <c r="R98">
        <v>0</v>
      </c>
    </row>
    <row r="99" spans="1:19" ht="12.75" customHeight="1" x14ac:dyDescent="0.25">
      <c r="D99" s="89" t="s">
        <v>73</v>
      </c>
      <c r="E99" s="371">
        <v>-8597088.6799999997</v>
      </c>
      <c r="F99" s="90">
        <v>-139068.15</v>
      </c>
      <c r="G99" s="90">
        <v>-98790.42</v>
      </c>
      <c r="H99" s="90">
        <v>-53095.25</v>
      </c>
      <c r="I99" s="90">
        <v>-3452478.18</v>
      </c>
      <c r="J99" s="90">
        <v>-97001.85</v>
      </c>
      <c r="K99" s="90">
        <v>0</v>
      </c>
      <c r="L99" s="90">
        <v>-752144.38</v>
      </c>
      <c r="M99" s="90">
        <v>-919143.38</v>
      </c>
      <c r="N99" s="90">
        <v>-4438605.91</v>
      </c>
      <c r="O99" s="90">
        <v>1510906.9</v>
      </c>
      <c r="P99" s="90">
        <v>-157668.06</v>
      </c>
      <c r="Q99" s="90">
        <v>0</v>
      </c>
      <c r="R99">
        <v>0</v>
      </c>
    </row>
    <row r="100" spans="1:19" ht="12.75" customHeight="1" x14ac:dyDescent="0.25">
      <c r="C100" t="s">
        <v>86</v>
      </c>
      <c r="D100" s="89" t="s">
        <v>70</v>
      </c>
      <c r="E100" s="371">
        <v>-8597088.6799999997</v>
      </c>
      <c r="F100" s="90">
        <v>-139068.15</v>
      </c>
      <c r="G100" s="90">
        <v>-98790.42</v>
      </c>
      <c r="H100" s="90">
        <v>-53095.25</v>
      </c>
      <c r="I100" s="90">
        <v>-3452478.18</v>
      </c>
      <c r="J100" s="90">
        <v>-97001.85</v>
      </c>
      <c r="K100" s="90">
        <v>0</v>
      </c>
      <c r="L100" s="90">
        <v>-752144.38</v>
      </c>
      <c r="M100" s="90">
        <v>-919143.38</v>
      </c>
      <c r="N100" s="90">
        <v>-4438605.91</v>
      </c>
      <c r="O100" s="90">
        <v>1510906.9</v>
      </c>
      <c r="P100" s="90">
        <v>-157668.06</v>
      </c>
      <c r="Q100" s="90">
        <v>0</v>
      </c>
      <c r="R100">
        <v>0</v>
      </c>
    </row>
    <row r="101" spans="1:19" ht="12.75" customHeight="1" x14ac:dyDescent="0.25">
      <c r="D101" s="89" t="s">
        <v>73</v>
      </c>
      <c r="E101" s="371">
        <v>11344979.460000001</v>
      </c>
      <c r="F101" s="90">
        <v>2875482.97</v>
      </c>
      <c r="G101" s="90">
        <v>1478938.93</v>
      </c>
      <c r="H101" s="90">
        <v>732213.35</v>
      </c>
      <c r="I101" s="90">
        <v>194987.48</v>
      </c>
      <c r="J101" s="90">
        <v>4069.58</v>
      </c>
      <c r="K101" s="90">
        <v>0</v>
      </c>
      <c r="L101" s="90">
        <v>44417.39</v>
      </c>
      <c r="M101" s="90">
        <v>56222.39</v>
      </c>
      <c r="N101" s="90">
        <v>242951.8</v>
      </c>
      <c r="O101" s="90">
        <v>5709057.7000000002</v>
      </c>
      <c r="P101" s="90">
        <v>6637.87</v>
      </c>
      <c r="Q101" s="90">
        <v>0</v>
      </c>
      <c r="R101">
        <v>0</v>
      </c>
    </row>
    <row r="102" spans="1:19" ht="12.75" customHeight="1" x14ac:dyDescent="0.25">
      <c r="C102" t="s">
        <v>87</v>
      </c>
      <c r="D102" s="89" t="s">
        <v>70</v>
      </c>
      <c r="E102" s="90">
        <v>11344979.460000001</v>
      </c>
      <c r="F102" s="90">
        <v>2875482.97</v>
      </c>
      <c r="G102" s="90">
        <v>1478938.93</v>
      </c>
      <c r="H102" s="90">
        <v>732213.35</v>
      </c>
      <c r="I102" s="90">
        <v>194987.48</v>
      </c>
      <c r="J102" s="90">
        <v>4069.58</v>
      </c>
      <c r="K102" s="90">
        <v>0</v>
      </c>
      <c r="L102" s="90">
        <v>44417.39</v>
      </c>
      <c r="M102" s="90">
        <v>56222.39</v>
      </c>
      <c r="N102" s="90">
        <v>242951.8</v>
      </c>
      <c r="O102" s="90">
        <v>5709057.7000000002</v>
      </c>
      <c r="P102" s="90">
        <v>6637.87</v>
      </c>
      <c r="Q102" s="90">
        <v>0</v>
      </c>
      <c r="R102">
        <v>0</v>
      </c>
    </row>
    <row r="103" spans="1:19" s="94" customFormat="1" ht="12.75" customHeight="1" x14ac:dyDescent="0.25">
      <c r="B103" s="101" t="s">
        <v>119</v>
      </c>
      <c r="C103" s="101" t="s">
        <v>70</v>
      </c>
      <c r="E103" s="93">
        <v>-169810.84</v>
      </c>
      <c r="F103" s="93">
        <v>2624582.33</v>
      </c>
      <c r="G103" s="93">
        <v>1315998.58</v>
      </c>
      <c r="H103" s="93">
        <v>642732.44999999995</v>
      </c>
      <c r="I103" s="93">
        <v>-4071566.53</v>
      </c>
      <c r="J103" s="93">
        <v>-116156.18</v>
      </c>
      <c r="K103" s="93">
        <v>0</v>
      </c>
      <c r="L103" s="93">
        <v>-904225.77</v>
      </c>
      <c r="M103" s="93">
        <v>-1109736.69</v>
      </c>
      <c r="N103" s="93">
        <v>-5365825.63</v>
      </c>
      <c r="O103" s="93">
        <v>7002765.5199999996</v>
      </c>
      <c r="P103" s="93">
        <v>-188378.92</v>
      </c>
      <c r="Q103" s="93">
        <v>0</v>
      </c>
      <c r="R103" s="94">
        <v>0</v>
      </c>
    </row>
    <row r="104" spans="1:19" s="226" customFormat="1" ht="12.75" customHeight="1" x14ac:dyDescent="0.25">
      <c r="A104" s="98" t="s">
        <v>79</v>
      </c>
      <c r="B104" s="98" t="s">
        <v>70</v>
      </c>
      <c r="E104" s="100">
        <v>-14729344.199999999</v>
      </c>
      <c r="F104" s="100">
        <v>2150947.83</v>
      </c>
      <c r="G104" s="100">
        <v>1040379.28</v>
      </c>
      <c r="H104" s="100">
        <v>489655.07</v>
      </c>
      <c r="I104" s="100">
        <v>-7979812.8899999997</v>
      </c>
      <c r="J104" s="100">
        <v>-260343.32</v>
      </c>
      <c r="K104" s="100">
        <v>0</v>
      </c>
      <c r="L104" s="100">
        <v>-2159012.14</v>
      </c>
      <c r="M104" s="100">
        <v>-2367551.92</v>
      </c>
      <c r="N104" s="100">
        <v>-11306786.130000001</v>
      </c>
      <c r="O104" s="100">
        <v>6085715.3600000003</v>
      </c>
      <c r="P104" s="100">
        <v>-422535.34</v>
      </c>
      <c r="Q104" s="100">
        <v>0</v>
      </c>
      <c r="R104" s="226">
        <v>0</v>
      </c>
    </row>
    <row r="105" spans="1:19" ht="12.75" customHeight="1" x14ac:dyDescent="0.25">
      <c r="A105" s="89" t="s">
        <v>70</v>
      </c>
      <c r="E105" s="90">
        <v>155969155.34</v>
      </c>
      <c r="F105" s="90">
        <v>23329985.73</v>
      </c>
      <c r="G105" s="90">
        <v>12227468.08</v>
      </c>
      <c r="H105" s="90">
        <v>6027305.6100000003</v>
      </c>
      <c r="I105" s="90">
        <v>22401693.68</v>
      </c>
      <c r="J105" s="90">
        <v>680785.55</v>
      </c>
      <c r="K105" s="90">
        <v>219000</v>
      </c>
      <c r="L105" s="90">
        <v>6055763.5</v>
      </c>
      <c r="M105" s="90">
        <v>6285179.8200000003</v>
      </c>
      <c r="N105" s="90">
        <v>26394145.969999999</v>
      </c>
      <c r="O105" s="90">
        <v>51366723.890000001</v>
      </c>
      <c r="P105" s="90">
        <v>981266.2</v>
      </c>
      <c r="Q105" s="90">
        <v>-162.69</v>
      </c>
      <c r="R105">
        <v>0</v>
      </c>
    </row>
    <row r="106" spans="1:19" ht="12.75" customHeight="1" x14ac:dyDescent="0.25">
      <c r="A106" s="89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</row>
    <row r="107" spans="1:19" ht="12.75" hidden="1" customHeight="1" x14ac:dyDescent="0.25">
      <c r="A107" s="89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</row>
    <row r="108" spans="1:19" ht="12.75" hidden="1" customHeight="1" x14ac:dyDescent="0.25">
      <c r="A108" s="89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</row>
    <row r="109" spans="1:19" ht="12.75" hidden="1" customHeight="1" x14ac:dyDescent="0.25">
      <c r="A109" s="89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</row>
    <row r="110" spans="1:19" ht="12.75" hidden="1" customHeight="1" x14ac:dyDescent="0.25">
      <c r="A110" s="89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</row>
    <row r="111" spans="1:19" ht="12.75" hidden="1" customHeight="1" x14ac:dyDescent="0.25">
      <c r="A111" s="89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</row>
    <row r="112" spans="1:19" ht="12.75" hidden="1" customHeight="1" x14ac:dyDescent="0.25">
      <c r="A112" s="89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</row>
    <row r="113" spans="1:19" ht="12.75" hidden="1" customHeight="1" x14ac:dyDescent="0.25">
      <c r="A113" s="89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</row>
    <row r="114" spans="1:19" ht="12.75" hidden="1" customHeight="1" x14ac:dyDescent="0.25">
      <c r="A114" s="89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</row>
    <row r="115" spans="1:19" ht="12.75" hidden="1" customHeight="1" x14ac:dyDescent="0.25">
      <c r="A115" s="89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</row>
    <row r="116" spans="1:19" ht="12.75" hidden="1" customHeight="1" x14ac:dyDescent="0.25">
      <c r="A116" s="89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</row>
    <row r="117" spans="1:19" ht="12.75" hidden="1" customHeight="1" x14ac:dyDescent="0.25">
      <c r="A117" s="89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</row>
    <row r="118" spans="1:19" ht="12.75" hidden="1" customHeight="1" x14ac:dyDescent="0.25">
      <c r="A118" s="89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</row>
    <row r="119" spans="1:19" ht="12.75" hidden="1" customHeight="1" x14ac:dyDescent="0.25">
      <c r="A119" s="89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</row>
    <row r="120" spans="1:19" ht="12.75" hidden="1" customHeight="1" x14ac:dyDescent="0.25">
      <c r="A120" s="89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</row>
    <row r="121" spans="1:19" ht="12.75" hidden="1" customHeight="1" x14ac:dyDescent="0.25">
      <c r="A121" s="89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</row>
    <row r="122" spans="1:19" ht="12.75" hidden="1" customHeight="1" x14ac:dyDescent="0.25">
      <c r="A122" s="89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</row>
    <row r="123" spans="1:19" ht="12.75" hidden="1" customHeight="1" x14ac:dyDescent="0.25">
      <c r="A123" s="89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</row>
    <row r="124" spans="1:19" ht="12.75" hidden="1" customHeight="1" x14ac:dyDescent="0.25">
      <c r="A124" s="89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</row>
    <row r="125" spans="1:19" ht="12.75" hidden="1" customHeight="1" x14ac:dyDescent="0.25">
      <c r="A125" s="89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</row>
    <row r="126" spans="1:19" ht="12.75" hidden="1" customHeight="1" x14ac:dyDescent="0.25">
      <c r="A126" s="89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</row>
    <row r="127" spans="1:19" ht="12.75" hidden="1" customHeight="1" x14ac:dyDescent="0.25">
      <c r="A127" s="89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</row>
    <row r="128" spans="1:19" ht="12.75" hidden="1" customHeight="1" x14ac:dyDescent="0.25">
      <c r="A128" s="89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</row>
    <row r="129" spans="1:19" ht="12.75" hidden="1" customHeight="1" x14ac:dyDescent="0.25">
      <c r="A129" s="89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</row>
    <row r="130" spans="1:19" ht="12.75" hidden="1" customHeight="1" x14ac:dyDescent="0.25">
      <c r="A130" s="89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</row>
    <row r="131" spans="1:19" ht="12.75" hidden="1" customHeight="1" x14ac:dyDescent="0.25">
      <c r="A131" s="89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</row>
    <row r="132" spans="1:19" ht="12.75" hidden="1" customHeight="1" x14ac:dyDescent="0.25">
      <c r="A132" s="89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</row>
    <row r="133" spans="1:19" ht="12.75" hidden="1" customHeight="1" x14ac:dyDescent="0.25">
      <c r="A133" s="89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</row>
    <row r="134" spans="1:19" ht="12.75" hidden="1" customHeight="1" x14ac:dyDescent="0.25">
      <c r="A134" s="89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 spans="1:19" ht="12.75" customHeight="1" x14ac:dyDescent="0.25">
      <c r="A135" s="89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</row>
    <row r="136" spans="1:19" ht="12.75" customHeight="1" x14ac:dyDescent="0.25">
      <c r="B136" s="776" t="s">
        <v>2</v>
      </c>
      <c r="C136" s="774" t="s">
        <v>132</v>
      </c>
      <c r="D136" s="98" t="s">
        <v>70</v>
      </c>
      <c r="E136" s="100">
        <f>E86+E104-K86</f>
        <v>155750155.34</v>
      </c>
      <c r="F136" s="100">
        <f t="shared" ref="F136:R136" si="3">F86</f>
        <v>21179037.899999999</v>
      </c>
      <c r="G136" s="100">
        <f t="shared" si="3"/>
        <v>11187088.800000001</v>
      </c>
      <c r="H136" s="100">
        <f t="shared" si="3"/>
        <v>5537650.54</v>
      </c>
      <c r="I136" s="100">
        <f t="shared" si="3"/>
        <v>30381506.57</v>
      </c>
      <c r="J136" s="100">
        <f t="shared" si="3"/>
        <v>941128.87</v>
      </c>
      <c r="K136" s="100">
        <f t="shared" si="3"/>
        <v>219000</v>
      </c>
      <c r="L136" s="100">
        <f t="shared" si="3"/>
        <v>8214775.6399999997</v>
      </c>
      <c r="M136" s="100">
        <f t="shared" si="3"/>
        <v>8652731.7400000002</v>
      </c>
      <c r="N136" s="100">
        <f t="shared" si="3"/>
        <v>37700932.100000001</v>
      </c>
      <c r="O136" s="100">
        <f t="shared" si="3"/>
        <v>45281008.530000001</v>
      </c>
      <c r="P136" s="100">
        <f t="shared" si="3"/>
        <v>1403801.54</v>
      </c>
      <c r="Q136" s="100">
        <f t="shared" si="3"/>
        <v>-162.69</v>
      </c>
      <c r="R136" s="100">
        <f t="shared" si="3"/>
        <v>0</v>
      </c>
    </row>
    <row r="137" spans="1:19" ht="12.75" customHeight="1" x14ac:dyDescent="0.25">
      <c r="B137" s="776"/>
      <c r="C137" s="774"/>
      <c r="D137" s="98" t="s">
        <v>73</v>
      </c>
      <c r="E137" s="100">
        <f>E104</f>
        <v>-14729344.199999999</v>
      </c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</row>
    <row r="138" spans="1:19" ht="12.75" customHeight="1" x14ac:dyDescent="0.3">
      <c r="A138" s="89"/>
      <c r="B138" s="97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</row>
    <row r="139" spans="1:19" ht="12.75" customHeight="1" x14ac:dyDescent="0.25">
      <c r="B139" s="776" t="s">
        <v>160</v>
      </c>
      <c r="C139" s="774" t="s">
        <v>132</v>
      </c>
      <c r="D139" s="223" t="s">
        <v>70</v>
      </c>
      <c r="E139" s="225">
        <f>E96+E75-K75</f>
        <v>11655946.43</v>
      </c>
      <c r="F139" s="225">
        <f t="shared" ref="F139:R139" si="4">F75</f>
        <v>1119003.19</v>
      </c>
      <c r="G139" s="225">
        <f t="shared" si="4"/>
        <v>607204.31000000006</v>
      </c>
      <c r="H139" s="225">
        <f t="shared" si="4"/>
        <v>223146.16</v>
      </c>
      <c r="I139" s="225">
        <f t="shared" si="4"/>
        <v>5052245.5599999996</v>
      </c>
      <c r="J139" s="225">
        <f t="shared" si="4"/>
        <v>169795</v>
      </c>
      <c r="K139" s="225">
        <f t="shared" si="4"/>
        <v>0</v>
      </c>
      <c r="L139" s="225">
        <f t="shared" si="4"/>
        <v>1498462.82</v>
      </c>
      <c r="M139" s="225">
        <f t="shared" si="4"/>
        <v>1463337.99</v>
      </c>
      <c r="N139" s="225">
        <f t="shared" si="4"/>
        <v>5954184.21</v>
      </c>
      <c r="O139" s="225">
        <f t="shared" si="4"/>
        <v>2182113.17</v>
      </c>
      <c r="P139" s="225">
        <f t="shared" si="4"/>
        <v>228161.47</v>
      </c>
      <c r="Q139" s="225">
        <f t="shared" si="4"/>
        <v>-14.74</v>
      </c>
      <c r="R139" s="225">
        <f t="shared" si="4"/>
        <v>0</v>
      </c>
    </row>
    <row r="140" spans="1:19" ht="12.75" customHeight="1" x14ac:dyDescent="0.25">
      <c r="B140" s="776"/>
      <c r="C140" s="774"/>
      <c r="D140" s="223" t="s">
        <v>73</v>
      </c>
      <c r="E140" s="225">
        <f>E96</f>
        <v>-6841692.71</v>
      </c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</row>
    <row r="141" spans="1:19" ht="12.65" customHeight="1" x14ac:dyDescent="0.3">
      <c r="A141" s="89"/>
      <c r="B141" s="97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</row>
    <row r="142" spans="1:19" ht="12.75" customHeight="1" x14ac:dyDescent="0.25">
      <c r="B142" s="776" t="s">
        <v>155</v>
      </c>
      <c r="C142" s="774" t="s">
        <v>132</v>
      </c>
      <c r="D142" s="221" t="s">
        <v>70</v>
      </c>
      <c r="E142" s="222">
        <f>E89+E66-K66</f>
        <v>20537080.509999998</v>
      </c>
      <c r="F142" s="222">
        <f t="shared" ref="F142:R142" si="5">F66</f>
        <v>1525482.4</v>
      </c>
      <c r="G142" s="222">
        <f t="shared" si="5"/>
        <v>858026.05</v>
      </c>
      <c r="H142" s="222">
        <f t="shared" si="5"/>
        <v>369403.28</v>
      </c>
      <c r="I142" s="222">
        <f t="shared" si="5"/>
        <v>7405724.71</v>
      </c>
      <c r="J142" s="222">
        <f t="shared" si="5"/>
        <v>281562.36</v>
      </c>
      <c r="K142" s="222">
        <f t="shared" si="5"/>
        <v>0</v>
      </c>
      <c r="L142" s="222">
        <f t="shared" si="5"/>
        <v>2448971.81</v>
      </c>
      <c r="M142" s="222">
        <f t="shared" si="5"/>
        <v>2237040.73</v>
      </c>
      <c r="N142" s="222">
        <f t="shared" si="5"/>
        <v>9496316.5399999991</v>
      </c>
      <c r="O142" s="222">
        <f t="shared" si="5"/>
        <v>3228863.98</v>
      </c>
      <c r="P142" s="222">
        <f t="shared" si="5"/>
        <v>403534.5</v>
      </c>
      <c r="Q142" s="222">
        <f t="shared" si="5"/>
        <v>-5.2</v>
      </c>
      <c r="R142" s="222">
        <f t="shared" si="5"/>
        <v>0</v>
      </c>
    </row>
    <row r="143" spans="1:19" ht="12.75" customHeight="1" x14ac:dyDescent="0.25">
      <c r="B143" s="776"/>
      <c r="C143" s="774"/>
      <c r="D143" s="221" t="s">
        <v>73</v>
      </c>
      <c r="E143" s="222">
        <f>E89</f>
        <v>-7717840.6500000004</v>
      </c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</row>
    <row r="144" spans="1:19" ht="12.75" customHeight="1" x14ac:dyDescent="0.3">
      <c r="A144" s="89"/>
      <c r="B144" s="97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</row>
    <row r="145" spans="1:18" ht="12.75" customHeight="1" x14ac:dyDescent="0.25">
      <c r="B145" s="777" t="s">
        <v>326</v>
      </c>
      <c r="C145" s="774" t="s">
        <v>132</v>
      </c>
      <c r="D145" s="373" t="s">
        <v>70</v>
      </c>
      <c r="E145" s="374">
        <v>0</v>
      </c>
      <c r="F145" s="374">
        <v>0</v>
      </c>
      <c r="G145" s="374">
        <v>0</v>
      </c>
      <c r="H145" s="374">
        <v>0</v>
      </c>
      <c r="I145" s="374">
        <v>0</v>
      </c>
      <c r="J145" s="374">
        <v>0</v>
      </c>
      <c r="K145" s="374">
        <v>0</v>
      </c>
      <c r="L145" s="374">
        <v>0</v>
      </c>
      <c r="M145" s="374">
        <v>0</v>
      </c>
      <c r="N145" s="374">
        <v>0</v>
      </c>
      <c r="O145" s="374">
        <v>0</v>
      </c>
      <c r="P145" s="374">
        <v>0</v>
      </c>
      <c r="Q145" s="374">
        <v>0</v>
      </c>
      <c r="R145" s="374">
        <v>0</v>
      </c>
    </row>
    <row r="146" spans="1:18" ht="12.75" customHeight="1" x14ac:dyDescent="0.25">
      <c r="B146" s="777"/>
      <c r="C146" s="774"/>
      <c r="D146" s="373" t="s">
        <v>73</v>
      </c>
      <c r="E146" s="374">
        <v>0</v>
      </c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</row>
    <row r="147" spans="1:18" ht="12.75" customHeight="1" x14ac:dyDescent="0.3">
      <c r="A147" s="89"/>
      <c r="B147" s="97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</row>
    <row r="148" spans="1:18" ht="12.75" customHeight="1" x14ac:dyDescent="0.25">
      <c r="B148" s="776" t="s">
        <v>119</v>
      </c>
      <c r="C148" s="774" t="s">
        <v>132</v>
      </c>
      <c r="D148" s="101" t="s">
        <v>70</v>
      </c>
      <c r="E148" s="93">
        <f>E85+E103-K85</f>
        <v>123557128.39999999</v>
      </c>
      <c r="F148" s="93">
        <f t="shared" ref="F148:R148" si="6">F85</f>
        <v>18534552.309999999</v>
      </c>
      <c r="G148" s="93">
        <f t="shared" si="6"/>
        <v>9721858.4399999995</v>
      </c>
      <c r="H148" s="93">
        <f t="shared" si="6"/>
        <v>4945101.0999999996</v>
      </c>
      <c r="I148" s="93">
        <f t="shared" si="6"/>
        <v>17923536.300000001</v>
      </c>
      <c r="J148" s="93">
        <f t="shared" si="6"/>
        <v>489771.51</v>
      </c>
      <c r="K148" s="93">
        <f t="shared" si="6"/>
        <v>219000</v>
      </c>
      <c r="L148" s="93">
        <f t="shared" si="6"/>
        <v>4267341.01</v>
      </c>
      <c r="M148" s="93">
        <f t="shared" si="6"/>
        <v>4952353.0199999996</v>
      </c>
      <c r="N148" s="93">
        <f t="shared" si="6"/>
        <v>22250431.350000001</v>
      </c>
      <c r="O148" s="93">
        <f t="shared" si="6"/>
        <v>39870031.380000003</v>
      </c>
      <c r="P148" s="93">
        <f t="shared" si="6"/>
        <v>772105.57</v>
      </c>
      <c r="Q148" s="93">
        <f t="shared" si="6"/>
        <v>-142.75</v>
      </c>
      <c r="R148" s="93">
        <f t="shared" si="6"/>
        <v>0</v>
      </c>
    </row>
    <row r="149" spans="1:18" ht="12.75" customHeight="1" x14ac:dyDescent="0.25">
      <c r="B149" s="776"/>
      <c r="C149" s="774"/>
      <c r="D149" s="101" t="s">
        <v>73</v>
      </c>
      <c r="E149" s="93">
        <f>E103</f>
        <v>-169810.84</v>
      </c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</row>
    <row r="150" spans="1:18" ht="12.75" customHeight="1" x14ac:dyDescent="0.3">
      <c r="A150" s="89"/>
      <c r="B150" s="97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</row>
    <row r="151" spans="1:18" ht="12.75" customHeight="1" x14ac:dyDescent="0.25">
      <c r="B151" s="775" t="s">
        <v>161</v>
      </c>
      <c r="C151" s="774" t="s">
        <v>132</v>
      </c>
      <c r="D151" s="231" t="s">
        <v>70</v>
      </c>
      <c r="E151" s="232">
        <v>0</v>
      </c>
      <c r="F151" s="232">
        <v>0</v>
      </c>
      <c r="G151" s="232">
        <v>0</v>
      </c>
      <c r="H151" s="232">
        <v>0</v>
      </c>
      <c r="I151" s="232">
        <v>0</v>
      </c>
      <c r="J151" s="232">
        <v>0</v>
      </c>
      <c r="K151" s="232">
        <v>0</v>
      </c>
      <c r="L151" s="232">
        <v>0</v>
      </c>
      <c r="M151" s="232">
        <v>0</v>
      </c>
      <c r="N151" s="232">
        <v>0</v>
      </c>
      <c r="O151" s="232">
        <v>0</v>
      </c>
      <c r="P151" s="232">
        <v>0</v>
      </c>
      <c r="Q151" s="232">
        <v>0</v>
      </c>
      <c r="R151" s="232">
        <v>0</v>
      </c>
    </row>
    <row r="152" spans="1:18" ht="12.75" customHeight="1" x14ac:dyDescent="0.25">
      <c r="B152" s="775"/>
      <c r="C152" s="774"/>
      <c r="D152" s="231" t="s">
        <v>73</v>
      </c>
      <c r="E152" s="232">
        <v>0</v>
      </c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</row>
    <row r="153" spans="1:18" s="238" customFormat="1" x14ac:dyDescent="0.25"/>
    <row r="154" spans="1:18" ht="13" x14ac:dyDescent="0.3">
      <c r="B154" s="97" t="s">
        <v>76</v>
      </c>
    </row>
    <row r="155" spans="1:18" ht="12.65" customHeight="1" x14ac:dyDescent="0.25">
      <c r="E155" s="89" t="s">
        <v>70</v>
      </c>
      <c r="F155" s="89" t="s">
        <v>64</v>
      </c>
      <c r="G155" s="89" t="s">
        <v>65</v>
      </c>
      <c r="H155" s="219" t="s">
        <v>164</v>
      </c>
      <c r="I155" s="89" t="s">
        <v>69</v>
      </c>
      <c r="J155" s="89" t="s">
        <v>68</v>
      </c>
      <c r="K155" s="89" t="s">
        <v>83</v>
      </c>
      <c r="L155" s="89" t="s">
        <v>66</v>
      </c>
      <c r="M155" s="89" t="s">
        <v>63</v>
      </c>
      <c r="N155" s="89" t="s">
        <v>61</v>
      </c>
      <c r="O155" s="89" t="s">
        <v>62</v>
      </c>
      <c r="P155" s="89" t="s">
        <v>67</v>
      </c>
      <c r="Q155" s="89" t="s">
        <v>84</v>
      </c>
      <c r="R155" s="384" t="s">
        <v>225</v>
      </c>
    </row>
    <row r="156" spans="1:18" ht="12.75" customHeight="1" x14ac:dyDescent="0.25">
      <c r="D156" s="89" t="s">
        <v>72</v>
      </c>
      <c r="E156" s="371">
        <v>73601.490000000005</v>
      </c>
      <c r="F156" s="90">
        <v>9775.34</v>
      </c>
      <c r="G156" s="90">
        <v>5446.75</v>
      </c>
      <c r="H156" s="90">
        <v>2896.85</v>
      </c>
      <c r="I156" s="90">
        <v>10730.76</v>
      </c>
      <c r="J156" s="90">
        <v>261.31</v>
      </c>
      <c r="K156" s="90">
        <v>0</v>
      </c>
      <c r="L156" s="90">
        <v>2292.11</v>
      </c>
      <c r="M156" s="90">
        <v>3224.79</v>
      </c>
      <c r="N156" s="90">
        <v>15368.9</v>
      </c>
      <c r="O156" s="90">
        <v>23178.35</v>
      </c>
      <c r="P156" s="90">
        <v>426.33</v>
      </c>
      <c r="Q156" s="90">
        <v>0</v>
      </c>
      <c r="R156">
        <v>0</v>
      </c>
    </row>
    <row r="157" spans="1:18" ht="12.75" customHeight="1" x14ac:dyDescent="0.25">
      <c r="C157" t="s">
        <v>332</v>
      </c>
      <c r="D157" s="89" t="s">
        <v>70</v>
      </c>
      <c r="E157" s="371">
        <v>73601.490000000005</v>
      </c>
      <c r="F157" s="90">
        <v>9775.34</v>
      </c>
      <c r="G157" s="90">
        <v>5446.75</v>
      </c>
      <c r="H157" s="90">
        <v>2896.85</v>
      </c>
      <c r="I157" s="90">
        <v>10730.76</v>
      </c>
      <c r="J157" s="90">
        <v>261.31</v>
      </c>
      <c r="K157" s="90">
        <v>0</v>
      </c>
      <c r="L157" s="90">
        <v>2292.11</v>
      </c>
      <c r="M157" s="90">
        <v>3224.79</v>
      </c>
      <c r="N157" s="90">
        <v>15368.9</v>
      </c>
      <c r="O157" s="90">
        <v>23178.35</v>
      </c>
      <c r="P157" s="90">
        <v>426.33</v>
      </c>
      <c r="Q157" s="90">
        <v>0</v>
      </c>
      <c r="R157">
        <v>0</v>
      </c>
    </row>
    <row r="158" spans="1:18" s="739" customFormat="1" ht="12.75" customHeight="1" x14ac:dyDescent="0.25">
      <c r="B158" s="739" t="s">
        <v>85</v>
      </c>
      <c r="C158" s="739" t="s">
        <v>70</v>
      </c>
      <c r="D158" s="231"/>
      <c r="E158" s="740">
        <v>73601.490000000005</v>
      </c>
      <c r="F158" s="232">
        <v>9775.34</v>
      </c>
      <c r="G158" s="232">
        <v>5446.75</v>
      </c>
      <c r="H158" s="232">
        <v>2896.85</v>
      </c>
      <c r="I158" s="232">
        <v>10730.76</v>
      </c>
      <c r="J158" s="232">
        <v>261.31</v>
      </c>
      <c r="K158" s="232">
        <v>0</v>
      </c>
      <c r="L158" s="232">
        <v>2292.11</v>
      </c>
      <c r="M158" s="232">
        <v>3224.79</v>
      </c>
      <c r="N158" s="232">
        <v>15368.9</v>
      </c>
      <c r="O158" s="232">
        <v>23178.35</v>
      </c>
      <c r="P158" s="232">
        <v>426.33</v>
      </c>
      <c r="Q158" s="232">
        <v>0</v>
      </c>
      <c r="R158" s="739">
        <v>0</v>
      </c>
    </row>
    <row r="159" spans="1:18" ht="12.65" customHeight="1" x14ac:dyDescent="0.25">
      <c r="D159" t="s">
        <v>72</v>
      </c>
      <c r="E159">
        <v>11423724.92</v>
      </c>
      <c r="F159">
        <v>588424.78</v>
      </c>
      <c r="G159">
        <v>367141.31</v>
      </c>
      <c r="H159">
        <v>170747.19</v>
      </c>
      <c r="I159">
        <v>3687113.58</v>
      </c>
      <c r="J159">
        <v>176001.89</v>
      </c>
      <c r="K159">
        <v>0</v>
      </c>
      <c r="L159">
        <v>672044.63</v>
      </c>
      <c r="M159">
        <v>642775.03</v>
      </c>
      <c r="N159">
        <v>3632551.15</v>
      </c>
      <c r="O159">
        <v>1320568.47</v>
      </c>
      <c r="P159">
        <v>166585.85</v>
      </c>
      <c r="Q159">
        <v>-228.96</v>
      </c>
      <c r="R159">
        <v>0</v>
      </c>
    </row>
    <row r="160" spans="1:18" ht="12.75" customHeight="1" x14ac:dyDescent="0.25">
      <c r="D160" t="s">
        <v>81</v>
      </c>
      <c r="E160">
        <v>28993.54</v>
      </c>
      <c r="F160">
        <v>3721.58</v>
      </c>
      <c r="G160">
        <v>1768.29</v>
      </c>
      <c r="H160">
        <v>966.65</v>
      </c>
      <c r="I160">
        <v>4474.6899999999996</v>
      </c>
      <c r="J160">
        <v>163.16</v>
      </c>
      <c r="K160">
        <v>0</v>
      </c>
      <c r="L160">
        <v>1413.42</v>
      </c>
      <c r="M160">
        <v>1317.43</v>
      </c>
      <c r="N160">
        <v>6187.23</v>
      </c>
      <c r="O160">
        <v>8714.61</v>
      </c>
      <c r="P160">
        <v>266.38</v>
      </c>
      <c r="Q160">
        <v>0.1</v>
      </c>
      <c r="R160">
        <v>0</v>
      </c>
    </row>
    <row r="161" spans="1:18" ht="12.75" customHeight="1" x14ac:dyDescent="0.25">
      <c r="C161" t="s">
        <v>156</v>
      </c>
      <c r="D161" s="89" t="s">
        <v>70</v>
      </c>
      <c r="E161" s="371">
        <v>11452718.460000001</v>
      </c>
      <c r="F161" s="90">
        <v>592146.36</v>
      </c>
      <c r="G161" s="90">
        <v>368909.6</v>
      </c>
      <c r="H161" s="90">
        <v>171713.84</v>
      </c>
      <c r="I161" s="90">
        <v>3691588.27</v>
      </c>
      <c r="J161" s="90">
        <v>176165.05</v>
      </c>
      <c r="K161" s="90">
        <v>0</v>
      </c>
      <c r="L161" s="90">
        <v>673458.05</v>
      </c>
      <c r="M161" s="90">
        <v>644092.46</v>
      </c>
      <c r="N161" s="90">
        <v>3638738.38</v>
      </c>
      <c r="O161" s="90">
        <v>1329283.08</v>
      </c>
      <c r="P161" s="90">
        <v>166852.23000000001</v>
      </c>
      <c r="Q161" s="90">
        <v>-228.86</v>
      </c>
      <c r="R161">
        <v>0</v>
      </c>
    </row>
    <row r="162" spans="1:18" s="656" customFormat="1" ht="12.75" customHeight="1" x14ac:dyDescent="0.25">
      <c r="B162" s="656" t="s">
        <v>155</v>
      </c>
      <c r="C162" s="656" t="s">
        <v>70</v>
      </c>
      <c r="E162" s="741">
        <v>11452718.460000001</v>
      </c>
      <c r="F162" s="656">
        <v>592146.36</v>
      </c>
      <c r="G162" s="656">
        <v>368909.6</v>
      </c>
      <c r="H162" s="656">
        <v>171713.84</v>
      </c>
      <c r="I162" s="656">
        <v>3691588.27</v>
      </c>
      <c r="J162" s="656">
        <v>176165.05</v>
      </c>
      <c r="K162" s="656">
        <v>0</v>
      </c>
      <c r="L162" s="656">
        <v>673458.05</v>
      </c>
      <c r="M162" s="656">
        <v>644092.46</v>
      </c>
      <c r="N162" s="656">
        <v>3638738.38</v>
      </c>
      <c r="O162" s="656">
        <v>1329283.08</v>
      </c>
      <c r="P162" s="656">
        <v>166852.23000000001</v>
      </c>
      <c r="Q162" s="656">
        <v>-228.86</v>
      </c>
      <c r="R162" s="656">
        <v>0</v>
      </c>
    </row>
    <row r="163" spans="1:18" ht="12.75" customHeight="1" x14ac:dyDescent="0.25">
      <c r="D163" t="s">
        <v>72</v>
      </c>
      <c r="E163" s="142">
        <v>2346741.73</v>
      </c>
      <c r="F163">
        <v>144869.45000000001</v>
      </c>
      <c r="G163">
        <v>85406.63</v>
      </c>
      <c r="H163">
        <v>42451.78</v>
      </c>
      <c r="I163">
        <v>593661.53</v>
      </c>
      <c r="J163">
        <v>17355.28</v>
      </c>
      <c r="K163">
        <v>0</v>
      </c>
      <c r="L163">
        <v>132213.93</v>
      </c>
      <c r="M163">
        <v>208852.61</v>
      </c>
      <c r="N163">
        <v>733385.62</v>
      </c>
      <c r="O163">
        <v>367223.21</v>
      </c>
      <c r="P163">
        <v>21332.080000000002</v>
      </c>
      <c r="Q163">
        <v>-10.39</v>
      </c>
      <c r="R163">
        <v>0</v>
      </c>
    </row>
    <row r="164" spans="1:18" ht="12.75" customHeight="1" x14ac:dyDescent="0.25">
      <c r="D164" t="s">
        <v>81</v>
      </c>
      <c r="E164" s="142">
        <v>7.25</v>
      </c>
      <c r="F164">
        <v>0.37</v>
      </c>
      <c r="G164">
        <v>0.21</v>
      </c>
      <c r="H164">
        <v>0.12</v>
      </c>
      <c r="I164">
        <v>1.75</v>
      </c>
      <c r="J164">
        <v>0.05</v>
      </c>
      <c r="K164">
        <v>0</v>
      </c>
      <c r="L164">
        <v>0.41</v>
      </c>
      <c r="M164">
        <v>0.59</v>
      </c>
      <c r="N164">
        <v>2.78</v>
      </c>
      <c r="O164">
        <v>0.89</v>
      </c>
      <c r="P164">
        <v>0.08</v>
      </c>
      <c r="Q164">
        <v>0</v>
      </c>
      <c r="R164">
        <v>0</v>
      </c>
    </row>
    <row r="165" spans="1:18" ht="12.75" customHeight="1" x14ac:dyDescent="0.25">
      <c r="C165" t="s">
        <v>82</v>
      </c>
      <c r="D165" t="s">
        <v>70</v>
      </c>
      <c r="E165" s="142">
        <v>2346748.98</v>
      </c>
      <c r="F165">
        <v>144869.82</v>
      </c>
      <c r="G165">
        <v>85406.84</v>
      </c>
      <c r="H165">
        <v>42451.9</v>
      </c>
      <c r="I165">
        <v>593663.28</v>
      </c>
      <c r="J165">
        <v>17355.330000000002</v>
      </c>
      <c r="K165">
        <v>0</v>
      </c>
      <c r="L165">
        <v>132214.34</v>
      </c>
      <c r="M165">
        <v>208853.2</v>
      </c>
      <c r="N165">
        <v>733388.4</v>
      </c>
      <c r="O165">
        <v>367224.1</v>
      </c>
      <c r="P165">
        <v>21332.16</v>
      </c>
      <c r="Q165">
        <v>-10.39</v>
      </c>
      <c r="R165">
        <v>0</v>
      </c>
    </row>
    <row r="166" spans="1:18" ht="12.75" customHeight="1" x14ac:dyDescent="0.25">
      <c r="D166" t="s">
        <v>72</v>
      </c>
      <c r="E166" s="142">
        <v>1498752.72</v>
      </c>
      <c r="F166">
        <v>218686.44</v>
      </c>
      <c r="G166">
        <v>121875.61</v>
      </c>
      <c r="H166">
        <v>64266.73</v>
      </c>
      <c r="I166">
        <v>186453.14</v>
      </c>
      <c r="J166">
        <v>5614.62</v>
      </c>
      <c r="K166">
        <v>0</v>
      </c>
      <c r="L166">
        <v>49249.95</v>
      </c>
      <c r="M166">
        <v>59817.24</v>
      </c>
      <c r="N166">
        <v>259769.34</v>
      </c>
      <c r="O166">
        <v>524288.6</v>
      </c>
      <c r="P166">
        <v>8734.1200000000008</v>
      </c>
      <c r="Q166">
        <v>-3.07</v>
      </c>
      <c r="R166">
        <v>0</v>
      </c>
    </row>
    <row r="167" spans="1:18" ht="12.75" customHeight="1" x14ac:dyDescent="0.25">
      <c r="D167" t="s">
        <v>81</v>
      </c>
      <c r="E167" s="142">
        <v>4072.19</v>
      </c>
      <c r="F167">
        <v>469.32</v>
      </c>
      <c r="G167">
        <v>264.42</v>
      </c>
      <c r="H167">
        <v>139.12</v>
      </c>
      <c r="I167">
        <v>698.63</v>
      </c>
      <c r="J167">
        <v>22.19</v>
      </c>
      <c r="K167">
        <v>0</v>
      </c>
      <c r="L167">
        <v>194.85</v>
      </c>
      <c r="M167">
        <v>199.88</v>
      </c>
      <c r="N167">
        <v>944.44</v>
      </c>
      <c r="O167">
        <v>1103.04</v>
      </c>
      <c r="P167">
        <v>36.270000000000003</v>
      </c>
      <c r="Q167">
        <v>0.03</v>
      </c>
      <c r="R167">
        <v>0</v>
      </c>
    </row>
    <row r="168" spans="1:18" ht="12.75" customHeight="1" x14ac:dyDescent="0.25">
      <c r="C168" t="s">
        <v>86</v>
      </c>
      <c r="D168" t="s">
        <v>70</v>
      </c>
      <c r="E168" s="142">
        <v>1502824.91</v>
      </c>
      <c r="F168">
        <v>219155.76</v>
      </c>
      <c r="G168">
        <v>122140.03</v>
      </c>
      <c r="H168">
        <v>64405.85</v>
      </c>
      <c r="I168">
        <v>187151.77</v>
      </c>
      <c r="J168">
        <v>5636.81</v>
      </c>
      <c r="K168">
        <v>0</v>
      </c>
      <c r="L168">
        <v>49444.800000000003</v>
      </c>
      <c r="M168">
        <v>60017.120000000003</v>
      </c>
      <c r="N168">
        <v>260713.78</v>
      </c>
      <c r="O168">
        <v>525391.64</v>
      </c>
      <c r="P168">
        <v>8770.39</v>
      </c>
      <c r="Q168">
        <v>-3.04</v>
      </c>
      <c r="R168">
        <v>0</v>
      </c>
    </row>
    <row r="169" spans="1:18" ht="12.75" customHeight="1" x14ac:dyDescent="0.25">
      <c r="D169" t="s">
        <v>72</v>
      </c>
      <c r="E169" s="142">
        <v>55648019.140000001</v>
      </c>
      <c r="F169">
        <v>12014038.26</v>
      </c>
      <c r="G169">
        <v>6704476.1500000004</v>
      </c>
      <c r="H169">
        <v>3561164.18</v>
      </c>
      <c r="I169">
        <v>1185037.6499999999</v>
      </c>
      <c r="J169">
        <v>36834.04</v>
      </c>
      <c r="K169">
        <v>34149.980000000003</v>
      </c>
      <c r="L169">
        <v>274444.39</v>
      </c>
      <c r="M169">
        <v>461462.93</v>
      </c>
      <c r="N169">
        <v>1456887.01</v>
      </c>
      <c r="O169">
        <v>29878634.870000001</v>
      </c>
      <c r="P169">
        <v>40967.71</v>
      </c>
      <c r="Q169">
        <v>-78.03</v>
      </c>
      <c r="R169">
        <v>0</v>
      </c>
    </row>
    <row r="170" spans="1:18" ht="12.75" customHeight="1" x14ac:dyDescent="0.25">
      <c r="D170" t="s">
        <v>81</v>
      </c>
      <c r="E170" s="142">
        <v>11.04</v>
      </c>
      <c r="F170">
        <v>0.5</v>
      </c>
      <c r="G170">
        <v>0.28000000000000003</v>
      </c>
      <c r="H170">
        <v>0.15</v>
      </c>
      <c r="I170">
        <v>2.97</v>
      </c>
      <c r="J170">
        <v>7.0000000000000007E-2</v>
      </c>
      <c r="K170">
        <v>0</v>
      </c>
      <c r="L170">
        <v>0.62</v>
      </c>
      <c r="M170">
        <v>0.9</v>
      </c>
      <c r="N170">
        <v>4.24</v>
      </c>
      <c r="O170">
        <v>1.19</v>
      </c>
      <c r="P170">
        <v>0.12</v>
      </c>
      <c r="Q170">
        <v>0</v>
      </c>
      <c r="R170">
        <v>0</v>
      </c>
    </row>
    <row r="171" spans="1:18" ht="12.75" customHeight="1" x14ac:dyDescent="0.25">
      <c r="A171" s="89"/>
      <c r="B171" s="89"/>
      <c r="C171" t="s">
        <v>87</v>
      </c>
      <c r="D171" t="s">
        <v>70</v>
      </c>
      <c r="E171" s="90">
        <v>55648030.18</v>
      </c>
      <c r="F171" s="90">
        <v>12014038.76</v>
      </c>
      <c r="G171" s="90">
        <v>6704476.4299999997</v>
      </c>
      <c r="H171" s="90">
        <v>3561164.33</v>
      </c>
      <c r="I171" s="90">
        <v>1185040.6200000001</v>
      </c>
      <c r="J171" s="90">
        <v>36834.11</v>
      </c>
      <c r="K171" s="90">
        <v>34149.980000000003</v>
      </c>
      <c r="L171" s="90">
        <v>274445.01</v>
      </c>
      <c r="M171" s="90">
        <v>461463.83</v>
      </c>
      <c r="N171" s="90">
        <v>1456891.25</v>
      </c>
      <c r="O171" s="90">
        <v>29878636.059999999</v>
      </c>
      <c r="P171" s="90">
        <v>40967.83</v>
      </c>
      <c r="Q171" s="90">
        <v>-78.03</v>
      </c>
      <c r="R171">
        <v>0</v>
      </c>
    </row>
    <row r="172" spans="1:18" s="94" customFormat="1" ht="12.75" customHeight="1" x14ac:dyDescent="0.25">
      <c r="A172" s="101"/>
      <c r="B172" s="101" t="s">
        <v>119</v>
      </c>
      <c r="C172" s="94" t="s">
        <v>70</v>
      </c>
      <c r="E172" s="93">
        <v>59497604.07</v>
      </c>
      <c r="F172" s="93">
        <v>12378064.34</v>
      </c>
      <c r="G172" s="93">
        <v>6912023.2999999998</v>
      </c>
      <c r="H172" s="93">
        <v>3668022.08</v>
      </c>
      <c r="I172" s="93">
        <v>1965855.67</v>
      </c>
      <c r="J172" s="93">
        <v>59826.25</v>
      </c>
      <c r="K172" s="93">
        <v>34149.980000000003</v>
      </c>
      <c r="L172" s="93">
        <v>456104.15</v>
      </c>
      <c r="M172" s="93">
        <v>730334.15</v>
      </c>
      <c r="N172" s="93">
        <v>2450993.4300000002</v>
      </c>
      <c r="O172" s="93">
        <v>30771251.800000001</v>
      </c>
      <c r="P172" s="93">
        <v>71070.38</v>
      </c>
      <c r="Q172" s="93">
        <v>-91.46</v>
      </c>
      <c r="R172" s="94">
        <v>0</v>
      </c>
    </row>
    <row r="173" spans="1:18" s="226" customFormat="1" ht="12.75" customHeight="1" x14ac:dyDescent="0.25">
      <c r="A173" s="226" t="s">
        <v>78</v>
      </c>
      <c r="B173" s="226" t="s">
        <v>70</v>
      </c>
      <c r="D173" s="98"/>
      <c r="E173" s="100">
        <v>71023924.019999996</v>
      </c>
      <c r="F173" s="100">
        <v>12979986.039999999</v>
      </c>
      <c r="G173" s="100">
        <v>7286379.6500000004</v>
      </c>
      <c r="H173" s="100">
        <v>3842632.77</v>
      </c>
      <c r="I173" s="100">
        <v>5668174.7000000002</v>
      </c>
      <c r="J173" s="100">
        <v>236252.61</v>
      </c>
      <c r="K173" s="100">
        <v>34149.980000000003</v>
      </c>
      <c r="L173" s="100">
        <v>1131854.31</v>
      </c>
      <c r="M173" s="100">
        <v>1377651.4</v>
      </c>
      <c r="N173" s="100">
        <v>6105100.71</v>
      </c>
      <c r="O173" s="100">
        <v>32123713.23</v>
      </c>
      <c r="P173" s="100">
        <v>238348.94</v>
      </c>
      <c r="Q173" s="100">
        <v>-320.32</v>
      </c>
      <c r="R173" s="226">
        <v>0</v>
      </c>
    </row>
    <row r="174" spans="1:18" ht="12.75" customHeight="1" x14ac:dyDescent="0.25">
      <c r="C174" s="89"/>
      <c r="D174" s="89" t="s">
        <v>73</v>
      </c>
      <c r="E174" s="371">
        <v>-3800839.74</v>
      </c>
      <c r="F174" s="90">
        <v>-56179.64</v>
      </c>
      <c r="G174" s="90">
        <v>-44456.91</v>
      </c>
      <c r="H174" s="90">
        <v>-29909.02</v>
      </c>
      <c r="I174" s="90">
        <v>-1205757.05</v>
      </c>
      <c r="J174" s="90">
        <v>-39487.68</v>
      </c>
      <c r="K174" s="90">
        <v>0</v>
      </c>
      <c r="L174" s="90">
        <v>-344558.69</v>
      </c>
      <c r="M174" s="90">
        <v>-325783.34000000003</v>
      </c>
      <c r="N174" s="90">
        <v>-1557044.96</v>
      </c>
      <c r="O174" s="90">
        <v>-133237.56</v>
      </c>
      <c r="P174" s="90">
        <v>-64424.89</v>
      </c>
      <c r="Q174" s="90">
        <v>0</v>
      </c>
      <c r="R174">
        <v>0</v>
      </c>
    </row>
    <row r="175" spans="1:18" ht="12.75" customHeight="1" x14ac:dyDescent="0.25">
      <c r="C175" s="89" t="s">
        <v>156</v>
      </c>
      <c r="D175" s="89" t="s">
        <v>70</v>
      </c>
      <c r="E175" s="371">
        <v>-3800839.74</v>
      </c>
      <c r="F175" s="90">
        <v>-56179.64</v>
      </c>
      <c r="G175" s="90">
        <v>-44456.91</v>
      </c>
      <c r="H175" s="90">
        <v>-29909.02</v>
      </c>
      <c r="I175" s="90">
        <v>-1205757.05</v>
      </c>
      <c r="J175" s="90">
        <v>-39487.68</v>
      </c>
      <c r="K175" s="90">
        <v>0</v>
      </c>
      <c r="L175" s="90">
        <v>-344558.69</v>
      </c>
      <c r="M175" s="90">
        <v>-325783.34000000003</v>
      </c>
      <c r="N175" s="90">
        <v>-1557044.96</v>
      </c>
      <c r="O175" s="90">
        <v>-133237.56</v>
      </c>
      <c r="P175" s="90">
        <v>-64424.89</v>
      </c>
      <c r="Q175" s="90">
        <v>0</v>
      </c>
      <c r="R175">
        <v>0</v>
      </c>
    </row>
    <row r="176" spans="1:18" s="237" customFormat="1" ht="12.75" customHeight="1" x14ac:dyDescent="0.25">
      <c r="B176" s="237" t="s">
        <v>155</v>
      </c>
      <c r="C176" s="221" t="s">
        <v>70</v>
      </c>
      <c r="D176" s="221"/>
      <c r="E176" s="566">
        <v>-3800839.74</v>
      </c>
      <c r="F176" s="222">
        <v>-56179.64</v>
      </c>
      <c r="G176" s="222">
        <v>-44456.91</v>
      </c>
      <c r="H176" s="222">
        <v>-29909.02</v>
      </c>
      <c r="I176" s="222">
        <v>-1205757.05</v>
      </c>
      <c r="J176" s="222">
        <v>-39487.68</v>
      </c>
      <c r="K176" s="222">
        <v>0</v>
      </c>
      <c r="L176" s="222">
        <v>-344558.69</v>
      </c>
      <c r="M176" s="222">
        <v>-325783.34000000003</v>
      </c>
      <c r="N176" s="222">
        <v>-1557044.96</v>
      </c>
      <c r="O176" s="222">
        <v>-133237.56</v>
      </c>
      <c r="P176" s="222">
        <v>-64424.89</v>
      </c>
      <c r="Q176" s="222">
        <v>0</v>
      </c>
      <c r="R176" s="237">
        <v>0</v>
      </c>
    </row>
    <row r="177" spans="1:18" ht="12.75" customHeight="1" x14ac:dyDescent="0.25">
      <c r="C177" s="89"/>
      <c r="D177" s="89" t="s">
        <v>73</v>
      </c>
      <c r="E177" s="371">
        <v>143926.04999999999</v>
      </c>
      <c r="F177" s="90">
        <v>36929.019999999997</v>
      </c>
      <c r="G177" s="90">
        <v>20576.669999999998</v>
      </c>
      <c r="H177" s="90">
        <v>9278.1299999999992</v>
      </c>
      <c r="I177" s="90">
        <v>38.71</v>
      </c>
      <c r="J177" s="90">
        <v>-326.38</v>
      </c>
      <c r="K177" s="90">
        <v>0</v>
      </c>
      <c r="L177" s="90">
        <v>-993.6</v>
      </c>
      <c r="M177" s="90">
        <v>-2179.64</v>
      </c>
      <c r="N177" s="90">
        <v>-5267.99</v>
      </c>
      <c r="O177" s="90">
        <v>86403.81</v>
      </c>
      <c r="P177" s="90">
        <v>-532.67999999999995</v>
      </c>
      <c r="Q177" s="90">
        <v>0</v>
      </c>
      <c r="R177">
        <v>0</v>
      </c>
    </row>
    <row r="178" spans="1:18" ht="12.75" customHeight="1" x14ac:dyDescent="0.25">
      <c r="C178" t="s">
        <v>82</v>
      </c>
      <c r="D178" t="s">
        <v>70</v>
      </c>
      <c r="E178">
        <v>143926.04999999999</v>
      </c>
      <c r="F178">
        <v>36929.019999999997</v>
      </c>
      <c r="G178">
        <v>20576.669999999998</v>
      </c>
      <c r="H178">
        <v>9278.1299999999992</v>
      </c>
      <c r="I178">
        <v>38.71</v>
      </c>
      <c r="J178">
        <v>-326.38</v>
      </c>
      <c r="K178">
        <v>0</v>
      </c>
      <c r="L178">
        <v>-993.6</v>
      </c>
      <c r="M178">
        <v>-2179.64</v>
      </c>
      <c r="N178">
        <v>-5267.99</v>
      </c>
      <c r="O178">
        <v>86403.81</v>
      </c>
      <c r="P178">
        <v>-532.67999999999995</v>
      </c>
      <c r="Q178">
        <v>0</v>
      </c>
      <c r="R178">
        <v>0</v>
      </c>
    </row>
    <row r="179" spans="1:18" ht="12.75" customHeight="1" x14ac:dyDescent="0.25">
      <c r="D179" t="s">
        <v>73</v>
      </c>
      <c r="E179">
        <v>819410.41</v>
      </c>
      <c r="F179">
        <v>165710.01999999999</v>
      </c>
      <c r="G179">
        <v>92365.8</v>
      </c>
      <c r="H179">
        <v>49107.08</v>
      </c>
      <c r="I179">
        <v>49911.360000000001</v>
      </c>
      <c r="J179">
        <v>1256.0999999999999</v>
      </c>
      <c r="K179">
        <v>0</v>
      </c>
      <c r="L179">
        <v>7666.28</v>
      </c>
      <c r="M179">
        <v>12779.44</v>
      </c>
      <c r="N179">
        <v>68656.17</v>
      </c>
      <c r="O179">
        <v>369908.79</v>
      </c>
      <c r="P179">
        <v>2049.37</v>
      </c>
      <c r="Q179">
        <v>0</v>
      </c>
      <c r="R179">
        <v>0</v>
      </c>
    </row>
    <row r="180" spans="1:18" ht="12.75" customHeight="1" x14ac:dyDescent="0.25">
      <c r="C180" t="s">
        <v>86</v>
      </c>
      <c r="D180" t="s">
        <v>70</v>
      </c>
      <c r="E180">
        <v>819410.41</v>
      </c>
      <c r="F180">
        <v>165710.01999999999</v>
      </c>
      <c r="G180">
        <v>92365.8</v>
      </c>
      <c r="H180">
        <v>49107.08</v>
      </c>
      <c r="I180">
        <v>49911.360000000001</v>
      </c>
      <c r="J180">
        <v>1256.0999999999999</v>
      </c>
      <c r="K180">
        <v>0</v>
      </c>
      <c r="L180">
        <v>7666.28</v>
      </c>
      <c r="M180">
        <v>12779.44</v>
      </c>
      <c r="N180">
        <v>68656.17</v>
      </c>
      <c r="O180">
        <v>369908.79</v>
      </c>
      <c r="P180">
        <v>2049.37</v>
      </c>
      <c r="Q180">
        <v>0</v>
      </c>
      <c r="R180">
        <v>0</v>
      </c>
    </row>
    <row r="181" spans="1:18" ht="12.75" customHeight="1" x14ac:dyDescent="0.25">
      <c r="D181" s="89" t="s">
        <v>73</v>
      </c>
      <c r="E181" s="90">
        <v>44896168.539999999</v>
      </c>
      <c r="F181" s="90">
        <v>10610205.35</v>
      </c>
      <c r="G181" s="90">
        <v>5910370.0099999998</v>
      </c>
      <c r="H181" s="90">
        <v>3072955.56</v>
      </c>
      <c r="I181" s="90">
        <v>55025.25</v>
      </c>
      <c r="J181" s="90">
        <v>1014.12</v>
      </c>
      <c r="K181" s="90">
        <v>0</v>
      </c>
      <c r="L181" s="90">
        <v>11889.89</v>
      </c>
      <c r="M181" s="90">
        <v>12065.61</v>
      </c>
      <c r="N181" s="90">
        <v>63077.2</v>
      </c>
      <c r="O181" s="90">
        <v>25157911.59</v>
      </c>
      <c r="P181" s="90">
        <v>1653.96</v>
      </c>
      <c r="Q181" s="90">
        <v>0</v>
      </c>
      <c r="R181">
        <v>0</v>
      </c>
    </row>
    <row r="182" spans="1:18" ht="12.75" customHeight="1" x14ac:dyDescent="0.25">
      <c r="C182" t="s">
        <v>87</v>
      </c>
      <c r="D182" s="89" t="s">
        <v>70</v>
      </c>
      <c r="E182" s="90">
        <v>44896168.539999999</v>
      </c>
      <c r="F182" s="90">
        <v>10610205.35</v>
      </c>
      <c r="G182" s="90">
        <v>5910370.0099999998</v>
      </c>
      <c r="H182" s="90">
        <v>3072955.56</v>
      </c>
      <c r="I182" s="90">
        <v>55025.25</v>
      </c>
      <c r="J182" s="90">
        <v>1014.12</v>
      </c>
      <c r="K182" s="90">
        <v>0</v>
      </c>
      <c r="L182" s="90">
        <v>11889.89</v>
      </c>
      <c r="M182" s="90">
        <v>12065.61</v>
      </c>
      <c r="N182" s="90">
        <v>63077.2</v>
      </c>
      <c r="O182" s="90">
        <v>25157911.59</v>
      </c>
      <c r="P182" s="90">
        <v>1653.96</v>
      </c>
      <c r="Q182" s="90">
        <v>0</v>
      </c>
      <c r="R182">
        <v>0</v>
      </c>
    </row>
    <row r="183" spans="1:18" s="94" customFormat="1" ht="12.75" customHeight="1" x14ac:dyDescent="0.25">
      <c r="B183" s="101" t="s">
        <v>119</v>
      </c>
      <c r="C183" s="101" t="s">
        <v>70</v>
      </c>
      <c r="E183" s="93">
        <v>45859505</v>
      </c>
      <c r="F183" s="93">
        <v>10812844.390000001</v>
      </c>
      <c r="G183" s="93">
        <v>6023312.4800000004</v>
      </c>
      <c r="H183" s="93">
        <v>3131340.77</v>
      </c>
      <c r="I183" s="93">
        <v>104975.32</v>
      </c>
      <c r="J183" s="93">
        <v>1943.84</v>
      </c>
      <c r="K183" s="93">
        <v>0</v>
      </c>
      <c r="L183" s="93">
        <v>18562.57</v>
      </c>
      <c r="M183" s="93">
        <v>22665.41</v>
      </c>
      <c r="N183" s="93">
        <v>126465.38</v>
      </c>
      <c r="O183" s="93">
        <v>25614224.190000001</v>
      </c>
      <c r="P183" s="93">
        <v>3170.65</v>
      </c>
      <c r="Q183" s="93">
        <v>0</v>
      </c>
      <c r="R183" s="94">
        <v>0</v>
      </c>
    </row>
    <row r="184" spans="1:18" s="226" customFormat="1" ht="12.75" customHeight="1" x14ac:dyDescent="0.25">
      <c r="A184" s="98" t="s">
        <v>79</v>
      </c>
      <c r="B184" s="98" t="s">
        <v>70</v>
      </c>
      <c r="E184" s="100">
        <v>42058665.259999998</v>
      </c>
      <c r="F184" s="100">
        <v>10756664.75</v>
      </c>
      <c r="G184" s="100">
        <v>5978855.5700000003</v>
      </c>
      <c r="H184" s="100">
        <v>3101431.75</v>
      </c>
      <c r="I184" s="100">
        <v>-1100781.73</v>
      </c>
      <c r="J184" s="100">
        <v>-37543.839999999997</v>
      </c>
      <c r="K184" s="100">
        <v>0</v>
      </c>
      <c r="L184" s="100">
        <v>-325996.12</v>
      </c>
      <c r="M184" s="100">
        <v>-303117.93</v>
      </c>
      <c r="N184" s="100">
        <v>-1430579.58</v>
      </c>
      <c r="O184" s="100">
        <v>25480986.629999999</v>
      </c>
      <c r="P184" s="100">
        <v>-61254.239999999998</v>
      </c>
      <c r="Q184" s="100">
        <v>0</v>
      </c>
      <c r="R184" s="226">
        <v>0</v>
      </c>
    </row>
    <row r="185" spans="1:18" ht="12.75" customHeight="1" x14ac:dyDescent="0.25">
      <c r="A185" s="89" t="s">
        <v>70</v>
      </c>
      <c r="E185" s="90">
        <v>113082589.28</v>
      </c>
      <c r="F185" s="90">
        <v>23736650.789999999</v>
      </c>
      <c r="G185" s="90">
        <v>13265235.220000001</v>
      </c>
      <c r="H185" s="90">
        <v>6944064.5199999996</v>
      </c>
      <c r="I185" s="90">
        <v>4567392.97</v>
      </c>
      <c r="J185" s="90">
        <v>198708.77</v>
      </c>
      <c r="K185" s="90">
        <v>34149.980000000003</v>
      </c>
      <c r="L185" s="90">
        <v>805858.19</v>
      </c>
      <c r="M185" s="90">
        <v>1074533.47</v>
      </c>
      <c r="N185" s="90">
        <v>4674521.13</v>
      </c>
      <c r="O185" s="90">
        <v>57604699.859999999</v>
      </c>
      <c r="P185" s="90">
        <v>177094.7</v>
      </c>
      <c r="Q185" s="90">
        <v>-320.32</v>
      </c>
      <c r="R185">
        <v>0</v>
      </c>
    </row>
    <row r="186" spans="1:18" ht="12.75" customHeight="1" x14ac:dyDescent="0.25">
      <c r="A186" s="89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</row>
    <row r="187" spans="1:18" ht="12.75" hidden="1" customHeight="1" x14ac:dyDescent="0.25">
      <c r="A187" s="89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</row>
    <row r="188" spans="1:18" ht="12.75" hidden="1" customHeight="1" x14ac:dyDescent="0.25">
      <c r="A188" s="89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</row>
    <row r="189" spans="1:18" ht="12.75" hidden="1" customHeight="1" x14ac:dyDescent="0.25">
      <c r="A189" s="89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</row>
    <row r="190" spans="1:18" ht="12.75" hidden="1" customHeight="1" x14ac:dyDescent="0.25">
      <c r="A190" s="89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</row>
    <row r="191" spans="1:18" ht="12.75" hidden="1" customHeight="1" x14ac:dyDescent="0.25">
      <c r="A191" s="89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</row>
    <row r="192" spans="1:18" ht="12.75" hidden="1" customHeight="1" x14ac:dyDescent="0.25">
      <c r="A192" s="89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</row>
    <row r="193" spans="1:17" ht="12.75" hidden="1" customHeight="1" x14ac:dyDescent="0.25">
      <c r="A193" s="89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</row>
    <row r="194" spans="1:17" ht="12.75" hidden="1" customHeight="1" x14ac:dyDescent="0.25">
      <c r="A194" s="89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</row>
    <row r="195" spans="1:17" ht="12.75" hidden="1" customHeight="1" x14ac:dyDescent="0.25">
      <c r="A195" s="89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</row>
    <row r="196" spans="1:17" ht="12.75" hidden="1" customHeight="1" x14ac:dyDescent="0.25">
      <c r="A196" s="89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</row>
    <row r="197" spans="1:17" ht="12.75" hidden="1" customHeight="1" x14ac:dyDescent="0.25">
      <c r="A197" s="89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</row>
    <row r="198" spans="1:17" ht="12.75" hidden="1" customHeight="1" x14ac:dyDescent="0.25">
      <c r="A198" s="89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</row>
    <row r="199" spans="1:17" ht="12.75" hidden="1" customHeight="1" x14ac:dyDescent="0.25">
      <c r="A199" s="89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</row>
    <row r="200" spans="1:17" ht="12.75" hidden="1" customHeight="1" x14ac:dyDescent="0.25">
      <c r="A200" s="89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</row>
    <row r="201" spans="1:17" ht="12.75" hidden="1" customHeight="1" x14ac:dyDescent="0.25">
      <c r="A201" s="89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</row>
    <row r="202" spans="1:17" ht="12.75" hidden="1" customHeight="1" x14ac:dyDescent="0.25">
      <c r="A202" s="89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</row>
    <row r="203" spans="1:17" ht="12.75" hidden="1" customHeight="1" x14ac:dyDescent="0.25">
      <c r="A203" s="89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</row>
    <row r="204" spans="1:17" ht="12.75" hidden="1" customHeight="1" x14ac:dyDescent="0.25">
      <c r="A204" s="89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</row>
    <row r="205" spans="1:17" ht="12.75" hidden="1" customHeight="1" x14ac:dyDescent="0.25">
      <c r="A205" s="89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</row>
    <row r="206" spans="1:17" ht="12.75" hidden="1" customHeight="1" x14ac:dyDescent="0.25">
      <c r="A206" s="89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</row>
    <row r="207" spans="1:17" ht="12.75" hidden="1" customHeight="1" x14ac:dyDescent="0.25">
      <c r="A207" s="89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</row>
    <row r="208" spans="1:17" ht="12.75" hidden="1" customHeight="1" x14ac:dyDescent="0.25">
      <c r="A208" s="89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</row>
    <row r="209" spans="1:18" ht="12.75" hidden="1" customHeight="1" x14ac:dyDescent="0.25">
      <c r="A209" s="89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</row>
    <row r="210" spans="1:18" ht="12.75" hidden="1" customHeight="1" x14ac:dyDescent="0.25">
      <c r="A210" s="89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</row>
    <row r="211" spans="1:18" ht="12.75" hidden="1" customHeight="1" x14ac:dyDescent="0.25">
      <c r="A211" s="89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</row>
    <row r="212" spans="1:18" ht="12.75" hidden="1" customHeight="1" x14ac:dyDescent="0.25">
      <c r="A212" s="89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</row>
    <row r="213" spans="1:18" ht="12.75" hidden="1" customHeight="1" x14ac:dyDescent="0.25">
      <c r="A213" s="89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</row>
    <row r="214" spans="1:18" ht="12.75" hidden="1" customHeight="1" x14ac:dyDescent="0.25">
      <c r="A214" s="89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</row>
    <row r="215" spans="1:18" ht="12.75" hidden="1" customHeight="1" x14ac:dyDescent="0.25">
      <c r="A215" s="89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</row>
    <row r="216" spans="1:18" ht="12.75" hidden="1" customHeight="1" x14ac:dyDescent="0.25">
      <c r="A216" s="89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</row>
    <row r="217" spans="1:18" ht="12.75" customHeight="1" x14ac:dyDescent="0.25">
      <c r="C217" s="89"/>
      <c r="D217" s="89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</row>
    <row r="218" spans="1:18" ht="12.75" hidden="1" customHeight="1" x14ac:dyDescent="0.25">
      <c r="D218" s="89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</row>
    <row r="219" spans="1:18" ht="12.75" hidden="1" customHeight="1" x14ac:dyDescent="0.25">
      <c r="C219" s="89"/>
      <c r="D219" s="89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</row>
    <row r="220" spans="1:18" ht="12.75" hidden="1" customHeight="1" x14ac:dyDescent="0.25">
      <c r="D220" s="89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</row>
    <row r="221" spans="1:18" ht="12.75" hidden="1" customHeight="1" x14ac:dyDescent="0.25">
      <c r="C221" s="89"/>
      <c r="D221" s="89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</row>
    <row r="222" spans="1:18" ht="12.75" hidden="1" customHeight="1" x14ac:dyDescent="0.25">
      <c r="B222" s="89"/>
      <c r="C222" s="89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</row>
    <row r="223" spans="1:18" ht="12.75" hidden="1" customHeight="1" x14ac:dyDescent="0.25">
      <c r="A223" s="89"/>
      <c r="B223" s="89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</row>
    <row r="224" spans="1:18" ht="12.75" hidden="1" customHeight="1" x14ac:dyDescent="0.25">
      <c r="A224" s="89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</row>
    <row r="225" spans="1:17" ht="12.75" hidden="1" customHeight="1" x14ac:dyDescent="0.25">
      <c r="A225" s="89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</row>
    <row r="226" spans="1:17" ht="12.75" hidden="1" customHeight="1" x14ac:dyDescent="0.25">
      <c r="A226" s="89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</row>
    <row r="227" spans="1:17" ht="12.75" hidden="1" customHeight="1" x14ac:dyDescent="0.25">
      <c r="A227" s="89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</row>
    <row r="228" spans="1:17" ht="12.75" hidden="1" customHeight="1" x14ac:dyDescent="0.25">
      <c r="A228" s="89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</row>
    <row r="229" spans="1:17" ht="12.75" hidden="1" customHeight="1" x14ac:dyDescent="0.25">
      <c r="A229" s="89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</row>
    <row r="230" spans="1:17" ht="12.75" hidden="1" customHeight="1" x14ac:dyDescent="0.25">
      <c r="A230" s="89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</row>
    <row r="231" spans="1:17" ht="12.75" hidden="1" customHeight="1" x14ac:dyDescent="0.25">
      <c r="A231" s="89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</row>
    <row r="232" spans="1:17" ht="12.75" hidden="1" customHeight="1" x14ac:dyDescent="0.25">
      <c r="A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</row>
    <row r="233" spans="1:17" ht="12.75" hidden="1" customHeight="1" x14ac:dyDescent="0.25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</row>
    <row r="234" spans="1:17" ht="12.75" hidden="1" customHeight="1" x14ac:dyDescent="0.25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7" ht="12.75" hidden="1" customHeight="1" x14ac:dyDescent="0.25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7" ht="12.75" hidden="1" customHeight="1" x14ac:dyDescent="0.25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7" ht="12.75" hidden="1" customHeight="1" x14ac:dyDescent="0.25">
      <c r="A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</row>
    <row r="238" spans="1:17" ht="12.75" hidden="1" customHeight="1" x14ac:dyDescent="0.25">
      <c r="A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</row>
    <row r="239" spans="1:17" ht="12.75" hidden="1" customHeight="1" x14ac:dyDescent="0.25">
      <c r="A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</row>
    <row r="240" spans="1:17" ht="12.75" hidden="1" customHeight="1" x14ac:dyDescent="0.25">
      <c r="A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</row>
    <row r="241" spans="1:18" ht="12.75" hidden="1" customHeight="1" x14ac:dyDescent="0.25">
      <c r="A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</row>
    <row r="242" spans="1:18" ht="12.75" hidden="1" customHeight="1" x14ac:dyDescent="0.25">
      <c r="A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</row>
    <row r="243" spans="1:18" ht="12.75" hidden="1" customHeight="1" x14ac:dyDescent="0.25">
      <c r="A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</row>
    <row r="244" spans="1:18" ht="12.75" hidden="1" customHeight="1" x14ac:dyDescent="0.25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</row>
    <row r="245" spans="1:18" ht="12.75" hidden="1" customHeight="1" x14ac:dyDescent="0.25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8" ht="12.75" hidden="1" customHeight="1" x14ac:dyDescent="0.25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8" ht="12.75" hidden="1" customHeight="1" x14ac:dyDescent="0.25">
      <c r="A247" s="89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</row>
    <row r="248" spans="1:18" ht="12.75" hidden="1" customHeight="1" x14ac:dyDescent="0.25">
      <c r="A248" s="89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</row>
    <row r="249" spans="1:18" ht="12.75" hidden="1" customHeight="1" x14ac:dyDescent="0.25">
      <c r="A249" s="89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</row>
    <row r="250" spans="1:18" ht="12.75" hidden="1" customHeight="1" x14ac:dyDescent="0.25">
      <c r="A250" s="89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</row>
    <row r="251" spans="1:18" ht="12.75" hidden="1" customHeight="1" x14ac:dyDescent="0.25">
      <c r="A251" s="89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</row>
    <row r="252" spans="1:18" ht="12.75" customHeight="1" x14ac:dyDescent="0.25">
      <c r="A252" s="89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</row>
    <row r="253" spans="1:18" ht="12.75" customHeight="1" x14ac:dyDescent="0.25">
      <c r="B253" s="776" t="s">
        <v>2</v>
      </c>
      <c r="C253" s="774" t="s">
        <v>132</v>
      </c>
      <c r="D253" s="98" t="s">
        <v>70</v>
      </c>
      <c r="E253" s="100">
        <f>E173+E184-K173</f>
        <v>113048439.3</v>
      </c>
      <c r="F253" s="100">
        <f>F173</f>
        <v>12979986.039999999</v>
      </c>
      <c r="G253" s="100">
        <f t="shared" ref="G253:R253" si="7">G173</f>
        <v>7286379.6500000004</v>
      </c>
      <c r="H253" s="100">
        <f t="shared" si="7"/>
        <v>3842632.77</v>
      </c>
      <c r="I253" s="100">
        <f t="shared" si="7"/>
        <v>5668174.7000000002</v>
      </c>
      <c r="J253" s="100">
        <f t="shared" si="7"/>
        <v>236252.61</v>
      </c>
      <c r="K253" s="100">
        <f t="shared" si="7"/>
        <v>34149.980000000003</v>
      </c>
      <c r="L253" s="100">
        <f t="shared" si="7"/>
        <v>1131854.31</v>
      </c>
      <c r="M253" s="100">
        <f t="shared" si="7"/>
        <v>1377651.4</v>
      </c>
      <c r="N253" s="100">
        <f t="shared" si="7"/>
        <v>6105100.71</v>
      </c>
      <c r="O253" s="100">
        <f t="shared" si="7"/>
        <v>32123713.23</v>
      </c>
      <c r="P253" s="100">
        <f t="shared" si="7"/>
        <v>238348.94</v>
      </c>
      <c r="Q253" s="100">
        <f t="shared" si="7"/>
        <v>-320.32</v>
      </c>
      <c r="R253" s="100">
        <f t="shared" si="7"/>
        <v>0</v>
      </c>
    </row>
    <row r="254" spans="1:18" ht="12.75" customHeight="1" x14ac:dyDescent="0.25">
      <c r="B254" s="776"/>
      <c r="C254" s="774"/>
      <c r="D254" s="98" t="s">
        <v>73</v>
      </c>
      <c r="E254" s="100">
        <f>E184</f>
        <v>42058665.259999998</v>
      </c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</row>
    <row r="255" spans="1:18" ht="12.75" customHeight="1" x14ac:dyDescent="0.3">
      <c r="A255" s="89"/>
      <c r="B255" s="97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</row>
    <row r="256" spans="1:18" ht="12.75" customHeight="1" x14ac:dyDescent="0.25">
      <c r="B256" s="776" t="s">
        <v>160</v>
      </c>
      <c r="C256" s="774" t="s">
        <v>132</v>
      </c>
      <c r="D256" s="223" t="s">
        <v>70</v>
      </c>
      <c r="E256" s="225">
        <v>0</v>
      </c>
      <c r="F256" s="225">
        <v>0</v>
      </c>
      <c r="G256" s="225">
        <v>0</v>
      </c>
      <c r="H256" s="225">
        <v>0</v>
      </c>
      <c r="I256" s="225">
        <v>0</v>
      </c>
      <c r="J256" s="225">
        <v>0</v>
      </c>
      <c r="K256" s="225">
        <v>0</v>
      </c>
      <c r="L256" s="225">
        <v>0</v>
      </c>
      <c r="M256" s="225">
        <v>0</v>
      </c>
      <c r="N256" s="225">
        <v>0</v>
      </c>
      <c r="O256" s="225">
        <v>0</v>
      </c>
      <c r="P256" s="225">
        <v>0</v>
      </c>
      <c r="Q256" s="225">
        <v>0</v>
      </c>
      <c r="R256" s="225">
        <v>0</v>
      </c>
    </row>
    <row r="257" spans="1:18" ht="12.75" customHeight="1" x14ac:dyDescent="0.25">
      <c r="B257" s="776"/>
      <c r="C257" s="774"/>
      <c r="D257" s="223" t="s">
        <v>73</v>
      </c>
      <c r="E257" s="225">
        <v>0</v>
      </c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</row>
    <row r="258" spans="1:18" ht="12.75" customHeight="1" x14ac:dyDescent="0.3">
      <c r="A258" s="89"/>
      <c r="B258" s="97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</row>
    <row r="259" spans="1:18" ht="12.75" customHeight="1" x14ac:dyDescent="0.25">
      <c r="B259" s="776" t="s">
        <v>155</v>
      </c>
      <c r="C259" s="774" t="s">
        <v>132</v>
      </c>
      <c r="D259" s="221" t="s">
        <v>70</v>
      </c>
      <c r="E259" s="222">
        <f>E176+E162+E158-K162-K158</f>
        <v>7725480.2100000009</v>
      </c>
      <c r="F259" s="222">
        <f>F158+F162</f>
        <v>601921.69999999995</v>
      </c>
      <c r="G259" s="222">
        <f t="shared" ref="G259:R259" si="8">G158+G162</f>
        <v>374356.35</v>
      </c>
      <c r="H259" s="222">
        <f t="shared" si="8"/>
        <v>174610.69</v>
      </c>
      <c r="I259" s="222">
        <f t="shared" si="8"/>
        <v>3702319.03</v>
      </c>
      <c r="J259" s="222">
        <f t="shared" si="8"/>
        <v>176426.36</v>
      </c>
      <c r="K259" s="222">
        <f t="shared" si="8"/>
        <v>0</v>
      </c>
      <c r="L259" s="222">
        <f t="shared" si="8"/>
        <v>675750.16</v>
      </c>
      <c r="M259" s="222">
        <f t="shared" si="8"/>
        <v>647317.25</v>
      </c>
      <c r="N259" s="222">
        <f t="shared" si="8"/>
        <v>3654107.28</v>
      </c>
      <c r="O259" s="222">
        <f t="shared" si="8"/>
        <v>1352461.4300000002</v>
      </c>
      <c r="P259" s="222">
        <f t="shared" si="8"/>
        <v>167278.56</v>
      </c>
      <c r="Q259" s="222">
        <f t="shared" si="8"/>
        <v>-228.86</v>
      </c>
      <c r="R259" s="222">
        <f t="shared" si="8"/>
        <v>0</v>
      </c>
    </row>
    <row r="260" spans="1:18" ht="12.75" customHeight="1" x14ac:dyDescent="0.25">
      <c r="B260" s="776"/>
      <c r="C260" s="774"/>
      <c r="D260" s="221" t="s">
        <v>73</v>
      </c>
      <c r="E260" s="222">
        <f>E176</f>
        <v>-3800839.74</v>
      </c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</row>
    <row r="261" spans="1:18" ht="12.75" customHeight="1" x14ac:dyDescent="0.25">
      <c r="B261" s="719"/>
      <c r="C261" s="220"/>
      <c r="D261" s="89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</row>
    <row r="262" spans="1:18" ht="12.75" customHeight="1" x14ac:dyDescent="0.25">
      <c r="B262" s="777" t="s">
        <v>326</v>
      </c>
      <c r="C262" s="774" t="s">
        <v>132</v>
      </c>
      <c r="D262" s="373" t="s">
        <v>70</v>
      </c>
      <c r="E262" s="374">
        <v>0</v>
      </c>
      <c r="F262" s="374">
        <v>0</v>
      </c>
      <c r="G262" s="374">
        <v>0</v>
      </c>
      <c r="H262" s="374">
        <v>0</v>
      </c>
      <c r="I262" s="374">
        <v>0</v>
      </c>
      <c r="J262" s="374">
        <v>0</v>
      </c>
      <c r="K262" s="374">
        <v>0</v>
      </c>
      <c r="L262" s="374">
        <v>0</v>
      </c>
      <c r="M262" s="374">
        <v>0</v>
      </c>
      <c r="N262" s="374">
        <v>0</v>
      </c>
      <c r="O262" s="374">
        <v>0</v>
      </c>
      <c r="P262" s="374">
        <v>0</v>
      </c>
      <c r="Q262" s="374">
        <v>0</v>
      </c>
      <c r="R262" s="374">
        <v>0</v>
      </c>
    </row>
    <row r="263" spans="1:18" ht="12.75" customHeight="1" x14ac:dyDescent="0.25">
      <c r="B263" s="777"/>
      <c r="C263" s="774"/>
      <c r="D263" s="373" t="s">
        <v>73</v>
      </c>
      <c r="E263" s="374">
        <v>0</v>
      </c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</row>
    <row r="264" spans="1:18" ht="12.75" customHeight="1" x14ac:dyDescent="0.25">
      <c r="B264" s="719"/>
      <c r="C264" s="220"/>
      <c r="D264" s="89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</row>
    <row r="265" spans="1:18" ht="12.75" customHeight="1" x14ac:dyDescent="0.25">
      <c r="B265" s="776" t="s">
        <v>119</v>
      </c>
      <c r="C265" s="774" t="s">
        <v>132</v>
      </c>
      <c r="D265" s="101" t="s">
        <v>70</v>
      </c>
      <c r="E265" s="93">
        <f>E172+E183-K172</f>
        <v>105322959.08999999</v>
      </c>
      <c r="F265" s="93">
        <f>F172</f>
        <v>12378064.34</v>
      </c>
      <c r="G265" s="93">
        <f t="shared" ref="G265:R265" si="9">G172</f>
        <v>6912023.2999999998</v>
      </c>
      <c r="H265" s="93">
        <f t="shared" si="9"/>
        <v>3668022.08</v>
      </c>
      <c r="I265" s="93">
        <f t="shared" si="9"/>
        <v>1965855.67</v>
      </c>
      <c r="J265" s="93">
        <f t="shared" si="9"/>
        <v>59826.25</v>
      </c>
      <c r="K265" s="93">
        <f t="shared" si="9"/>
        <v>34149.980000000003</v>
      </c>
      <c r="L265" s="93">
        <f t="shared" si="9"/>
        <v>456104.15</v>
      </c>
      <c r="M265" s="93">
        <f t="shared" si="9"/>
        <v>730334.15</v>
      </c>
      <c r="N265" s="93">
        <f t="shared" si="9"/>
        <v>2450993.4300000002</v>
      </c>
      <c r="O265" s="93">
        <f t="shared" si="9"/>
        <v>30771251.800000001</v>
      </c>
      <c r="P265" s="93">
        <f t="shared" si="9"/>
        <v>71070.38</v>
      </c>
      <c r="Q265" s="93">
        <f t="shared" si="9"/>
        <v>-91.46</v>
      </c>
      <c r="R265" s="93">
        <f t="shared" si="9"/>
        <v>0</v>
      </c>
    </row>
    <row r="266" spans="1:18" ht="12.75" customHeight="1" x14ac:dyDescent="0.25">
      <c r="B266" s="776"/>
      <c r="C266" s="774"/>
      <c r="D266" s="101" t="s">
        <v>73</v>
      </c>
      <c r="E266" s="93">
        <f>E183</f>
        <v>45859505</v>
      </c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</row>
    <row r="267" spans="1:18" ht="12.75" customHeight="1" x14ac:dyDescent="0.3">
      <c r="A267" s="89"/>
      <c r="B267" s="97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18" ht="12.75" customHeight="1" x14ac:dyDescent="0.25">
      <c r="B268" s="775" t="s">
        <v>161</v>
      </c>
      <c r="C268" s="774" t="s">
        <v>132</v>
      </c>
      <c r="D268" s="231" t="s">
        <v>70</v>
      </c>
      <c r="E268" s="232">
        <v>0</v>
      </c>
      <c r="F268" s="232">
        <v>0</v>
      </c>
      <c r="G268" s="232">
        <v>0</v>
      </c>
      <c r="H268" s="232">
        <v>0</v>
      </c>
      <c r="I268" s="232">
        <v>0</v>
      </c>
      <c r="J268" s="232">
        <v>0</v>
      </c>
      <c r="K268" s="232">
        <v>0</v>
      </c>
      <c r="L268" s="232">
        <v>0</v>
      </c>
      <c r="M268" s="232">
        <v>0</v>
      </c>
      <c r="N268" s="232">
        <v>0</v>
      </c>
      <c r="O268" s="232">
        <v>0</v>
      </c>
      <c r="P268" s="232">
        <v>0</v>
      </c>
      <c r="Q268" s="232">
        <v>0</v>
      </c>
      <c r="R268" s="232">
        <v>0</v>
      </c>
    </row>
    <row r="269" spans="1:18" ht="12.75" customHeight="1" x14ac:dyDescent="0.25">
      <c r="B269" s="775"/>
      <c r="C269" s="774"/>
      <c r="D269" s="231" t="s">
        <v>73</v>
      </c>
      <c r="E269" s="232">
        <v>0</v>
      </c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</row>
    <row r="270" spans="1:18" s="238" customFormat="1" x14ac:dyDescent="0.25"/>
    <row r="271" spans="1:18" ht="15" customHeight="1" x14ac:dyDescent="0.3">
      <c r="B271" s="97" t="s">
        <v>88</v>
      </c>
    </row>
    <row r="272" spans="1:18" ht="11.5" customHeight="1" x14ac:dyDescent="0.25">
      <c r="E272" s="89" t="s">
        <v>70</v>
      </c>
      <c r="F272" s="89" t="s">
        <v>64</v>
      </c>
      <c r="G272" s="89" t="s">
        <v>65</v>
      </c>
      <c r="H272" s="219" t="s">
        <v>164</v>
      </c>
      <c r="I272" s="89" t="s">
        <v>69</v>
      </c>
      <c r="J272" s="89" t="s">
        <v>68</v>
      </c>
      <c r="K272" s="89" t="s">
        <v>83</v>
      </c>
      <c r="L272" s="89" t="s">
        <v>66</v>
      </c>
      <c r="M272" s="89" t="s">
        <v>63</v>
      </c>
      <c r="N272" s="89" t="s">
        <v>61</v>
      </c>
      <c r="O272" s="89" t="s">
        <v>62</v>
      </c>
      <c r="P272" s="89" t="s">
        <v>67</v>
      </c>
      <c r="Q272" s="89" t="s">
        <v>84</v>
      </c>
      <c r="R272" s="384" t="s">
        <v>225</v>
      </c>
    </row>
    <row r="273" spans="2:18" ht="11.5" customHeight="1" x14ac:dyDescent="0.25">
      <c r="D273" t="s">
        <v>72</v>
      </c>
      <c r="E273" s="89">
        <v>65200</v>
      </c>
      <c r="F273" s="89">
        <v>0</v>
      </c>
      <c r="G273" s="89">
        <v>0</v>
      </c>
      <c r="H273" s="384">
        <v>0</v>
      </c>
      <c r="I273" s="89">
        <v>0</v>
      </c>
      <c r="J273" s="89">
        <v>0</v>
      </c>
      <c r="K273" s="89">
        <v>0</v>
      </c>
      <c r="L273" s="89">
        <v>8573.34</v>
      </c>
      <c r="M273" s="89">
        <v>12543.38</v>
      </c>
      <c r="N273" s="89">
        <v>30874.18</v>
      </c>
      <c r="O273" s="89">
        <v>13213.18</v>
      </c>
      <c r="P273" s="89">
        <v>0</v>
      </c>
      <c r="Q273" s="89">
        <v>-4.08</v>
      </c>
      <c r="R273" s="384">
        <v>0</v>
      </c>
    </row>
    <row r="274" spans="2:18" ht="11.5" customHeight="1" x14ac:dyDescent="0.25">
      <c r="C274" t="s">
        <v>332</v>
      </c>
      <c r="D274" t="s">
        <v>70</v>
      </c>
      <c r="E274" s="384">
        <v>65200</v>
      </c>
      <c r="F274" s="89">
        <v>0</v>
      </c>
      <c r="G274" s="89">
        <v>0</v>
      </c>
      <c r="H274" s="384">
        <v>0</v>
      </c>
      <c r="I274" s="89">
        <v>0</v>
      </c>
      <c r="J274" s="89">
        <v>0</v>
      </c>
      <c r="K274" s="89">
        <v>0</v>
      </c>
      <c r="L274" s="89">
        <v>8573.34</v>
      </c>
      <c r="M274" s="89">
        <v>12543.38</v>
      </c>
      <c r="N274" s="89">
        <v>30874.18</v>
      </c>
      <c r="O274" s="89">
        <v>13213.18</v>
      </c>
      <c r="P274" s="89">
        <v>0</v>
      </c>
      <c r="Q274" s="89">
        <v>-4.08</v>
      </c>
      <c r="R274" s="384">
        <v>0</v>
      </c>
    </row>
    <row r="275" spans="2:18" s="739" customFormat="1" ht="11.5" customHeight="1" x14ac:dyDescent="0.25">
      <c r="B275" s="739" t="s">
        <v>85</v>
      </c>
      <c r="C275" s="739" t="s">
        <v>70</v>
      </c>
      <c r="E275" s="770">
        <v>65200</v>
      </c>
      <c r="F275" s="231">
        <v>0</v>
      </c>
      <c r="G275" s="231">
        <v>0</v>
      </c>
      <c r="H275" s="770">
        <v>0</v>
      </c>
      <c r="I275" s="231">
        <v>0</v>
      </c>
      <c r="J275" s="231">
        <v>0</v>
      </c>
      <c r="K275" s="231">
        <v>0</v>
      </c>
      <c r="L275" s="231">
        <v>8573.34</v>
      </c>
      <c r="M275" s="231">
        <v>12543.38</v>
      </c>
      <c r="N275" s="231">
        <v>30874.18</v>
      </c>
      <c r="O275" s="231">
        <v>13213.18</v>
      </c>
      <c r="P275" s="231">
        <v>0</v>
      </c>
      <c r="Q275" s="231">
        <v>-4.08</v>
      </c>
      <c r="R275" s="770">
        <v>0</v>
      </c>
    </row>
    <row r="276" spans="2:18" ht="11.5" customHeight="1" x14ac:dyDescent="0.25">
      <c r="D276" t="s">
        <v>72</v>
      </c>
      <c r="E276" s="384">
        <v>68714420.420000002</v>
      </c>
      <c r="F276" s="89">
        <v>4895211.7699999996</v>
      </c>
      <c r="G276" s="89">
        <v>2735538</v>
      </c>
      <c r="H276" s="384">
        <v>1314029.25</v>
      </c>
      <c r="I276" s="89">
        <v>13547135.449999999</v>
      </c>
      <c r="J276" s="89">
        <v>563073.37</v>
      </c>
      <c r="K276" s="89">
        <v>0</v>
      </c>
      <c r="L276" s="89">
        <v>4872241.58</v>
      </c>
      <c r="M276" s="89">
        <v>4924747.43</v>
      </c>
      <c r="N276" s="89">
        <v>21693245.440000001</v>
      </c>
      <c r="O276" s="89">
        <v>13429215.779999999</v>
      </c>
      <c r="P276" s="89">
        <v>739746.82</v>
      </c>
      <c r="Q276" s="89">
        <v>235.53</v>
      </c>
      <c r="R276" s="384">
        <v>0</v>
      </c>
    </row>
    <row r="277" spans="2:18" ht="12.75" customHeight="1" x14ac:dyDescent="0.25">
      <c r="D277" t="s">
        <v>81</v>
      </c>
      <c r="E277" s="384">
        <v>100529.51</v>
      </c>
      <c r="F277" s="89">
        <v>9101.31</v>
      </c>
      <c r="G277" s="89">
        <v>4527.24</v>
      </c>
      <c r="H277" s="384">
        <v>2137.14</v>
      </c>
      <c r="I277" s="89">
        <v>21736.03</v>
      </c>
      <c r="J277" s="89">
        <v>829.63</v>
      </c>
      <c r="K277" s="89">
        <v>0</v>
      </c>
      <c r="L277" s="89">
        <v>7178.11</v>
      </c>
      <c r="M277" s="89">
        <v>7836.41</v>
      </c>
      <c r="N277" s="89">
        <v>21602.05</v>
      </c>
      <c r="O277" s="89">
        <v>24233.13</v>
      </c>
      <c r="P277" s="89">
        <v>1348.01</v>
      </c>
      <c r="Q277" s="89">
        <v>0.45</v>
      </c>
      <c r="R277" s="384">
        <v>0</v>
      </c>
    </row>
    <row r="278" spans="2:18" ht="12.75" customHeight="1" x14ac:dyDescent="0.25">
      <c r="C278" t="s">
        <v>156</v>
      </c>
      <c r="D278" t="s">
        <v>70</v>
      </c>
      <c r="E278" s="384">
        <v>68814949.930000007</v>
      </c>
      <c r="F278" s="89">
        <v>4904313.08</v>
      </c>
      <c r="G278" s="89">
        <v>2740065.24</v>
      </c>
      <c r="H278" s="384">
        <v>1316166.3899999999</v>
      </c>
      <c r="I278" s="89">
        <v>13568871.48</v>
      </c>
      <c r="J278" s="89">
        <v>563903</v>
      </c>
      <c r="K278" s="89">
        <v>0</v>
      </c>
      <c r="L278" s="89">
        <v>4879419.6900000004</v>
      </c>
      <c r="M278" s="89">
        <v>4932583.84</v>
      </c>
      <c r="N278" s="89">
        <v>21714847.489999998</v>
      </c>
      <c r="O278" s="89">
        <v>13453448.91</v>
      </c>
      <c r="P278" s="89">
        <v>741094.83</v>
      </c>
      <c r="Q278" s="89">
        <v>235.98</v>
      </c>
      <c r="R278">
        <v>0</v>
      </c>
    </row>
    <row r="279" spans="2:18" s="286" customFormat="1" ht="12.75" customHeight="1" x14ac:dyDescent="0.25">
      <c r="B279" s="286" t="s">
        <v>155</v>
      </c>
      <c r="C279" s="286" t="s">
        <v>70</v>
      </c>
      <c r="E279" s="753">
        <v>68814949.930000007</v>
      </c>
      <c r="F279" s="229">
        <v>4904313.08</v>
      </c>
      <c r="G279" s="229">
        <v>2740065.24</v>
      </c>
      <c r="H279" s="753">
        <v>1316166.3899999999</v>
      </c>
      <c r="I279" s="229">
        <v>13568871.48</v>
      </c>
      <c r="J279" s="229">
        <v>563903</v>
      </c>
      <c r="K279" s="229">
        <v>0</v>
      </c>
      <c r="L279" s="229">
        <v>4879419.6900000004</v>
      </c>
      <c r="M279" s="229">
        <v>4932583.84</v>
      </c>
      <c r="N279" s="229">
        <v>21714847.489999998</v>
      </c>
      <c r="O279" s="229">
        <v>13453448.91</v>
      </c>
      <c r="P279" s="229">
        <v>741094.83</v>
      </c>
      <c r="Q279" s="229">
        <v>235.98</v>
      </c>
      <c r="R279" s="286">
        <v>0</v>
      </c>
    </row>
    <row r="280" spans="2:18" ht="12.75" customHeight="1" x14ac:dyDescent="0.25">
      <c r="D280" t="s">
        <v>72</v>
      </c>
      <c r="E280" s="384">
        <v>3466726.24</v>
      </c>
      <c r="F280" s="89">
        <v>205023.32</v>
      </c>
      <c r="G280" s="89">
        <v>110875.97</v>
      </c>
      <c r="H280" s="384">
        <v>47292.72</v>
      </c>
      <c r="I280" s="89">
        <v>776320.57</v>
      </c>
      <c r="J280" s="89">
        <v>24341.09</v>
      </c>
      <c r="K280" s="89">
        <v>0</v>
      </c>
      <c r="L280" s="89">
        <v>225409.82</v>
      </c>
      <c r="M280" s="89">
        <v>243305.85</v>
      </c>
      <c r="N280" s="89">
        <v>1239272.56</v>
      </c>
      <c r="O280" s="89">
        <v>560128.56000000006</v>
      </c>
      <c r="P280" s="89">
        <v>34732.46</v>
      </c>
      <c r="Q280" s="89">
        <v>23.32</v>
      </c>
      <c r="R280">
        <v>0</v>
      </c>
    </row>
    <row r="281" spans="2:18" ht="12.75" customHeight="1" x14ac:dyDescent="0.25">
      <c r="D281" t="s">
        <v>81</v>
      </c>
      <c r="E281" s="384">
        <v>-145.30000000000001</v>
      </c>
      <c r="F281" s="89">
        <v>6.78</v>
      </c>
      <c r="G281" s="89">
        <v>3.78</v>
      </c>
      <c r="H281" s="384">
        <v>2.0099999999999998</v>
      </c>
      <c r="I281" s="89">
        <v>40.72</v>
      </c>
      <c r="J281" s="89">
        <v>1.38</v>
      </c>
      <c r="K281" s="89">
        <v>0</v>
      </c>
      <c r="L281" s="89">
        <v>12.09</v>
      </c>
      <c r="M281" s="89">
        <v>11.76</v>
      </c>
      <c r="N281" s="89">
        <v>-244.07</v>
      </c>
      <c r="O281" s="89">
        <v>17.940000000000001</v>
      </c>
      <c r="P281" s="89">
        <v>2.25</v>
      </c>
      <c r="Q281" s="89">
        <v>0.06</v>
      </c>
      <c r="R281">
        <v>0</v>
      </c>
    </row>
    <row r="282" spans="2:18" ht="12.75" customHeight="1" x14ac:dyDescent="0.25">
      <c r="C282" t="s">
        <v>115</v>
      </c>
      <c r="D282" t="s">
        <v>70</v>
      </c>
      <c r="E282" s="384">
        <v>3466580.94</v>
      </c>
      <c r="F282" s="89">
        <v>205030.1</v>
      </c>
      <c r="G282" s="89">
        <v>110879.75</v>
      </c>
      <c r="H282" s="384">
        <v>47294.73</v>
      </c>
      <c r="I282" s="89">
        <v>776361.29</v>
      </c>
      <c r="J282" s="89">
        <v>24342.47</v>
      </c>
      <c r="K282" s="89">
        <v>0</v>
      </c>
      <c r="L282" s="89">
        <v>225421.91</v>
      </c>
      <c r="M282" s="89">
        <v>243317.61</v>
      </c>
      <c r="N282" s="89">
        <v>1239028.49</v>
      </c>
      <c r="O282" s="89">
        <v>560146.5</v>
      </c>
      <c r="P282" s="89">
        <v>34734.71</v>
      </c>
      <c r="Q282" s="89">
        <v>23.38</v>
      </c>
      <c r="R282">
        <v>0</v>
      </c>
    </row>
    <row r="283" spans="2:18" ht="12.75" customHeight="1" x14ac:dyDescent="0.25">
      <c r="D283" t="s">
        <v>72</v>
      </c>
      <c r="E283" s="384">
        <v>532803.69999999995</v>
      </c>
      <c r="F283" s="89">
        <v>59588.43</v>
      </c>
      <c r="G283" s="89">
        <v>33305.47</v>
      </c>
      <c r="H283" s="384">
        <v>17745.189999999999</v>
      </c>
      <c r="I283" s="89">
        <v>89108.6</v>
      </c>
      <c r="J283" s="89">
        <v>3176.86</v>
      </c>
      <c r="K283" s="89">
        <v>0</v>
      </c>
      <c r="L283" s="89">
        <v>23127.64</v>
      </c>
      <c r="M283" s="89">
        <v>22061.13</v>
      </c>
      <c r="N283" s="89">
        <v>122413.18</v>
      </c>
      <c r="O283" s="89">
        <v>157988.38</v>
      </c>
      <c r="P283" s="89">
        <v>4291.91</v>
      </c>
      <c r="Q283" s="89">
        <v>-3.09</v>
      </c>
      <c r="R283">
        <v>0</v>
      </c>
    </row>
    <row r="284" spans="2:18" ht="12.75" customHeight="1" x14ac:dyDescent="0.25">
      <c r="C284" t="s">
        <v>116</v>
      </c>
      <c r="D284" t="s">
        <v>70</v>
      </c>
      <c r="E284" s="384">
        <v>532803.69999999995</v>
      </c>
      <c r="F284" s="89">
        <v>59588.43</v>
      </c>
      <c r="G284" s="89">
        <v>33305.47</v>
      </c>
      <c r="H284" s="384">
        <v>17745.189999999999</v>
      </c>
      <c r="I284" s="89">
        <v>89108.6</v>
      </c>
      <c r="J284" s="89">
        <v>3176.86</v>
      </c>
      <c r="K284" s="89">
        <v>0</v>
      </c>
      <c r="L284" s="89">
        <v>23127.64</v>
      </c>
      <c r="M284" s="89">
        <v>22061.13</v>
      </c>
      <c r="N284" s="89">
        <v>122413.18</v>
      </c>
      <c r="O284" s="89">
        <v>157988.38</v>
      </c>
      <c r="P284" s="89">
        <v>4291.91</v>
      </c>
      <c r="Q284" s="89">
        <v>-3.09</v>
      </c>
      <c r="R284">
        <v>0</v>
      </c>
    </row>
    <row r="285" spans="2:18" ht="12.75" customHeight="1" x14ac:dyDescent="0.25">
      <c r="B285" s="89"/>
      <c r="C285" s="89"/>
      <c r="D285" t="s">
        <v>72</v>
      </c>
      <c r="E285" s="371">
        <v>6390734.2999999998</v>
      </c>
      <c r="F285" s="90">
        <v>362089.5</v>
      </c>
      <c r="G285" s="90">
        <v>202267.41</v>
      </c>
      <c r="H285" s="90">
        <v>71249.84</v>
      </c>
      <c r="I285" s="90">
        <v>1581575.74</v>
      </c>
      <c r="J285" s="90">
        <v>55251.55</v>
      </c>
      <c r="K285" s="90">
        <v>0</v>
      </c>
      <c r="L285" s="90">
        <v>516823.44</v>
      </c>
      <c r="M285" s="90">
        <v>470272.99</v>
      </c>
      <c r="N285" s="90">
        <v>2029786.73</v>
      </c>
      <c r="O285" s="90">
        <v>1036240.18</v>
      </c>
      <c r="P285" s="90">
        <v>65182.06</v>
      </c>
      <c r="Q285" s="90">
        <v>-5.14</v>
      </c>
      <c r="R285">
        <v>0</v>
      </c>
    </row>
    <row r="286" spans="2:18" ht="12.75" customHeight="1" x14ac:dyDescent="0.25">
      <c r="B286" s="89"/>
      <c r="C286" s="89"/>
      <c r="D286" t="s">
        <v>81</v>
      </c>
      <c r="E286" s="371">
        <v>-216.72</v>
      </c>
      <c r="F286" s="90">
        <v>4.0999999999999996</v>
      </c>
      <c r="G286" s="90">
        <v>2.31</v>
      </c>
      <c r="H286" s="90">
        <v>1.22</v>
      </c>
      <c r="I286" s="90">
        <v>26.4</v>
      </c>
      <c r="J286" s="90">
        <v>0.89</v>
      </c>
      <c r="K286" s="90">
        <v>0</v>
      </c>
      <c r="L286" s="90">
        <v>7.85</v>
      </c>
      <c r="M286" s="90">
        <v>7.64</v>
      </c>
      <c r="N286" s="90">
        <v>-279.48</v>
      </c>
      <c r="O286" s="90">
        <v>10.9</v>
      </c>
      <c r="P286" s="90">
        <v>1.45</v>
      </c>
      <c r="Q286" s="90">
        <v>0</v>
      </c>
      <c r="R286">
        <v>0</v>
      </c>
    </row>
    <row r="287" spans="2:18" ht="12.75" customHeight="1" x14ac:dyDescent="0.25">
      <c r="B287" s="89"/>
      <c r="C287" s="89" t="s">
        <v>118</v>
      </c>
      <c r="D287" t="s">
        <v>70</v>
      </c>
      <c r="E287" s="371">
        <v>6390517.5800000001</v>
      </c>
      <c r="F287" s="90">
        <v>362093.6</v>
      </c>
      <c r="G287" s="90">
        <v>202269.72</v>
      </c>
      <c r="H287" s="90">
        <v>71251.06</v>
      </c>
      <c r="I287" s="90">
        <v>1581602.14</v>
      </c>
      <c r="J287" s="90">
        <v>55252.44</v>
      </c>
      <c r="K287" s="90">
        <v>0</v>
      </c>
      <c r="L287" s="90">
        <v>516831.29</v>
      </c>
      <c r="M287" s="90">
        <v>470280.63</v>
      </c>
      <c r="N287" s="90">
        <v>2029507.25</v>
      </c>
      <c r="O287" s="90">
        <v>1036251.08</v>
      </c>
      <c r="P287" s="90">
        <v>65183.51</v>
      </c>
      <c r="Q287" s="90">
        <v>-5.14</v>
      </c>
      <c r="R287">
        <v>0</v>
      </c>
    </row>
    <row r="288" spans="2:18" s="224" customFormat="1" ht="12.75" customHeight="1" x14ac:dyDescent="0.25">
      <c r="B288" s="224" t="s">
        <v>120</v>
      </c>
      <c r="C288" s="223" t="s">
        <v>70</v>
      </c>
      <c r="D288" s="223"/>
      <c r="E288" s="225">
        <v>10389902.220000001</v>
      </c>
      <c r="F288" s="225">
        <v>626712.13</v>
      </c>
      <c r="G288" s="225">
        <v>346454.94</v>
      </c>
      <c r="H288" s="225">
        <v>136290.98000000001</v>
      </c>
      <c r="I288" s="225">
        <v>2447072.0299999998</v>
      </c>
      <c r="J288" s="225">
        <v>82771.77</v>
      </c>
      <c r="K288" s="225">
        <v>0</v>
      </c>
      <c r="L288" s="225">
        <v>765380.84</v>
      </c>
      <c r="M288" s="225">
        <v>735659.37</v>
      </c>
      <c r="N288" s="225">
        <v>3390948.92</v>
      </c>
      <c r="O288" s="225">
        <v>1754385.96</v>
      </c>
      <c r="P288" s="225">
        <v>104210.13</v>
      </c>
      <c r="Q288" s="225">
        <v>15.15</v>
      </c>
      <c r="R288" s="224">
        <v>0</v>
      </c>
    </row>
    <row r="289" spans="1:18" ht="12.75" customHeight="1" x14ac:dyDescent="0.25">
      <c r="C289" s="89"/>
      <c r="D289" s="89" t="s">
        <v>72</v>
      </c>
      <c r="E289" s="371">
        <v>5565241.4400000004</v>
      </c>
      <c r="F289" s="90">
        <v>304818.65999999997</v>
      </c>
      <c r="G289" s="90">
        <v>175592.01</v>
      </c>
      <c r="H289" s="90">
        <v>79961.23</v>
      </c>
      <c r="I289" s="90">
        <v>1285208.55</v>
      </c>
      <c r="J289" s="90">
        <v>35758.129999999997</v>
      </c>
      <c r="K289" s="90">
        <v>0</v>
      </c>
      <c r="L289" s="90">
        <v>350530.3</v>
      </c>
      <c r="M289" s="90">
        <v>425808.76</v>
      </c>
      <c r="N289" s="90">
        <v>1942487.29</v>
      </c>
      <c r="O289" s="90">
        <v>911726.93</v>
      </c>
      <c r="P289" s="90">
        <v>53347.38</v>
      </c>
      <c r="Q289" s="90">
        <v>2.2000000000000002</v>
      </c>
      <c r="R289">
        <v>0</v>
      </c>
    </row>
    <row r="290" spans="1:18" ht="12.75" customHeight="1" x14ac:dyDescent="0.25">
      <c r="C290" s="89"/>
      <c r="D290" s="89" t="s">
        <v>81</v>
      </c>
      <c r="E290" s="371">
        <v>1089.26</v>
      </c>
      <c r="F290" s="90">
        <v>76.239999999999995</v>
      </c>
      <c r="G290" s="90">
        <v>43.02</v>
      </c>
      <c r="H290" s="90">
        <v>22.61</v>
      </c>
      <c r="I290" s="90">
        <v>366.95</v>
      </c>
      <c r="J290" s="90">
        <v>10.79</v>
      </c>
      <c r="K290" s="90">
        <v>0</v>
      </c>
      <c r="L290" s="90">
        <v>94.5</v>
      </c>
      <c r="M290" s="90">
        <v>114.98</v>
      </c>
      <c r="N290" s="90">
        <v>140.63999999999999</v>
      </c>
      <c r="O290" s="90">
        <v>201.93</v>
      </c>
      <c r="P290" s="90">
        <v>17.579999999999998</v>
      </c>
      <c r="Q290" s="90">
        <v>0.02</v>
      </c>
      <c r="R290">
        <v>0</v>
      </c>
    </row>
    <row r="291" spans="1:18" ht="12.75" customHeight="1" x14ac:dyDescent="0.25">
      <c r="C291" s="89" t="s">
        <v>82</v>
      </c>
      <c r="D291" s="89" t="s">
        <v>70</v>
      </c>
      <c r="E291" s="371">
        <v>5566330.7000000002</v>
      </c>
      <c r="F291" s="90">
        <v>304894.90000000002</v>
      </c>
      <c r="G291" s="90">
        <v>175635.03</v>
      </c>
      <c r="H291" s="90">
        <v>79983.839999999997</v>
      </c>
      <c r="I291" s="90">
        <v>1285575.5</v>
      </c>
      <c r="J291" s="90">
        <v>35768.92</v>
      </c>
      <c r="K291" s="90">
        <v>0</v>
      </c>
      <c r="L291" s="90">
        <v>350624.8</v>
      </c>
      <c r="M291" s="90">
        <v>425923.74</v>
      </c>
      <c r="N291" s="90">
        <v>1942627.93</v>
      </c>
      <c r="O291" s="90">
        <v>911928.86</v>
      </c>
      <c r="P291" s="90">
        <v>53364.959999999999</v>
      </c>
      <c r="Q291" s="90">
        <v>2.2200000000000002</v>
      </c>
      <c r="R291">
        <v>0</v>
      </c>
    </row>
    <row r="292" spans="1:18" ht="12.75" customHeight="1" x14ac:dyDescent="0.25">
      <c r="C292" s="89"/>
      <c r="D292" s="89" t="s">
        <v>72</v>
      </c>
      <c r="E292" s="371">
        <v>10871142.800000001</v>
      </c>
      <c r="F292" s="90">
        <v>506984.62</v>
      </c>
      <c r="G292" s="90">
        <v>308269.64</v>
      </c>
      <c r="H292" s="90">
        <v>139371.72</v>
      </c>
      <c r="I292" s="90">
        <v>2777170.93</v>
      </c>
      <c r="J292" s="90">
        <v>97216.6</v>
      </c>
      <c r="K292" s="90">
        <v>0</v>
      </c>
      <c r="L292" s="90">
        <v>798696.98</v>
      </c>
      <c r="M292" s="90">
        <v>896953.89</v>
      </c>
      <c r="N292" s="90">
        <v>3813009.85</v>
      </c>
      <c r="O292" s="90">
        <v>1408529.29</v>
      </c>
      <c r="P292" s="90">
        <v>124959.67</v>
      </c>
      <c r="Q292" s="90">
        <v>-20.39</v>
      </c>
      <c r="R292">
        <v>0</v>
      </c>
    </row>
    <row r="293" spans="1:18" ht="12.75" customHeight="1" x14ac:dyDescent="0.25">
      <c r="C293" s="89"/>
      <c r="D293" s="89" t="s">
        <v>81</v>
      </c>
      <c r="E293" s="371">
        <v>24122.73</v>
      </c>
      <c r="F293" s="90">
        <v>2026.55</v>
      </c>
      <c r="G293" s="90">
        <v>1069.5999999999999</v>
      </c>
      <c r="H293" s="90">
        <v>554.87</v>
      </c>
      <c r="I293" s="90">
        <v>6399.16</v>
      </c>
      <c r="J293" s="90">
        <v>232.39</v>
      </c>
      <c r="K293" s="90">
        <v>0</v>
      </c>
      <c r="L293" s="90">
        <v>1746.53</v>
      </c>
      <c r="M293" s="90">
        <v>2170.31</v>
      </c>
      <c r="N293" s="90">
        <v>4195.09</v>
      </c>
      <c r="O293" s="90">
        <v>5349.25</v>
      </c>
      <c r="P293" s="90">
        <v>378.89</v>
      </c>
      <c r="Q293" s="90">
        <v>0.09</v>
      </c>
      <c r="R293">
        <v>0</v>
      </c>
    </row>
    <row r="294" spans="1:18" ht="12.75" customHeight="1" x14ac:dyDescent="0.25">
      <c r="C294" s="89" t="s">
        <v>86</v>
      </c>
      <c r="D294" s="89" t="s">
        <v>70</v>
      </c>
      <c r="E294" s="371">
        <v>10895265.529999999</v>
      </c>
      <c r="F294" s="90">
        <v>509011.17</v>
      </c>
      <c r="G294" s="90">
        <v>309339.24</v>
      </c>
      <c r="H294" s="90">
        <v>139926.59</v>
      </c>
      <c r="I294" s="90">
        <v>2783570.09</v>
      </c>
      <c r="J294" s="90">
        <v>97448.99</v>
      </c>
      <c r="K294" s="90">
        <v>0</v>
      </c>
      <c r="L294" s="90">
        <v>800443.51</v>
      </c>
      <c r="M294" s="90">
        <v>899124.2</v>
      </c>
      <c r="N294" s="90">
        <v>3817204.94</v>
      </c>
      <c r="O294" s="90">
        <v>1413878.54</v>
      </c>
      <c r="P294" s="90">
        <v>125338.56</v>
      </c>
      <c r="Q294" s="90">
        <v>-20.3</v>
      </c>
      <c r="R294">
        <v>0</v>
      </c>
    </row>
    <row r="295" spans="1:18" ht="12.75" customHeight="1" x14ac:dyDescent="0.25">
      <c r="C295" s="89"/>
      <c r="D295" s="89" t="s">
        <v>72</v>
      </c>
      <c r="E295" s="371">
        <v>23521020.359999999</v>
      </c>
      <c r="F295" s="90">
        <v>3379530.51</v>
      </c>
      <c r="G295" s="90">
        <v>1879976.47</v>
      </c>
      <c r="H295" s="90">
        <v>1000044.14</v>
      </c>
      <c r="I295" s="90">
        <v>2485405.2400000002</v>
      </c>
      <c r="J295" s="90">
        <v>64357.25</v>
      </c>
      <c r="K295" s="90">
        <v>858000</v>
      </c>
      <c r="L295" s="90">
        <v>572441.4</v>
      </c>
      <c r="M295" s="90">
        <v>803657.52</v>
      </c>
      <c r="N295" s="90">
        <v>3784959.27</v>
      </c>
      <c r="O295" s="90">
        <v>8591493.2300000004</v>
      </c>
      <c r="P295" s="90">
        <v>101147.02</v>
      </c>
      <c r="Q295" s="90">
        <v>8.31</v>
      </c>
      <c r="R295">
        <v>0</v>
      </c>
    </row>
    <row r="296" spans="1:18" ht="12.75" customHeight="1" x14ac:dyDescent="0.25">
      <c r="C296" s="89"/>
      <c r="D296" s="89" t="s">
        <v>81</v>
      </c>
      <c r="E296" s="371">
        <v>15576.21</v>
      </c>
      <c r="F296" s="90">
        <v>1456.57</v>
      </c>
      <c r="G296" s="90">
        <v>683.12</v>
      </c>
      <c r="H296" s="90">
        <v>387.73</v>
      </c>
      <c r="I296" s="90">
        <v>3074.16</v>
      </c>
      <c r="J296" s="90">
        <v>82.27</v>
      </c>
      <c r="K296" s="90">
        <v>314.69</v>
      </c>
      <c r="L296" s="90">
        <v>721.78</v>
      </c>
      <c r="M296" s="90">
        <v>849.74</v>
      </c>
      <c r="N296" s="90">
        <v>3973.47</v>
      </c>
      <c r="O296" s="90">
        <v>3898.3</v>
      </c>
      <c r="P296" s="90">
        <v>134.36000000000001</v>
      </c>
      <c r="Q296" s="90">
        <v>0.02</v>
      </c>
      <c r="R296">
        <v>0</v>
      </c>
    </row>
    <row r="297" spans="1:18" ht="12.75" customHeight="1" x14ac:dyDescent="0.25">
      <c r="A297" s="89"/>
      <c r="B297" s="89"/>
      <c r="C297" t="s">
        <v>87</v>
      </c>
      <c r="D297" t="s">
        <v>70</v>
      </c>
      <c r="E297" s="90">
        <v>23536596.57</v>
      </c>
      <c r="F297" s="90">
        <v>3380987.08</v>
      </c>
      <c r="G297" s="90">
        <v>1880659.59</v>
      </c>
      <c r="H297" s="90">
        <v>1000431.87</v>
      </c>
      <c r="I297" s="90">
        <v>2488479.4</v>
      </c>
      <c r="J297" s="90">
        <v>64439.519999999997</v>
      </c>
      <c r="K297" s="90">
        <v>858314.69</v>
      </c>
      <c r="L297" s="90">
        <v>573163.18000000005</v>
      </c>
      <c r="M297" s="90">
        <v>804507.26</v>
      </c>
      <c r="N297" s="90">
        <v>3788932.74</v>
      </c>
      <c r="O297" s="90">
        <v>8595391.5299999993</v>
      </c>
      <c r="P297" s="90">
        <v>101281.38</v>
      </c>
      <c r="Q297" s="90">
        <v>8.33</v>
      </c>
      <c r="R297">
        <v>0</v>
      </c>
    </row>
    <row r="298" spans="1:18" s="94" customFormat="1" ht="12.75" customHeight="1" x14ac:dyDescent="0.25">
      <c r="B298" s="101" t="s">
        <v>119</v>
      </c>
      <c r="C298" s="101" t="s">
        <v>70</v>
      </c>
      <c r="E298" s="93">
        <v>39998192.799999997</v>
      </c>
      <c r="F298" s="93">
        <v>4194893.1500000004</v>
      </c>
      <c r="G298" s="93">
        <v>2365633.86</v>
      </c>
      <c r="H298" s="93">
        <v>1220342.3</v>
      </c>
      <c r="I298" s="93">
        <v>6557624.9900000002</v>
      </c>
      <c r="J298" s="93">
        <v>197657.43</v>
      </c>
      <c r="K298" s="93">
        <v>858314.69</v>
      </c>
      <c r="L298" s="93">
        <v>1724231.49</v>
      </c>
      <c r="M298" s="93">
        <v>2129555.2000000002</v>
      </c>
      <c r="N298" s="93">
        <v>9548765.6099999994</v>
      </c>
      <c r="O298" s="93">
        <v>10921198.93</v>
      </c>
      <c r="P298" s="93">
        <v>279984.90000000002</v>
      </c>
      <c r="Q298" s="93">
        <v>-9.75</v>
      </c>
      <c r="R298" s="94">
        <v>0</v>
      </c>
    </row>
    <row r="299" spans="1:18" s="226" customFormat="1" ht="12.75" customHeight="1" x14ac:dyDescent="0.25">
      <c r="A299" s="98" t="s">
        <v>78</v>
      </c>
      <c r="B299" s="98" t="s">
        <v>70</v>
      </c>
      <c r="E299" s="100">
        <v>119268244.95</v>
      </c>
      <c r="F299" s="100">
        <v>9725918.3599999994</v>
      </c>
      <c r="G299" s="100">
        <v>5452154.04</v>
      </c>
      <c r="H299" s="100">
        <v>2672799.67</v>
      </c>
      <c r="I299" s="100">
        <v>22573568.5</v>
      </c>
      <c r="J299" s="100">
        <v>844332.2</v>
      </c>
      <c r="K299" s="100">
        <v>858314.69</v>
      </c>
      <c r="L299" s="100">
        <v>7377605.3600000003</v>
      </c>
      <c r="M299" s="100">
        <v>7810341.79</v>
      </c>
      <c r="N299" s="100">
        <v>34685436.200000003</v>
      </c>
      <c r="O299" s="100">
        <v>26142246.98</v>
      </c>
      <c r="P299" s="100">
        <v>1125289.8600000001</v>
      </c>
      <c r="Q299" s="100">
        <v>237.3</v>
      </c>
      <c r="R299" s="226">
        <v>0</v>
      </c>
    </row>
    <row r="300" spans="1:18" ht="12.75" customHeight="1" x14ac:dyDescent="0.25">
      <c r="B300" s="89"/>
      <c r="C300" s="89"/>
      <c r="D300" t="s">
        <v>73</v>
      </c>
      <c r="E300" s="371">
        <v>-8893373.3599999994</v>
      </c>
      <c r="F300" s="90">
        <v>-183502.75</v>
      </c>
      <c r="G300" s="90">
        <v>-105577.79</v>
      </c>
      <c r="H300" s="90">
        <v>-52212.49</v>
      </c>
      <c r="I300" s="90">
        <v>-2364321.11</v>
      </c>
      <c r="J300" s="90">
        <v>-90917.32</v>
      </c>
      <c r="K300" s="90">
        <v>0</v>
      </c>
      <c r="L300" s="90">
        <v>-790049.46</v>
      </c>
      <c r="M300" s="90">
        <v>-760783.95</v>
      </c>
      <c r="N300" s="90">
        <v>-3939721.02</v>
      </c>
      <c r="O300" s="90">
        <v>-459769.26</v>
      </c>
      <c r="P300" s="90">
        <v>-146518.21</v>
      </c>
      <c r="Q300" s="90">
        <v>0</v>
      </c>
      <c r="R300">
        <v>0</v>
      </c>
    </row>
    <row r="301" spans="1:18" ht="12.75" customHeight="1" x14ac:dyDescent="0.25">
      <c r="B301" s="89"/>
      <c r="C301" s="89" t="s">
        <v>156</v>
      </c>
      <c r="D301" t="s">
        <v>70</v>
      </c>
      <c r="E301" s="371">
        <v>-8893373.3599999994</v>
      </c>
      <c r="F301" s="90">
        <v>-183502.75</v>
      </c>
      <c r="G301" s="90">
        <v>-105577.79</v>
      </c>
      <c r="H301" s="90">
        <v>-52212.49</v>
      </c>
      <c r="I301" s="90">
        <v>-2364321.11</v>
      </c>
      <c r="J301" s="90">
        <v>-90917.32</v>
      </c>
      <c r="K301" s="90">
        <v>0</v>
      </c>
      <c r="L301" s="90">
        <v>-790049.46</v>
      </c>
      <c r="M301" s="90">
        <v>-760783.95</v>
      </c>
      <c r="N301" s="90">
        <v>-3939721.02</v>
      </c>
      <c r="O301" s="90">
        <v>-459769.26</v>
      </c>
      <c r="P301" s="90">
        <v>-146518.21</v>
      </c>
      <c r="Q301" s="90">
        <v>0</v>
      </c>
      <c r="R301">
        <v>0</v>
      </c>
    </row>
    <row r="302" spans="1:18" s="286" customFormat="1" ht="12.75" customHeight="1" x14ac:dyDescent="0.25">
      <c r="B302" s="229" t="s">
        <v>155</v>
      </c>
      <c r="C302" s="229" t="s">
        <v>70</v>
      </c>
      <c r="E302" s="752">
        <v>-8893373.3599999994</v>
      </c>
      <c r="F302" s="230">
        <v>-183502.75</v>
      </c>
      <c r="G302" s="230">
        <v>-105577.79</v>
      </c>
      <c r="H302" s="230">
        <v>-52212.49</v>
      </c>
      <c r="I302" s="230">
        <v>-2364321.11</v>
      </c>
      <c r="J302" s="230">
        <v>-90917.32</v>
      </c>
      <c r="K302" s="230">
        <v>0</v>
      </c>
      <c r="L302" s="230">
        <v>-790049.46</v>
      </c>
      <c r="M302" s="230">
        <v>-760783.95</v>
      </c>
      <c r="N302" s="230">
        <v>-3939721.02</v>
      </c>
      <c r="O302" s="230">
        <v>-459769.26</v>
      </c>
      <c r="P302" s="230">
        <v>-146518.21</v>
      </c>
      <c r="Q302" s="230">
        <v>0</v>
      </c>
      <c r="R302" s="286">
        <v>0</v>
      </c>
    </row>
    <row r="303" spans="1:18" ht="12.75" customHeight="1" x14ac:dyDescent="0.25">
      <c r="B303" s="89"/>
      <c r="C303" s="89"/>
      <c r="D303" t="s">
        <v>73</v>
      </c>
      <c r="E303" s="371">
        <v>-22715.23</v>
      </c>
      <c r="F303" s="90">
        <v>13607.71</v>
      </c>
      <c r="G303" s="90">
        <v>6689.87</v>
      </c>
      <c r="H303" s="90">
        <v>3629.95</v>
      </c>
      <c r="I303" s="90">
        <v>-47209.46</v>
      </c>
      <c r="J303" s="90">
        <v>-914.26</v>
      </c>
      <c r="K303" s="90">
        <v>0</v>
      </c>
      <c r="L303" s="90">
        <v>-8035.54</v>
      </c>
      <c r="M303" s="90">
        <v>-6861.14</v>
      </c>
      <c r="N303" s="90">
        <v>-18750.919999999998</v>
      </c>
      <c r="O303" s="90">
        <v>36624.93</v>
      </c>
      <c r="P303" s="90">
        <v>-1496.37</v>
      </c>
      <c r="Q303" s="90">
        <v>0</v>
      </c>
      <c r="R303">
        <v>0</v>
      </c>
    </row>
    <row r="304" spans="1:18" ht="12.75" customHeight="1" x14ac:dyDescent="0.25">
      <c r="B304" s="89"/>
      <c r="C304" s="89" t="s">
        <v>115</v>
      </c>
      <c r="D304" t="s">
        <v>70</v>
      </c>
      <c r="E304" s="371">
        <v>-22715.23</v>
      </c>
      <c r="F304" s="90">
        <v>13607.71</v>
      </c>
      <c r="G304" s="90">
        <v>6689.87</v>
      </c>
      <c r="H304" s="90">
        <v>3629.95</v>
      </c>
      <c r="I304" s="90">
        <v>-47209.46</v>
      </c>
      <c r="J304" s="90">
        <v>-914.26</v>
      </c>
      <c r="K304" s="90">
        <v>0</v>
      </c>
      <c r="L304" s="90">
        <v>-8035.54</v>
      </c>
      <c r="M304" s="90">
        <v>-6861.14</v>
      </c>
      <c r="N304" s="90">
        <v>-18750.919999999998</v>
      </c>
      <c r="O304" s="90">
        <v>36624.93</v>
      </c>
      <c r="P304" s="90">
        <v>-1496.37</v>
      </c>
      <c r="Q304" s="90">
        <v>0</v>
      </c>
      <c r="R304">
        <v>0</v>
      </c>
    </row>
    <row r="305" spans="1:18" ht="12.75" customHeight="1" x14ac:dyDescent="0.25">
      <c r="B305" s="89"/>
      <c r="C305" s="89"/>
      <c r="D305" t="s">
        <v>73</v>
      </c>
      <c r="E305" s="371">
        <v>241094.93</v>
      </c>
      <c r="F305" s="90">
        <v>40660.400000000001</v>
      </c>
      <c r="G305" s="90">
        <v>22300.83</v>
      </c>
      <c r="H305" s="90">
        <v>12138.2</v>
      </c>
      <c r="I305" s="90">
        <v>18118.39</v>
      </c>
      <c r="J305" s="90">
        <v>445.56</v>
      </c>
      <c r="K305" s="90">
        <v>0</v>
      </c>
      <c r="L305" s="90">
        <v>3908.25</v>
      </c>
      <c r="M305" s="90">
        <v>5702.92</v>
      </c>
      <c r="N305" s="90">
        <v>29391.42</v>
      </c>
      <c r="O305" s="90">
        <v>107702.03</v>
      </c>
      <c r="P305" s="90">
        <v>726.93</v>
      </c>
      <c r="Q305" s="90">
        <v>0</v>
      </c>
      <c r="R305">
        <v>0</v>
      </c>
    </row>
    <row r="306" spans="1:18" ht="12.75" customHeight="1" x14ac:dyDescent="0.25">
      <c r="B306" s="89"/>
      <c r="C306" s="89" t="s">
        <v>116</v>
      </c>
      <c r="D306" t="s">
        <v>70</v>
      </c>
      <c r="E306" s="371">
        <v>241094.93</v>
      </c>
      <c r="F306" s="90">
        <v>40660.400000000001</v>
      </c>
      <c r="G306" s="90">
        <v>22300.83</v>
      </c>
      <c r="H306" s="90">
        <v>12138.2</v>
      </c>
      <c r="I306" s="90">
        <v>18118.39</v>
      </c>
      <c r="J306" s="90">
        <v>445.56</v>
      </c>
      <c r="K306" s="90">
        <v>0</v>
      </c>
      <c r="L306" s="90">
        <v>3908.25</v>
      </c>
      <c r="M306" s="90">
        <v>5702.92</v>
      </c>
      <c r="N306" s="90">
        <v>29391.42</v>
      </c>
      <c r="O306" s="90">
        <v>107702.03</v>
      </c>
      <c r="P306" s="90">
        <v>726.93</v>
      </c>
      <c r="Q306" s="90">
        <v>0</v>
      </c>
      <c r="R306">
        <v>0</v>
      </c>
    </row>
    <row r="307" spans="1:18" ht="12.75" customHeight="1" x14ac:dyDescent="0.25">
      <c r="B307" s="89"/>
      <c r="C307" s="89"/>
      <c r="D307" t="s">
        <v>73</v>
      </c>
      <c r="E307" s="371">
        <v>-824644.56</v>
      </c>
      <c r="F307" s="90">
        <v>-11603.5</v>
      </c>
      <c r="G307" s="90">
        <v>-6469.33</v>
      </c>
      <c r="H307" s="90">
        <v>-2877.19</v>
      </c>
      <c r="I307" s="90">
        <v>-234878.39</v>
      </c>
      <c r="J307" s="90">
        <v>-8928.66</v>
      </c>
      <c r="K307" s="90">
        <v>0</v>
      </c>
      <c r="L307" s="90">
        <v>-79529.77</v>
      </c>
      <c r="M307" s="90">
        <v>-72587.53</v>
      </c>
      <c r="N307" s="90">
        <v>-362749.61</v>
      </c>
      <c r="O307" s="90">
        <v>-30640.23</v>
      </c>
      <c r="P307" s="90">
        <v>-14380.35</v>
      </c>
      <c r="Q307" s="90">
        <v>0</v>
      </c>
      <c r="R307">
        <v>0</v>
      </c>
    </row>
    <row r="308" spans="1:18" ht="12.75" customHeight="1" x14ac:dyDescent="0.25">
      <c r="B308" s="89"/>
      <c r="C308" s="89" t="s">
        <v>118</v>
      </c>
      <c r="D308" t="s">
        <v>70</v>
      </c>
      <c r="E308" s="371">
        <v>-824644.56</v>
      </c>
      <c r="F308" s="90">
        <v>-11603.5</v>
      </c>
      <c r="G308" s="90">
        <v>-6469.33</v>
      </c>
      <c r="H308" s="90">
        <v>-2877.19</v>
      </c>
      <c r="I308" s="90">
        <v>-234878.39</v>
      </c>
      <c r="J308" s="90">
        <v>-8928.66</v>
      </c>
      <c r="K308" s="90">
        <v>0</v>
      </c>
      <c r="L308" s="90">
        <v>-79529.77</v>
      </c>
      <c r="M308" s="90">
        <v>-72587.53</v>
      </c>
      <c r="N308" s="90">
        <v>-362749.61</v>
      </c>
      <c r="O308" s="90">
        <v>-30640.23</v>
      </c>
      <c r="P308" s="90">
        <v>-14380.35</v>
      </c>
      <c r="Q308" s="90">
        <v>0</v>
      </c>
      <c r="R308">
        <v>0</v>
      </c>
    </row>
    <row r="309" spans="1:18" s="224" customFormat="1" ht="12.75" customHeight="1" x14ac:dyDescent="0.25">
      <c r="B309" s="224" t="s">
        <v>120</v>
      </c>
      <c r="C309" s="224" t="s">
        <v>70</v>
      </c>
      <c r="D309" s="223"/>
      <c r="E309" s="225">
        <v>-606264.86</v>
      </c>
      <c r="F309" s="225">
        <v>42664.61</v>
      </c>
      <c r="G309" s="225">
        <v>22521.37</v>
      </c>
      <c r="H309" s="225">
        <v>12890.96</v>
      </c>
      <c r="I309" s="225">
        <v>-263969.46000000002</v>
      </c>
      <c r="J309" s="225">
        <v>-9397.36</v>
      </c>
      <c r="K309" s="225">
        <v>0</v>
      </c>
      <c r="L309" s="225">
        <v>-83657.06</v>
      </c>
      <c r="M309" s="225">
        <v>-73745.75</v>
      </c>
      <c r="N309" s="225">
        <v>-352109.11</v>
      </c>
      <c r="O309" s="225">
        <v>113686.73</v>
      </c>
      <c r="P309" s="225">
        <v>-15149.79</v>
      </c>
      <c r="Q309" s="225">
        <v>0</v>
      </c>
      <c r="R309" s="224">
        <v>0</v>
      </c>
    </row>
    <row r="310" spans="1:18" ht="12.75" customHeight="1" x14ac:dyDescent="0.25">
      <c r="D310" s="89" t="s">
        <v>73</v>
      </c>
      <c r="E310" s="371">
        <v>-100962.73</v>
      </c>
      <c r="F310" s="90">
        <v>18047.099999999999</v>
      </c>
      <c r="G310" s="90">
        <v>10018.58</v>
      </c>
      <c r="H310" s="90">
        <v>3829.57</v>
      </c>
      <c r="I310" s="90">
        <v>-68888.800000000003</v>
      </c>
      <c r="J310" s="90">
        <v>-1958.82</v>
      </c>
      <c r="K310" s="90">
        <v>0</v>
      </c>
      <c r="L310" s="90">
        <v>-12720.2</v>
      </c>
      <c r="M310" s="90">
        <v>-15346.09</v>
      </c>
      <c r="N310" s="90">
        <v>-79954.86</v>
      </c>
      <c r="O310" s="90">
        <v>49246.92</v>
      </c>
      <c r="P310" s="90">
        <v>-3236.13</v>
      </c>
      <c r="Q310" s="90">
        <v>0</v>
      </c>
      <c r="R310">
        <v>0</v>
      </c>
    </row>
    <row r="311" spans="1:18" ht="12.75" customHeight="1" x14ac:dyDescent="0.25">
      <c r="C311" t="s">
        <v>82</v>
      </c>
      <c r="D311" s="89" t="s">
        <v>70</v>
      </c>
      <c r="E311" s="371">
        <v>-100962.73</v>
      </c>
      <c r="F311" s="90">
        <v>18047.099999999999</v>
      </c>
      <c r="G311" s="90">
        <v>10018.58</v>
      </c>
      <c r="H311" s="90">
        <v>3829.57</v>
      </c>
      <c r="I311" s="90">
        <v>-68888.800000000003</v>
      </c>
      <c r="J311" s="90">
        <v>-1958.82</v>
      </c>
      <c r="K311" s="90">
        <v>0</v>
      </c>
      <c r="L311" s="90">
        <v>-12720.2</v>
      </c>
      <c r="M311" s="90">
        <v>-15346.09</v>
      </c>
      <c r="N311" s="90">
        <v>-79954.86</v>
      </c>
      <c r="O311" s="90">
        <v>49246.92</v>
      </c>
      <c r="P311" s="90">
        <v>-3236.13</v>
      </c>
      <c r="Q311" s="90">
        <v>0</v>
      </c>
      <c r="R311">
        <v>0</v>
      </c>
    </row>
    <row r="312" spans="1:18" ht="12.75" customHeight="1" x14ac:dyDescent="0.25">
      <c r="D312" s="89" t="s">
        <v>73</v>
      </c>
      <c r="E312" s="371">
        <v>-2405130.37</v>
      </c>
      <c r="F312" s="90">
        <v>-105989.45</v>
      </c>
      <c r="G312" s="90">
        <v>-62008.22</v>
      </c>
      <c r="H312" s="90">
        <v>-32554.91</v>
      </c>
      <c r="I312" s="90">
        <v>-605058.16</v>
      </c>
      <c r="J312" s="90">
        <v>-20312.34</v>
      </c>
      <c r="K312" s="90">
        <v>0</v>
      </c>
      <c r="L312" s="90">
        <v>-177985.14</v>
      </c>
      <c r="M312" s="90">
        <v>-179019.47</v>
      </c>
      <c r="N312" s="90">
        <v>-922082.95</v>
      </c>
      <c r="O312" s="90">
        <v>-266473.46999999997</v>
      </c>
      <c r="P312" s="90">
        <v>-33646.26</v>
      </c>
      <c r="Q312" s="90">
        <v>0</v>
      </c>
      <c r="R312">
        <v>0</v>
      </c>
    </row>
    <row r="313" spans="1:18" ht="12.75" customHeight="1" x14ac:dyDescent="0.25">
      <c r="C313" t="s">
        <v>86</v>
      </c>
      <c r="D313" s="89" t="s">
        <v>70</v>
      </c>
      <c r="E313" s="371">
        <v>-2405130.37</v>
      </c>
      <c r="F313" s="90">
        <v>-105989.45</v>
      </c>
      <c r="G313" s="90">
        <v>-62008.22</v>
      </c>
      <c r="H313" s="90">
        <v>-32554.91</v>
      </c>
      <c r="I313" s="90">
        <v>-605058.16</v>
      </c>
      <c r="J313" s="90">
        <v>-20312.34</v>
      </c>
      <c r="K313" s="90">
        <v>0</v>
      </c>
      <c r="L313" s="90">
        <v>-177985.14</v>
      </c>
      <c r="M313" s="90">
        <v>-179019.47</v>
      </c>
      <c r="N313" s="90">
        <v>-922082.95</v>
      </c>
      <c r="O313" s="90">
        <v>-266473.46999999997</v>
      </c>
      <c r="P313" s="90">
        <v>-33646.26</v>
      </c>
      <c r="Q313" s="90">
        <v>0</v>
      </c>
      <c r="R313">
        <v>0</v>
      </c>
    </row>
    <row r="314" spans="1:18" ht="12.75" customHeight="1" x14ac:dyDescent="0.25">
      <c r="C314" s="89"/>
      <c r="D314" s="89" t="s">
        <v>73</v>
      </c>
      <c r="E314" s="90">
        <v>1841921.41</v>
      </c>
      <c r="F314" s="90">
        <v>158507.57999999999</v>
      </c>
      <c r="G314" s="90">
        <v>97164.78</v>
      </c>
      <c r="H314" s="90">
        <v>51749.43</v>
      </c>
      <c r="I314" s="90">
        <v>321537.64</v>
      </c>
      <c r="J314" s="90">
        <v>2886.43</v>
      </c>
      <c r="K314" s="90">
        <v>0</v>
      </c>
      <c r="L314" s="90">
        <v>75585.81</v>
      </c>
      <c r="M314" s="90">
        <v>93928.56</v>
      </c>
      <c r="N314" s="90">
        <v>523962.18</v>
      </c>
      <c r="O314" s="90">
        <v>509985.89</v>
      </c>
      <c r="P314" s="90">
        <v>6613.11</v>
      </c>
      <c r="Q314" s="90">
        <v>0</v>
      </c>
      <c r="R314">
        <v>0</v>
      </c>
    </row>
    <row r="315" spans="1:18" ht="12.75" customHeight="1" x14ac:dyDescent="0.25">
      <c r="B315" s="89"/>
      <c r="C315" s="89" t="s">
        <v>87</v>
      </c>
      <c r="D315" t="s">
        <v>70</v>
      </c>
      <c r="E315" s="90">
        <v>1841921.41</v>
      </c>
      <c r="F315" s="90">
        <v>158507.57999999999</v>
      </c>
      <c r="G315" s="90">
        <v>97164.78</v>
      </c>
      <c r="H315" s="90">
        <v>51749.43</v>
      </c>
      <c r="I315" s="90">
        <v>321537.64</v>
      </c>
      <c r="J315" s="90">
        <v>2886.43</v>
      </c>
      <c r="K315" s="90">
        <v>0</v>
      </c>
      <c r="L315" s="90">
        <v>75585.81</v>
      </c>
      <c r="M315" s="90">
        <v>93928.56</v>
      </c>
      <c r="N315" s="90">
        <v>523962.18</v>
      </c>
      <c r="O315" s="90">
        <v>509985.89</v>
      </c>
      <c r="P315" s="90">
        <v>6613.11</v>
      </c>
      <c r="Q315" s="90">
        <v>0</v>
      </c>
      <c r="R315">
        <v>0</v>
      </c>
    </row>
    <row r="316" spans="1:18" s="94" customFormat="1" ht="12.75" customHeight="1" x14ac:dyDescent="0.25">
      <c r="B316" s="101" t="s">
        <v>119</v>
      </c>
      <c r="C316" s="101" t="s">
        <v>70</v>
      </c>
      <c r="E316" s="93">
        <v>-664171.68999999994</v>
      </c>
      <c r="F316" s="93">
        <v>70565.23</v>
      </c>
      <c r="G316" s="93">
        <v>45175.14</v>
      </c>
      <c r="H316" s="93">
        <v>23024.09</v>
      </c>
      <c r="I316" s="93">
        <v>-352409.32</v>
      </c>
      <c r="J316" s="93">
        <v>-19384.73</v>
      </c>
      <c r="K316" s="93">
        <v>0</v>
      </c>
      <c r="L316" s="93">
        <v>-115119.53</v>
      </c>
      <c r="M316" s="93">
        <v>-100437</v>
      </c>
      <c r="N316" s="93">
        <v>-478075.63</v>
      </c>
      <c r="O316" s="93">
        <v>292759.34000000003</v>
      </c>
      <c r="P316" s="93">
        <v>-30269.279999999999</v>
      </c>
      <c r="Q316" s="93">
        <v>0</v>
      </c>
      <c r="R316" s="94">
        <v>0</v>
      </c>
    </row>
    <row r="317" spans="1:18" s="226" customFormat="1" ht="12.75" customHeight="1" x14ac:dyDescent="0.25">
      <c r="A317" s="98" t="s">
        <v>79</v>
      </c>
      <c r="B317" s="98" t="s">
        <v>70</v>
      </c>
      <c r="E317" s="100">
        <v>-10163809.91</v>
      </c>
      <c r="F317" s="100">
        <v>-70272.91</v>
      </c>
      <c r="G317" s="100">
        <v>-37881.279999999999</v>
      </c>
      <c r="H317" s="100">
        <v>-16297.44</v>
      </c>
      <c r="I317" s="100">
        <v>-2980699.89</v>
      </c>
      <c r="J317" s="100">
        <v>-119699.41</v>
      </c>
      <c r="K317" s="100">
        <v>0</v>
      </c>
      <c r="L317" s="100">
        <v>-988826.05</v>
      </c>
      <c r="M317" s="100">
        <v>-934966.7</v>
      </c>
      <c r="N317" s="100">
        <v>-4769905.76</v>
      </c>
      <c r="O317" s="100">
        <v>-53323.19</v>
      </c>
      <c r="P317" s="100">
        <v>-191937.28</v>
      </c>
      <c r="Q317" s="100">
        <v>0</v>
      </c>
      <c r="R317" s="226">
        <v>0</v>
      </c>
    </row>
    <row r="318" spans="1:18" ht="12.75" customHeight="1" x14ac:dyDescent="0.25">
      <c r="A318" s="89" t="s">
        <v>70</v>
      </c>
      <c r="E318" s="90">
        <v>109104435.04000001</v>
      </c>
      <c r="F318" s="90">
        <v>9655645.4499999993</v>
      </c>
      <c r="G318" s="90">
        <v>5414272.7599999998</v>
      </c>
      <c r="H318" s="90">
        <v>2656502.23</v>
      </c>
      <c r="I318" s="90">
        <v>19592868.609999999</v>
      </c>
      <c r="J318" s="90">
        <v>724632.79</v>
      </c>
      <c r="K318" s="90">
        <v>858314.69</v>
      </c>
      <c r="L318" s="90">
        <v>6388779.3099999996</v>
      </c>
      <c r="M318" s="90">
        <v>6875375.0899999999</v>
      </c>
      <c r="N318" s="90">
        <v>29915530.440000001</v>
      </c>
      <c r="O318" s="90">
        <v>26088923.789999999</v>
      </c>
      <c r="P318" s="90">
        <v>933352.58</v>
      </c>
      <c r="Q318" s="90">
        <v>237.3</v>
      </c>
      <c r="R318">
        <v>0</v>
      </c>
    </row>
    <row r="319" spans="1:18" ht="12.75" customHeight="1" x14ac:dyDescent="0.25">
      <c r="C319" s="89"/>
      <c r="D319" s="89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</row>
    <row r="320" spans="1:18" ht="12.75" customHeight="1" x14ac:dyDescent="0.25">
      <c r="C320" s="89"/>
      <c r="D320" s="89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</row>
    <row r="321" spans="3:17" ht="12.75" hidden="1" customHeight="1" x14ac:dyDescent="0.25">
      <c r="C321" s="89"/>
      <c r="D321" s="89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</row>
    <row r="322" spans="3:17" ht="12.75" hidden="1" customHeight="1" x14ac:dyDescent="0.25">
      <c r="C322" s="89"/>
      <c r="D322" s="89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</row>
    <row r="323" spans="3:17" ht="12.75" hidden="1" customHeight="1" x14ac:dyDescent="0.25">
      <c r="C323" s="89"/>
      <c r="D323" s="89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</row>
    <row r="324" spans="3:17" ht="12.75" hidden="1" customHeight="1" x14ac:dyDescent="0.25">
      <c r="C324" s="89"/>
      <c r="D324" s="89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</row>
    <row r="325" spans="3:17" ht="12.75" hidden="1" customHeight="1" x14ac:dyDescent="0.25">
      <c r="C325" s="89"/>
      <c r="D325" s="89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</row>
    <row r="326" spans="3:17" ht="12.75" hidden="1" customHeight="1" x14ac:dyDescent="0.25">
      <c r="C326" s="89"/>
      <c r="D326" s="89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</row>
    <row r="327" spans="3:17" ht="12.75" hidden="1" customHeight="1" x14ac:dyDescent="0.25">
      <c r="C327" s="89"/>
      <c r="D327" s="89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</row>
    <row r="328" spans="3:17" ht="12.75" hidden="1" customHeight="1" x14ac:dyDescent="0.25">
      <c r="C328" s="89"/>
      <c r="D328" s="89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</row>
    <row r="329" spans="3:17" ht="12.75" hidden="1" customHeight="1" x14ac:dyDescent="0.25">
      <c r="C329" s="89"/>
      <c r="D329" s="89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</row>
    <row r="330" spans="3:17" ht="12.75" hidden="1" customHeight="1" x14ac:dyDescent="0.25">
      <c r="C330" s="89"/>
      <c r="D330" s="89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</row>
    <row r="331" spans="3:17" ht="12.75" hidden="1" customHeight="1" x14ac:dyDescent="0.25">
      <c r="C331" s="89"/>
      <c r="D331" s="89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</row>
    <row r="332" spans="3:17" ht="12.75" hidden="1" customHeight="1" x14ac:dyDescent="0.25">
      <c r="C332" s="89"/>
      <c r="D332" s="89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</row>
    <row r="333" spans="3:17" ht="12.75" hidden="1" customHeight="1" x14ac:dyDescent="0.25">
      <c r="C333" s="89"/>
      <c r="D333" s="89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</row>
    <row r="334" spans="3:17" ht="12.75" hidden="1" customHeight="1" x14ac:dyDescent="0.25">
      <c r="C334" s="89"/>
      <c r="D334" s="89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</row>
    <row r="335" spans="3:17" ht="12.75" hidden="1" customHeight="1" x14ac:dyDescent="0.25">
      <c r="C335" s="89"/>
      <c r="D335" s="89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</row>
    <row r="336" spans="3:17" ht="12.75" hidden="1" customHeight="1" x14ac:dyDescent="0.25">
      <c r="C336" s="89"/>
      <c r="D336" s="89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</row>
    <row r="337" spans="2:18" ht="12.75" hidden="1" customHeight="1" x14ac:dyDescent="0.25">
      <c r="C337" s="89"/>
      <c r="D337" s="89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</row>
    <row r="338" spans="2:18" ht="12.75" hidden="1" customHeight="1" x14ac:dyDescent="0.25">
      <c r="C338" s="89"/>
      <c r="D338" s="89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</row>
    <row r="339" spans="2:18" ht="12.75" hidden="1" customHeight="1" x14ac:dyDescent="0.25">
      <c r="C339" s="89"/>
      <c r="D339" s="89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</row>
    <row r="340" spans="2:18" ht="12.75" hidden="1" customHeight="1" x14ac:dyDescent="0.25">
      <c r="C340" s="89"/>
      <c r="D340" s="89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</row>
    <row r="341" spans="2:18" ht="12.75" hidden="1" customHeight="1" x14ac:dyDescent="0.25">
      <c r="C341" s="89"/>
      <c r="D341" s="89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</row>
    <row r="342" spans="2:18" ht="12.75" hidden="1" customHeight="1" x14ac:dyDescent="0.25">
      <c r="C342" s="89"/>
      <c r="D342" s="89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</row>
    <row r="343" spans="2:18" ht="12.75" hidden="1" customHeight="1" x14ac:dyDescent="0.25">
      <c r="C343" s="89"/>
      <c r="D343" s="89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</row>
    <row r="344" spans="2:18" ht="12.75" hidden="1" customHeight="1" x14ac:dyDescent="0.25">
      <c r="C344" s="89"/>
      <c r="D344" s="89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</row>
    <row r="345" spans="2:18" ht="12.75" hidden="1" customHeight="1" x14ac:dyDescent="0.25">
      <c r="C345" s="89"/>
      <c r="D345" s="89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</row>
    <row r="346" spans="2:18" ht="12.75" hidden="1" customHeight="1" x14ac:dyDescent="0.25">
      <c r="C346" s="89"/>
      <c r="D346" s="89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</row>
    <row r="347" spans="2:18" ht="12.75" hidden="1" customHeight="1" x14ac:dyDescent="0.25">
      <c r="C347" s="89"/>
      <c r="D347" s="89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</row>
    <row r="348" spans="2:18" ht="12.75" hidden="1" customHeight="1" x14ac:dyDescent="0.25">
      <c r="C348" s="89"/>
      <c r="D348" s="89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</row>
    <row r="349" spans="2:18" ht="12.75" hidden="1" customHeight="1" x14ac:dyDescent="0.25">
      <c r="C349" s="89"/>
      <c r="D349" s="89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</row>
    <row r="350" spans="2:18" ht="12.75" hidden="1" customHeight="1" x14ac:dyDescent="0.25">
      <c r="C350" s="89"/>
      <c r="D350" s="89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</row>
    <row r="351" spans="2:18" ht="12.75" customHeight="1" x14ac:dyDescent="0.25">
      <c r="C351" s="89"/>
      <c r="D351" s="89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</row>
    <row r="352" spans="2:18" ht="12.75" customHeight="1" x14ac:dyDescent="0.25">
      <c r="B352" s="776" t="s">
        <v>2</v>
      </c>
      <c r="C352" s="774" t="s">
        <v>132</v>
      </c>
      <c r="D352" s="98" t="s">
        <v>70</v>
      </c>
      <c r="E352" s="100">
        <f>E299+E317-K299</f>
        <v>108246120.35000001</v>
      </c>
      <c r="F352" s="100">
        <f t="shared" ref="F352:R352" si="10">F299</f>
        <v>9725918.3599999994</v>
      </c>
      <c r="G352" s="100">
        <f t="shared" si="10"/>
        <v>5452154.04</v>
      </c>
      <c r="H352" s="100">
        <f t="shared" si="10"/>
        <v>2672799.67</v>
      </c>
      <c r="I352" s="100">
        <f t="shared" si="10"/>
        <v>22573568.5</v>
      </c>
      <c r="J352" s="100">
        <f t="shared" si="10"/>
        <v>844332.2</v>
      </c>
      <c r="K352" s="100">
        <f t="shared" si="10"/>
        <v>858314.69</v>
      </c>
      <c r="L352" s="100">
        <f t="shared" si="10"/>
        <v>7377605.3600000003</v>
      </c>
      <c r="M352" s="100">
        <f t="shared" si="10"/>
        <v>7810341.79</v>
      </c>
      <c r="N352" s="100">
        <f t="shared" si="10"/>
        <v>34685436.200000003</v>
      </c>
      <c r="O352" s="100">
        <f t="shared" si="10"/>
        <v>26142246.98</v>
      </c>
      <c r="P352" s="100">
        <f t="shared" si="10"/>
        <v>1125289.8600000001</v>
      </c>
      <c r="Q352" s="100">
        <f t="shared" si="10"/>
        <v>237.3</v>
      </c>
      <c r="R352" s="100">
        <f t="shared" si="10"/>
        <v>0</v>
      </c>
    </row>
    <row r="353" spans="1:18" ht="12.75" customHeight="1" x14ac:dyDescent="0.25">
      <c r="B353" s="776"/>
      <c r="C353" s="774"/>
      <c r="D353" s="98" t="s">
        <v>73</v>
      </c>
      <c r="E353" s="100">
        <f>E317</f>
        <v>-10163809.91</v>
      </c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</row>
    <row r="354" spans="1:18" ht="12.75" customHeight="1" x14ac:dyDescent="0.3">
      <c r="A354" s="89"/>
      <c r="B354" s="97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</row>
    <row r="355" spans="1:18" ht="12.75" customHeight="1" x14ac:dyDescent="0.25">
      <c r="B355" s="776" t="s">
        <v>160</v>
      </c>
      <c r="C355" s="774" t="s">
        <v>132</v>
      </c>
      <c r="D355" s="223" t="s">
        <v>70</v>
      </c>
      <c r="E355" s="225">
        <f>E309+E288+E275-K275-K288</f>
        <v>9848837.3600000013</v>
      </c>
      <c r="F355" s="225">
        <f t="shared" ref="F355:R355" si="11">F288+F275</f>
        <v>626712.13</v>
      </c>
      <c r="G355" s="225">
        <f t="shared" si="11"/>
        <v>346454.94</v>
      </c>
      <c r="H355" s="225">
        <f t="shared" si="11"/>
        <v>136290.98000000001</v>
      </c>
      <c r="I355" s="225">
        <f t="shared" si="11"/>
        <v>2447072.0299999998</v>
      </c>
      <c r="J355" s="225">
        <f t="shared" si="11"/>
        <v>82771.77</v>
      </c>
      <c r="K355" s="225">
        <f t="shared" si="11"/>
        <v>0</v>
      </c>
      <c r="L355" s="225">
        <f t="shared" si="11"/>
        <v>773954.17999999993</v>
      </c>
      <c r="M355" s="225">
        <f t="shared" si="11"/>
        <v>748202.75</v>
      </c>
      <c r="N355" s="225">
        <f t="shared" si="11"/>
        <v>3421823.1</v>
      </c>
      <c r="O355" s="225">
        <f t="shared" si="11"/>
        <v>1767599.14</v>
      </c>
      <c r="P355" s="225">
        <f t="shared" si="11"/>
        <v>104210.13</v>
      </c>
      <c r="Q355" s="225">
        <f t="shared" si="11"/>
        <v>11.07</v>
      </c>
      <c r="R355" s="225">
        <f t="shared" si="11"/>
        <v>0</v>
      </c>
    </row>
    <row r="356" spans="1:18" ht="12.75" customHeight="1" x14ac:dyDescent="0.25">
      <c r="B356" s="776"/>
      <c r="C356" s="774"/>
      <c r="D356" s="223" t="s">
        <v>73</v>
      </c>
      <c r="E356" s="225">
        <f>E309</f>
        <v>-606264.86</v>
      </c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</row>
    <row r="357" spans="1:18" ht="12.75" customHeight="1" x14ac:dyDescent="0.3">
      <c r="A357" s="89"/>
      <c r="B357" s="97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</row>
    <row r="358" spans="1:18" ht="12.75" customHeight="1" x14ac:dyDescent="0.25">
      <c r="B358" s="776" t="s">
        <v>155</v>
      </c>
      <c r="C358" s="774" t="s">
        <v>132</v>
      </c>
      <c r="D358" s="221" t="s">
        <v>70</v>
      </c>
      <c r="E358" s="222">
        <f>E302+E279-K279</f>
        <v>59921576.570000008</v>
      </c>
      <c r="F358" s="222">
        <f t="shared" ref="F358:R358" si="12">F279</f>
        <v>4904313.08</v>
      </c>
      <c r="G358" s="222">
        <f t="shared" si="12"/>
        <v>2740065.24</v>
      </c>
      <c r="H358" s="222">
        <f t="shared" si="12"/>
        <v>1316166.3899999999</v>
      </c>
      <c r="I358" s="222">
        <f t="shared" si="12"/>
        <v>13568871.48</v>
      </c>
      <c r="J358" s="222">
        <f t="shared" si="12"/>
        <v>563903</v>
      </c>
      <c r="K358" s="222">
        <f t="shared" si="12"/>
        <v>0</v>
      </c>
      <c r="L358" s="222">
        <f t="shared" si="12"/>
        <v>4879419.6900000004</v>
      </c>
      <c r="M358" s="222">
        <f t="shared" si="12"/>
        <v>4932583.84</v>
      </c>
      <c r="N358" s="222">
        <f t="shared" si="12"/>
        <v>21714847.489999998</v>
      </c>
      <c r="O358" s="222">
        <f t="shared" si="12"/>
        <v>13453448.91</v>
      </c>
      <c r="P358" s="222">
        <f t="shared" si="12"/>
        <v>741094.83</v>
      </c>
      <c r="Q358" s="222">
        <f t="shared" si="12"/>
        <v>235.98</v>
      </c>
      <c r="R358" s="222">
        <f t="shared" si="12"/>
        <v>0</v>
      </c>
    </row>
    <row r="359" spans="1:18" ht="12.75" customHeight="1" x14ac:dyDescent="0.25">
      <c r="B359" s="776"/>
      <c r="C359" s="774"/>
      <c r="D359" s="221" t="s">
        <v>73</v>
      </c>
      <c r="E359" s="222">
        <f>E302</f>
        <v>-8893373.3599999994</v>
      </c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</row>
    <row r="360" spans="1:18" ht="12.75" customHeight="1" x14ac:dyDescent="0.3">
      <c r="A360" s="89"/>
      <c r="B360" s="97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</row>
    <row r="361" spans="1:18" ht="12.75" customHeight="1" x14ac:dyDescent="0.25">
      <c r="B361" s="777" t="s">
        <v>326</v>
      </c>
      <c r="C361" s="774" t="s">
        <v>132</v>
      </c>
      <c r="D361" s="373" t="s">
        <v>70</v>
      </c>
      <c r="E361" s="374">
        <v>0</v>
      </c>
      <c r="F361" s="374">
        <v>0</v>
      </c>
      <c r="G361" s="374">
        <v>0</v>
      </c>
      <c r="H361" s="374">
        <v>0</v>
      </c>
      <c r="I361" s="374">
        <v>0</v>
      </c>
      <c r="J361" s="374">
        <v>0</v>
      </c>
      <c r="K361" s="374">
        <v>0</v>
      </c>
      <c r="L361" s="374">
        <v>0</v>
      </c>
      <c r="M361" s="374">
        <v>0</v>
      </c>
      <c r="N361" s="374">
        <v>0</v>
      </c>
      <c r="O361" s="374">
        <v>0</v>
      </c>
      <c r="P361" s="374">
        <v>0</v>
      </c>
      <c r="Q361" s="374">
        <v>0</v>
      </c>
      <c r="R361" s="374">
        <v>0</v>
      </c>
    </row>
    <row r="362" spans="1:18" ht="12.75" customHeight="1" x14ac:dyDescent="0.25">
      <c r="B362" s="777"/>
      <c r="C362" s="774"/>
      <c r="D362" s="373" t="s">
        <v>73</v>
      </c>
      <c r="E362" s="374">
        <v>0</v>
      </c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</row>
    <row r="363" spans="1:18" ht="12.75" customHeight="1" x14ac:dyDescent="0.3">
      <c r="A363" s="89"/>
      <c r="B363" s="97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</row>
    <row r="364" spans="1:18" ht="12.75" customHeight="1" x14ac:dyDescent="0.25">
      <c r="A364" s="142" t="s">
        <v>226</v>
      </c>
      <c r="B364" s="776" t="s">
        <v>119</v>
      </c>
      <c r="C364" s="774" t="s">
        <v>132</v>
      </c>
      <c r="D364" s="101" t="s">
        <v>70</v>
      </c>
      <c r="E364" s="93">
        <f>E298+E316-K298</f>
        <v>38475706.420000002</v>
      </c>
      <c r="F364" s="93">
        <f t="shared" ref="F364:R364" si="13">F298</f>
        <v>4194893.1500000004</v>
      </c>
      <c r="G364" s="93">
        <f t="shared" si="13"/>
        <v>2365633.86</v>
      </c>
      <c r="H364" s="93">
        <f t="shared" si="13"/>
        <v>1220342.3</v>
      </c>
      <c r="I364" s="93">
        <f t="shared" si="13"/>
        <v>6557624.9900000002</v>
      </c>
      <c r="J364" s="93">
        <f t="shared" si="13"/>
        <v>197657.43</v>
      </c>
      <c r="K364" s="93">
        <f t="shared" si="13"/>
        <v>858314.69</v>
      </c>
      <c r="L364" s="93">
        <f t="shared" si="13"/>
        <v>1724231.49</v>
      </c>
      <c r="M364" s="93">
        <f t="shared" si="13"/>
        <v>2129555.2000000002</v>
      </c>
      <c r="N364" s="93">
        <f t="shared" si="13"/>
        <v>9548765.6099999994</v>
      </c>
      <c r="O364" s="93">
        <f t="shared" si="13"/>
        <v>10921198.93</v>
      </c>
      <c r="P364" s="93">
        <f t="shared" si="13"/>
        <v>279984.90000000002</v>
      </c>
      <c r="Q364" s="93">
        <f t="shared" si="13"/>
        <v>-9.75</v>
      </c>
      <c r="R364" s="93">
        <f t="shared" si="13"/>
        <v>0</v>
      </c>
    </row>
    <row r="365" spans="1:18" ht="12.75" customHeight="1" x14ac:dyDescent="0.25">
      <c r="B365" s="776"/>
      <c r="C365" s="774"/>
      <c r="D365" s="101" t="s">
        <v>73</v>
      </c>
      <c r="E365" s="93">
        <f>E316</f>
        <v>-664171.68999999994</v>
      </c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</row>
    <row r="366" spans="1:18" ht="12.75" customHeight="1" x14ac:dyDescent="0.3">
      <c r="A366" s="89"/>
      <c r="B366" s="97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</row>
    <row r="367" spans="1:18" ht="12.75" customHeight="1" x14ac:dyDescent="0.25">
      <c r="B367" s="775" t="s">
        <v>161</v>
      </c>
      <c r="C367" s="774" t="s">
        <v>132</v>
      </c>
      <c r="D367" s="231" t="s">
        <v>70</v>
      </c>
      <c r="E367" s="232">
        <v>0</v>
      </c>
      <c r="F367" s="232">
        <v>0</v>
      </c>
      <c r="G367" s="232">
        <v>0</v>
      </c>
      <c r="H367" s="232">
        <v>0</v>
      </c>
      <c r="I367" s="232">
        <v>0</v>
      </c>
      <c r="J367" s="232">
        <v>0</v>
      </c>
      <c r="K367" s="232">
        <v>0</v>
      </c>
      <c r="L367" s="232">
        <v>0</v>
      </c>
      <c r="M367" s="232">
        <v>0</v>
      </c>
      <c r="N367" s="232">
        <v>0</v>
      </c>
      <c r="O367" s="232">
        <v>0</v>
      </c>
      <c r="P367" s="232">
        <v>0</v>
      </c>
      <c r="Q367" s="232">
        <v>0</v>
      </c>
      <c r="R367" s="232">
        <v>0</v>
      </c>
    </row>
    <row r="368" spans="1:18" ht="12.75" customHeight="1" x14ac:dyDescent="0.25">
      <c r="B368" s="775"/>
      <c r="C368" s="774"/>
      <c r="D368" s="231" t="s">
        <v>73</v>
      </c>
      <c r="E368" s="232">
        <v>0</v>
      </c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</row>
    <row r="369" spans="2:19" s="238" customFormat="1" x14ac:dyDescent="0.25"/>
    <row r="370" spans="2:19" ht="13" x14ac:dyDescent="0.3">
      <c r="B370" s="97" t="s">
        <v>93</v>
      </c>
    </row>
    <row r="371" spans="2:19" x14ac:dyDescent="0.25">
      <c r="E371" s="89" t="s">
        <v>70</v>
      </c>
      <c r="F371" s="89" t="s">
        <v>64</v>
      </c>
      <c r="G371" s="89" t="s">
        <v>65</v>
      </c>
      <c r="H371" s="219" t="s">
        <v>164</v>
      </c>
      <c r="I371" s="89" t="s">
        <v>69</v>
      </c>
      <c r="J371" s="89" t="s">
        <v>68</v>
      </c>
      <c r="K371" s="89" t="s">
        <v>83</v>
      </c>
      <c r="L371" s="89" t="s">
        <v>66</v>
      </c>
      <c r="M371" s="89" t="s">
        <v>63</v>
      </c>
      <c r="N371" s="89" t="s">
        <v>61</v>
      </c>
      <c r="O371" s="89" t="s">
        <v>62</v>
      </c>
      <c r="P371" s="89" t="s">
        <v>67</v>
      </c>
      <c r="Q371" s="89" t="s">
        <v>84</v>
      </c>
      <c r="R371" s="384" t="s">
        <v>225</v>
      </c>
    </row>
    <row r="372" spans="2:19" ht="12.75" customHeight="1" x14ac:dyDescent="0.25">
      <c r="D372" s="89" t="s">
        <v>72</v>
      </c>
      <c r="E372" s="90">
        <v>8655921.8300000001</v>
      </c>
      <c r="F372" s="90">
        <v>509975.18</v>
      </c>
      <c r="G372" s="90">
        <v>296684.5</v>
      </c>
      <c r="H372" s="90">
        <v>135127.25</v>
      </c>
      <c r="I372" s="90">
        <v>2104381.64</v>
      </c>
      <c r="J372" s="90">
        <v>75189.289999999994</v>
      </c>
      <c r="K372" s="90">
        <v>0</v>
      </c>
      <c r="L372" s="90">
        <v>631706.36</v>
      </c>
      <c r="M372" s="90">
        <v>625616.75</v>
      </c>
      <c r="N372" s="90">
        <v>2499155.7000000002</v>
      </c>
      <c r="O372" s="90">
        <v>1660982.83</v>
      </c>
      <c r="P372" s="90">
        <v>117100.63</v>
      </c>
      <c r="Q372" s="90">
        <v>1.7</v>
      </c>
      <c r="R372">
        <v>0</v>
      </c>
    </row>
    <row r="373" spans="2:19" ht="12.75" customHeight="1" x14ac:dyDescent="0.25">
      <c r="D373" s="89" t="s">
        <v>81</v>
      </c>
      <c r="E373" s="90">
        <v>8432.3700000000008</v>
      </c>
      <c r="F373" s="90">
        <v>485.81</v>
      </c>
      <c r="G373" s="90">
        <v>272.27999999999997</v>
      </c>
      <c r="H373" s="90">
        <v>144.04</v>
      </c>
      <c r="I373" s="90">
        <v>1825.84</v>
      </c>
      <c r="J373" s="90">
        <v>67.930000000000007</v>
      </c>
      <c r="K373" s="90">
        <v>0</v>
      </c>
      <c r="L373" s="90">
        <v>595.64</v>
      </c>
      <c r="M373" s="90">
        <v>500.17</v>
      </c>
      <c r="N373" s="90">
        <v>2970.53</v>
      </c>
      <c r="O373" s="90">
        <v>1459.28</v>
      </c>
      <c r="P373" s="90">
        <v>110.82</v>
      </c>
      <c r="Q373" s="90">
        <v>0.03</v>
      </c>
      <c r="R373">
        <v>0</v>
      </c>
    </row>
    <row r="374" spans="2:19" ht="12.75" customHeight="1" x14ac:dyDescent="0.25">
      <c r="B374" s="89"/>
      <c r="C374" s="89" t="s">
        <v>156</v>
      </c>
      <c r="D374" t="s">
        <v>70</v>
      </c>
      <c r="E374" s="90">
        <v>8664354.1999999993</v>
      </c>
      <c r="F374" s="90">
        <v>510460.99</v>
      </c>
      <c r="G374" s="90">
        <v>296956.78000000003</v>
      </c>
      <c r="H374" s="90">
        <v>135271.29</v>
      </c>
      <c r="I374" s="90">
        <v>2106207.48</v>
      </c>
      <c r="J374" s="90">
        <v>75257.22</v>
      </c>
      <c r="K374" s="90">
        <v>0</v>
      </c>
      <c r="L374" s="90">
        <v>632302</v>
      </c>
      <c r="M374" s="90">
        <v>626116.92000000004</v>
      </c>
      <c r="N374" s="90">
        <v>2502126.23</v>
      </c>
      <c r="O374" s="90">
        <v>1662442.11</v>
      </c>
      <c r="P374" s="90">
        <v>117211.45</v>
      </c>
      <c r="Q374" s="90">
        <v>1.73</v>
      </c>
      <c r="R374">
        <v>0</v>
      </c>
    </row>
    <row r="375" spans="2:19" s="237" customFormat="1" ht="12.75" customHeight="1" x14ac:dyDescent="0.25">
      <c r="B375" s="221" t="s">
        <v>155</v>
      </c>
      <c r="C375" s="221" t="s">
        <v>70</v>
      </c>
      <c r="E375" s="222">
        <v>8664354.1999999993</v>
      </c>
      <c r="F375" s="222">
        <v>510460.99</v>
      </c>
      <c r="G375" s="222">
        <v>296956.78000000003</v>
      </c>
      <c r="H375" s="222">
        <v>135271.29</v>
      </c>
      <c r="I375" s="222">
        <v>2106207.48</v>
      </c>
      <c r="J375" s="222">
        <v>75257.22</v>
      </c>
      <c r="K375" s="222">
        <v>0</v>
      </c>
      <c r="L375" s="222">
        <v>632302</v>
      </c>
      <c r="M375" s="222">
        <v>626116.92000000004</v>
      </c>
      <c r="N375" s="222">
        <v>2502126.23</v>
      </c>
      <c r="O375" s="222">
        <v>1662442.11</v>
      </c>
      <c r="P375" s="222">
        <v>117211.45</v>
      </c>
      <c r="Q375" s="222">
        <v>1.73</v>
      </c>
      <c r="R375" s="237">
        <v>0</v>
      </c>
    </row>
    <row r="376" spans="2:19" ht="12.75" customHeight="1" x14ac:dyDescent="0.25">
      <c r="D376" t="s">
        <v>72</v>
      </c>
      <c r="E376" s="142">
        <v>5172314.4400000004</v>
      </c>
      <c r="F376">
        <v>315475.92</v>
      </c>
      <c r="G376">
        <v>168590.02</v>
      </c>
      <c r="H376">
        <v>84045.66</v>
      </c>
      <c r="I376">
        <v>1499054.93</v>
      </c>
      <c r="J376">
        <v>40257.769999999997</v>
      </c>
      <c r="K376">
        <v>0</v>
      </c>
      <c r="L376">
        <v>342313.96</v>
      </c>
      <c r="M376">
        <v>329814.82</v>
      </c>
      <c r="N376">
        <v>1504835.88</v>
      </c>
      <c r="O376">
        <v>820968.36</v>
      </c>
      <c r="P376">
        <v>66961.08</v>
      </c>
      <c r="Q376">
        <v>-3.96</v>
      </c>
      <c r="R376">
        <v>0</v>
      </c>
    </row>
    <row r="377" spans="2:19" ht="12.75" customHeight="1" x14ac:dyDescent="0.25">
      <c r="D377" t="s">
        <v>81</v>
      </c>
      <c r="E377" s="142">
        <v>1991.76</v>
      </c>
      <c r="F377">
        <v>109.49</v>
      </c>
      <c r="G377">
        <v>61.49</v>
      </c>
      <c r="H377">
        <v>32.78</v>
      </c>
      <c r="I377">
        <v>443.4</v>
      </c>
      <c r="J377">
        <v>15.73</v>
      </c>
      <c r="K377">
        <v>0</v>
      </c>
      <c r="L377">
        <v>138.26</v>
      </c>
      <c r="M377">
        <v>138.78</v>
      </c>
      <c r="N377">
        <v>695.5</v>
      </c>
      <c r="O377">
        <v>330.66</v>
      </c>
      <c r="P377">
        <v>25.71</v>
      </c>
      <c r="Q377">
        <v>-0.04</v>
      </c>
      <c r="R377">
        <v>0</v>
      </c>
    </row>
    <row r="378" spans="2:19" ht="12.75" customHeight="1" x14ac:dyDescent="0.25">
      <c r="C378" t="s">
        <v>156</v>
      </c>
      <c r="D378" t="s">
        <v>70</v>
      </c>
      <c r="E378" s="142">
        <v>5174306.2</v>
      </c>
      <c r="F378">
        <v>315585.40999999997</v>
      </c>
      <c r="G378">
        <v>168651.51</v>
      </c>
      <c r="H378">
        <v>84078.44</v>
      </c>
      <c r="I378">
        <v>1499498.33</v>
      </c>
      <c r="J378">
        <v>40273.5</v>
      </c>
      <c r="K378">
        <v>0</v>
      </c>
      <c r="L378">
        <v>342452.22</v>
      </c>
      <c r="M378">
        <v>329953.59999999998</v>
      </c>
      <c r="N378">
        <v>1505531.38</v>
      </c>
      <c r="O378">
        <v>821299.02</v>
      </c>
      <c r="P378">
        <v>66986.789999999994</v>
      </c>
      <c r="Q378">
        <v>-4</v>
      </c>
      <c r="R378">
        <v>0</v>
      </c>
    </row>
    <row r="379" spans="2:19" s="739" customFormat="1" ht="12.75" customHeight="1" x14ac:dyDescent="0.25">
      <c r="B379" s="739" t="s">
        <v>326</v>
      </c>
      <c r="C379" s="739" t="s">
        <v>70</v>
      </c>
      <c r="E379" s="231">
        <v>5174306.2</v>
      </c>
      <c r="F379" s="740">
        <v>315585.40999999997</v>
      </c>
      <c r="G379" s="232">
        <v>168651.51</v>
      </c>
      <c r="H379" s="232">
        <v>84078.44</v>
      </c>
      <c r="I379" s="232">
        <v>1499498.33</v>
      </c>
      <c r="J379" s="232">
        <v>40273.5</v>
      </c>
      <c r="K379" s="232">
        <v>0</v>
      </c>
      <c r="L379" s="232">
        <v>342452.22</v>
      </c>
      <c r="M379" s="232">
        <v>329953.59999999998</v>
      </c>
      <c r="N379" s="232">
        <v>1505531.38</v>
      </c>
      <c r="O379" s="232">
        <v>821299.02</v>
      </c>
      <c r="P379" s="232">
        <v>66986.789999999994</v>
      </c>
      <c r="Q379" s="232">
        <v>-4</v>
      </c>
      <c r="R379" s="232">
        <v>0</v>
      </c>
      <c r="S379" s="232"/>
    </row>
    <row r="380" spans="2:19" ht="12.75" customHeight="1" x14ac:dyDescent="0.25">
      <c r="D380" t="s">
        <v>72</v>
      </c>
      <c r="E380" s="142">
        <v>2351744.2200000002</v>
      </c>
      <c r="F380">
        <v>149451.74</v>
      </c>
      <c r="G380">
        <v>80910.55</v>
      </c>
      <c r="H380">
        <v>36715.870000000003</v>
      </c>
      <c r="I380">
        <v>661431.93999999994</v>
      </c>
      <c r="J380">
        <v>19739.46</v>
      </c>
      <c r="K380">
        <v>0</v>
      </c>
      <c r="L380">
        <v>130422.74</v>
      </c>
      <c r="M380">
        <v>146187.78</v>
      </c>
      <c r="N380">
        <v>683824.2</v>
      </c>
      <c r="O380">
        <v>411131.26</v>
      </c>
      <c r="P380">
        <v>31935.01</v>
      </c>
      <c r="Q380">
        <v>-6.33</v>
      </c>
      <c r="R380">
        <v>0</v>
      </c>
    </row>
    <row r="381" spans="2:19" ht="12.75" customHeight="1" x14ac:dyDescent="0.25">
      <c r="D381" t="s">
        <v>81</v>
      </c>
      <c r="E381" s="142">
        <v>0.43</v>
      </c>
      <c r="F381">
        <v>0</v>
      </c>
      <c r="G381">
        <v>0</v>
      </c>
      <c r="H381">
        <v>0.43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2:19" ht="12.75" customHeight="1" x14ac:dyDescent="0.25">
      <c r="C382" t="s">
        <v>82</v>
      </c>
      <c r="D382" t="s">
        <v>70</v>
      </c>
      <c r="E382" s="142">
        <v>2351744.65</v>
      </c>
      <c r="F382">
        <v>149451.74</v>
      </c>
      <c r="G382">
        <v>80910.55</v>
      </c>
      <c r="H382">
        <v>36716.300000000003</v>
      </c>
      <c r="I382">
        <v>661431.93999999994</v>
      </c>
      <c r="J382">
        <v>19739.46</v>
      </c>
      <c r="K382">
        <v>0</v>
      </c>
      <c r="L382">
        <v>130422.74</v>
      </c>
      <c r="M382">
        <v>146187.78</v>
      </c>
      <c r="N382">
        <v>683824.2</v>
      </c>
      <c r="O382">
        <v>411131.26</v>
      </c>
      <c r="P382">
        <v>31935.01</v>
      </c>
      <c r="Q382">
        <v>-6.33</v>
      </c>
      <c r="R382">
        <v>0</v>
      </c>
    </row>
    <row r="383" spans="2:19" ht="12.75" customHeight="1" x14ac:dyDescent="0.25">
      <c r="D383" t="s">
        <v>72</v>
      </c>
      <c r="E383" s="142">
        <v>1701780.65</v>
      </c>
      <c r="F383">
        <v>119609.09</v>
      </c>
      <c r="G383">
        <v>82415.16</v>
      </c>
      <c r="H383">
        <v>29626.34</v>
      </c>
      <c r="I383">
        <v>544894.71999999997</v>
      </c>
      <c r="J383">
        <v>22974.34</v>
      </c>
      <c r="K383">
        <v>0</v>
      </c>
      <c r="L383">
        <v>67913.02</v>
      </c>
      <c r="M383">
        <v>221545.18</v>
      </c>
      <c r="N383">
        <v>256791.57</v>
      </c>
      <c r="O383">
        <v>319935.90000000002</v>
      </c>
      <c r="P383">
        <v>35973.35</v>
      </c>
      <c r="Q383">
        <v>101.98</v>
      </c>
      <c r="R383">
        <v>0</v>
      </c>
    </row>
    <row r="384" spans="2:19" ht="12.75" customHeight="1" x14ac:dyDescent="0.25">
      <c r="D384" t="s">
        <v>81</v>
      </c>
      <c r="E384" s="142">
        <v>2548.2600000000002</v>
      </c>
      <c r="F384">
        <v>4.8499999999999996</v>
      </c>
      <c r="G384">
        <v>2.66</v>
      </c>
      <c r="H384">
        <v>214.76</v>
      </c>
      <c r="I384">
        <v>1369.85</v>
      </c>
      <c r="J384">
        <v>166.06</v>
      </c>
      <c r="K384">
        <v>0</v>
      </c>
      <c r="L384">
        <v>72.63</v>
      </c>
      <c r="M384">
        <v>70.7</v>
      </c>
      <c r="N384">
        <v>360.97</v>
      </c>
      <c r="O384">
        <v>14.4</v>
      </c>
      <c r="P384">
        <v>271</v>
      </c>
      <c r="Q384">
        <v>0.38</v>
      </c>
      <c r="R384">
        <v>0</v>
      </c>
    </row>
    <row r="385" spans="1:19" ht="12.75" customHeight="1" x14ac:dyDescent="0.25">
      <c r="C385" t="s">
        <v>86</v>
      </c>
      <c r="D385" t="s">
        <v>70</v>
      </c>
      <c r="E385" s="142">
        <v>1704328.91</v>
      </c>
      <c r="F385">
        <v>119613.94</v>
      </c>
      <c r="G385">
        <v>82417.820000000007</v>
      </c>
      <c r="H385">
        <v>29841.1</v>
      </c>
      <c r="I385">
        <v>546264.56999999995</v>
      </c>
      <c r="J385">
        <v>23140.400000000001</v>
      </c>
      <c r="K385">
        <v>0</v>
      </c>
      <c r="L385">
        <v>67985.649999999994</v>
      </c>
      <c r="M385">
        <v>221615.88</v>
      </c>
      <c r="N385">
        <v>257152.54</v>
      </c>
      <c r="O385">
        <v>319950.3</v>
      </c>
      <c r="P385">
        <v>36244.35</v>
      </c>
      <c r="Q385">
        <v>102.36</v>
      </c>
      <c r="R385">
        <v>0</v>
      </c>
    </row>
    <row r="386" spans="1:19" ht="12.75" customHeight="1" x14ac:dyDescent="0.25">
      <c r="D386" t="s">
        <v>72</v>
      </c>
      <c r="E386" s="142">
        <v>10416494.68</v>
      </c>
      <c r="F386">
        <v>1261173.26</v>
      </c>
      <c r="G386">
        <v>697716.55</v>
      </c>
      <c r="H386">
        <v>368894.57</v>
      </c>
      <c r="I386">
        <v>1191425.46</v>
      </c>
      <c r="J386">
        <v>35691.620000000003</v>
      </c>
      <c r="K386">
        <v>575000</v>
      </c>
      <c r="L386">
        <v>283575.32</v>
      </c>
      <c r="M386">
        <v>358077.87</v>
      </c>
      <c r="N386">
        <v>1733591.56</v>
      </c>
      <c r="O386">
        <v>3851686.53</v>
      </c>
      <c r="P386">
        <v>59675.81</v>
      </c>
      <c r="Q386">
        <v>-13.87</v>
      </c>
      <c r="R386">
        <v>0</v>
      </c>
    </row>
    <row r="387" spans="1:19" ht="12.75" customHeight="1" x14ac:dyDescent="0.25">
      <c r="B387" s="142"/>
      <c r="D387" t="s">
        <v>81</v>
      </c>
      <c r="E387" s="142">
        <v>1599.04</v>
      </c>
      <c r="F387">
        <v>197.39</v>
      </c>
      <c r="G387">
        <v>108.74</v>
      </c>
      <c r="H387">
        <v>57.97</v>
      </c>
      <c r="I387">
        <v>200.6</v>
      </c>
      <c r="J387">
        <v>6.92</v>
      </c>
      <c r="K387">
        <v>0</v>
      </c>
      <c r="L387">
        <v>62.14</v>
      </c>
      <c r="M387">
        <v>59.78</v>
      </c>
      <c r="N387">
        <v>302.73</v>
      </c>
      <c r="O387">
        <v>591.48</v>
      </c>
      <c r="P387">
        <v>11.31</v>
      </c>
      <c r="Q387">
        <v>-0.02</v>
      </c>
      <c r="R387">
        <v>0</v>
      </c>
    </row>
    <row r="388" spans="1:19" ht="12.75" customHeight="1" x14ac:dyDescent="0.25">
      <c r="B388" s="142"/>
      <c r="C388" t="s">
        <v>87</v>
      </c>
      <c r="D388" t="s">
        <v>70</v>
      </c>
      <c r="E388" s="142">
        <v>10418093.720000001</v>
      </c>
      <c r="F388">
        <v>1261370.6499999999</v>
      </c>
      <c r="G388">
        <v>697825.29</v>
      </c>
      <c r="H388">
        <v>368952.54</v>
      </c>
      <c r="I388">
        <v>1191626.06</v>
      </c>
      <c r="J388">
        <v>35698.54</v>
      </c>
      <c r="K388">
        <v>575000</v>
      </c>
      <c r="L388">
        <v>283637.46000000002</v>
      </c>
      <c r="M388">
        <v>358137.65</v>
      </c>
      <c r="N388">
        <v>1733894.29</v>
      </c>
      <c r="O388">
        <v>3852278.01</v>
      </c>
      <c r="P388">
        <v>59687.12</v>
      </c>
      <c r="Q388">
        <v>-13.89</v>
      </c>
      <c r="R388">
        <v>0</v>
      </c>
    </row>
    <row r="389" spans="1:19" s="94" customFormat="1" ht="12.75" customHeight="1" x14ac:dyDescent="0.25">
      <c r="B389" s="101" t="s">
        <v>119</v>
      </c>
      <c r="C389" s="101" t="s">
        <v>70</v>
      </c>
      <c r="E389" s="93">
        <v>14474167.279999999</v>
      </c>
      <c r="F389" s="93">
        <v>1530436.33</v>
      </c>
      <c r="G389" s="93">
        <v>861153.66</v>
      </c>
      <c r="H389" s="93">
        <v>435509.94</v>
      </c>
      <c r="I389" s="93">
        <v>2399322.5699999998</v>
      </c>
      <c r="J389" s="93">
        <v>78578.399999999994</v>
      </c>
      <c r="K389" s="93">
        <v>575000</v>
      </c>
      <c r="L389" s="93">
        <v>482045.85</v>
      </c>
      <c r="M389" s="93">
        <v>725941.31</v>
      </c>
      <c r="N389" s="93">
        <v>2674871.0299999998</v>
      </c>
      <c r="O389" s="93">
        <v>4583359.57</v>
      </c>
      <c r="P389" s="93">
        <v>127866.48</v>
      </c>
      <c r="Q389" s="93">
        <v>82.14</v>
      </c>
      <c r="R389" s="94">
        <v>0</v>
      </c>
    </row>
    <row r="390" spans="1:19" s="226" customFormat="1" ht="12.75" customHeight="1" x14ac:dyDescent="0.25">
      <c r="A390" s="98" t="s">
        <v>78</v>
      </c>
      <c r="B390" s="98" t="s">
        <v>70</v>
      </c>
      <c r="E390" s="100">
        <v>28312827.68</v>
      </c>
      <c r="F390" s="100">
        <v>2356482.73</v>
      </c>
      <c r="G390" s="100">
        <v>1326761.95</v>
      </c>
      <c r="H390" s="100">
        <v>654859.67000000004</v>
      </c>
      <c r="I390" s="100">
        <v>6005028.3799999999</v>
      </c>
      <c r="J390" s="100">
        <v>194109.12</v>
      </c>
      <c r="K390" s="100">
        <v>575000</v>
      </c>
      <c r="L390" s="100">
        <v>1456800.07</v>
      </c>
      <c r="M390" s="100">
        <v>1682011.83</v>
      </c>
      <c r="N390" s="100">
        <v>6682528.6399999997</v>
      </c>
      <c r="O390" s="100">
        <v>7067100.7000000002</v>
      </c>
      <c r="P390" s="100">
        <v>312064.71999999997</v>
      </c>
      <c r="Q390" s="100">
        <v>79.87</v>
      </c>
      <c r="R390" s="226">
        <v>0</v>
      </c>
    </row>
    <row r="391" spans="1:19" ht="12.75" customHeight="1" x14ac:dyDescent="0.25">
      <c r="C391" s="89"/>
      <c r="D391" s="89" t="s">
        <v>73</v>
      </c>
      <c r="E391" s="90">
        <v>488579.14</v>
      </c>
      <c r="F391" s="90">
        <v>95497.44</v>
      </c>
      <c r="G391" s="90">
        <v>47572.38</v>
      </c>
      <c r="H391" s="90">
        <v>19013.96</v>
      </c>
      <c r="I391" s="90">
        <v>17444.46</v>
      </c>
      <c r="J391" s="90">
        <v>300.07</v>
      </c>
      <c r="K391" s="90">
        <v>0</v>
      </c>
      <c r="L391" s="90">
        <v>19448.330000000002</v>
      </c>
      <c r="M391" s="90">
        <v>-21283.17</v>
      </c>
      <c r="N391" s="90">
        <v>20875.03</v>
      </c>
      <c r="O391" s="90">
        <v>287674.84000000003</v>
      </c>
      <c r="P391" s="90">
        <v>2035.8</v>
      </c>
      <c r="Q391" s="90">
        <v>0</v>
      </c>
      <c r="R391">
        <v>0</v>
      </c>
    </row>
    <row r="392" spans="1:19" ht="12.75" customHeight="1" x14ac:dyDescent="0.25">
      <c r="B392" s="89"/>
      <c r="C392" s="89" t="s">
        <v>156</v>
      </c>
      <c r="D392" t="s">
        <v>70</v>
      </c>
      <c r="E392" s="90">
        <v>488579.14</v>
      </c>
      <c r="F392" s="90">
        <v>95497.44</v>
      </c>
      <c r="G392" s="90">
        <v>47572.38</v>
      </c>
      <c r="H392" s="90">
        <v>19013.96</v>
      </c>
      <c r="I392" s="90">
        <v>17444.46</v>
      </c>
      <c r="J392" s="90">
        <v>300.07</v>
      </c>
      <c r="K392" s="90">
        <v>0</v>
      </c>
      <c r="L392" s="90">
        <v>19448.330000000002</v>
      </c>
      <c r="M392" s="90">
        <v>-21283.17</v>
      </c>
      <c r="N392" s="90">
        <v>20875.03</v>
      </c>
      <c r="O392" s="90">
        <v>287674.84000000003</v>
      </c>
      <c r="P392" s="90">
        <v>2035.8</v>
      </c>
      <c r="Q392" s="90">
        <v>0</v>
      </c>
      <c r="R392">
        <v>0</v>
      </c>
    </row>
    <row r="393" spans="1:19" s="237" customFormat="1" ht="12.75" customHeight="1" x14ac:dyDescent="0.25">
      <c r="B393" s="221" t="s">
        <v>155</v>
      </c>
      <c r="C393" s="221" t="s">
        <v>70</v>
      </c>
      <c r="E393" s="222">
        <v>488579.14</v>
      </c>
      <c r="F393" s="222">
        <v>95497.44</v>
      </c>
      <c r="G393" s="222">
        <v>47572.38</v>
      </c>
      <c r="H393" s="222">
        <v>19013.96</v>
      </c>
      <c r="I393" s="222">
        <v>17444.46</v>
      </c>
      <c r="J393" s="222">
        <v>300.07</v>
      </c>
      <c r="K393" s="222">
        <v>0</v>
      </c>
      <c r="L393" s="222">
        <v>19448.330000000002</v>
      </c>
      <c r="M393" s="222">
        <v>-21283.17</v>
      </c>
      <c r="N393" s="222">
        <v>20875.03</v>
      </c>
      <c r="O393" s="222">
        <v>287674.84000000003</v>
      </c>
      <c r="P393" s="222">
        <v>2035.8</v>
      </c>
      <c r="Q393" s="222">
        <v>0</v>
      </c>
      <c r="R393" s="237">
        <v>0</v>
      </c>
    </row>
    <row r="394" spans="1:19" ht="12.75" customHeight="1" x14ac:dyDescent="0.25">
      <c r="B394" s="142"/>
      <c r="C394" s="89"/>
      <c r="D394" s="89" t="s">
        <v>73</v>
      </c>
      <c r="E394" s="371">
        <v>-1383458.96</v>
      </c>
      <c r="F394" s="90">
        <v>-69317.350000000006</v>
      </c>
      <c r="G394" s="90">
        <v>-38623.25</v>
      </c>
      <c r="H394" s="90">
        <v>-20542.21</v>
      </c>
      <c r="I394" s="90">
        <v>-344723.51</v>
      </c>
      <c r="J394" s="90">
        <v>-11277.59</v>
      </c>
      <c r="K394" s="90">
        <v>0</v>
      </c>
      <c r="L394" s="90">
        <v>-98923</v>
      </c>
      <c r="M394" s="90">
        <v>-93755.85</v>
      </c>
      <c r="N394" s="90">
        <v>-481301.4</v>
      </c>
      <c r="O394" s="90">
        <v>-206595.13</v>
      </c>
      <c r="P394" s="90">
        <v>-18399.669999999998</v>
      </c>
      <c r="Q394" s="90">
        <v>0</v>
      </c>
      <c r="R394">
        <v>0</v>
      </c>
    </row>
    <row r="395" spans="1:19" ht="12.75" customHeight="1" x14ac:dyDescent="0.25">
      <c r="B395" s="142"/>
      <c r="C395" s="89" t="s">
        <v>156</v>
      </c>
      <c r="D395" s="89" t="s">
        <v>70</v>
      </c>
      <c r="E395" s="371">
        <v>-1383458.96</v>
      </c>
      <c r="F395" s="90">
        <v>-69317.350000000006</v>
      </c>
      <c r="G395" s="90">
        <v>-38623.25</v>
      </c>
      <c r="H395" s="90">
        <v>-20542.21</v>
      </c>
      <c r="I395" s="90">
        <v>-344723.51</v>
      </c>
      <c r="J395" s="90">
        <v>-11277.59</v>
      </c>
      <c r="K395" s="90">
        <v>0</v>
      </c>
      <c r="L395" s="90">
        <v>-98923</v>
      </c>
      <c r="M395" s="90">
        <v>-93755.85</v>
      </c>
      <c r="N395" s="90">
        <v>-481301.4</v>
      </c>
      <c r="O395" s="90">
        <v>-206595.13</v>
      </c>
      <c r="P395" s="90">
        <v>-18399.669999999998</v>
      </c>
      <c r="Q395" s="90">
        <v>0</v>
      </c>
      <c r="R395">
        <v>0</v>
      </c>
    </row>
    <row r="396" spans="1:19" s="739" customFormat="1" ht="12.75" customHeight="1" x14ac:dyDescent="0.25">
      <c r="B396" s="739" t="s">
        <v>326</v>
      </c>
      <c r="C396" s="739" t="s">
        <v>70</v>
      </c>
      <c r="E396" s="231">
        <v>-1383458.96</v>
      </c>
      <c r="F396" s="740">
        <v>-69317.350000000006</v>
      </c>
      <c r="G396" s="232">
        <v>-38623.25</v>
      </c>
      <c r="H396" s="232">
        <v>-20542.21</v>
      </c>
      <c r="I396" s="232">
        <v>-344723.51</v>
      </c>
      <c r="J396" s="232">
        <v>-11277.59</v>
      </c>
      <c r="K396" s="232">
        <v>0</v>
      </c>
      <c r="L396" s="232">
        <v>-98923</v>
      </c>
      <c r="M396" s="232">
        <v>-93755.85</v>
      </c>
      <c r="N396" s="232">
        <v>-481301.4</v>
      </c>
      <c r="O396" s="232">
        <v>-206595.13</v>
      </c>
      <c r="P396" s="232">
        <v>-18399.669999999998</v>
      </c>
      <c r="Q396" s="232">
        <v>0</v>
      </c>
      <c r="R396" s="232">
        <v>0</v>
      </c>
      <c r="S396" s="232"/>
    </row>
    <row r="397" spans="1:19" ht="12.75" customHeight="1" x14ac:dyDescent="0.25">
      <c r="B397" s="142"/>
      <c r="C397" s="89"/>
      <c r="D397" s="89" t="s">
        <v>73</v>
      </c>
      <c r="E397" s="371">
        <v>-363925.29</v>
      </c>
      <c r="F397" s="90">
        <v>-974.72</v>
      </c>
      <c r="G397" s="90">
        <v>-543.74</v>
      </c>
      <c r="H397" s="90">
        <v>1159.3800000000001</v>
      </c>
      <c r="I397" s="90">
        <v>-108910.43</v>
      </c>
      <c r="J397" s="90">
        <v>-3331.78</v>
      </c>
      <c r="K397" s="90">
        <v>0</v>
      </c>
      <c r="L397" s="90">
        <v>-30381.84</v>
      </c>
      <c r="M397" s="90">
        <v>-33693.5</v>
      </c>
      <c r="N397" s="90">
        <v>-178864.85</v>
      </c>
      <c r="O397" s="90">
        <v>-2908.13</v>
      </c>
      <c r="P397" s="90">
        <v>-5475.68</v>
      </c>
      <c r="Q397" s="90">
        <v>0</v>
      </c>
      <c r="R397">
        <v>0</v>
      </c>
    </row>
    <row r="398" spans="1:19" ht="12.75" customHeight="1" x14ac:dyDescent="0.25">
      <c r="B398" s="142"/>
      <c r="C398" s="89" t="s">
        <v>82</v>
      </c>
      <c r="D398" s="89" t="s">
        <v>70</v>
      </c>
      <c r="E398" s="371">
        <v>-363925.29</v>
      </c>
      <c r="F398" s="90">
        <v>-974.72</v>
      </c>
      <c r="G398" s="90">
        <v>-543.74</v>
      </c>
      <c r="H398" s="90">
        <v>1159.3800000000001</v>
      </c>
      <c r="I398" s="90">
        <v>-108910.43</v>
      </c>
      <c r="J398" s="90">
        <v>-3331.78</v>
      </c>
      <c r="K398" s="90">
        <v>0</v>
      </c>
      <c r="L398" s="90">
        <v>-30381.84</v>
      </c>
      <c r="M398" s="90">
        <v>-33693.5</v>
      </c>
      <c r="N398" s="90">
        <v>-178864.85</v>
      </c>
      <c r="O398" s="90">
        <v>-2908.13</v>
      </c>
      <c r="P398" s="90">
        <v>-5475.68</v>
      </c>
      <c r="Q398" s="90">
        <v>0</v>
      </c>
      <c r="R398">
        <v>0</v>
      </c>
    </row>
    <row r="399" spans="1:19" ht="12.75" customHeight="1" x14ac:dyDescent="0.25">
      <c r="B399" s="142"/>
      <c r="C399" s="89"/>
      <c r="D399" s="89" t="s">
        <v>73</v>
      </c>
      <c r="E399" s="371">
        <v>-246140.4</v>
      </c>
      <c r="F399" s="90">
        <v>27531.86</v>
      </c>
      <c r="G399" s="90">
        <v>15340.35</v>
      </c>
      <c r="H399" s="90">
        <v>5734.16</v>
      </c>
      <c r="I399" s="90">
        <v>-106436.87</v>
      </c>
      <c r="J399" s="90">
        <v>-4510.6899999999996</v>
      </c>
      <c r="K399" s="90">
        <v>0</v>
      </c>
      <c r="L399" s="90">
        <v>-36690.18</v>
      </c>
      <c r="M399" s="90">
        <v>-36499.82</v>
      </c>
      <c r="N399" s="90">
        <v>-183470.43</v>
      </c>
      <c r="O399" s="90">
        <v>80082.100000000006</v>
      </c>
      <c r="P399" s="90">
        <v>-7220.88</v>
      </c>
      <c r="Q399" s="90">
        <v>0</v>
      </c>
      <c r="R399">
        <v>0</v>
      </c>
    </row>
    <row r="400" spans="1:19" ht="12.75" customHeight="1" x14ac:dyDescent="0.25">
      <c r="B400" s="142"/>
      <c r="C400" s="89" t="s">
        <v>86</v>
      </c>
      <c r="D400" s="89" t="s">
        <v>70</v>
      </c>
      <c r="E400" s="371">
        <v>-246140.4</v>
      </c>
      <c r="F400" s="90">
        <v>27531.86</v>
      </c>
      <c r="G400" s="90">
        <v>15340.35</v>
      </c>
      <c r="H400" s="90">
        <v>5734.16</v>
      </c>
      <c r="I400" s="90">
        <v>-106436.87</v>
      </c>
      <c r="J400" s="90">
        <v>-4510.6899999999996</v>
      </c>
      <c r="K400" s="90">
        <v>0</v>
      </c>
      <c r="L400" s="90">
        <v>-36690.18</v>
      </c>
      <c r="M400" s="90">
        <v>-36499.82</v>
      </c>
      <c r="N400" s="90">
        <v>-183470.43</v>
      </c>
      <c r="O400" s="90">
        <v>80082.100000000006</v>
      </c>
      <c r="P400" s="90">
        <v>-7220.88</v>
      </c>
      <c r="Q400" s="90">
        <v>0</v>
      </c>
      <c r="R400">
        <v>0</v>
      </c>
    </row>
    <row r="401" spans="1:18" ht="12.75" customHeight="1" x14ac:dyDescent="0.25">
      <c r="B401" s="142"/>
      <c r="C401" s="89"/>
      <c r="D401" s="89" t="s">
        <v>73</v>
      </c>
      <c r="E401" s="371">
        <v>3196292.23</v>
      </c>
      <c r="F401" s="90">
        <v>801864.36</v>
      </c>
      <c r="G401" s="90">
        <v>396100.04</v>
      </c>
      <c r="H401" s="90">
        <v>16707.189999999999</v>
      </c>
      <c r="I401" s="90">
        <v>-104967.44</v>
      </c>
      <c r="J401" s="90">
        <v>-4148.1499999999996</v>
      </c>
      <c r="K401" s="90">
        <v>0</v>
      </c>
      <c r="L401" s="90">
        <v>-31057.5</v>
      </c>
      <c r="M401" s="90">
        <v>-41228.61</v>
      </c>
      <c r="N401" s="90">
        <v>-220121.48</v>
      </c>
      <c r="O401" s="90">
        <v>2389872.14</v>
      </c>
      <c r="P401" s="90">
        <v>-6728.32</v>
      </c>
      <c r="Q401" s="90">
        <v>0</v>
      </c>
      <c r="R401">
        <v>0</v>
      </c>
    </row>
    <row r="402" spans="1:18" ht="12.75" customHeight="1" x14ac:dyDescent="0.25">
      <c r="B402" s="142"/>
      <c r="C402" s="89" t="s">
        <v>87</v>
      </c>
      <c r="D402" s="89" t="s">
        <v>70</v>
      </c>
      <c r="E402" s="371">
        <v>3196292.23</v>
      </c>
      <c r="F402" s="90">
        <v>801864.36</v>
      </c>
      <c r="G402" s="90">
        <v>396100.04</v>
      </c>
      <c r="H402" s="90">
        <v>16707.189999999999</v>
      </c>
      <c r="I402" s="90">
        <v>-104967.44</v>
      </c>
      <c r="J402" s="90">
        <v>-4148.1499999999996</v>
      </c>
      <c r="K402" s="90">
        <v>0</v>
      </c>
      <c r="L402" s="90">
        <v>-31057.5</v>
      </c>
      <c r="M402" s="90">
        <v>-41228.61</v>
      </c>
      <c r="N402" s="90">
        <v>-220121.48</v>
      </c>
      <c r="O402" s="90">
        <v>2389872.14</v>
      </c>
      <c r="P402" s="90">
        <v>-6728.32</v>
      </c>
      <c r="Q402" s="90">
        <v>0</v>
      </c>
      <c r="R402">
        <v>0</v>
      </c>
    </row>
    <row r="403" spans="1:18" s="94" customFormat="1" ht="12.75" customHeight="1" x14ac:dyDescent="0.25">
      <c r="B403" s="101" t="s">
        <v>119</v>
      </c>
      <c r="C403" s="101" t="s">
        <v>70</v>
      </c>
      <c r="E403" s="93">
        <v>2586226.54</v>
      </c>
      <c r="F403" s="93">
        <v>828421.5</v>
      </c>
      <c r="G403" s="93">
        <v>410896.65</v>
      </c>
      <c r="H403" s="93">
        <v>23600.73</v>
      </c>
      <c r="I403" s="93">
        <v>-320314.74</v>
      </c>
      <c r="J403" s="93">
        <v>-11990.62</v>
      </c>
      <c r="K403" s="93">
        <v>0</v>
      </c>
      <c r="L403" s="93">
        <v>-98129.52</v>
      </c>
      <c r="M403" s="93">
        <v>-111421.93</v>
      </c>
      <c r="N403" s="93">
        <v>-582456.76</v>
      </c>
      <c r="O403" s="93">
        <v>2467046.11</v>
      </c>
      <c r="P403" s="93">
        <v>-19424.88</v>
      </c>
      <c r="Q403" s="93">
        <v>0</v>
      </c>
      <c r="R403" s="94">
        <v>0</v>
      </c>
    </row>
    <row r="404" spans="1:18" s="226" customFormat="1" ht="12.75" customHeight="1" x14ac:dyDescent="0.25">
      <c r="A404" s="98" t="s">
        <v>79</v>
      </c>
      <c r="B404" s="98" t="s">
        <v>70</v>
      </c>
      <c r="E404" s="100">
        <v>1691346.72</v>
      </c>
      <c r="F404" s="100">
        <v>854601.59</v>
      </c>
      <c r="G404" s="100">
        <v>419845.78</v>
      </c>
      <c r="H404" s="100">
        <v>22072.48</v>
      </c>
      <c r="I404" s="100">
        <v>-647593.79</v>
      </c>
      <c r="J404" s="100">
        <v>-22968.14</v>
      </c>
      <c r="K404" s="100">
        <v>0</v>
      </c>
      <c r="L404" s="100">
        <v>-177604.19</v>
      </c>
      <c r="M404" s="100">
        <v>-226460.95</v>
      </c>
      <c r="N404" s="100">
        <v>-1042883.13</v>
      </c>
      <c r="O404" s="100">
        <v>2548125.8199999998</v>
      </c>
      <c r="P404" s="100">
        <v>-35788.75</v>
      </c>
      <c r="Q404" s="100">
        <v>0</v>
      </c>
      <c r="R404" s="226">
        <v>0</v>
      </c>
    </row>
    <row r="405" spans="1:18" ht="12.75" customHeight="1" x14ac:dyDescent="0.25">
      <c r="A405" s="89" t="s">
        <v>70</v>
      </c>
      <c r="E405" s="90">
        <v>30004174.399999999</v>
      </c>
      <c r="F405" s="90">
        <v>3211084.32</v>
      </c>
      <c r="G405" s="90">
        <v>1746607.73</v>
      </c>
      <c r="H405" s="90">
        <v>676932.15</v>
      </c>
      <c r="I405" s="90">
        <v>5357434.59</v>
      </c>
      <c r="J405" s="90">
        <v>171140.98</v>
      </c>
      <c r="K405" s="90">
        <v>575000</v>
      </c>
      <c r="L405" s="90">
        <v>1279195.8799999999</v>
      </c>
      <c r="M405" s="90">
        <v>1455550.88</v>
      </c>
      <c r="N405" s="90">
        <v>5639645.5099999998</v>
      </c>
      <c r="O405" s="90">
        <v>9615226.5199999996</v>
      </c>
      <c r="P405" s="90">
        <v>276275.96999999997</v>
      </c>
      <c r="Q405" s="90">
        <v>79.87</v>
      </c>
      <c r="R405" s="90">
        <v>0</v>
      </c>
    </row>
    <row r="406" spans="1:18" ht="12.75" hidden="1" customHeight="1" x14ac:dyDescent="0.25">
      <c r="A406" s="89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</row>
    <row r="407" spans="1:18" ht="12.75" hidden="1" customHeight="1" x14ac:dyDescent="0.25">
      <c r="A407" s="89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</row>
    <row r="408" spans="1:18" ht="12.75" hidden="1" customHeight="1" x14ac:dyDescent="0.25">
      <c r="A408" s="89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</row>
    <row r="409" spans="1:18" ht="12.75" hidden="1" customHeight="1" x14ac:dyDescent="0.25">
      <c r="A409" s="89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</row>
    <row r="410" spans="1:18" ht="12.75" hidden="1" customHeight="1" x14ac:dyDescent="0.25">
      <c r="A410" s="89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</row>
    <row r="411" spans="1:18" ht="12.75" hidden="1" customHeight="1" x14ac:dyDescent="0.25">
      <c r="A411" s="89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</row>
    <row r="412" spans="1:18" ht="12.75" hidden="1" customHeight="1" x14ac:dyDescent="0.25">
      <c r="A412" s="89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</row>
    <row r="413" spans="1:18" ht="12.75" hidden="1" customHeight="1" x14ac:dyDescent="0.25">
      <c r="A413" s="89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</row>
    <row r="414" spans="1:18" ht="12.75" hidden="1" customHeight="1" x14ac:dyDescent="0.25">
      <c r="A414" s="89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</row>
    <row r="415" spans="1:18" ht="12.75" hidden="1" customHeight="1" x14ac:dyDescent="0.25">
      <c r="A415" s="89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</row>
    <row r="416" spans="1:18" ht="12.75" hidden="1" customHeight="1" x14ac:dyDescent="0.25">
      <c r="A416" s="89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</row>
    <row r="417" spans="1:18" ht="12.75" hidden="1" customHeight="1" x14ac:dyDescent="0.25">
      <c r="A417" s="89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</row>
    <row r="418" spans="1:18" ht="12.75" hidden="1" customHeight="1" x14ac:dyDescent="0.25">
      <c r="A418" s="89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</row>
    <row r="419" spans="1:18" ht="12.75" hidden="1" customHeight="1" x14ac:dyDescent="0.25">
      <c r="A419" s="89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</row>
    <row r="420" spans="1:18" ht="12.75" hidden="1" customHeight="1" x14ac:dyDescent="0.25">
      <c r="A420" s="89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</row>
    <row r="421" spans="1:18" ht="12.75" hidden="1" customHeight="1" x14ac:dyDescent="0.25">
      <c r="A421" s="89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</row>
    <row r="422" spans="1:18" ht="12.75" hidden="1" customHeight="1" x14ac:dyDescent="0.25">
      <c r="A422" s="89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</row>
    <row r="423" spans="1:18" ht="12.75" hidden="1" customHeight="1" x14ac:dyDescent="0.25">
      <c r="A423" s="89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</row>
    <row r="424" spans="1:18" ht="12.75" hidden="1" customHeight="1" x14ac:dyDescent="0.25">
      <c r="A424" s="89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</row>
    <row r="425" spans="1:18" ht="12.75" hidden="1" customHeight="1" x14ac:dyDescent="0.25">
      <c r="A425" s="89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</row>
    <row r="426" spans="1:18" ht="12.75" hidden="1" customHeight="1" x14ac:dyDescent="0.25">
      <c r="A426" s="89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</row>
    <row r="427" spans="1:18" ht="12.75" hidden="1" customHeight="1" x14ac:dyDescent="0.25">
      <c r="A427" s="89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</row>
    <row r="428" spans="1:18" ht="12.75" hidden="1" customHeight="1" x14ac:dyDescent="0.25">
      <c r="A428" s="89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18" ht="12.75" hidden="1" customHeight="1" x14ac:dyDescent="0.25">
      <c r="A429" s="89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</row>
    <row r="430" spans="1:18" ht="12.75" customHeight="1" x14ac:dyDescent="0.25">
      <c r="A430" s="89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</row>
    <row r="431" spans="1:18" ht="12.75" customHeight="1" x14ac:dyDescent="0.25">
      <c r="A431" s="89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</row>
    <row r="432" spans="1:18" ht="12.75" customHeight="1" x14ac:dyDescent="0.25">
      <c r="B432" s="776" t="s">
        <v>2</v>
      </c>
      <c r="C432" s="774" t="s">
        <v>132</v>
      </c>
      <c r="D432" s="98" t="s">
        <v>70</v>
      </c>
      <c r="E432" s="100">
        <f>E404+E390-K390</f>
        <v>29429174.399999999</v>
      </c>
      <c r="F432" s="100">
        <f>F390</f>
        <v>2356482.73</v>
      </c>
      <c r="G432" s="100">
        <f t="shared" ref="G432:R432" si="14">G390</f>
        <v>1326761.95</v>
      </c>
      <c r="H432" s="100">
        <f t="shared" si="14"/>
        <v>654859.67000000004</v>
      </c>
      <c r="I432" s="100">
        <f t="shared" si="14"/>
        <v>6005028.3799999999</v>
      </c>
      <c r="J432" s="100">
        <f t="shared" si="14"/>
        <v>194109.12</v>
      </c>
      <c r="K432" s="100">
        <f t="shared" si="14"/>
        <v>575000</v>
      </c>
      <c r="L432" s="100">
        <f t="shared" si="14"/>
        <v>1456800.07</v>
      </c>
      <c r="M432" s="100">
        <f t="shared" si="14"/>
        <v>1682011.83</v>
      </c>
      <c r="N432" s="100">
        <f t="shared" si="14"/>
        <v>6682528.6399999997</v>
      </c>
      <c r="O432" s="100">
        <f t="shared" si="14"/>
        <v>7067100.7000000002</v>
      </c>
      <c r="P432" s="100">
        <f>P390</f>
        <v>312064.71999999997</v>
      </c>
      <c r="Q432" s="100">
        <f t="shared" si="14"/>
        <v>79.87</v>
      </c>
      <c r="R432" s="100">
        <f t="shared" si="14"/>
        <v>0</v>
      </c>
    </row>
    <row r="433" spans="1:18" ht="12.75" customHeight="1" x14ac:dyDescent="0.25">
      <c r="B433" s="776"/>
      <c r="C433" s="774"/>
      <c r="D433" s="98" t="s">
        <v>73</v>
      </c>
      <c r="E433" s="100">
        <f>E404</f>
        <v>1691346.72</v>
      </c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18" ht="12.75" customHeight="1" x14ac:dyDescent="0.3">
      <c r="A434" s="89"/>
      <c r="B434" s="97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</row>
    <row r="435" spans="1:18" ht="12.75" customHeight="1" x14ac:dyDescent="0.25">
      <c r="B435" s="776" t="s">
        <v>160</v>
      </c>
      <c r="C435" s="774" t="s">
        <v>132</v>
      </c>
      <c r="D435" s="223" t="s">
        <v>70</v>
      </c>
      <c r="E435" s="225">
        <v>0</v>
      </c>
      <c r="F435" s="225">
        <v>0</v>
      </c>
      <c r="G435" s="225">
        <v>0</v>
      </c>
      <c r="H435" s="225">
        <v>0</v>
      </c>
      <c r="I435" s="225">
        <v>0</v>
      </c>
      <c r="J435" s="225">
        <v>0</v>
      </c>
      <c r="K435" s="225">
        <v>0</v>
      </c>
      <c r="L435" s="225">
        <v>0</v>
      </c>
      <c r="M435" s="225">
        <v>0</v>
      </c>
      <c r="N435" s="225">
        <v>0</v>
      </c>
      <c r="O435" s="225">
        <v>0</v>
      </c>
      <c r="P435" s="225">
        <v>0</v>
      </c>
      <c r="Q435" s="225">
        <v>0</v>
      </c>
      <c r="R435" s="225">
        <v>0</v>
      </c>
    </row>
    <row r="436" spans="1:18" ht="12.75" customHeight="1" x14ac:dyDescent="0.25">
      <c r="B436" s="776"/>
      <c r="C436" s="774"/>
      <c r="D436" s="223" t="s">
        <v>73</v>
      </c>
      <c r="E436" s="225">
        <v>0</v>
      </c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</row>
    <row r="437" spans="1:18" ht="12.75" customHeight="1" x14ac:dyDescent="0.3">
      <c r="A437" s="89"/>
      <c r="B437" s="97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</row>
    <row r="438" spans="1:18" ht="12.75" customHeight="1" x14ac:dyDescent="0.25">
      <c r="B438" s="776" t="s">
        <v>155</v>
      </c>
      <c r="C438" s="774" t="s">
        <v>132</v>
      </c>
      <c r="D438" s="221" t="s">
        <v>70</v>
      </c>
      <c r="E438" s="222">
        <f>E393+E375-K375</f>
        <v>9152933.3399999999</v>
      </c>
      <c r="F438" s="222">
        <f>F375</f>
        <v>510460.99</v>
      </c>
      <c r="G438" s="222">
        <f t="shared" ref="G438:R438" si="15">G375</f>
        <v>296956.78000000003</v>
      </c>
      <c r="H438" s="222">
        <f t="shared" si="15"/>
        <v>135271.29</v>
      </c>
      <c r="I438" s="222">
        <f t="shared" si="15"/>
        <v>2106207.48</v>
      </c>
      <c r="J438" s="222">
        <f t="shared" si="15"/>
        <v>75257.22</v>
      </c>
      <c r="K438" s="222">
        <f t="shared" si="15"/>
        <v>0</v>
      </c>
      <c r="L438" s="222">
        <f t="shared" si="15"/>
        <v>632302</v>
      </c>
      <c r="M438" s="222">
        <f t="shared" si="15"/>
        <v>626116.92000000004</v>
      </c>
      <c r="N438" s="222">
        <f t="shared" si="15"/>
        <v>2502126.23</v>
      </c>
      <c r="O438" s="222">
        <f t="shared" si="15"/>
        <v>1662442.11</v>
      </c>
      <c r="P438" s="222">
        <f t="shared" si="15"/>
        <v>117211.45</v>
      </c>
      <c r="Q438" s="222">
        <f t="shared" si="15"/>
        <v>1.73</v>
      </c>
      <c r="R438" s="222">
        <f t="shared" si="15"/>
        <v>0</v>
      </c>
    </row>
    <row r="439" spans="1:18" ht="12.75" customHeight="1" x14ac:dyDescent="0.25">
      <c r="B439" s="776"/>
      <c r="C439" s="774"/>
      <c r="D439" s="221" t="s">
        <v>73</v>
      </c>
      <c r="E439" s="222">
        <f>E393</f>
        <v>488579.14</v>
      </c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</row>
    <row r="440" spans="1:18" ht="12.75" customHeight="1" x14ac:dyDescent="0.3">
      <c r="A440" s="89"/>
      <c r="B440" s="97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</row>
    <row r="441" spans="1:18" ht="12.75" customHeight="1" x14ac:dyDescent="0.25">
      <c r="B441" s="777" t="s">
        <v>326</v>
      </c>
      <c r="C441" s="774" t="s">
        <v>132</v>
      </c>
      <c r="D441" s="373" t="s">
        <v>70</v>
      </c>
      <c r="E441" s="374">
        <f>E396+E379-K379</f>
        <v>3790847.24</v>
      </c>
      <c r="F441" s="374">
        <f>F379</f>
        <v>315585.40999999997</v>
      </c>
      <c r="G441" s="374">
        <f t="shared" ref="G441:R441" si="16">G379</f>
        <v>168651.51</v>
      </c>
      <c r="H441" s="374">
        <f t="shared" si="16"/>
        <v>84078.44</v>
      </c>
      <c r="I441" s="374">
        <f t="shared" si="16"/>
        <v>1499498.33</v>
      </c>
      <c r="J441" s="374">
        <f t="shared" si="16"/>
        <v>40273.5</v>
      </c>
      <c r="K441" s="374">
        <f t="shared" si="16"/>
        <v>0</v>
      </c>
      <c r="L441" s="374">
        <f t="shared" si="16"/>
        <v>342452.22</v>
      </c>
      <c r="M441" s="374">
        <f t="shared" si="16"/>
        <v>329953.59999999998</v>
      </c>
      <c r="N441" s="374">
        <f t="shared" si="16"/>
        <v>1505531.38</v>
      </c>
      <c r="O441" s="374">
        <f t="shared" si="16"/>
        <v>821299.02</v>
      </c>
      <c r="P441" s="374">
        <f t="shared" si="16"/>
        <v>66986.789999999994</v>
      </c>
      <c r="Q441" s="374">
        <f t="shared" si="16"/>
        <v>-4</v>
      </c>
      <c r="R441" s="374">
        <f t="shared" si="16"/>
        <v>0</v>
      </c>
    </row>
    <row r="442" spans="1:18" ht="12.75" customHeight="1" x14ac:dyDescent="0.25">
      <c r="B442" s="777"/>
      <c r="C442" s="774"/>
      <c r="D442" s="373" t="s">
        <v>73</v>
      </c>
      <c r="E442" s="374">
        <f>E396</f>
        <v>-1383458.96</v>
      </c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</row>
    <row r="443" spans="1:18" ht="12.75" customHeight="1" x14ac:dyDescent="0.25">
      <c r="B443" s="719"/>
      <c r="C443" s="220"/>
      <c r="D443" s="89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</row>
    <row r="444" spans="1:18" ht="12.75" customHeight="1" x14ac:dyDescent="0.25">
      <c r="B444" s="776" t="s">
        <v>119</v>
      </c>
      <c r="C444" s="774" t="s">
        <v>132</v>
      </c>
      <c r="D444" s="101" t="s">
        <v>70</v>
      </c>
      <c r="E444" s="93">
        <f>E389+E403-K389</f>
        <v>16485393.82</v>
      </c>
      <c r="F444" s="93">
        <f>F389</f>
        <v>1530436.33</v>
      </c>
      <c r="G444" s="93">
        <f t="shared" ref="G444:R444" si="17">G389</f>
        <v>861153.66</v>
      </c>
      <c r="H444" s="93">
        <f t="shared" si="17"/>
        <v>435509.94</v>
      </c>
      <c r="I444" s="93">
        <f t="shared" si="17"/>
        <v>2399322.5699999998</v>
      </c>
      <c r="J444" s="93">
        <f t="shared" si="17"/>
        <v>78578.399999999994</v>
      </c>
      <c r="K444" s="93">
        <f t="shared" si="17"/>
        <v>575000</v>
      </c>
      <c r="L444" s="93">
        <f t="shared" si="17"/>
        <v>482045.85</v>
      </c>
      <c r="M444" s="93">
        <f t="shared" si="17"/>
        <v>725941.31</v>
      </c>
      <c r="N444" s="93">
        <f t="shared" si="17"/>
        <v>2674871.0299999998</v>
      </c>
      <c r="O444" s="93">
        <f t="shared" si="17"/>
        <v>4583359.57</v>
      </c>
      <c r="P444" s="93">
        <f t="shared" si="17"/>
        <v>127866.48</v>
      </c>
      <c r="Q444" s="93">
        <f t="shared" si="17"/>
        <v>82.14</v>
      </c>
      <c r="R444" s="93">
        <f t="shared" si="17"/>
        <v>0</v>
      </c>
    </row>
    <row r="445" spans="1:18" ht="12.75" customHeight="1" x14ac:dyDescent="0.25">
      <c r="B445" s="776"/>
      <c r="C445" s="774"/>
      <c r="D445" s="101" t="s">
        <v>73</v>
      </c>
      <c r="E445" s="93">
        <f>E403</f>
        <v>2586226.54</v>
      </c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</row>
    <row r="446" spans="1:18" ht="12.75" customHeight="1" x14ac:dyDescent="0.3">
      <c r="A446" s="89"/>
      <c r="B446" s="97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</row>
    <row r="447" spans="1:18" ht="12.75" customHeight="1" x14ac:dyDescent="0.25">
      <c r="B447" s="775" t="s">
        <v>161</v>
      </c>
      <c r="C447" s="774" t="s">
        <v>132</v>
      </c>
      <c r="D447" s="231" t="s">
        <v>70</v>
      </c>
      <c r="E447" s="232">
        <v>0</v>
      </c>
      <c r="F447" s="232">
        <v>0</v>
      </c>
      <c r="G447" s="232">
        <v>0</v>
      </c>
      <c r="H447" s="232">
        <v>0</v>
      </c>
      <c r="I447" s="232">
        <v>0</v>
      </c>
      <c r="J447" s="232">
        <v>0</v>
      </c>
      <c r="K447" s="232">
        <v>0</v>
      </c>
      <c r="L447" s="232">
        <v>0</v>
      </c>
      <c r="M447" s="232">
        <v>0</v>
      </c>
      <c r="N447" s="232">
        <v>0</v>
      </c>
      <c r="O447" s="232">
        <v>0</v>
      </c>
      <c r="P447" s="232">
        <v>0</v>
      </c>
      <c r="Q447" s="232">
        <v>0</v>
      </c>
      <c r="R447" s="232">
        <v>0</v>
      </c>
    </row>
    <row r="448" spans="1:18" ht="12.75" customHeight="1" x14ac:dyDescent="0.25">
      <c r="B448" s="775"/>
      <c r="C448" s="774"/>
      <c r="D448" s="231" t="s">
        <v>73</v>
      </c>
      <c r="E448" s="232">
        <v>0</v>
      </c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</row>
    <row r="449" s="238" customFormat="1" x14ac:dyDescent="0.25"/>
  </sheetData>
  <mergeCells count="60">
    <mergeCell ref="B444:B445"/>
    <mergeCell ref="C444:C445"/>
    <mergeCell ref="B447:B448"/>
    <mergeCell ref="C447:C448"/>
    <mergeCell ref="B441:B442"/>
    <mergeCell ref="C441:C442"/>
    <mergeCell ref="B432:B433"/>
    <mergeCell ref="C432:C433"/>
    <mergeCell ref="B435:B436"/>
    <mergeCell ref="C435:C436"/>
    <mergeCell ref="B438:B439"/>
    <mergeCell ref="C438:C439"/>
    <mergeCell ref="B364:B365"/>
    <mergeCell ref="C364:C365"/>
    <mergeCell ref="B367:B368"/>
    <mergeCell ref="C367:C368"/>
    <mergeCell ref="B361:B362"/>
    <mergeCell ref="C361:C362"/>
    <mergeCell ref="B352:B353"/>
    <mergeCell ref="C352:C353"/>
    <mergeCell ref="B355:B356"/>
    <mergeCell ref="C355:C356"/>
    <mergeCell ref="B358:B359"/>
    <mergeCell ref="C358:C359"/>
    <mergeCell ref="B265:B266"/>
    <mergeCell ref="C265:C266"/>
    <mergeCell ref="B262:B263"/>
    <mergeCell ref="C262:C263"/>
    <mergeCell ref="B268:B269"/>
    <mergeCell ref="C268:C269"/>
    <mergeCell ref="B253:B254"/>
    <mergeCell ref="C253:C254"/>
    <mergeCell ref="B256:B257"/>
    <mergeCell ref="C256:C257"/>
    <mergeCell ref="B259:B260"/>
    <mergeCell ref="C259:C260"/>
    <mergeCell ref="B43:B44"/>
    <mergeCell ref="C43:C44"/>
    <mergeCell ref="B46:B47"/>
    <mergeCell ref="C46:C47"/>
    <mergeCell ref="B52:B53"/>
    <mergeCell ref="C52:C53"/>
    <mergeCell ref="B49:B50"/>
    <mergeCell ref="C49:C50"/>
    <mergeCell ref="B55:B56"/>
    <mergeCell ref="C55:C56"/>
    <mergeCell ref="B151:B152"/>
    <mergeCell ref="C151:C152"/>
    <mergeCell ref="B58:B59"/>
    <mergeCell ref="C58:C59"/>
    <mergeCell ref="B136:B137"/>
    <mergeCell ref="C136:C137"/>
    <mergeCell ref="B139:B140"/>
    <mergeCell ref="C139:C140"/>
    <mergeCell ref="B142:B143"/>
    <mergeCell ref="C142:C143"/>
    <mergeCell ref="B148:B149"/>
    <mergeCell ref="C148:C149"/>
    <mergeCell ref="B145:B146"/>
    <mergeCell ref="C145:C14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66"/>
  <sheetViews>
    <sheetView zoomScale="90" zoomScaleNormal="90" workbookViewId="0">
      <pane ySplit="2" topLeftCell="A3" activePane="bottomLeft" state="frozen"/>
      <selection activeCell="D22" sqref="D22"/>
      <selection pane="bottomLeft" activeCell="D22" sqref="D22"/>
    </sheetView>
  </sheetViews>
  <sheetFormatPr baseColWidth="10" defaultColWidth="11.453125" defaultRowHeight="12.5" x14ac:dyDescent="0.25"/>
  <cols>
    <col min="1" max="1" width="21.1796875" style="616" customWidth="1"/>
    <col min="2" max="2" width="19.81640625" style="616" bestFit="1" customWidth="1"/>
    <col min="3" max="3" width="24.81640625" style="616" bestFit="1" customWidth="1"/>
    <col min="4" max="4" width="23.1796875" style="616" bestFit="1" customWidth="1"/>
    <col min="5" max="5" width="15.81640625" style="616" bestFit="1" customWidth="1"/>
    <col min="6" max="6" width="15.453125" style="616" bestFit="1" customWidth="1"/>
    <col min="7" max="7" width="15.453125" style="616" customWidth="1"/>
    <col min="8" max="8" width="16.453125" style="616" bestFit="1" customWidth="1"/>
    <col min="9" max="9" width="18" style="616" bestFit="1" customWidth="1"/>
    <col min="10" max="10" width="17" style="616" bestFit="1" customWidth="1"/>
    <col min="11" max="11" width="15.54296875" style="616" bestFit="1" customWidth="1"/>
    <col min="12" max="13" width="15.81640625" style="616" bestFit="1" customWidth="1"/>
    <col min="14" max="14" width="21.453125" style="616" bestFit="1" customWidth="1"/>
    <col min="15" max="16" width="20.453125" style="616" bestFit="1" customWidth="1"/>
    <col min="17" max="17" width="20" style="616" bestFit="1" customWidth="1"/>
    <col min="18" max="16384" width="11.453125" style="616"/>
  </cols>
  <sheetData>
    <row r="1" spans="1:18" ht="13" x14ac:dyDescent="0.3">
      <c r="B1" s="617" t="s">
        <v>74</v>
      </c>
    </row>
    <row r="2" spans="1:18" ht="12.75" customHeight="1" x14ac:dyDescent="0.25">
      <c r="D2" s="618" t="s">
        <v>70</v>
      </c>
      <c r="E2" s="618" t="s">
        <v>64</v>
      </c>
      <c r="F2" s="618" t="s">
        <v>65</v>
      </c>
      <c r="G2" s="619" t="s">
        <v>164</v>
      </c>
      <c r="H2" s="618" t="s">
        <v>69</v>
      </c>
      <c r="I2" s="618" t="s">
        <v>68</v>
      </c>
      <c r="J2" s="618" t="s">
        <v>66</v>
      </c>
      <c r="K2" s="618" t="s">
        <v>63</v>
      </c>
      <c r="L2" s="618" t="s">
        <v>61</v>
      </c>
      <c r="M2" s="618" t="s">
        <v>62</v>
      </c>
      <c r="N2" s="618" t="s">
        <v>67</v>
      </c>
      <c r="O2" s="618" t="s">
        <v>77</v>
      </c>
      <c r="P2" s="616" t="s">
        <v>71</v>
      </c>
      <c r="Q2" s="618" t="s">
        <v>80</v>
      </c>
      <c r="R2" s="616" t="s">
        <v>168</v>
      </c>
    </row>
    <row r="3" spans="1:18" ht="12.5" customHeight="1" x14ac:dyDescent="0.25">
      <c r="C3" s="616" t="s">
        <v>72</v>
      </c>
      <c r="D3" s="618">
        <v>-902656.46</v>
      </c>
      <c r="E3" s="618">
        <v>-50786.1</v>
      </c>
      <c r="F3" s="618">
        <v>-28687.84</v>
      </c>
      <c r="G3" s="620">
        <v>-15112.67</v>
      </c>
      <c r="H3" s="618">
        <v>-214829.29</v>
      </c>
      <c r="I3" s="618">
        <v>-7567.12</v>
      </c>
      <c r="J3" s="618">
        <v>-66377.88</v>
      </c>
      <c r="K3" s="618">
        <v>-64591.46</v>
      </c>
      <c r="L3" s="618">
        <v>-303450.84000000003</v>
      </c>
      <c r="M3" s="618">
        <v>-138897.31</v>
      </c>
      <c r="N3" s="618">
        <v>-12346.16</v>
      </c>
      <c r="O3" s="618">
        <v>-9.7899999999999991</v>
      </c>
      <c r="P3" s="618">
        <v>0</v>
      </c>
      <c r="Q3" s="618">
        <v>0</v>
      </c>
      <c r="R3" s="616">
        <v>0</v>
      </c>
    </row>
    <row r="4" spans="1:18" ht="12.5" customHeight="1" x14ac:dyDescent="0.25">
      <c r="C4" s="616" t="s">
        <v>81</v>
      </c>
      <c r="D4" s="618">
        <v>-84.31</v>
      </c>
      <c r="E4" s="618">
        <v>-4.6500000000000004</v>
      </c>
      <c r="F4" s="618">
        <v>-2.63</v>
      </c>
      <c r="G4" s="620">
        <v>-1.39</v>
      </c>
      <c r="H4" s="618">
        <v>-20.46</v>
      </c>
      <c r="I4" s="618">
        <v>-0.71</v>
      </c>
      <c r="J4" s="618">
        <v>-6.2</v>
      </c>
      <c r="K4" s="618">
        <v>-6.14</v>
      </c>
      <c r="L4" s="618">
        <v>-28.19</v>
      </c>
      <c r="M4" s="618">
        <v>-12.78</v>
      </c>
      <c r="N4" s="618">
        <v>-1.1499999999999999</v>
      </c>
      <c r="O4" s="618">
        <v>-0.01</v>
      </c>
      <c r="P4" s="618">
        <v>0</v>
      </c>
      <c r="Q4" s="618">
        <v>0</v>
      </c>
      <c r="R4" s="616">
        <v>0</v>
      </c>
    </row>
    <row r="5" spans="1:18" s="621" customFormat="1" ht="12.75" customHeight="1" x14ac:dyDescent="0.25">
      <c r="B5" s="622" t="s">
        <v>78</v>
      </c>
      <c r="C5" s="622" t="s">
        <v>70</v>
      </c>
      <c r="D5" s="622">
        <v>-902740.77</v>
      </c>
      <c r="E5" s="622">
        <v>-50790.75</v>
      </c>
      <c r="F5" s="622">
        <v>-28690.47</v>
      </c>
      <c r="G5" s="622">
        <v>-15114.06</v>
      </c>
      <c r="H5" s="622">
        <v>-214849.75</v>
      </c>
      <c r="I5" s="622">
        <v>-7567.83</v>
      </c>
      <c r="J5" s="622">
        <v>-66384.08</v>
      </c>
      <c r="K5" s="622">
        <v>-64597.599999999999</v>
      </c>
      <c r="L5" s="622">
        <v>-303479.03000000003</v>
      </c>
      <c r="M5" s="622">
        <v>-138910.09</v>
      </c>
      <c r="N5" s="622">
        <v>-12347.31</v>
      </c>
      <c r="O5" s="622">
        <v>-9.8000000000000007</v>
      </c>
      <c r="P5" s="621">
        <v>0</v>
      </c>
      <c r="Q5" s="622">
        <v>0</v>
      </c>
      <c r="R5" s="622">
        <v>0</v>
      </c>
    </row>
    <row r="6" spans="1:18" ht="12.75" customHeight="1" x14ac:dyDescent="0.25">
      <c r="C6" s="616" t="s">
        <v>73</v>
      </c>
      <c r="D6" s="618">
        <v>-342249.23</v>
      </c>
      <c r="E6" s="618">
        <v>-20012.25</v>
      </c>
      <c r="F6" s="618">
        <v>-11305.96</v>
      </c>
      <c r="G6" s="620">
        <v>-5961.84</v>
      </c>
      <c r="H6" s="618">
        <v>-80024.59</v>
      </c>
      <c r="I6" s="618">
        <v>-2832.43</v>
      </c>
      <c r="J6" s="618">
        <v>-24845.71</v>
      </c>
      <c r="K6" s="618">
        <v>-24218.43</v>
      </c>
      <c r="L6" s="618">
        <v>-113481.59</v>
      </c>
      <c r="M6" s="618">
        <v>-54945.16</v>
      </c>
      <c r="N6" s="618">
        <v>-4621.2700000000004</v>
      </c>
      <c r="O6" s="618">
        <v>0</v>
      </c>
      <c r="P6" s="618">
        <v>0</v>
      </c>
      <c r="Q6" s="618">
        <v>0</v>
      </c>
      <c r="R6" s="616">
        <v>0</v>
      </c>
    </row>
    <row r="7" spans="1:18" s="623" customFormat="1" ht="12.75" customHeight="1" x14ac:dyDescent="0.25">
      <c r="B7" s="624" t="s">
        <v>79</v>
      </c>
      <c r="C7" s="624" t="s">
        <v>70</v>
      </c>
      <c r="D7" s="624">
        <v>-342249.23</v>
      </c>
      <c r="E7" s="624">
        <v>-20012.25</v>
      </c>
      <c r="F7" s="624">
        <v>-11305.96</v>
      </c>
      <c r="G7" s="624">
        <v>-5961.84</v>
      </c>
      <c r="H7" s="624">
        <v>-80024.59</v>
      </c>
      <c r="I7" s="624">
        <v>-2832.43</v>
      </c>
      <c r="J7" s="624">
        <v>-24845.71</v>
      </c>
      <c r="K7" s="624">
        <v>-24218.43</v>
      </c>
      <c r="L7" s="624">
        <v>-113481.59</v>
      </c>
      <c r="M7" s="624">
        <v>-54945.16</v>
      </c>
      <c r="N7" s="624">
        <v>-4621.2700000000004</v>
      </c>
      <c r="O7" s="624">
        <v>0</v>
      </c>
      <c r="P7" s="623">
        <v>0</v>
      </c>
      <c r="Q7" s="624">
        <v>0</v>
      </c>
      <c r="R7" s="624">
        <v>0</v>
      </c>
    </row>
    <row r="8" spans="1:18" s="625" customFormat="1" ht="12.75" customHeight="1" x14ac:dyDescent="0.25">
      <c r="A8" s="625" t="s">
        <v>155</v>
      </c>
      <c r="B8" s="625" t="s">
        <v>70</v>
      </c>
      <c r="D8" s="626">
        <v>-1244990</v>
      </c>
      <c r="E8" s="626">
        <v>-70803</v>
      </c>
      <c r="F8" s="626">
        <v>-39996.43</v>
      </c>
      <c r="G8" s="627">
        <v>-21075.9</v>
      </c>
      <c r="H8" s="626">
        <v>-294874.34000000003</v>
      </c>
      <c r="I8" s="626">
        <v>-10400.26</v>
      </c>
      <c r="J8" s="626">
        <v>-91229.79</v>
      </c>
      <c r="K8" s="626">
        <v>-88816.03</v>
      </c>
      <c r="L8" s="626">
        <v>-416960.62</v>
      </c>
      <c r="M8" s="626">
        <v>-193855.25</v>
      </c>
      <c r="N8" s="626">
        <v>-16968.580000000002</v>
      </c>
      <c r="O8" s="626">
        <v>-9.8000000000000007</v>
      </c>
      <c r="P8" s="626">
        <v>0</v>
      </c>
      <c r="Q8" s="626">
        <v>0</v>
      </c>
      <c r="R8" s="625">
        <v>0</v>
      </c>
    </row>
    <row r="9" spans="1:18" ht="12.75" customHeight="1" x14ac:dyDescent="0.25">
      <c r="C9" s="616" t="s">
        <v>72</v>
      </c>
      <c r="D9" s="618">
        <v>-40070</v>
      </c>
      <c r="E9" s="618">
        <v>-2042.17</v>
      </c>
      <c r="F9" s="618">
        <v>-1153.02</v>
      </c>
      <c r="G9" s="620">
        <v>-605.19000000000005</v>
      </c>
      <c r="H9" s="618">
        <v>-10019.35</v>
      </c>
      <c r="I9" s="618">
        <v>-249.19</v>
      </c>
      <c r="J9" s="618">
        <v>-2185.89</v>
      </c>
      <c r="K9" s="618">
        <v>-3113.99</v>
      </c>
      <c r="L9" s="618">
        <v>-14745.86</v>
      </c>
      <c r="M9" s="618">
        <v>-5553.38</v>
      </c>
      <c r="N9" s="618">
        <v>-406.58</v>
      </c>
      <c r="O9" s="618">
        <v>4.62</v>
      </c>
      <c r="P9" s="618">
        <v>0</v>
      </c>
      <c r="Q9" s="618">
        <v>0</v>
      </c>
      <c r="R9" s="616">
        <v>0</v>
      </c>
    </row>
    <row r="10" spans="1:18" s="621" customFormat="1" ht="12.75" customHeight="1" x14ac:dyDescent="0.25">
      <c r="B10" s="622" t="s">
        <v>78</v>
      </c>
      <c r="C10" s="622" t="s">
        <v>70</v>
      </c>
      <c r="D10" s="622">
        <v>-40070</v>
      </c>
      <c r="E10" s="622">
        <v>-2042.17</v>
      </c>
      <c r="F10" s="622">
        <v>-1153.02</v>
      </c>
      <c r="G10" s="622">
        <v>-605.19000000000005</v>
      </c>
      <c r="H10" s="622">
        <v>-10019.35</v>
      </c>
      <c r="I10" s="622">
        <v>-249.19</v>
      </c>
      <c r="J10" s="622">
        <v>-2185.89</v>
      </c>
      <c r="K10" s="622">
        <v>-3113.99</v>
      </c>
      <c r="L10" s="622">
        <v>-14745.86</v>
      </c>
      <c r="M10" s="622">
        <v>-5553.38</v>
      </c>
      <c r="N10" s="622">
        <v>-406.58</v>
      </c>
      <c r="O10" s="622">
        <v>4.62</v>
      </c>
      <c r="P10" s="621">
        <v>0</v>
      </c>
      <c r="Q10" s="622">
        <v>0</v>
      </c>
      <c r="R10" s="622">
        <v>0</v>
      </c>
    </row>
    <row r="11" spans="1:18" s="628" customFormat="1" ht="12.75" customHeight="1" x14ac:dyDescent="0.25">
      <c r="A11" s="628" t="s">
        <v>119</v>
      </c>
      <c r="B11" s="628" t="s">
        <v>70</v>
      </c>
      <c r="D11" s="628">
        <v>-40070</v>
      </c>
      <c r="E11" s="628">
        <v>-2042.17</v>
      </c>
      <c r="F11" s="628">
        <v>-1153.02</v>
      </c>
      <c r="G11" s="628">
        <v>-605.19000000000005</v>
      </c>
      <c r="H11" s="628">
        <v>-10019.35</v>
      </c>
      <c r="I11" s="628">
        <v>-249.19</v>
      </c>
      <c r="J11" s="628">
        <v>-2185.89</v>
      </c>
      <c r="K11" s="628">
        <v>-3113.99</v>
      </c>
      <c r="L11" s="628">
        <v>-14745.86</v>
      </c>
      <c r="M11" s="628">
        <v>-5553.38</v>
      </c>
      <c r="N11" s="628">
        <v>-406.58</v>
      </c>
      <c r="O11" s="628">
        <v>4.62</v>
      </c>
      <c r="P11" s="628">
        <v>0</v>
      </c>
      <c r="Q11" s="628">
        <v>0</v>
      </c>
      <c r="R11" s="628">
        <v>0</v>
      </c>
    </row>
    <row r="12" spans="1:18" s="631" customFormat="1" ht="12.75" customHeight="1" x14ac:dyDescent="0.25">
      <c r="A12" s="630" t="s">
        <v>70</v>
      </c>
      <c r="D12" s="630">
        <v>-1285060</v>
      </c>
      <c r="E12" s="630">
        <v>-72845.17</v>
      </c>
      <c r="F12" s="630">
        <v>-41149.449999999997</v>
      </c>
      <c r="G12" s="630">
        <v>-21681.09</v>
      </c>
      <c r="H12" s="630">
        <v>-304893.69</v>
      </c>
      <c r="I12" s="630">
        <v>-10649.45</v>
      </c>
      <c r="J12" s="630">
        <v>-93415.679999999993</v>
      </c>
      <c r="K12" s="630">
        <v>-91930.02</v>
      </c>
      <c r="L12" s="630">
        <v>-431706.48</v>
      </c>
      <c r="M12" s="630">
        <v>-199408.63</v>
      </c>
      <c r="N12" s="630">
        <v>-17375.16</v>
      </c>
      <c r="O12" s="630">
        <v>-5.18</v>
      </c>
      <c r="P12" s="631">
        <v>0</v>
      </c>
      <c r="Q12" s="630">
        <v>0</v>
      </c>
      <c r="R12" s="630">
        <v>0</v>
      </c>
    </row>
    <row r="13" spans="1:18" ht="12.75" customHeight="1" x14ac:dyDescent="0.25">
      <c r="A13" s="618"/>
      <c r="D13" s="618"/>
      <c r="E13" s="618"/>
      <c r="F13" s="618"/>
      <c r="G13" s="618"/>
      <c r="H13" s="618"/>
      <c r="I13" s="618"/>
      <c r="J13" s="618"/>
      <c r="K13" s="618"/>
      <c r="L13" s="618"/>
      <c r="M13" s="618"/>
      <c r="N13" s="618"/>
      <c r="O13" s="618"/>
    </row>
    <row r="14" spans="1:18" ht="12.75" customHeight="1" x14ac:dyDescent="0.25">
      <c r="A14" s="618"/>
      <c r="D14" s="618"/>
      <c r="E14" s="618"/>
      <c r="F14" s="618"/>
      <c r="G14" s="618"/>
      <c r="H14" s="618"/>
      <c r="I14" s="618"/>
      <c r="J14" s="618"/>
      <c r="K14" s="618"/>
      <c r="L14" s="618"/>
      <c r="M14" s="618"/>
      <c r="N14" s="618"/>
      <c r="O14" s="618"/>
    </row>
    <row r="15" spans="1:18" ht="12.75" hidden="1" customHeight="1" x14ac:dyDescent="0.25">
      <c r="A15" s="618"/>
      <c r="D15" s="618"/>
      <c r="E15" s="618"/>
      <c r="F15" s="618"/>
      <c r="G15" s="618"/>
      <c r="H15" s="618"/>
      <c r="I15" s="618"/>
      <c r="J15" s="618"/>
      <c r="K15" s="618"/>
      <c r="L15" s="618"/>
      <c r="M15" s="618"/>
      <c r="N15" s="618"/>
      <c r="O15" s="618"/>
    </row>
    <row r="16" spans="1:18" ht="12.75" hidden="1" customHeight="1" x14ac:dyDescent="0.25">
      <c r="A16" s="618"/>
      <c r="D16" s="618"/>
      <c r="E16" s="618"/>
      <c r="F16" s="618"/>
      <c r="G16" s="618"/>
      <c r="H16" s="618"/>
      <c r="I16" s="618"/>
      <c r="J16" s="618"/>
      <c r="K16" s="618"/>
      <c r="L16" s="618"/>
      <c r="M16" s="618"/>
      <c r="N16" s="618"/>
      <c r="O16" s="618"/>
    </row>
    <row r="17" spans="1:15" ht="12.75" hidden="1" customHeight="1" x14ac:dyDescent="0.25">
      <c r="A17" s="618"/>
      <c r="D17" s="618"/>
      <c r="E17" s="618"/>
      <c r="F17" s="618"/>
      <c r="G17" s="618"/>
      <c r="H17" s="618"/>
      <c r="I17" s="618"/>
      <c r="J17" s="618"/>
      <c r="K17" s="618"/>
      <c r="L17" s="618"/>
      <c r="M17" s="618"/>
      <c r="N17" s="618"/>
      <c r="O17" s="618"/>
    </row>
    <row r="18" spans="1:15" ht="12.75" hidden="1" customHeight="1" x14ac:dyDescent="0.25">
      <c r="A18" s="618"/>
      <c r="D18" s="618"/>
      <c r="E18" s="618"/>
      <c r="F18" s="618"/>
      <c r="G18" s="618"/>
      <c r="H18" s="618"/>
      <c r="I18" s="618"/>
      <c r="J18" s="618"/>
      <c r="K18" s="618"/>
      <c r="L18" s="618"/>
      <c r="M18" s="618"/>
      <c r="N18" s="618"/>
      <c r="O18" s="618"/>
    </row>
    <row r="19" spans="1:15" ht="12.75" hidden="1" customHeight="1" x14ac:dyDescent="0.25">
      <c r="A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</row>
    <row r="20" spans="1:15" ht="12.75" hidden="1" customHeight="1" x14ac:dyDescent="0.25">
      <c r="A20" s="618"/>
      <c r="D20" s="618"/>
      <c r="E20" s="618"/>
      <c r="F20" s="618"/>
      <c r="G20" s="618"/>
      <c r="H20" s="618"/>
      <c r="I20" s="618"/>
      <c r="J20" s="618"/>
      <c r="K20" s="618"/>
      <c r="L20" s="618"/>
      <c r="M20" s="618"/>
      <c r="N20" s="618"/>
      <c r="O20" s="618"/>
    </row>
    <row r="21" spans="1:15" ht="12.75" hidden="1" customHeight="1" x14ac:dyDescent="0.25">
      <c r="A21" s="618"/>
      <c r="D21" s="618"/>
      <c r="E21" s="618"/>
      <c r="F21" s="618"/>
      <c r="G21" s="618"/>
      <c r="H21" s="618"/>
      <c r="I21" s="618"/>
      <c r="J21" s="618"/>
      <c r="K21" s="618"/>
      <c r="L21" s="618"/>
      <c r="M21" s="618"/>
      <c r="N21" s="618"/>
      <c r="O21" s="618"/>
    </row>
    <row r="22" spans="1:15" ht="12.75" hidden="1" customHeight="1" x14ac:dyDescent="0.25">
      <c r="A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</row>
    <row r="23" spans="1:15" ht="12.75" hidden="1" customHeight="1" x14ac:dyDescent="0.25">
      <c r="A23" s="618"/>
      <c r="D23" s="618"/>
      <c r="E23" s="618"/>
      <c r="F23" s="618"/>
      <c r="G23" s="618"/>
      <c r="H23" s="618"/>
      <c r="I23" s="618"/>
      <c r="J23" s="618"/>
      <c r="K23" s="618"/>
      <c r="L23" s="618"/>
      <c r="M23" s="618"/>
      <c r="N23" s="618"/>
      <c r="O23" s="618"/>
    </row>
    <row r="24" spans="1:15" ht="12.75" hidden="1" customHeight="1" x14ac:dyDescent="0.25">
      <c r="A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8"/>
    </row>
    <row r="25" spans="1:15" ht="12.75" hidden="1" customHeight="1" x14ac:dyDescent="0.25">
      <c r="A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</row>
    <row r="26" spans="1:15" ht="12.75" hidden="1" customHeight="1" x14ac:dyDescent="0.25">
      <c r="A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</row>
    <row r="27" spans="1:15" ht="12.75" hidden="1" customHeight="1" x14ac:dyDescent="0.25">
      <c r="A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</row>
    <row r="28" spans="1:15" ht="12.75" hidden="1" customHeight="1" x14ac:dyDescent="0.25">
      <c r="A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</row>
    <row r="29" spans="1:15" ht="12.75" hidden="1" customHeight="1" x14ac:dyDescent="0.25">
      <c r="A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</row>
    <row r="30" spans="1:15" ht="12.75" hidden="1" customHeight="1" x14ac:dyDescent="0.25">
      <c r="A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</row>
    <row r="31" spans="1:15" ht="12.75" hidden="1" customHeight="1" x14ac:dyDescent="0.25">
      <c r="A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</row>
    <row r="32" spans="1:15" ht="12.75" hidden="1" customHeight="1" x14ac:dyDescent="0.25">
      <c r="A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</row>
    <row r="33" spans="1:15" ht="12.75" hidden="1" customHeight="1" x14ac:dyDescent="0.25">
      <c r="A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</row>
    <row r="34" spans="1:15" ht="12.75" hidden="1" customHeight="1" x14ac:dyDescent="0.25">
      <c r="A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</row>
    <row r="35" spans="1:15" ht="12.75" hidden="1" customHeight="1" x14ac:dyDescent="0.25">
      <c r="A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</row>
    <row r="36" spans="1:15" ht="12.75" hidden="1" customHeight="1" x14ac:dyDescent="0.25">
      <c r="A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</row>
    <row r="37" spans="1:15" ht="12.75" hidden="1" customHeight="1" x14ac:dyDescent="0.25">
      <c r="A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</row>
    <row r="38" spans="1:15" ht="12.75" hidden="1" customHeight="1" x14ac:dyDescent="0.25">
      <c r="A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</row>
    <row r="39" spans="1:15" ht="12.75" hidden="1" customHeight="1" x14ac:dyDescent="0.25">
      <c r="A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</row>
    <row r="40" spans="1:15" ht="12.75" hidden="1" customHeight="1" x14ac:dyDescent="0.25">
      <c r="A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</row>
    <row r="41" spans="1:15" ht="12.75" hidden="1" customHeight="1" x14ac:dyDescent="0.25">
      <c r="A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</row>
    <row r="42" spans="1:15" ht="12.75" hidden="1" customHeight="1" x14ac:dyDescent="0.25">
      <c r="A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</row>
    <row r="43" spans="1:15" ht="12.75" hidden="1" customHeight="1" x14ac:dyDescent="0.25">
      <c r="A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</row>
    <row r="44" spans="1:15" ht="12.75" hidden="1" customHeight="1" x14ac:dyDescent="0.25">
      <c r="A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</row>
    <row r="45" spans="1:15" ht="12.75" hidden="1" customHeight="1" x14ac:dyDescent="0.25">
      <c r="A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</row>
    <row r="46" spans="1:15" ht="12.75" hidden="1" customHeight="1" x14ac:dyDescent="0.25">
      <c r="A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</row>
    <row r="47" spans="1:15" ht="12.75" hidden="1" customHeight="1" x14ac:dyDescent="0.25">
      <c r="A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</row>
    <row r="48" spans="1:15" ht="12.75" hidden="1" customHeight="1" x14ac:dyDescent="0.25">
      <c r="A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</row>
    <row r="49" spans="1:15" ht="12.75" hidden="1" customHeight="1" x14ac:dyDescent="0.25">
      <c r="A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</row>
    <row r="50" spans="1:15" ht="12.75" hidden="1" customHeight="1" x14ac:dyDescent="0.25">
      <c r="A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</row>
    <row r="51" spans="1:15" ht="12.75" hidden="1" customHeight="1" x14ac:dyDescent="0.25">
      <c r="A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</row>
    <row r="52" spans="1:15" ht="12.75" hidden="1" customHeight="1" x14ac:dyDescent="0.25">
      <c r="A52" s="618"/>
      <c r="D52" s="618"/>
      <c r="E52" s="618"/>
      <c r="F52" s="618"/>
      <c r="G52" s="618"/>
      <c r="H52" s="618"/>
      <c r="I52" s="618"/>
      <c r="J52" s="618"/>
      <c r="K52" s="618"/>
      <c r="L52" s="618"/>
      <c r="M52" s="618"/>
      <c r="N52" s="618"/>
      <c r="O52" s="618"/>
    </row>
    <row r="53" spans="1:15" ht="12.75" hidden="1" customHeight="1" x14ac:dyDescent="0.25">
      <c r="A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</row>
    <row r="54" spans="1:15" ht="12.75" hidden="1" customHeight="1" x14ac:dyDescent="0.25">
      <c r="A54" s="618"/>
      <c r="D54" s="618"/>
      <c r="E54" s="618"/>
      <c r="F54" s="618"/>
      <c r="G54" s="618"/>
      <c r="H54" s="618"/>
      <c r="I54" s="618"/>
      <c r="J54" s="618"/>
      <c r="K54" s="618"/>
      <c r="L54" s="618"/>
      <c r="M54" s="618"/>
      <c r="N54" s="618"/>
      <c r="O54" s="618"/>
    </row>
    <row r="55" spans="1:15" ht="12.75" hidden="1" customHeight="1" x14ac:dyDescent="0.25">
      <c r="A55" s="618"/>
      <c r="D55" s="618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</row>
    <row r="56" spans="1:15" ht="12.75" hidden="1" customHeight="1" x14ac:dyDescent="0.25">
      <c r="A56" s="618"/>
      <c r="D56" s="618"/>
      <c r="E56" s="618"/>
      <c r="F56" s="618"/>
      <c r="G56" s="618"/>
      <c r="H56" s="618"/>
      <c r="I56" s="618"/>
      <c r="J56" s="618"/>
      <c r="K56" s="618"/>
      <c r="L56" s="618"/>
      <c r="M56" s="618"/>
      <c r="N56" s="618"/>
      <c r="O56" s="618"/>
    </row>
    <row r="57" spans="1:15" ht="12.75" hidden="1" customHeight="1" x14ac:dyDescent="0.25">
      <c r="A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</row>
    <row r="58" spans="1:15" ht="12.75" hidden="1" customHeight="1" x14ac:dyDescent="0.25">
      <c r="A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8"/>
    </row>
    <row r="59" spans="1:15" ht="12.75" hidden="1" customHeight="1" x14ac:dyDescent="0.25">
      <c r="A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</row>
    <row r="60" spans="1:15" ht="12.75" hidden="1" customHeight="1" x14ac:dyDescent="0.25">
      <c r="A60" s="618"/>
      <c r="D60" s="618"/>
      <c r="E60" s="618"/>
      <c r="F60" s="618"/>
      <c r="G60" s="618"/>
      <c r="H60" s="618"/>
      <c r="I60" s="618"/>
      <c r="J60" s="618"/>
      <c r="K60" s="618"/>
      <c r="L60" s="618"/>
      <c r="M60" s="618"/>
      <c r="N60" s="618"/>
      <c r="O60" s="618"/>
    </row>
    <row r="61" spans="1:15" ht="12.75" hidden="1" customHeight="1" x14ac:dyDescent="0.25">
      <c r="A61" s="618"/>
      <c r="D61" s="618"/>
      <c r="E61" s="618"/>
      <c r="F61" s="618"/>
      <c r="G61" s="618"/>
      <c r="H61" s="618"/>
      <c r="I61" s="618"/>
      <c r="J61" s="618"/>
      <c r="K61" s="618"/>
      <c r="L61" s="618"/>
      <c r="M61" s="618"/>
      <c r="N61" s="618"/>
      <c r="O61" s="618"/>
    </row>
    <row r="62" spans="1:15" ht="12.75" hidden="1" customHeight="1" x14ac:dyDescent="0.25">
      <c r="A62" s="618"/>
      <c r="D62" s="618"/>
      <c r="E62" s="618"/>
      <c r="F62" s="618"/>
      <c r="G62" s="618"/>
      <c r="H62" s="618"/>
      <c r="I62" s="618"/>
      <c r="J62" s="618"/>
      <c r="K62" s="618"/>
      <c r="L62" s="618"/>
      <c r="M62" s="618"/>
      <c r="N62" s="618"/>
      <c r="O62" s="618"/>
    </row>
    <row r="63" spans="1:15" ht="12.75" hidden="1" customHeight="1" x14ac:dyDescent="0.25">
      <c r="A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8"/>
    </row>
    <row r="64" spans="1:15" ht="12.75" hidden="1" customHeight="1" x14ac:dyDescent="0.25">
      <c r="A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8"/>
    </row>
    <row r="65" spans="1:18" ht="12.75" hidden="1" customHeight="1" x14ac:dyDescent="0.25">
      <c r="A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</row>
    <row r="66" spans="1:18" ht="12.75" hidden="1" customHeight="1" x14ac:dyDescent="0.25">
      <c r="A66" s="618"/>
      <c r="D66" s="618"/>
      <c r="E66" s="618"/>
      <c r="F66" s="618"/>
      <c r="G66" s="618"/>
      <c r="H66" s="618"/>
      <c r="I66" s="618"/>
      <c r="J66" s="618"/>
      <c r="K66" s="618"/>
      <c r="L66" s="618"/>
      <c r="M66" s="618"/>
      <c r="N66" s="618"/>
      <c r="O66" s="618"/>
    </row>
    <row r="67" spans="1:18" ht="12.75" hidden="1" customHeight="1" x14ac:dyDescent="0.25">
      <c r="A67" s="618"/>
      <c r="D67" s="618"/>
      <c r="E67" s="618"/>
      <c r="F67" s="618"/>
      <c r="G67" s="618"/>
      <c r="H67" s="618"/>
      <c r="I67" s="618"/>
      <c r="J67" s="618"/>
      <c r="K67" s="618"/>
      <c r="L67" s="618"/>
      <c r="M67" s="618"/>
      <c r="N67" s="618"/>
      <c r="O67" s="618"/>
    </row>
    <row r="68" spans="1:18" ht="12.75" hidden="1" customHeight="1" x14ac:dyDescent="0.25">
      <c r="A68" s="618"/>
      <c r="D68" s="618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8"/>
    </row>
    <row r="69" spans="1:18" x14ac:dyDescent="0.25">
      <c r="A69" s="618"/>
      <c r="D69" s="618"/>
      <c r="E69" s="618"/>
      <c r="F69" s="618"/>
      <c r="G69" s="618"/>
      <c r="H69" s="618"/>
      <c r="I69" s="618"/>
      <c r="J69" s="618"/>
      <c r="K69" s="618"/>
      <c r="L69" s="618"/>
      <c r="M69" s="618"/>
      <c r="N69" s="618"/>
      <c r="O69" s="618"/>
    </row>
    <row r="70" spans="1:18" x14ac:dyDescent="0.25">
      <c r="A70" s="780" t="s">
        <v>2</v>
      </c>
      <c r="B70" s="779" t="s">
        <v>132</v>
      </c>
      <c r="C70" s="766" t="s">
        <v>70</v>
      </c>
      <c r="D70" s="766">
        <f>D12-P12</f>
        <v>-1285060</v>
      </c>
      <c r="E70" s="766">
        <f>E5+E10</f>
        <v>-52832.92</v>
      </c>
      <c r="F70" s="766">
        <f t="shared" ref="F70:R70" si="0">F5+F10</f>
        <v>-29843.49</v>
      </c>
      <c r="G70" s="766">
        <f t="shared" si="0"/>
        <v>-15719.25</v>
      </c>
      <c r="H70" s="766">
        <f t="shared" si="0"/>
        <v>-224869.1</v>
      </c>
      <c r="I70" s="766">
        <f t="shared" si="0"/>
        <v>-7817.0199999999995</v>
      </c>
      <c r="J70" s="766">
        <f t="shared" si="0"/>
        <v>-68569.97</v>
      </c>
      <c r="K70" s="766">
        <f t="shared" si="0"/>
        <v>-67711.59</v>
      </c>
      <c r="L70" s="766">
        <f t="shared" si="0"/>
        <v>-318224.89</v>
      </c>
      <c r="M70" s="766">
        <f t="shared" si="0"/>
        <v>-144463.47</v>
      </c>
      <c r="N70" s="766">
        <f t="shared" si="0"/>
        <v>-12753.89</v>
      </c>
      <c r="O70" s="766">
        <f t="shared" si="0"/>
        <v>-5.1800000000000006</v>
      </c>
      <c r="P70" s="766">
        <f t="shared" si="0"/>
        <v>0</v>
      </c>
      <c r="Q70" s="766">
        <f t="shared" si="0"/>
        <v>0</v>
      </c>
      <c r="R70" s="766">
        <f t="shared" si="0"/>
        <v>0</v>
      </c>
    </row>
    <row r="71" spans="1:18" x14ac:dyDescent="0.25">
      <c r="A71" s="780"/>
      <c r="B71" s="779"/>
      <c r="C71" s="766" t="s">
        <v>73</v>
      </c>
      <c r="D71" s="766">
        <f>D7</f>
        <v>-342249.23</v>
      </c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  <c r="P71" s="618"/>
      <c r="Q71" s="618"/>
      <c r="R71" s="618"/>
    </row>
    <row r="72" spans="1:18" ht="13" x14ac:dyDescent="0.3">
      <c r="A72" s="617"/>
      <c r="D72" s="618"/>
      <c r="E72" s="618"/>
      <c r="F72" s="618"/>
      <c r="G72" s="618"/>
      <c r="H72" s="618"/>
      <c r="I72" s="618"/>
      <c r="J72" s="618"/>
      <c r="K72" s="618"/>
      <c r="L72" s="618"/>
      <c r="M72" s="618"/>
      <c r="N72" s="618"/>
      <c r="O72" s="618"/>
      <c r="P72" s="618"/>
      <c r="Q72" s="618"/>
      <c r="R72" s="618"/>
    </row>
    <row r="73" spans="1:18" x14ac:dyDescent="0.25">
      <c r="A73" s="780" t="s">
        <v>160</v>
      </c>
      <c r="B73" s="779" t="s">
        <v>132</v>
      </c>
      <c r="C73" s="632" t="s">
        <v>70</v>
      </c>
      <c r="D73" s="632">
        <v>0</v>
      </c>
      <c r="E73" s="632">
        <v>0</v>
      </c>
      <c r="F73" s="632">
        <v>0</v>
      </c>
      <c r="G73" s="632">
        <v>0</v>
      </c>
      <c r="H73" s="632">
        <v>0</v>
      </c>
      <c r="I73" s="632">
        <v>0</v>
      </c>
      <c r="J73" s="632">
        <v>0</v>
      </c>
      <c r="K73" s="632">
        <v>0</v>
      </c>
      <c r="L73" s="632">
        <v>0</v>
      </c>
      <c r="M73" s="632">
        <v>0</v>
      </c>
      <c r="N73" s="632">
        <v>0</v>
      </c>
      <c r="O73" s="632">
        <v>0</v>
      </c>
      <c r="P73" s="632">
        <v>0</v>
      </c>
      <c r="Q73" s="632">
        <v>0</v>
      </c>
      <c r="R73" s="632">
        <v>0</v>
      </c>
    </row>
    <row r="74" spans="1:18" x14ac:dyDescent="0.25">
      <c r="A74" s="780"/>
      <c r="B74" s="779"/>
      <c r="C74" s="632" t="s">
        <v>73</v>
      </c>
      <c r="D74" s="632">
        <v>0</v>
      </c>
      <c r="E74" s="618"/>
      <c r="F74" s="618"/>
      <c r="G74" s="618"/>
      <c r="H74" s="618"/>
      <c r="I74" s="618"/>
      <c r="J74" s="618"/>
      <c r="K74" s="618"/>
      <c r="L74" s="618"/>
      <c r="M74" s="618"/>
      <c r="N74" s="618"/>
      <c r="O74" s="618"/>
      <c r="P74" s="618"/>
      <c r="Q74" s="618"/>
      <c r="R74" s="618"/>
    </row>
    <row r="75" spans="1:18" ht="13" x14ac:dyDescent="0.3">
      <c r="A75" s="617"/>
      <c r="D75" s="618"/>
      <c r="E75" s="618"/>
      <c r="F75" s="618"/>
      <c r="G75" s="618"/>
      <c r="H75" s="618"/>
      <c r="I75" s="618"/>
      <c r="J75" s="618"/>
      <c r="K75" s="618"/>
      <c r="L75" s="618"/>
      <c r="M75" s="618"/>
      <c r="N75" s="618"/>
      <c r="O75" s="618"/>
      <c r="P75" s="618"/>
      <c r="Q75" s="618"/>
      <c r="R75" s="618"/>
    </row>
    <row r="76" spans="1:18" x14ac:dyDescent="0.25">
      <c r="A76" s="780" t="s">
        <v>155</v>
      </c>
      <c r="B76" s="779" t="s">
        <v>132</v>
      </c>
      <c r="C76" s="633" t="s">
        <v>70</v>
      </c>
      <c r="D76" s="633">
        <f>D8-P8</f>
        <v>-1244990</v>
      </c>
      <c r="E76" s="633">
        <f t="shared" ref="E76:R76" si="1">E5</f>
        <v>-50790.75</v>
      </c>
      <c r="F76" s="633">
        <f t="shared" si="1"/>
        <v>-28690.47</v>
      </c>
      <c r="G76" s="633">
        <f t="shared" si="1"/>
        <v>-15114.06</v>
      </c>
      <c r="H76" s="633">
        <f t="shared" si="1"/>
        <v>-214849.75</v>
      </c>
      <c r="I76" s="633">
        <f t="shared" si="1"/>
        <v>-7567.83</v>
      </c>
      <c r="J76" s="633">
        <f t="shared" si="1"/>
        <v>-66384.08</v>
      </c>
      <c r="K76" s="633">
        <f t="shared" si="1"/>
        <v>-64597.599999999999</v>
      </c>
      <c r="L76" s="633">
        <f t="shared" si="1"/>
        <v>-303479.03000000003</v>
      </c>
      <c r="M76" s="633">
        <f t="shared" si="1"/>
        <v>-138910.09</v>
      </c>
      <c r="N76" s="633">
        <f t="shared" si="1"/>
        <v>-12347.31</v>
      </c>
      <c r="O76" s="633">
        <f t="shared" si="1"/>
        <v>-9.8000000000000007</v>
      </c>
      <c r="P76" s="633">
        <f t="shared" si="1"/>
        <v>0</v>
      </c>
      <c r="Q76" s="633">
        <f t="shared" si="1"/>
        <v>0</v>
      </c>
      <c r="R76" s="633">
        <f t="shared" si="1"/>
        <v>0</v>
      </c>
    </row>
    <row r="77" spans="1:18" x14ac:dyDescent="0.25">
      <c r="A77" s="780"/>
      <c r="B77" s="779"/>
      <c r="C77" s="633" t="s">
        <v>73</v>
      </c>
      <c r="D77" s="633">
        <f>D7</f>
        <v>-342249.23</v>
      </c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  <c r="P77" s="618"/>
      <c r="Q77" s="618"/>
      <c r="R77" s="618"/>
    </row>
    <row r="78" spans="1:18" ht="13" x14ac:dyDescent="0.25">
      <c r="A78" s="722"/>
      <c r="B78" s="721"/>
      <c r="C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  <c r="P78" s="618"/>
      <c r="Q78" s="618"/>
      <c r="R78" s="618"/>
    </row>
    <row r="79" spans="1:18" ht="12.75" customHeight="1" x14ac:dyDescent="0.25">
      <c r="A79" s="781" t="s">
        <v>326</v>
      </c>
      <c r="B79" s="779" t="s">
        <v>132</v>
      </c>
      <c r="C79" s="633" t="s">
        <v>70</v>
      </c>
      <c r="D79" s="720">
        <v>0</v>
      </c>
      <c r="E79" s="720">
        <v>0</v>
      </c>
      <c r="F79" s="720">
        <v>0</v>
      </c>
      <c r="G79" s="720">
        <v>0</v>
      </c>
      <c r="H79" s="720">
        <v>0</v>
      </c>
      <c r="I79" s="720">
        <v>0</v>
      </c>
      <c r="J79" s="720">
        <v>0</v>
      </c>
      <c r="K79" s="720">
        <v>0</v>
      </c>
      <c r="L79" s="720">
        <v>0</v>
      </c>
      <c r="M79" s="720">
        <v>0</v>
      </c>
      <c r="N79" s="720">
        <v>0</v>
      </c>
      <c r="O79" s="720">
        <v>0</v>
      </c>
      <c r="P79" s="720">
        <v>0</v>
      </c>
      <c r="Q79" s="720">
        <v>0</v>
      </c>
      <c r="R79" s="720">
        <v>0</v>
      </c>
    </row>
    <row r="80" spans="1:18" ht="12.75" customHeight="1" x14ac:dyDescent="0.25">
      <c r="A80" s="781"/>
      <c r="B80" s="779"/>
      <c r="C80" s="633" t="s">
        <v>73</v>
      </c>
      <c r="D80" s="720">
        <v>0</v>
      </c>
      <c r="E80" s="618"/>
      <c r="F80" s="618"/>
      <c r="G80" s="618"/>
      <c r="H80" s="618"/>
      <c r="I80" s="618"/>
      <c r="J80" s="618"/>
      <c r="K80" s="618"/>
      <c r="L80" s="618"/>
      <c r="M80" s="618"/>
      <c r="N80" s="618"/>
      <c r="O80" s="618"/>
      <c r="P80" s="618"/>
      <c r="Q80" s="618"/>
    </row>
    <row r="81" spans="1:18" ht="13" x14ac:dyDescent="0.3">
      <c r="A81" s="617"/>
      <c r="D81" s="618"/>
      <c r="E81" s="618"/>
      <c r="F81" s="618"/>
      <c r="G81" s="618"/>
      <c r="H81" s="618"/>
      <c r="I81" s="618"/>
      <c r="J81" s="618"/>
      <c r="K81" s="618"/>
      <c r="L81" s="618"/>
      <c r="M81" s="618"/>
      <c r="N81" s="618"/>
      <c r="O81" s="618"/>
      <c r="P81" s="618"/>
      <c r="Q81" s="618"/>
      <c r="R81" s="618"/>
    </row>
    <row r="82" spans="1:18" x14ac:dyDescent="0.25">
      <c r="A82" s="780" t="s">
        <v>119</v>
      </c>
      <c r="B82" s="779" t="s">
        <v>132</v>
      </c>
      <c r="C82" s="628" t="s">
        <v>70</v>
      </c>
      <c r="D82" s="628">
        <f>D11-P11</f>
        <v>-40070</v>
      </c>
      <c r="E82" s="628">
        <f>E10</f>
        <v>-2042.17</v>
      </c>
      <c r="F82" s="628">
        <f t="shared" ref="F82:R82" si="2">F10</f>
        <v>-1153.02</v>
      </c>
      <c r="G82" s="628">
        <f t="shared" si="2"/>
        <v>-605.19000000000005</v>
      </c>
      <c r="H82" s="628">
        <f t="shared" si="2"/>
        <v>-10019.35</v>
      </c>
      <c r="I82" s="628">
        <f t="shared" si="2"/>
        <v>-249.19</v>
      </c>
      <c r="J82" s="628">
        <f t="shared" si="2"/>
        <v>-2185.89</v>
      </c>
      <c r="K82" s="628">
        <f t="shared" si="2"/>
        <v>-3113.99</v>
      </c>
      <c r="L82" s="628">
        <f t="shared" si="2"/>
        <v>-14745.86</v>
      </c>
      <c r="M82" s="628">
        <f t="shared" si="2"/>
        <v>-5553.38</v>
      </c>
      <c r="N82" s="628">
        <f t="shared" si="2"/>
        <v>-406.58</v>
      </c>
      <c r="O82" s="628">
        <f t="shared" si="2"/>
        <v>4.62</v>
      </c>
      <c r="P82" s="628">
        <f t="shared" si="2"/>
        <v>0</v>
      </c>
      <c r="Q82" s="628">
        <f t="shared" si="2"/>
        <v>0</v>
      </c>
      <c r="R82" s="628">
        <f t="shared" si="2"/>
        <v>0</v>
      </c>
    </row>
    <row r="83" spans="1:18" ht="12.75" customHeight="1" x14ac:dyDescent="0.25">
      <c r="A83" s="780"/>
      <c r="B83" s="779"/>
      <c r="C83" s="628" t="s">
        <v>73</v>
      </c>
      <c r="D83" s="628">
        <v>0</v>
      </c>
      <c r="E83" s="618"/>
      <c r="F83" s="618"/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  <c r="R83" s="618"/>
    </row>
    <row r="84" spans="1:18" ht="12.75" customHeight="1" x14ac:dyDescent="0.3">
      <c r="A84" s="617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</row>
    <row r="85" spans="1:18" ht="12.75" customHeight="1" x14ac:dyDescent="0.25">
      <c r="A85" s="778" t="s">
        <v>161</v>
      </c>
      <c r="B85" s="779" t="s">
        <v>132</v>
      </c>
      <c r="C85" s="634" t="s">
        <v>70</v>
      </c>
      <c r="D85" s="634">
        <v>0</v>
      </c>
      <c r="E85" s="634">
        <v>0</v>
      </c>
      <c r="F85" s="634">
        <v>0</v>
      </c>
      <c r="G85" s="634">
        <v>0</v>
      </c>
      <c r="H85" s="634">
        <v>0</v>
      </c>
      <c r="I85" s="634">
        <v>0</v>
      </c>
      <c r="J85" s="634">
        <v>0</v>
      </c>
      <c r="K85" s="634">
        <v>0</v>
      </c>
      <c r="L85" s="634">
        <v>0</v>
      </c>
      <c r="M85" s="634">
        <v>0</v>
      </c>
      <c r="N85" s="634">
        <v>0</v>
      </c>
      <c r="O85" s="634">
        <v>0</v>
      </c>
      <c r="P85" s="634">
        <v>0</v>
      </c>
      <c r="Q85" s="634">
        <v>0</v>
      </c>
      <c r="R85" s="634">
        <v>0</v>
      </c>
    </row>
    <row r="86" spans="1:18" ht="12.75" customHeight="1" x14ac:dyDescent="0.25">
      <c r="A86" s="778"/>
      <c r="B86" s="779"/>
      <c r="C86" s="634" t="s">
        <v>73</v>
      </c>
      <c r="D86" s="634">
        <v>0</v>
      </c>
      <c r="E86" s="618"/>
      <c r="F86" s="618"/>
      <c r="G86" s="618"/>
      <c r="H86" s="618"/>
      <c r="I86" s="618"/>
      <c r="J86" s="618"/>
      <c r="K86" s="618"/>
      <c r="L86" s="618"/>
      <c r="M86" s="618"/>
      <c r="N86" s="618"/>
      <c r="O86" s="618"/>
      <c r="P86" s="618"/>
      <c r="Q86" s="618"/>
    </row>
    <row r="87" spans="1:18" s="635" customFormat="1" x14ac:dyDescent="0.25"/>
    <row r="88" spans="1:18" ht="13" x14ac:dyDescent="0.3">
      <c r="B88" s="617" t="s">
        <v>75</v>
      </c>
    </row>
    <row r="89" spans="1:18" ht="12.65" customHeight="1" x14ac:dyDescent="0.25">
      <c r="D89" s="618" t="s">
        <v>70</v>
      </c>
      <c r="E89" s="618" t="s">
        <v>64</v>
      </c>
      <c r="F89" s="618" t="s">
        <v>65</v>
      </c>
      <c r="G89" s="619" t="s">
        <v>164</v>
      </c>
      <c r="H89" s="618" t="s">
        <v>69</v>
      </c>
      <c r="I89" s="618" t="s">
        <v>68</v>
      </c>
      <c r="J89" s="618" t="s">
        <v>66</v>
      </c>
      <c r="K89" s="618" t="s">
        <v>63</v>
      </c>
      <c r="L89" s="618" t="s">
        <v>61</v>
      </c>
      <c r="M89" s="618" t="s">
        <v>62</v>
      </c>
      <c r="N89" s="618" t="s">
        <v>67</v>
      </c>
      <c r="O89" s="618" t="s">
        <v>77</v>
      </c>
      <c r="P89" s="616" t="s">
        <v>71</v>
      </c>
      <c r="Q89" s="618" t="s">
        <v>80</v>
      </c>
      <c r="R89" s="616" t="s">
        <v>168</v>
      </c>
    </row>
    <row r="90" spans="1:18" ht="12.75" customHeight="1" x14ac:dyDescent="0.25">
      <c r="C90" s="616" t="s">
        <v>72</v>
      </c>
      <c r="D90" s="618">
        <v>-50598098.740000002</v>
      </c>
      <c r="E90" s="618">
        <v>-3020381.93</v>
      </c>
      <c r="F90" s="618">
        <v>-1629949.61</v>
      </c>
      <c r="G90" s="620">
        <v>-850506.71</v>
      </c>
      <c r="H90" s="618">
        <v>-12343960.93</v>
      </c>
      <c r="I90" s="618">
        <v>-436345.15</v>
      </c>
      <c r="J90" s="618">
        <v>-3854743.39</v>
      </c>
      <c r="K90" s="618">
        <v>-3881901.29</v>
      </c>
      <c r="L90" s="618">
        <v>-17844916.699999999</v>
      </c>
      <c r="M90" s="618">
        <v>-6019284.2000000002</v>
      </c>
      <c r="N90" s="618">
        <v>-716097.95</v>
      </c>
      <c r="O90" s="618">
        <v>-10.88</v>
      </c>
      <c r="P90" s="616">
        <v>0</v>
      </c>
      <c r="Q90" s="618">
        <v>0</v>
      </c>
      <c r="R90" s="616">
        <v>0</v>
      </c>
    </row>
    <row r="91" spans="1:18" ht="12.75" customHeight="1" x14ac:dyDescent="0.25">
      <c r="C91" s="616" t="s">
        <v>81</v>
      </c>
      <c r="D91" s="618">
        <v>-863642.25</v>
      </c>
      <c r="E91" s="618">
        <v>-86868.6</v>
      </c>
      <c r="F91" s="618">
        <v>-40393.279999999999</v>
      </c>
      <c r="G91" s="620">
        <v>-20594.22</v>
      </c>
      <c r="H91" s="618">
        <v>-182194.3</v>
      </c>
      <c r="I91" s="618">
        <v>-5497.81</v>
      </c>
      <c r="J91" s="618">
        <v>-48405.41</v>
      </c>
      <c r="K91" s="618">
        <v>-58042.26</v>
      </c>
      <c r="L91" s="618">
        <v>-238361.58</v>
      </c>
      <c r="M91" s="618">
        <v>-174296.88</v>
      </c>
      <c r="N91" s="618">
        <v>-8984.8799999999992</v>
      </c>
      <c r="O91" s="618">
        <v>-3.29</v>
      </c>
      <c r="P91" s="616">
        <v>0</v>
      </c>
      <c r="Q91" s="618">
        <v>0.26</v>
      </c>
      <c r="R91" s="616">
        <v>0</v>
      </c>
    </row>
    <row r="92" spans="1:18" s="621" customFormat="1" ht="12.75" customHeight="1" x14ac:dyDescent="0.25">
      <c r="B92" s="622" t="s">
        <v>78</v>
      </c>
      <c r="C92" s="622" t="s">
        <v>70</v>
      </c>
      <c r="D92" s="622">
        <v>-51461740.990000002</v>
      </c>
      <c r="E92" s="622">
        <v>-3107250.53</v>
      </c>
      <c r="F92" s="622">
        <v>-1670342.89</v>
      </c>
      <c r="G92" s="622">
        <v>-871100.93</v>
      </c>
      <c r="H92" s="622">
        <v>-12526155.23</v>
      </c>
      <c r="I92" s="622">
        <v>-441842.96</v>
      </c>
      <c r="J92" s="622">
        <v>-3903148.8</v>
      </c>
      <c r="K92" s="622">
        <v>-3939943.55</v>
      </c>
      <c r="L92" s="622">
        <v>-18083278.280000001</v>
      </c>
      <c r="M92" s="622">
        <v>-6193581.0800000001</v>
      </c>
      <c r="N92" s="622">
        <v>-725082.83</v>
      </c>
      <c r="O92" s="622">
        <v>-14.17</v>
      </c>
      <c r="P92" s="621">
        <v>0</v>
      </c>
      <c r="Q92" s="622">
        <v>0.26</v>
      </c>
      <c r="R92" s="622">
        <v>0</v>
      </c>
    </row>
    <row r="93" spans="1:18" ht="12.75" customHeight="1" x14ac:dyDescent="0.25">
      <c r="C93" s="616" t="s">
        <v>73</v>
      </c>
      <c r="D93" s="618">
        <v>9920874.9900000002</v>
      </c>
      <c r="E93" s="618">
        <v>303875.69</v>
      </c>
      <c r="F93" s="618">
        <v>150290.09</v>
      </c>
      <c r="G93" s="620">
        <v>72257.8</v>
      </c>
      <c r="H93" s="618">
        <v>2865204.24</v>
      </c>
      <c r="I93" s="618">
        <v>96655.6</v>
      </c>
      <c r="J93" s="618">
        <v>848909.8</v>
      </c>
      <c r="K93" s="618">
        <v>888082.75</v>
      </c>
      <c r="L93" s="618">
        <v>3956095.5</v>
      </c>
      <c r="M93" s="618">
        <v>581803.98</v>
      </c>
      <c r="N93" s="618">
        <v>157699.54</v>
      </c>
      <c r="O93" s="618">
        <v>0</v>
      </c>
      <c r="P93" s="616">
        <v>0</v>
      </c>
      <c r="Q93" s="618">
        <v>0</v>
      </c>
      <c r="R93" s="616">
        <v>0</v>
      </c>
    </row>
    <row r="94" spans="1:18" s="623" customFormat="1" ht="12.75" customHeight="1" x14ac:dyDescent="0.25">
      <c r="B94" s="623" t="s">
        <v>79</v>
      </c>
      <c r="C94" s="623" t="s">
        <v>70</v>
      </c>
      <c r="D94" s="636">
        <v>9920874.9900000002</v>
      </c>
      <c r="E94" s="624">
        <v>303875.69</v>
      </c>
      <c r="F94" s="624">
        <v>150290.09</v>
      </c>
      <c r="G94" s="636">
        <v>72257.8</v>
      </c>
      <c r="H94" s="624">
        <v>2865204.24</v>
      </c>
      <c r="I94" s="624">
        <v>96655.6</v>
      </c>
      <c r="J94" s="624">
        <v>848909.8</v>
      </c>
      <c r="K94" s="624">
        <v>888082.75</v>
      </c>
      <c r="L94" s="624">
        <v>3956095.5</v>
      </c>
      <c r="M94" s="624">
        <v>581803.98</v>
      </c>
      <c r="N94" s="624">
        <v>157699.54</v>
      </c>
      <c r="O94" s="624">
        <v>0</v>
      </c>
      <c r="P94" s="623">
        <v>0</v>
      </c>
      <c r="Q94" s="624">
        <v>0</v>
      </c>
      <c r="R94" s="623">
        <v>0</v>
      </c>
    </row>
    <row r="95" spans="1:18" s="625" customFormat="1" ht="12.75" customHeight="1" x14ac:dyDescent="0.25">
      <c r="A95" s="625" t="s">
        <v>155</v>
      </c>
      <c r="B95" s="625" t="s">
        <v>70</v>
      </c>
      <c r="D95" s="626">
        <v>-41540866</v>
      </c>
      <c r="E95" s="626">
        <v>-2803374.84</v>
      </c>
      <c r="F95" s="626">
        <v>-1520052.8</v>
      </c>
      <c r="G95" s="627">
        <v>-798843.13</v>
      </c>
      <c r="H95" s="626">
        <v>-9660950.9900000002</v>
      </c>
      <c r="I95" s="626">
        <v>-345187.36</v>
      </c>
      <c r="J95" s="626">
        <v>-3054239</v>
      </c>
      <c r="K95" s="626">
        <v>-3051860.8</v>
      </c>
      <c r="L95" s="626">
        <v>-14127182.779999999</v>
      </c>
      <c r="M95" s="626">
        <v>-5611777.0999999996</v>
      </c>
      <c r="N95" s="626">
        <v>-567383.29</v>
      </c>
      <c r="O95" s="626">
        <v>-14.17</v>
      </c>
      <c r="P95" s="625">
        <v>0</v>
      </c>
      <c r="Q95" s="626">
        <v>0.26</v>
      </c>
      <c r="R95" s="625">
        <v>0</v>
      </c>
    </row>
    <row r="96" spans="1:18" ht="12.75" customHeight="1" x14ac:dyDescent="0.25">
      <c r="C96" s="616" t="s">
        <v>72</v>
      </c>
      <c r="D96" s="620">
        <v>-76886.16</v>
      </c>
      <c r="E96" s="618">
        <v>-3878.52</v>
      </c>
      <c r="F96" s="618">
        <v>-2172.7800000000002</v>
      </c>
      <c r="G96" s="620">
        <v>-1192.6199999999999</v>
      </c>
      <c r="H96" s="618">
        <v>-20529.3</v>
      </c>
      <c r="I96" s="618">
        <v>-491.85</v>
      </c>
      <c r="J96" s="618">
        <v>-4314.5</v>
      </c>
      <c r="K96" s="618">
        <v>-6347.49</v>
      </c>
      <c r="L96" s="618">
        <v>-29323.18</v>
      </c>
      <c r="M96" s="618">
        <v>-7837.65</v>
      </c>
      <c r="N96" s="618">
        <v>-802.5</v>
      </c>
      <c r="O96" s="618">
        <v>4.2300000000000004</v>
      </c>
      <c r="P96" s="616">
        <v>0</v>
      </c>
      <c r="Q96" s="618">
        <v>0</v>
      </c>
      <c r="R96" s="616">
        <v>0</v>
      </c>
    </row>
    <row r="97" spans="1:18" s="621" customFormat="1" ht="12.75" customHeight="1" x14ac:dyDescent="0.25">
      <c r="B97" s="622" t="s">
        <v>78</v>
      </c>
      <c r="C97" s="622" t="s">
        <v>70</v>
      </c>
      <c r="D97" s="622">
        <v>-76886.16</v>
      </c>
      <c r="E97" s="622">
        <v>-3878.52</v>
      </c>
      <c r="F97" s="622">
        <v>-2172.7800000000002</v>
      </c>
      <c r="G97" s="622">
        <v>-1192.6199999999999</v>
      </c>
      <c r="H97" s="622">
        <v>-20529.3</v>
      </c>
      <c r="I97" s="622">
        <v>-491.85</v>
      </c>
      <c r="J97" s="622">
        <v>-4314.5</v>
      </c>
      <c r="K97" s="622">
        <v>-6347.49</v>
      </c>
      <c r="L97" s="622">
        <v>-29323.18</v>
      </c>
      <c r="M97" s="622">
        <v>-7837.65</v>
      </c>
      <c r="N97" s="622">
        <v>-802.5</v>
      </c>
      <c r="O97" s="622">
        <v>4.2300000000000004</v>
      </c>
      <c r="P97" s="621">
        <v>0</v>
      </c>
      <c r="Q97" s="622">
        <v>0</v>
      </c>
      <c r="R97" s="622">
        <v>0</v>
      </c>
    </row>
    <row r="98" spans="1:18" ht="12.75" customHeight="1" x14ac:dyDescent="0.25">
      <c r="C98" s="616" t="s">
        <v>73</v>
      </c>
      <c r="D98" s="620">
        <v>30756.16</v>
      </c>
      <c r="E98" s="618">
        <v>1551.4</v>
      </c>
      <c r="F98" s="618">
        <v>869.11</v>
      </c>
      <c r="G98" s="620">
        <v>477.04</v>
      </c>
      <c r="H98" s="618">
        <v>8211.7199999999993</v>
      </c>
      <c r="I98" s="618">
        <v>196.73</v>
      </c>
      <c r="J98" s="618">
        <v>1725.81</v>
      </c>
      <c r="K98" s="618">
        <v>2539</v>
      </c>
      <c r="L98" s="618">
        <v>11729.28</v>
      </c>
      <c r="M98" s="618">
        <v>3135.07</v>
      </c>
      <c r="N98" s="618">
        <v>321</v>
      </c>
      <c r="O98" s="618">
        <v>0</v>
      </c>
      <c r="P98" s="616">
        <v>0</v>
      </c>
      <c r="Q98" s="618">
        <v>0</v>
      </c>
      <c r="R98" s="616">
        <v>0</v>
      </c>
    </row>
    <row r="99" spans="1:18" s="623" customFormat="1" ht="12.75" customHeight="1" x14ac:dyDescent="0.25">
      <c r="B99" s="623" t="s">
        <v>79</v>
      </c>
      <c r="C99" s="623" t="s">
        <v>70</v>
      </c>
      <c r="D99" s="636">
        <v>30756.16</v>
      </c>
      <c r="E99" s="624">
        <v>1551.4</v>
      </c>
      <c r="F99" s="624">
        <v>869.11</v>
      </c>
      <c r="G99" s="636">
        <v>477.04</v>
      </c>
      <c r="H99" s="624">
        <v>8211.7199999999993</v>
      </c>
      <c r="I99" s="624">
        <v>196.73</v>
      </c>
      <c r="J99" s="624">
        <v>1725.81</v>
      </c>
      <c r="K99" s="624">
        <v>2539</v>
      </c>
      <c r="L99" s="624">
        <v>11729.28</v>
      </c>
      <c r="M99" s="624">
        <v>3135.07</v>
      </c>
      <c r="N99" s="624">
        <v>321</v>
      </c>
      <c r="O99" s="624">
        <v>0</v>
      </c>
      <c r="P99" s="623">
        <v>0</v>
      </c>
      <c r="Q99" s="624">
        <v>0</v>
      </c>
      <c r="R99" s="623">
        <v>0</v>
      </c>
    </row>
    <row r="100" spans="1:18" s="632" customFormat="1" ht="12.75" customHeight="1" x14ac:dyDescent="0.25">
      <c r="A100" s="632" t="s">
        <v>120</v>
      </c>
      <c r="B100" s="632" t="s">
        <v>70</v>
      </c>
      <c r="D100" s="632">
        <v>-46130</v>
      </c>
      <c r="E100" s="632">
        <v>-2327.12</v>
      </c>
      <c r="F100" s="632">
        <v>-1303.67</v>
      </c>
      <c r="G100" s="632">
        <v>-715.58</v>
      </c>
      <c r="H100" s="632">
        <v>-12317.58</v>
      </c>
      <c r="I100" s="632">
        <v>-295.12</v>
      </c>
      <c r="J100" s="632">
        <v>-2588.69</v>
      </c>
      <c r="K100" s="632">
        <v>-3808.49</v>
      </c>
      <c r="L100" s="632">
        <v>-17593.900000000001</v>
      </c>
      <c r="M100" s="632">
        <v>-4702.58</v>
      </c>
      <c r="N100" s="632">
        <v>-481.5</v>
      </c>
      <c r="O100" s="632">
        <v>4.2300000000000004</v>
      </c>
      <c r="P100" s="632">
        <v>0</v>
      </c>
      <c r="Q100" s="632">
        <v>0</v>
      </c>
      <c r="R100" s="632">
        <v>0</v>
      </c>
    </row>
    <row r="101" spans="1:18" ht="12.5" customHeight="1" x14ac:dyDescent="0.25">
      <c r="C101" s="616" t="s">
        <v>72</v>
      </c>
      <c r="D101" s="618">
        <v>-6896431.4400000004</v>
      </c>
      <c r="E101" s="618">
        <v>-457444.01</v>
      </c>
      <c r="F101" s="618">
        <v>-239394.76</v>
      </c>
      <c r="G101" s="620">
        <v>-121915.4</v>
      </c>
      <c r="H101" s="618">
        <v>-1704835.53</v>
      </c>
      <c r="I101" s="618">
        <v>-52568.959999999999</v>
      </c>
      <c r="J101" s="618">
        <v>-464698</v>
      </c>
      <c r="K101" s="618">
        <v>-563915.35</v>
      </c>
      <c r="L101" s="618">
        <v>-2331911.4700000002</v>
      </c>
      <c r="M101" s="618">
        <v>-875007.12</v>
      </c>
      <c r="N101" s="618">
        <v>-84792.49</v>
      </c>
      <c r="O101" s="618">
        <v>51.65</v>
      </c>
      <c r="P101" s="616">
        <v>0</v>
      </c>
      <c r="Q101" s="618">
        <v>0</v>
      </c>
      <c r="R101" s="616">
        <v>0</v>
      </c>
    </row>
    <row r="102" spans="1:18" ht="12.75" customHeight="1" x14ac:dyDescent="0.25">
      <c r="C102" s="616" t="s">
        <v>81</v>
      </c>
      <c r="D102" s="618">
        <v>-436148.07</v>
      </c>
      <c r="E102" s="618">
        <v>-65575.05</v>
      </c>
      <c r="F102" s="618">
        <v>-28205.75</v>
      </c>
      <c r="G102" s="620">
        <v>-9888.85</v>
      </c>
      <c r="H102" s="618">
        <v>-63469.4</v>
      </c>
      <c r="I102" s="618">
        <v>-2533.87</v>
      </c>
      <c r="J102" s="618">
        <v>-22226.6</v>
      </c>
      <c r="K102" s="618">
        <v>-23823.17</v>
      </c>
      <c r="L102" s="618">
        <v>-89035.29</v>
      </c>
      <c r="M102" s="618">
        <v>-127548.68</v>
      </c>
      <c r="N102" s="618">
        <v>-4134.18</v>
      </c>
      <c r="O102" s="618">
        <v>14</v>
      </c>
      <c r="P102" s="616">
        <v>0</v>
      </c>
      <c r="Q102" s="618">
        <v>-10.42</v>
      </c>
      <c r="R102" s="616">
        <v>289.19</v>
      </c>
    </row>
    <row r="103" spans="1:18" s="621" customFormat="1" ht="12.75" customHeight="1" x14ac:dyDescent="0.25">
      <c r="B103" s="622" t="s">
        <v>78</v>
      </c>
      <c r="C103" s="622" t="s">
        <v>70</v>
      </c>
      <c r="D103" s="622">
        <v>-7332579.5099999998</v>
      </c>
      <c r="E103" s="622">
        <v>-523019.06</v>
      </c>
      <c r="F103" s="622">
        <v>-267600.51</v>
      </c>
      <c r="G103" s="622">
        <v>-131804.25</v>
      </c>
      <c r="H103" s="622">
        <v>-1768304.93</v>
      </c>
      <c r="I103" s="622">
        <v>-55102.83</v>
      </c>
      <c r="J103" s="622">
        <v>-486924.6</v>
      </c>
      <c r="K103" s="622">
        <v>-587738.52</v>
      </c>
      <c r="L103" s="622">
        <v>-2420946.7599999998</v>
      </c>
      <c r="M103" s="622">
        <v>-1002555.8</v>
      </c>
      <c r="N103" s="622">
        <v>-88926.67</v>
      </c>
      <c r="O103" s="622">
        <v>65.650000000000006</v>
      </c>
      <c r="P103" s="621">
        <v>0</v>
      </c>
      <c r="Q103" s="622">
        <v>-10.42</v>
      </c>
      <c r="R103" s="622">
        <v>289.19</v>
      </c>
    </row>
    <row r="104" spans="1:18" ht="12.75" customHeight="1" x14ac:dyDescent="0.25">
      <c r="C104" s="616" t="s">
        <v>73</v>
      </c>
      <c r="D104" s="620">
        <v>3689523.51</v>
      </c>
      <c r="E104" s="618">
        <v>196445.95</v>
      </c>
      <c r="F104" s="618">
        <v>97024.73</v>
      </c>
      <c r="G104" s="620">
        <v>47913.53</v>
      </c>
      <c r="H104" s="618">
        <v>980845.01</v>
      </c>
      <c r="I104" s="618">
        <v>31030.31</v>
      </c>
      <c r="J104" s="618">
        <v>272193.56</v>
      </c>
      <c r="K104" s="618">
        <v>321126.58</v>
      </c>
      <c r="L104" s="618">
        <v>1303205.05</v>
      </c>
      <c r="M104" s="618">
        <v>389110.69</v>
      </c>
      <c r="N104" s="618">
        <v>50628.1</v>
      </c>
      <c r="O104" s="618">
        <v>0</v>
      </c>
      <c r="P104" s="616">
        <v>0</v>
      </c>
      <c r="Q104" s="618">
        <v>0</v>
      </c>
      <c r="R104" s="616">
        <v>0</v>
      </c>
    </row>
    <row r="105" spans="1:18" s="623" customFormat="1" ht="12.75" customHeight="1" x14ac:dyDescent="0.25">
      <c r="B105" s="623" t="s">
        <v>79</v>
      </c>
      <c r="C105" s="623" t="s">
        <v>70</v>
      </c>
      <c r="D105" s="636">
        <v>3689523.51</v>
      </c>
      <c r="E105" s="624">
        <v>196445.95</v>
      </c>
      <c r="F105" s="624">
        <v>97024.73</v>
      </c>
      <c r="G105" s="636">
        <v>47913.53</v>
      </c>
      <c r="H105" s="624">
        <v>980845.01</v>
      </c>
      <c r="I105" s="624">
        <v>31030.31</v>
      </c>
      <c r="J105" s="624">
        <v>272193.56</v>
      </c>
      <c r="K105" s="624">
        <v>321126.58</v>
      </c>
      <c r="L105" s="624">
        <v>1303205.05</v>
      </c>
      <c r="M105" s="624">
        <v>389110.69</v>
      </c>
      <c r="N105" s="624">
        <v>50628.1</v>
      </c>
      <c r="O105" s="624">
        <v>0</v>
      </c>
      <c r="P105" s="623">
        <v>0</v>
      </c>
      <c r="Q105" s="624">
        <v>0</v>
      </c>
      <c r="R105" s="623">
        <v>0</v>
      </c>
    </row>
    <row r="106" spans="1:18" s="628" customFormat="1" ht="12.75" customHeight="1" x14ac:dyDescent="0.25">
      <c r="A106" s="628" t="s">
        <v>119</v>
      </c>
      <c r="B106" s="628" t="s">
        <v>70</v>
      </c>
      <c r="D106" s="628">
        <v>-3643056</v>
      </c>
      <c r="E106" s="628">
        <v>-326573.11</v>
      </c>
      <c r="F106" s="628">
        <v>-170575.78</v>
      </c>
      <c r="G106" s="628">
        <v>-83890.72</v>
      </c>
      <c r="H106" s="628">
        <v>-787459.92</v>
      </c>
      <c r="I106" s="628">
        <v>-24072.52</v>
      </c>
      <c r="J106" s="628">
        <v>-214731.04</v>
      </c>
      <c r="K106" s="628">
        <v>-266611.94</v>
      </c>
      <c r="L106" s="628">
        <v>-1117741.71</v>
      </c>
      <c r="M106" s="628">
        <v>-613445.11</v>
      </c>
      <c r="N106" s="628">
        <v>-38298.57</v>
      </c>
      <c r="O106" s="628">
        <v>65.650000000000006</v>
      </c>
      <c r="P106" s="628">
        <v>0</v>
      </c>
      <c r="Q106" s="628">
        <v>-10.42</v>
      </c>
      <c r="R106" s="628">
        <v>289.19</v>
      </c>
    </row>
    <row r="107" spans="1:18" s="631" customFormat="1" ht="12.75" customHeight="1" x14ac:dyDescent="0.25">
      <c r="A107" s="630" t="s">
        <v>70</v>
      </c>
      <c r="D107" s="630">
        <v>-45230052</v>
      </c>
      <c r="E107" s="630">
        <v>-3132275.07</v>
      </c>
      <c r="F107" s="630">
        <v>-1691932.25</v>
      </c>
      <c r="G107" s="630">
        <v>-883449.43</v>
      </c>
      <c r="H107" s="630">
        <v>-10460728.49</v>
      </c>
      <c r="I107" s="630">
        <v>-369555</v>
      </c>
      <c r="J107" s="630">
        <v>-3271558.73</v>
      </c>
      <c r="K107" s="630">
        <v>-3322281.23</v>
      </c>
      <c r="L107" s="630">
        <v>-15262518.390000001</v>
      </c>
      <c r="M107" s="630">
        <v>-6229924.79</v>
      </c>
      <c r="N107" s="630">
        <v>-606163.36</v>
      </c>
      <c r="O107" s="630">
        <v>55.71</v>
      </c>
      <c r="P107" s="631">
        <v>0</v>
      </c>
      <c r="Q107" s="630">
        <v>-10.16</v>
      </c>
      <c r="R107" s="630">
        <v>289.19</v>
      </c>
    </row>
    <row r="108" spans="1:18" ht="12.75" customHeight="1" x14ac:dyDescent="0.25">
      <c r="A108" s="618"/>
      <c r="D108" s="618"/>
      <c r="E108" s="618"/>
      <c r="F108" s="618"/>
      <c r="G108" s="618"/>
      <c r="H108" s="618"/>
      <c r="I108" s="618"/>
      <c r="J108" s="618"/>
      <c r="K108" s="618"/>
      <c r="L108" s="618"/>
      <c r="M108" s="618"/>
      <c r="N108" s="618"/>
      <c r="O108" s="618"/>
      <c r="P108" s="618"/>
    </row>
    <row r="109" spans="1:18" ht="12.75" hidden="1" customHeight="1" x14ac:dyDescent="0.25">
      <c r="A109" s="618"/>
      <c r="D109" s="618"/>
      <c r="E109" s="618"/>
      <c r="F109" s="618"/>
      <c r="G109" s="618"/>
      <c r="H109" s="618"/>
      <c r="I109" s="618"/>
      <c r="J109" s="618"/>
      <c r="K109" s="618"/>
      <c r="L109" s="618"/>
      <c r="M109" s="618"/>
      <c r="N109" s="618"/>
      <c r="O109" s="618"/>
      <c r="P109" s="618"/>
    </row>
    <row r="110" spans="1:18" ht="12.75" hidden="1" customHeight="1" x14ac:dyDescent="0.25">
      <c r="A110" s="618"/>
      <c r="D110" s="618"/>
      <c r="E110" s="618"/>
      <c r="F110" s="618"/>
      <c r="G110" s="618"/>
      <c r="H110" s="618"/>
      <c r="I110" s="618"/>
      <c r="J110" s="618"/>
      <c r="K110" s="618"/>
      <c r="L110" s="618"/>
      <c r="M110" s="618"/>
      <c r="N110" s="618"/>
      <c r="O110" s="618"/>
      <c r="P110" s="618"/>
    </row>
    <row r="111" spans="1:18" ht="12.75" hidden="1" customHeight="1" x14ac:dyDescent="0.25">
      <c r="A111" s="618"/>
      <c r="D111" s="618"/>
      <c r="E111" s="618"/>
      <c r="F111" s="618"/>
      <c r="G111" s="618"/>
      <c r="H111" s="618"/>
      <c r="I111" s="618"/>
      <c r="J111" s="618"/>
      <c r="K111" s="618"/>
      <c r="L111" s="618"/>
      <c r="M111" s="618"/>
      <c r="N111" s="618"/>
      <c r="O111" s="618"/>
      <c r="P111" s="618"/>
    </row>
    <row r="112" spans="1:18" ht="12.75" hidden="1" customHeight="1" x14ac:dyDescent="0.25">
      <c r="A112" s="618"/>
      <c r="D112" s="618"/>
      <c r="E112" s="618"/>
      <c r="F112" s="618"/>
      <c r="G112" s="618"/>
      <c r="H112" s="618"/>
      <c r="I112" s="618"/>
      <c r="J112" s="618"/>
      <c r="K112" s="618"/>
      <c r="L112" s="618"/>
      <c r="M112" s="618"/>
      <c r="N112" s="618"/>
      <c r="O112" s="618"/>
      <c r="P112" s="618"/>
    </row>
    <row r="113" spans="1:16" ht="12.75" hidden="1" customHeight="1" x14ac:dyDescent="0.25">
      <c r="A113" s="618"/>
      <c r="D113" s="618"/>
      <c r="E113" s="618"/>
      <c r="F113" s="618"/>
      <c r="G113" s="618"/>
      <c r="H113" s="618"/>
      <c r="I113" s="618"/>
      <c r="J113" s="618"/>
      <c r="K113" s="618"/>
      <c r="L113" s="618"/>
      <c r="M113" s="618"/>
      <c r="N113" s="618"/>
      <c r="O113" s="618"/>
      <c r="P113" s="618"/>
    </row>
    <row r="114" spans="1:16" ht="12.75" hidden="1" customHeight="1" x14ac:dyDescent="0.25">
      <c r="A114" s="618"/>
      <c r="D114" s="618"/>
      <c r="E114" s="618"/>
      <c r="F114" s="618"/>
      <c r="G114" s="618"/>
      <c r="H114" s="618"/>
      <c r="I114" s="618"/>
      <c r="J114" s="618"/>
      <c r="K114" s="618"/>
      <c r="L114" s="618"/>
      <c r="M114" s="618"/>
      <c r="N114" s="618"/>
      <c r="O114" s="618"/>
      <c r="P114" s="618"/>
    </row>
    <row r="115" spans="1:16" ht="12.75" hidden="1" customHeight="1" x14ac:dyDescent="0.25">
      <c r="A115" s="618"/>
      <c r="D115" s="618"/>
      <c r="E115" s="618"/>
      <c r="F115" s="618"/>
      <c r="G115" s="618"/>
      <c r="H115" s="618"/>
      <c r="I115" s="618"/>
      <c r="J115" s="618"/>
      <c r="K115" s="618"/>
      <c r="L115" s="618"/>
      <c r="M115" s="618"/>
      <c r="N115" s="618"/>
      <c r="O115" s="618"/>
      <c r="P115" s="618"/>
    </row>
    <row r="116" spans="1:16" ht="12.75" hidden="1" customHeight="1" x14ac:dyDescent="0.25">
      <c r="A116" s="618"/>
      <c r="D116" s="618"/>
      <c r="E116" s="618"/>
      <c r="F116" s="618"/>
      <c r="G116" s="618"/>
      <c r="H116" s="618"/>
      <c r="I116" s="618"/>
      <c r="J116" s="618"/>
      <c r="K116" s="618"/>
      <c r="L116" s="618"/>
      <c r="M116" s="618"/>
      <c r="N116" s="618"/>
      <c r="O116" s="618"/>
      <c r="P116" s="618"/>
    </row>
    <row r="117" spans="1:16" ht="12.75" hidden="1" customHeight="1" x14ac:dyDescent="0.25">
      <c r="A117" s="618"/>
      <c r="D117" s="618"/>
      <c r="E117" s="618"/>
      <c r="F117" s="618"/>
      <c r="G117" s="618"/>
      <c r="H117" s="618"/>
      <c r="I117" s="618"/>
      <c r="J117" s="618"/>
      <c r="K117" s="618"/>
      <c r="L117" s="618"/>
      <c r="M117" s="618"/>
      <c r="N117" s="618"/>
      <c r="O117" s="618"/>
      <c r="P117" s="618"/>
    </row>
    <row r="118" spans="1:16" ht="12.75" hidden="1" customHeight="1" x14ac:dyDescent="0.25">
      <c r="A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</row>
    <row r="119" spans="1:16" ht="12.75" hidden="1" customHeight="1" x14ac:dyDescent="0.25">
      <c r="A119" s="618"/>
      <c r="D119" s="618"/>
      <c r="E119" s="618"/>
      <c r="F119" s="618"/>
      <c r="G119" s="618"/>
      <c r="H119" s="618"/>
      <c r="I119" s="618"/>
      <c r="J119" s="618"/>
      <c r="K119" s="618"/>
      <c r="L119" s="618"/>
      <c r="M119" s="618"/>
      <c r="N119" s="618"/>
      <c r="O119" s="618"/>
      <c r="P119" s="618"/>
    </row>
    <row r="120" spans="1:16" ht="12.75" hidden="1" customHeight="1" x14ac:dyDescent="0.25">
      <c r="A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8"/>
      <c r="P120" s="618"/>
    </row>
    <row r="121" spans="1:16" ht="12.75" hidden="1" customHeight="1" x14ac:dyDescent="0.25">
      <c r="A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8"/>
      <c r="P121" s="618"/>
    </row>
    <row r="122" spans="1:16" ht="12.75" hidden="1" customHeight="1" x14ac:dyDescent="0.25">
      <c r="A122" s="618"/>
      <c r="D122" s="618"/>
      <c r="E122" s="618"/>
      <c r="F122" s="618"/>
      <c r="G122" s="618"/>
      <c r="H122" s="618"/>
      <c r="I122" s="618"/>
      <c r="J122" s="618"/>
      <c r="K122" s="618"/>
      <c r="L122" s="618"/>
      <c r="M122" s="618"/>
      <c r="N122" s="618"/>
      <c r="O122" s="618"/>
      <c r="P122" s="618"/>
    </row>
    <row r="123" spans="1:16" ht="12.75" hidden="1" customHeight="1" x14ac:dyDescent="0.25">
      <c r="A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</row>
    <row r="124" spans="1:16" ht="12.75" hidden="1" customHeight="1" x14ac:dyDescent="0.25">
      <c r="A124" s="618"/>
      <c r="D124" s="618"/>
      <c r="E124" s="618"/>
      <c r="F124" s="618"/>
      <c r="G124" s="618"/>
      <c r="H124" s="618"/>
      <c r="I124" s="618"/>
      <c r="J124" s="618"/>
      <c r="K124" s="618"/>
      <c r="L124" s="618"/>
      <c r="M124" s="618"/>
      <c r="N124" s="618"/>
      <c r="O124" s="618"/>
      <c r="P124" s="618"/>
    </row>
    <row r="125" spans="1:16" ht="12.75" hidden="1" customHeight="1" x14ac:dyDescent="0.25">
      <c r="A125" s="618"/>
      <c r="D125" s="618"/>
      <c r="E125" s="618"/>
      <c r="F125" s="618"/>
      <c r="G125" s="618"/>
      <c r="H125" s="618"/>
      <c r="I125" s="618"/>
      <c r="J125" s="618"/>
      <c r="K125" s="618"/>
      <c r="L125" s="618"/>
      <c r="M125" s="618"/>
      <c r="N125" s="618"/>
      <c r="O125" s="618"/>
      <c r="P125" s="618"/>
    </row>
    <row r="126" spans="1:16" ht="12.75" hidden="1" customHeight="1" x14ac:dyDescent="0.25">
      <c r="A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</row>
    <row r="127" spans="1:16" ht="12.75" hidden="1" customHeight="1" x14ac:dyDescent="0.25">
      <c r="A127" s="618"/>
      <c r="D127" s="618"/>
      <c r="E127" s="618"/>
      <c r="F127" s="618"/>
      <c r="G127" s="618"/>
      <c r="H127" s="618"/>
      <c r="I127" s="618"/>
      <c r="J127" s="618"/>
      <c r="K127" s="618"/>
      <c r="L127" s="618"/>
      <c r="M127" s="618"/>
      <c r="N127" s="618"/>
      <c r="O127" s="618"/>
      <c r="P127" s="618"/>
    </row>
    <row r="128" spans="1:16" ht="12.75" hidden="1" customHeight="1" x14ac:dyDescent="0.25">
      <c r="A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</row>
    <row r="129" spans="1:16" ht="12.75" hidden="1" customHeight="1" x14ac:dyDescent="0.25">
      <c r="A129" s="618"/>
      <c r="D129" s="618"/>
      <c r="E129" s="618"/>
      <c r="F129" s="618"/>
      <c r="G129" s="618"/>
      <c r="H129" s="618"/>
      <c r="I129" s="618"/>
      <c r="J129" s="618"/>
      <c r="K129" s="618"/>
      <c r="L129" s="618"/>
      <c r="M129" s="618"/>
      <c r="N129" s="618"/>
      <c r="O129" s="618"/>
      <c r="P129" s="618"/>
    </row>
    <row r="130" spans="1:16" ht="12.75" hidden="1" customHeight="1" x14ac:dyDescent="0.25">
      <c r="A130" s="618"/>
      <c r="D130" s="618"/>
      <c r="E130" s="618"/>
      <c r="F130" s="618"/>
      <c r="G130" s="618"/>
      <c r="H130" s="618"/>
      <c r="I130" s="618"/>
      <c r="J130" s="618"/>
      <c r="K130" s="618"/>
      <c r="L130" s="618"/>
      <c r="M130" s="618"/>
      <c r="N130" s="618"/>
      <c r="O130" s="618"/>
      <c r="P130" s="618"/>
    </row>
    <row r="131" spans="1:16" ht="12.75" hidden="1" customHeight="1" x14ac:dyDescent="0.25">
      <c r="A131" s="618"/>
      <c r="D131" s="618"/>
      <c r="E131" s="618"/>
      <c r="F131" s="618"/>
      <c r="G131" s="618"/>
      <c r="H131" s="618"/>
      <c r="I131" s="618"/>
      <c r="J131" s="618"/>
      <c r="K131" s="618"/>
      <c r="L131" s="618"/>
      <c r="M131" s="618"/>
      <c r="N131" s="618"/>
      <c r="O131" s="618"/>
      <c r="P131" s="618"/>
    </row>
    <row r="132" spans="1:16" ht="12.75" hidden="1" customHeight="1" x14ac:dyDescent="0.25">
      <c r="A132" s="618"/>
      <c r="D132" s="618"/>
      <c r="E132" s="618"/>
      <c r="F132" s="618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</row>
    <row r="133" spans="1:16" ht="12.75" hidden="1" customHeight="1" x14ac:dyDescent="0.25">
      <c r="A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</row>
    <row r="134" spans="1:16" ht="12.75" hidden="1" customHeight="1" x14ac:dyDescent="0.25">
      <c r="A134" s="618"/>
      <c r="D134" s="618"/>
      <c r="E134" s="618"/>
      <c r="F134" s="618"/>
      <c r="G134" s="618"/>
      <c r="H134" s="618"/>
      <c r="I134" s="618"/>
      <c r="J134" s="618"/>
      <c r="K134" s="618"/>
      <c r="L134" s="618"/>
      <c r="M134" s="618"/>
      <c r="N134" s="618"/>
      <c r="O134" s="618"/>
      <c r="P134" s="618"/>
    </row>
    <row r="135" spans="1:16" ht="12.75" hidden="1" customHeight="1" x14ac:dyDescent="0.25">
      <c r="A135" s="618"/>
      <c r="D135" s="618"/>
      <c r="E135" s="618"/>
      <c r="F135" s="618"/>
      <c r="G135" s="618"/>
      <c r="H135" s="618"/>
      <c r="I135" s="618"/>
      <c r="J135" s="618"/>
      <c r="K135" s="618"/>
      <c r="L135" s="618"/>
      <c r="M135" s="618"/>
      <c r="N135" s="618"/>
      <c r="O135" s="618"/>
      <c r="P135" s="618"/>
    </row>
    <row r="136" spans="1:16" ht="12.75" hidden="1" customHeight="1" x14ac:dyDescent="0.25">
      <c r="A136" s="618"/>
      <c r="D136" s="618"/>
      <c r="E136" s="618"/>
      <c r="F136" s="618"/>
      <c r="G136" s="618"/>
      <c r="H136" s="618"/>
      <c r="I136" s="618"/>
      <c r="J136" s="618"/>
      <c r="K136" s="618"/>
      <c r="L136" s="618"/>
      <c r="M136" s="618"/>
      <c r="N136" s="618"/>
      <c r="O136" s="618"/>
      <c r="P136" s="618"/>
    </row>
    <row r="137" spans="1:16" ht="12.75" hidden="1" customHeight="1" x14ac:dyDescent="0.25">
      <c r="A137" s="618"/>
      <c r="D137" s="618"/>
      <c r="E137" s="618"/>
      <c r="F137" s="618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</row>
    <row r="138" spans="1:16" ht="12.75" hidden="1" customHeight="1" x14ac:dyDescent="0.25">
      <c r="A138" s="618"/>
      <c r="D138" s="618"/>
      <c r="E138" s="618"/>
      <c r="F138" s="618"/>
      <c r="G138" s="618"/>
      <c r="H138" s="618"/>
      <c r="I138" s="618"/>
      <c r="J138" s="618"/>
      <c r="K138" s="618"/>
      <c r="L138" s="618"/>
      <c r="M138" s="618"/>
      <c r="N138" s="618"/>
      <c r="O138" s="618"/>
      <c r="P138" s="618"/>
    </row>
    <row r="139" spans="1:16" ht="12.75" hidden="1" customHeight="1" x14ac:dyDescent="0.25">
      <c r="A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</row>
    <row r="140" spans="1:16" ht="12.75" hidden="1" customHeight="1" x14ac:dyDescent="0.25">
      <c r="A140" s="618"/>
      <c r="D140" s="618"/>
      <c r="E140" s="618"/>
      <c r="F140" s="618"/>
      <c r="G140" s="618"/>
      <c r="H140" s="618"/>
      <c r="I140" s="618"/>
      <c r="J140" s="618"/>
      <c r="K140" s="618"/>
      <c r="L140" s="618"/>
      <c r="M140" s="618"/>
      <c r="N140" s="618"/>
      <c r="O140" s="618"/>
      <c r="P140" s="618"/>
    </row>
    <row r="141" spans="1:16" ht="12.75" hidden="1" customHeight="1" x14ac:dyDescent="0.25">
      <c r="A141" s="618"/>
      <c r="D141" s="618"/>
      <c r="E141" s="618"/>
      <c r="F141" s="618"/>
      <c r="G141" s="618"/>
      <c r="H141" s="618"/>
      <c r="I141" s="618"/>
      <c r="J141" s="618"/>
      <c r="K141" s="618"/>
      <c r="L141" s="618"/>
      <c r="M141" s="618"/>
      <c r="N141" s="618"/>
      <c r="O141" s="618"/>
      <c r="P141" s="618"/>
    </row>
    <row r="142" spans="1:16" ht="12.75" hidden="1" customHeight="1" x14ac:dyDescent="0.25">
      <c r="A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</row>
    <row r="143" spans="1:16" ht="12.75" hidden="1" customHeight="1" x14ac:dyDescent="0.25">
      <c r="A143" s="618"/>
      <c r="D143" s="618"/>
      <c r="E143" s="618"/>
      <c r="F143" s="618"/>
      <c r="G143" s="618"/>
      <c r="H143" s="618"/>
      <c r="I143" s="618"/>
      <c r="J143" s="618"/>
      <c r="K143" s="618"/>
      <c r="L143" s="618"/>
      <c r="M143" s="618"/>
      <c r="N143" s="618"/>
      <c r="O143" s="618"/>
      <c r="P143" s="618"/>
    </row>
    <row r="144" spans="1:16" ht="12.75" hidden="1" customHeight="1" x14ac:dyDescent="0.25">
      <c r="A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</row>
    <row r="145" spans="1:16" ht="12.75" hidden="1" customHeight="1" x14ac:dyDescent="0.25">
      <c r="A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</row>
    <row r="146" spans="1:16" ht="12.75" hidden="1" customHeight="1" x14ac:dyDescent="0.25">
      <c r="A146" s="618"/>
      <c r="D146" s="618"/>
      <c r="E146" s="618"/>
      <c r="F146" s="618"/>
      <c r="G146" s="618"/>
      <c r="H146" s="618"/>
      <c r="I146" s="618"/>
      <c r="J146" s="618"/>
      <c r="K146" s="618"/>
      <c r="L146" s="618"/>
      <c r="M146" s="618"/>
      <c r="N146" s="618"/>
      <c r="O146" s="618"/>
      <c r="P146" s="618"/>
    </row>
    <row r="147" spans="1:16" ht="12.75" hidden="1" customHeight="1" x14ac:dyDescent="0.25">
      <c r="A147" s="618"/>
      <c r="D147" s="618"/>
      <c r="E147" s="618"/>
      <c r="F147" s="618"/>
      <c r="G147" s="618"/>
      <c r="H147" s="618"/>
      <c r="I147" s="618"/>
      <c r="J147" s="618"/>
      <c r="K147" s="618"/>
      <c r="L147" s="618"/>
      <c r="M147" s="618"/>
      <c r="N147" s="618"/>
      <c r="O147" s="618"/>
      <c r="P147" s="618"/>
    </row>
    <row r="148" spans="1:16" ht="12.75" hidden="1" customHeight="1" x14ac:dyDescent="0.25">
      <c r="A148" s="618"/>
      <c r="D148" s="618"/>
      <c r="E148" s="618"/>
      <c r="F148" s="618"/>
      <c r="G148" s="618"/>
      <c r="H148" s="618"/>
      <c r="I148" s="618"/>
      <c r="J148" s="618"/>
      <c r="K148" s="618"/>
      <c r="L148" s="618"/>
      <c r="M148" s="618"/>
      <c r="N148" s="618"/>
      <c r="O148" s="618"/>
      <c r="P148" s="618"/>
    </row>
    <row r="149" spans="1:16" ht="12.75" hidden="1" customHeight="1" x14ac:dyDescent="0.25">
      <c r="A149" s="618"/>
      <c r="D149" s="618"/>
      <c r="E149" s="618"/>
      <c r="F149" s="618"/>
      <c r="G149" s="618"/>
      <c r="H149" s="618"/>
      <c r="I149" s="618"/>
      <c r="J149" s="618"/>
      <c r="K149" s="618"/>
      <c r="L149" s="618"/>
      <c r="M149" s="618"/>
      <c r="N149" s="618"/>
      <c r="O149" s="618"/>
      <c r="P149" s="618"/>
    </row>
    <row r="150" spans="1:16" ht="12.75" hidden="1" customHeight="1" x14ac:dyDescent="0.25">
      <c r="A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</row>
    <row r="151" spans="1:16" ht="12.75" hidden="1" customHeight="1" x14ac:dyDescent="0.25">
      <c r="A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</row>
    <row r="152" spans="1:16" ht="12.75" hidden="1" customHeight="1" x14ac:dyDescent="0.25">
      <c r="A152" s="618"/>
      <c r="D152" s="618"/>
      <c r="E152" s="618"/>
      <c r="F152" s="618"/>
      <c r="G152" s="618"/>
      <c r="H152" s="618"/>
      <c r="I152" s="618"/>
      <c r="J152" s="618"/>
      <c r="K152" s="618"/>
      <c r="L152" s="618"/>
      <c r="M152" s="618"/>
      <c r="N152" s="618"/>
      <c r="O152" s="618"/>
      <c r="P152" s="618"/>
    </row>
    <row r="153" spans="1:16" ht="12.75" hidden="1" customHeight="1" x14ac:dyDescent="0.25">
      <c r="A153" s="618"/>
      <c r="D153" s="618"/>
      <c r="E153" s="618"/>
      <c r="F153" s="618"/>
      <c r="G153" s="618"/>
      <c r="H153" s="618"/>
      <c r="I153" s="618"/>
      <c r="J153" s="618"/>
      <c r="K153" s="618"/>
      <c r="L153" s="618"/>
      <c r="M153" s="618"/>
      <c r="N153" s="618"/>
      <c r="O153" s="618"/>
      <c r="P153" s="618"/>
    </row>
    <row r="154" spans="1:16" ht="12.75" hidden="1" customHeight="1" x14ac:dyDescent="0.25">
      <c r="A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</row>
    <row r="155" spans="1:16" ht="12.75" hidden="1" customHeight="1" x14ac:dyDescent="0.25">
      <c r="A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</row>
    <row r="156" spans="1:16" ht="12.75" hidden="1" customHeight="1" x14ac:dyDescent="0.25">
      <c r="A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</row>
    <row r="157" spans="1:16" ht="12.75" hidden="1" customHeight="1" x14ac:dyDescent="0.25">
      <c r="A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</row>
    <row r="158" spans="1:16" ht="12.75" hidden="1" customHeight="1" x14ac:dyDescent="0.25">
      <c r="A158" s="618"/>
      <c r="D158" s="618"/>
      <c r="E158" s="618"/>
      <c r="F158" s="618"/>
      <c r="G158" s="618"/>
      <c r="H158" s="618"/>
      <c r="I158" s="618"/>
      <c r="J158" s="618"/>
      <c r="K158" s="618"/>
      <c r="L158" s="618"/>
      <c r="M158" s="618"/>
      <c r="N158" s="618"/>
      <c r="O158" s="618"/>
      <c r="P158" s="618"/>
    </row>
    <row r="159" spans="1:16" ht="12.75" hidden="1" customHeight="1" x14ac:dyDescent="0.25">
      <c r="A159" s="618"/>
      <c r="D159" s="618"/>
      <c r="E159" s="618"/>
      <c r="F159" s="618"/>
      <c r="G159" s="618"/>
      <c r="H159" s="618"/>
      <c r="I159" s="618"/>
      <c r="J159" s="618"/>
      <c r="K159" s="618"/>
      <c r="L159" s="618"/>
      <c r="M159" s="618"/>
      <c r="N159" s="618"/>
      <c r="O159" s="618"/>
      <c r="P159" s="618"/>
    </row>
    <row r="160" spans="1:16" ht="12.75" hidden="1" customHeight="1" x14ac:dyDescent="0.25">
      <c r="A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</row>
    <row r="161" spans="1:18" ht="12.75" hidden="1" customHeight="1" x14ac:dyDescent="0.25">
      <c r="A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</row>
    <row r="162" spans="1:18" ht="12.75" hidden="1" customHeight="1" x14ac:dyDescent="0.25">
      <c r="A162" s="618"/>
      <c r="D162" s="618"/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8"/>
      <c r="P162" s="618"/>
    </row>
    <row r="163" spans="1:18" ht="12.75" hidden="1" customHeight="1" x14ac:dyDescent="0.25">
      <c r="A163" s="618"/>
      <c r="D163" s="618"/>
      <c r="E163" s="618"/>
      <c r="F163" s="618"/>
      <c r="G163" s="618"/>
      <c r="H163" s="618"/>
      <c r="I163" s="618"/>
      <c r="J163" s="618"/>
      <c r="K163" s="618"/>
      <c r="L163" s="618"/>
      <c r="M163" s="618"/>
      <c r="N163" s="618"/>
      <c r="O163" s="618"/>
      <c r="P163" s="618"/>
    </row>
    <row r="164" spans="1:18" ht="12.75" hidden="1" customHeight="1" x14ac:dyDescent="0.25">
      <c r="A164" s="618"/>
      <c r="D164" s="618"/>
      <c r="E164" s="618"/>
      <c r="F164" s="618"/>
      <c r="G164" s="618"/>
      <c r="H164" s="618"/>
      <c r="I164" s="618"/>
      <c r="J164" s="618"/>
      <c r="K164" s="618"/>
      <c r="L164" s="618"/>
      <c r="M164" s="618"/>
      <c r="N164" s="618"/>
      <c r="O164" s="618"/>
      <c r="P164" s="618"/>
    </row>
    <row r="165" spans="1:18" ht="12.75" hidden="1" customHeight="1" x14ac:dyDescent="0.25">
      <c r="A165" s="618"/>
      <c r="D165" s="618"/>
      <c r="E165" s="618"/>
      <c r="F165" s="618"/>
      <c r="G165" s="618"/>
      <c r="H165" s="618"/>
      <c r="I165" s="618"/>
      <c r="J165" s="618"/>
      <c r="K165" s="618"/>
      <c r="L165" s="618"/>
      <c r="M165" s="618"/>
      <c r="N165" s="618"/>
      <c r="O165" s="618"/>
      <c r="P165" s="618"/>
    </row>
    <row r="166" spans="1:18" ht="12.75" hidden="1" customHeight="1" x14ac:dyDescent="0.25">
      <c r="A166" s="618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8"/>
      <c r="P166" s="618"/>
    </row>
    <row r="167" spans="1:18" ht="12.75" hidden="1" customHeight="1" x14ac:dyDescent="0.25">
      <c r="A167" s="618"/>
      <c r="D167" s="618"/>
      <c r="E167" s="618"/>
      <c r="F167" s="618"/>
      <c r="G167" s="618"/>
      <c r="H167" s="618"/>
      <c r="I167" s="618"/>
      <c r="J167" s="618"/>
      <c r="K167" s="618"/>
      <c r="L167" s="618"/>
      <c r="M167" s="618"/>
      <c r="N167" s="618"/>
      <c r="O167" s="618"/>
      <c r="P167" s="618"/>
    </row>
    <row r="168" spans="1:18" ht="12.75" hidden="1" customHeight="1" x14ac:dyDescent="0.25">
      <c r="A168" s="618"/>
      <c r="D168" s="618"/>
      <c r="E168" s="618"/>
      <c r="F168" s="618"/>
      <c r="G168" s="618"/>
      <c r="H168" s="618"/>
      <c r="I168" s="618"/>
      <c r="J168" s="618"/>
      <c r="K168" s="618"/>
      <c r="L168" s="618"/>
      <c r="M168" s="618"/>
      <c r="N168" s="618"/>
      <c r="O168" s="618"/>
      <c r="P168" s="618"/>
    </row>
    <row r="169" spans="1:18" ht="12.75" customHeight="1" x14ac:dyDescent="0.25">
      <c r="A169" s="618"/>
      <c r="D169" s="618"/>
      <c r="E169" s="618"/>
      <c r="F169" s="618"/>
      <c r="G169" s="618"/>
      <c r="H169" s="618"/>
      <c r="I169" s="618"/>
      <c r="J169" s="618"/>
      <c r="K169" s="618"/>
      <c r="L169" s="618"/>
      <c r="M169" s="618"/>
      <c r="N169" s="618"/>
      <c r="O169" s="618"/>
      <c r="P169" s="618"/>
    </row>
    <row r="170" spans="1:18" ht="12.75" customHeight="1" x14ac:dyDescent="0.25">
      <c r="A170" s="780" t="s">
        <v>2</v>
      </c>
      <c r="B170" s="779" t="s">
        <v>132</v>
      </c>
      <c r="C170" s="766" t="s">
        <v>70</v>
      </c>
      <c r="D170" s="766">
        <f>D107-P107</f>
        <v>-45230052</v>
      </c>
      <c r="E170" s="766">
        <f>E92+E97+E103</f>
        <v>-3634148.11</v>
      </c>
      <c r="F170" s="766">
        <f t="shared" ref="F170:R170" si="3">F92+F97+F103</f>
        <v>-1940116.18</v>
      </c>
      <c r="G170" s="766">
        <f t="shared" si="3"/>
        <v>-1004097.8</v>
      </c>
      <c r="H170" s="766">
        <f t="shared" si="3"/>
        <v>-14314989.460000001</v>
      </c>
      <c r="I170" s="766">
        <f t="shared" si="3"/>
        <v>-497437.64</v>
      </c>
      <c r="J170" s="766">
        <f t="shared" si="3"/>
        <v>-4394387.8999999994</v>
      </c>
      <c r="K170" s="766">
        <f t="shared" si="3"/>
        <v>-4534029.5600000005</v>
      </c>
      <c r="L170" s="766">
        <f t="shared" si="3"/>
        <v>-20533548.219999999</v>
      </c>
      <c r="M170" s="766">
        <f t="shared" si="3"/>
        <v>-7203974.5300000003</v>
      </c>
      <c r="N170" s="766">
        <f t="shared" si="3"/>
        <v>-814812</v>
      </c>
      <c r="O170" s="766">
        <f t="shared" si="3"/>
        <v>55.710000000000008</v>
      </c>
      <c r="P170" s="766">
        <f t="shared" si="3"/>
        <v>0</v>
      </c>
      <c r="Q170" s="766">
        <f t="shared" si="3"/>
        <v>-10.16</v>
      </c>
      <c r="R170" s="766">
        <f t="shared" si="3"/>
        <v>289.19</v>
      </c>
    </row>
    <row r="171" spans="1:18" ht="12.75" customHeight="1" x14ac:dyDescent="0.25">
      <c r="A171" s="780"/>
      <c r="B171" s="779"/>
      <c r="C171" s="766" t="s">
        <v>73</v>
      </c>
      <c r="D171" s="766">
        <f>D94+D99+D105</f>
        <v>13641154.66</v>
      </c>
      <c r="E171" s="618"/>
      <c r="F171" s="618"/>
      <c r="G171" s="618"/>
      <c r="H171" s="618"/>
      <c r="I171" s="618"/>
      <c r="J171" s="618"/>
      <c r="K171" s="618"/>
      <c r="L171" s="618"/>
      <c r="M171" s="618"/>
      <c r="N171" s="618"/>
      <c r="O171" s="618"/>
      <c r="P171" s="618"/>
      <c r="Q171" s="618"/>
    </row>
    <row r="172" spans="1:18" ht="12.75" customHeight="1" x14ac:dyDescent="0.3">
      <c r="A172" s="617"/>
      <c r="D172" s="618"/>
      <c r="E172" s="618"/>
      <c r="F172" s="618"/>
      <c r="G172" s="618"/>
      <c r="H172" s="618"/>
      <c r="I172" s="618"/>
      <c r="J172" s="618"/>
      <c r="K172" s="618"/>
      <c r="L172" s="618"/>
      <c r="M172" s="618"/>
      <c r="N172" s="618"/>
      <c r="O172" s="618"/>
      <c r="P172" s="618"/>
      <c r="Q172" s="618"/>
    </row>
    <row r="173" spans="1:18" ht="12.75" customHeight="1" x14ac:dyDescent="0.25">
      <c r="A173" s="780" t="s">
        <v>160</v>
      </c>
      <c r="B173" s="779" t="s">
        <v>132</v>
      </c>
      <c r="C173" s="632" t="s">
        <v>70</v>
      </c>
      <c r="D173" s="632">
        <f>D100-P100</f>
        <v>-46130</v>
      </c>
      <c r="E173" s="632">
        <f>E97</f>
        <v>-3878.52</v>
      </c>
      <c r="F173" s="632">
        <f t="shared" ref="F173:R173" si="4">F97</f>
        <v>-2172.7800000000002</v>
      </c>
      <c r="G173" s="632">
        <f t="shared" si="4"/>
        <v>-1192.6199999999999</v>
      </c>
      <c r="H173" s="632">
        <f t="shared" si="4"/>
        <v>-20529.3</v>
      </c>
      <c r="I173" s="632">
        <f t="shared" si="4"/>
        <v>-491.85</v>
      </c>
      <c r="J173" s="632">
        <f t="shared" si="4"/>
        <v>-4314.5</v>
      </c>
      <c r="K173" s="632">
        <f t="shared" si="4"/>
        <v>-6347.49</v>
      </c>
      <c r="L173" s="632">
        <f t="shared" si="4"/>
        <v>-29323.18</v>
      </c>
      <c r="M173" s="632">
        <f t="shared" si="4"/>
        <v>-7837.65</v>
      </c>
      <c r="N173" s="632">
        <f t="shared" si="4"/>
        <v>-802.5</v>
      </c>
      <c r="O173" s="632">
        <f t="shared" si="4"/>
        <v>4.2300000000000004</v>
      </c>
      <c r="P173" s="632">
        <f t="shared" si="4"/>
        <v>0</v>
      </c>
      <c r="Q173" s="632">
        <f t="shared" si="4"/>
        <v>0</v>
      </c>
      <c r="R173" s="632">
        <f t="shared" si="4"/>
        <v>0</v>
      </c>
    </row>
    <row r="174" spans="1:18" ht="12.75" customHeight="1" x14ac:dyDescent="0.25">
      <c r="A174" s="780"/>
      <c r="B174" s="779"/>
      <c r="C174" s="632" t="s">
        <v>73</v>
      </c>
      <c r="D174" s="632">
        <f>D99</f>
        <v>30756.16</v>
      </c>
      <c r="E174" s="618"/>
      <c r="F174" s="618"/>
      <c r="G174" s="618"/>
      <c r="H174" s="618"/>
      <c r="I174" s="618"/>
      <c r="J174" s="618"/>
      <c r="K174" s="618"/>
      <c r="L174" s="618"/>
      <c r="M174" s="618"/>
      <c r="N174" s="618"/>
      <c r="O174" s="618"/>
      <c r="P174" s="618"/>
      <c r="Q174" s="618"/>
    </row>
    <row r="175" spans="1:18" ht="12.75" customHeight="1" x14ac:dyDescent="0.3">
      <c r="A175" s="617"/>
      <c r="D175" s="618"/>
      <c r="E175" s="618"/>
      <c r="F175" s="618"/>
      <c r="G175" s="618"/>
      <c r="H175" s="618"/>
      <c r="I175" s="618"/>
      <c r="J175" s="618"/>
      <c r="K175" s="618"/>
      <c r="L175" s="618"/>
      <c r="M175" s="618"/>
      <c r="N175" s="618"/>
      <c r="O175" s="618"/>
      <c r="P175" s="618"/>
      <c r="Q175" s="618"/>
    </row>
    <row r="176" spans="1:18" ht="12.75" customHeight="1" x14ac:dyDescent="0.25">
      <c r="A176" s="780" t="s">
        <v>155</v>
      </c>
      <c r="B176" s="779" t="s">
        <v>132</v>
      </c>
      <c r="C176" s="633" t="s">
        <v>70</v>
      </c>
      <c r="D176" s="633">
        <f>D95-P95</f>
        <v>-41540866</v>
      </c>
      <c r="E176" s="633">
        <f>E92</f>
        <v>-3107250.53</v>
      </c>
      <c r="F176" s="633">
        <f t="shared" ref="F176:R176" si="5">F92</f>
        <v>-1670342.89</v>
      </c>
      <c r="G176" s="633">
        <f t="shared" si="5"/>
        <v>-871100.93</v>
      </c>
      <c r="H176" s="633">
        <f t="shared" si="5"/>
        <v>-12526155.23</v>
      </c>
      <c r="I176" s="633">
        <f t="shared" si="5"/>
        <v>-441842.96</v>
      </c>
      <c r="J176" s="633">
        <f t="shared" si="5"/>
        <v>-3903148.8</v>
      </c>
      <c r="K176" s="633">
        <f t="shared" si="5"/>
        <v>-3939943.55</v>
      </c>
      <c r="L176" s="633">
        <f t="shared" si="5"/>
        <v>-18083278.280000001</v>
      </c>
      <c r="M176" s="633">
        <f t="shared" si="5"/>
        <v>-6193581.0800000001</v>
      </c>
      <c r="N176" s="633">
        <f t="shared" si="5"/>
        <v>-725082.83</v>
      </c>
      <c r="O176" s="633">
        <f t="shared" si="5"/>
        <v>-14.17</v>
      </c>
      <c r="P176" s="633">
        <f t="shared" si="5"/>
        <v>0</v>
      </c>
      <c r="Q176" s="633">
        <f t="shared" si="5"/>
        <v>0.26</v>
      </c>
      <c r="R176" s="633">
        <f t="shared" si="5"/>
        <v>0</v>
      </c>
    </row>
    <row r="177" spans="1:18" ht="12.75" customHeight="1" x14ac:dyDescent="0.25">
      <c r="A177" s="780"/>
      <c r="B177" s="779"/>
      <c r="C177" s="633" t="s">
        <v>73</v>
      </c>
      <c r="D177" s="633">
        <f>D94</f>
        <v>9920874.9900000002</v>
      </c>
      <c r="E177" s="618"/>
      <c r="F177" s="618"/>
      <c r="G177" s="618"/>
      <c r="H177" s="618"/>
      <c r="I177" s="618"/>
      <c r="J177" s="618"/>
      <c r="K177" s="618"/>
      <c r="L177" s="618"/>
      <c r="M177" s="618"/>
      <c r="N177" s="618"/>
      <c r="O177" s="618"/>
      <c r="P177" s="618"/>
      <c r="Q177" s="618"/>
    </row>
    <row r="178" spans="1:18" ht="12.75" customHeight="1" x14ac:dyDescent="0.25">
      <c r="A178" s="722"/>
      <c r="B178" s="721"/>
      <c r="C178" s="618"/>
      <c r="D178" s="618"/>
      <c r="E178" s="618"/>
      <c r="F178" s="618"/>
      <c r="G178" s="618"/>
      <c r="H178" s="618"/>
      <c r="I178" s="618"/>
      <c r="J178" s="618"/>
      <c r="K178" s="618"/>
      <c r="L178" s="618"/>
      <c r="M178" s="618"/>
      <c r="N178" s="618"/>
      <c r="O178" s="618"/>
      <c r="P178" s="618"/>
      <c r="Q178" s="618"/>
    </row>
    <row r="179" spans="1:18" ht="12.75" customHeight="1" x14ac:dyDescent="0.25">
      <c r="A179" s="781" t="s">
        <v>326</v>
      </c>
      <c r="B179" s="779" t="s">
        <v>132</v>
      </c>
      <c r="C179" s="633" t="s">
        <v>70</v>
      </c>
      <c r="D179" s="720">
        <v>0</v>
      </c>
      <c r="E179" s="720">
        <v>0</v>
      </c>
      <c r="F179" s="720">
        <v>0</v>
      </c>
      <c r="G179" s="720">
        <v>0</v>
      </c>
      <c r="H179" s="720">
        <v>0</v>
      </c>
      <c r="I179" s="720">
        <v>0</v>
      </c>
      <c r="J179" s="720">
        <v>0</v>
      </c>
      <c r="K179" s="720">
        <v>0</v>
      </c>
      <c r="L179" s="720">
        <v>0</v>
      </c>
      <c r="M179" s="720">
        <v>0</v>
      </c>
      <c r="N179" s="720">
        <v>0</v>
      </c>
      <c r="O179" s="720">
        <v>0</v>
      </c>
      <c r="P179" s="720">
        <v>0</v>
      </c>
      <c r="Q179" s="720">
        <v>0</v>
      </c>
      <c r="R179" s="720">
        <v>0</v>
      </c>
    </row>
    <row r="180" spans="1:18" ht="12.75" customHeight="1" x14ac:dyDescent="0.25">
      <c r="A180" s="781"/>
      <c r="B180" s="779"/>
      <c r="C180" s="633" t="s">
        <v>73</v>
      </c>
      <c r="D180" s="720">
        <v>0</v>
      </c>
      <c r="E180" s="618"/>
      <c r="F180" s="618"/>
      <c r="G180" s="618"/>
      <c r="H180" s="618"/>
      <c r="I180" s="618"/>
      <c r="J180" s="618"/>
      <c r="K180" s="618"/>
      <c r="L180" s="618"/>
      <c r="M180" s="618"/>
      <c r="N180" s="618"/>
      <c r="O180" s="618"/>
      <c r="P180" s="618"/>
      <c r="Q180" s="618"/>
    </row>
    <row r="181" spans="1:18" ht="12.75" customHeight="1" x14ac:dyDescent="0.3">
      <c r="A181" s="617"/>
      <c r="D181" s="618"/>
      <c r="E181" s="618"/>
      <c r="F181" s="618"/>
      <c r="G181" s="618"/>
      <c r="H181" s="618"/>
      <c r="I181" s="618"/>
      <c r="J181" s="618"/>
      <c r="K181" s="618"/>
      <c r="L181" s="618"/>
      <c r="M181" s="618"/>
      <c r="N181" s="618"/>
      <c r="O181" s="618"/>
      <c r="P181" s="618"/>
      <c r="Q181" s="618"/>
    </row>
    <row r="182" spans="1:18" ht="12.75" customHeight="1" x14ac:dyDescent="0.25">
      <c r="A182" s="780" t="s">
        <v>119</v>
      </c>
      <c r="B182" s="779" t="s">
        <v>132</v>
      </c>
      <c r="C182" s="628" t="s">
        <v>70</v>
      </c>
      <c r="D182" s="628">
        <f>D106-P106</f>
        <v>-3643056</v>
      </c>
      <c r="E182" s="628">
        <f>E103</f>
        <v>-523019.06</v>
      </c>
      <c r="F182" s="628">
        <f t="shared" ref="F182:R182" si="6">F103</f>
        <v>-267600.51</v>
      </c>
      <c r="G182" s="628">
        <f t="shared" si="6"/>
        <v>-131804.25</v>
      </c>
      <c r="H182" s="628">
        <f t="shared" si="6"/>
        <v>-1768304.93</v>
      </c>
      <c r="I182" s="628">
        <f t="shared" si="6"/>
        <v>-55102.83</v>
      </c>
      <c r="J182" s="628">
        <f t="shared" si="6"/>
        <v>-486924.6</v>
      </c>
      <c r="K182" s="628">
        <f t="shared" si="6"/>
        <v>-587738.52</v>
      </c>
      <c r="L182" s="628">
        <f t="shared" si="6"/>
        <v>-2420946.7599999998</v>
      </c>
      <c r="M182" s="628">
        <f t="shared" si="6"/>
        <v>-1002555.8</v>
      </c>
      <c r="N182" s="628">
        <f t="shared" si="6"/>
        <v>-88926.67</v>
      </c>
      <c r="O182" s="628">
        <f t="shared" si="6"/>
        <v>65.650000000000006</v>
      </c>
      <c r="P182" s="628">
        <f t="shared" si="6"/>
        <v>0</v>
      </c>
      <c r="Q182" s="628">
        <f t="shared" si="6"/>
        <v>-10.42</v>
      </c>
      <c r="R182" s="628">
        <f t="shared" si="6"/>
        <v>289.19</v>
      </c>
    </row>
    <row r="183" spans="1:18" ht="12.75" customHeight="1" x14ac:dyDescent="0.25">
      <c r="A183" s="780"/>
      <c r="B183" s="779"/>
      <c r="C183" s="628" t="s">
        <v>73</v>
      </c>
      <c r="D183" s="628">
        <f>D105</f>
        <v>3689523.51</v>
      </c>
      <c r="E183" s="618"/>
      <c r="F183" s="618"/>
      <c r="G183" s="618"/>
      <c r="H183" s="618"/>
      <c r="I183" s="618"/>
      <c r="J183" s="618"/>
      <c r="K183" s="618"/>
      <c r="L183" s="618"/>
      <c r="M183" s="618"/>
      <c r="N183" s="618"/>
      <c r="O183" s="618"/>
      <c r="P183" s="618"/>
      <c r="Q183" s="618"/>
      <c r="R183" s="618"/>
    </row>
    <row r="184" spans="1:18" ht="12.75" customHeight="1" x14ac:dyDescent="0.3">
      <c r="A184" s="617"/>
      <c r="D184" s="618"/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  <c r="R184" s="618"/>
    </row>
    <row r="185" spans="1:18" ht="12.75" customHeight="1" x14ac:dyDescent="0.25">
      <c r="A185" s="778" t="s">
        <v>161</v>
      </c>
      <c r="B185" s="779" t="s">
        <v>132</v>
      </c>
      <c r="C185" s="634" t="s">
        <v>70</v>
      </c>
      <c r="D185" s="634">
        <v>0</v>
      </c>
      <c r="E185" s="634">
        <v>0</v>
      </c>
      <c r="F185" s="634">
        <v>0</v>
      </c>
      <c r="G185" s="634">
        <v>0</v>
      </c>
      <c r="H185" s="634">
        <v>0</v>
      </c>
      <c r="I185" s="634">
        <v>0</v>
      </c>
      <c r="J185" s="634">
        <v>0</v>
      </c>
      <c r="K185" s="634">
        <v>0</v>
      </c>
      <c r="L185" s="634">
        <v>0</v>
      </c>
      <c r="M185" s="634">
        <v>0</v>
      </c>
      <c r="N185" s="634">
        <v>0</v>
      </c>
      <c r="O185" s="634">
        <v>0</v>
      </c>
      <c r="P185" s="634">
        <v>0</v>
      </c>
      <c r="Q185" s="634">
        <v>0</v>
      </c>
      <c r="R185" s="634">
        <v>0</v>
      </c>
    </row>
    <row r="186" spans="1:18" ht="12.75" customHeight="1" x14ac:dyDescent="0.25">
      <c r="A186" s="778"/>
      <c r="B186" s="779"/>
      <c r="C186" s="634" t="s">
        <v>73</v>
      </c>
      <c r="D186" s="634">
        <v>0</v>
      </c>
      <c r="E186" s="618"/>
      <c r="F186" s="618"/>
      <c r="G186" s="618"/>
      <c r="H186" s="618"/>
      <c r="I186" s="618"/>
      <c r="J186" s="618"/>
      <c r="K186" s="618"/>
      <c r="L186" s="618"/>
      <c r="M186" s="618"/>
      <c r="N186" s="618"/>
      <c r="O186" s="618"/>
      <c r="P186" s="618"/>
      <c r="Q186" s="618"/>
    </row>
    <row r="187" spans="1:18" s="635" customFormat="1" x14ac:dyDescent="0.25"/>
    <row r="188" spans="1:18" ht="13" x14ac:dyDescent="0.3">
      <c r="B188" s="617" t="s">
        <v>76</v>
      </c>
    </row>
    <row r="189" spans="1:18" x14ac:dyDescent="0.25">
      <c r="D189" s="618" t="s">
        <v>70</v>
      </c>
      <c r="E189" s="618" t="s">
        <v>64</v>
      </c>
      <c r="F189" s="618" t="s">
        <v>65</v>
      </c>
      <c r="G189" s="619" t="s">
        <v>164</v>
      </c>
      <c r="H189" s="618" t="s">
        <v>69</v>
      </c>
      <c r="I189" s="618" t="s">
        <v>68</v>
      </c>
      <c r="J189" s="618" t="s">
        <v>66</v>
      </c>
      <c r="K189" s="618" t="s">
        <v>63</v>
      </c>
      <c r="L189" s="618" t="s">
        <v>61</v>
      </c>
      <c r="M189" s="618" t="s">
        <v>62</v>
      </c>
      <c r="N189" s="618" t="s">
        <v>67</v>
      </c>
      <c r="O189" s="618" t="s">
        <v>77</v>
      </c>
      <c r="P189" s="616" t="s">
        <v>71</v>
      </c>
      <c r="Q189" s="618" t="s">
        <v>80</v>
      </c>
      <c r="R189" s="616" t="s">
        <v>168</v>
      </c>
    </row>
    <row r="190" spans="1:18" ht="12.75" customHeight="1" x14ac:dyDescent="0.25">
      <c r="B190" s="618"/>
      <c r="C190" s="618" t="s">
        <v>72</v>
      </c>
      <c r="D190" s="618">
        <v>-7273359.1299999999</v>
      </c>
      <c r="E190" s="618">
        <v>-515292.55</v>
      </c>
      <c r="F190" s="618">
        <v>-289983.7</v>
      </c>
      <c r="G190" s="618">
        <v>-152857.65</v>
      </c>
      <c r="H190" s="618">
        <v>-1791444.12</v>
      </c>
      <c r="I190" s="618">
        <v>-54888.34</v>
      </c>
      <c r="J190" s="618">
        <v>-481479.26</v>
      </c>
      <c r="K190" s="618">
        <v>-469276.25</v>
      </c>
      <c r="L190" s="618">
        <v>-2213791.06</v>
      </c>
      <c r="M190" s="618">
        <v>-1214658.71</v>
      </c>
      <c r="N190" s="618">
        <v>-89555.13</v>
      </c>
      <c r="O190" s="618">
        <v>-132.36000000000001</v>
      </c>
      <c r="P190" s="616">
        <v>0</v>
      </c>
      <c r="Q190" s="618">
        <v>0</v>
      </c>
      <c r="R190" s="618">
        <v>0</v>
      </c>
    </row>
    <row r="191" spans="1:18" ht="12.75" customHeight="1" x14ac:dyDescent="0.25">
      <c r="B191" s="618"/>
      <c r="C191" s="618" t="s">
        <v>81</v>
      </c>
      <c r="D191" s="618">
        <v>-3288.33</v>
      </c>
      <c r="E191" s="618">
        <v>-359.82</v>
      </c>
      <c r="F191" s="618">
        <v>-203.26</v>
      </c>
      <c r="G191" s="618">
        <v>-107.06</v>
      </c>
      <c r="H191" s="618">
        <v>-573.45000000000005</v>
      </c>
      <c r="I191" s="618">
        <v>-19.829999999999998</v>
      </c>
      <c r="J191" s="618">
        <v>-173.94</v>
      </c>
      <c r="K191" s="618">
        <v>-170.76</v>
      </c>
      <c r="L191" s="618">
        <v>-807.72</v>
      </c>
      <c r="M191" s="618">
        <v>-840.06</v>
      </c>
      <c r="N191" s="618">
        <v>-32.369999999999997</v>
      </c>
      <c r="O191" s="618">
        <v>-0.06</v>
      </c>
      <c r="P191" s="616">
        <v>0</v>
      </c>
      <c r="Q191" s="618">
        <v>0</v>
      </c>
      <c r="R191" s="618">
        <v>0</v>
      </c>
    </row>
    <row r="192" spans="1:18" s="621" customFormat="1" ht="12.75" customHeight="1" x14ac:dyDescent="0.25">
      <c r="B192" s="622" t="s">
        <v>78</v>
      </c>
      <c r="C192" s="622" t="s">
        <v>70</v>
      </c>
      <c r="D192" s="622">
        <v>-7276647.46</v>
      </c>
      <c r="E192" s="622">
        <v>-515652.37</v>
      </c>
      <c r="F192" s="622">
        <v>-290186.96000000002</v>
      </c>
      <c r="G192" s="622">
        <v>-152964.71</v>
      </c>
      <c r="H192" s="622">
        <v>-1792017.57</v>
      </c>
      <c r="I192" s="622">
        <v>-54908.17</v>
      </c>
      <c r="J192" s="622">
        <v>-481653.2</v>
      </c>
      <c r="K192" s="622">
        <v>-469447.01</v>
      </c>
      <c r="L192" s="622">
        <v>-2214598.7799999998</v>
      </c>
      <c r="M192" s="622">
        <v>-1215498.77</v>
      </c>
      <c r="N192" s="622">
        <v>-89587.5</v>
      </c>
      <c r="O192" s="622">
        <v>-132.41999999999999</v>
      </c>
      <c r="P192" s="621">
        <v>0</v>
      </c>
      <c r="Q192" s="622">
        <v>0</v>
      </c>
      <c r="R192" s="622">
        <v>0</v>
      </c>
    </row>
    <row r="193" spans="1:18" ht="12.75" customHeight="1" x14ac:dyDescent="0.25">
      <c r="B193" s="618"/>
      <c r="C193" s="618" t="s">
        <v>73</v>
      </c>
      <c r="D193" s="618">
        <v>-439016.54</v>
      </c>
      <c r="E193" s="618">
        <v>-190403.28</v>
      </c>
      <c r="F193" s="618">
        <v>-107378.28</v>
      </c>
      <c r="G193" s="618">
        <v>-56563.26</v>
      </c>
      <c r="H193" s="618">
        <v>140225.29999999999</v>
      </c>
      <c r="I193" s="618">
        <v>3676.03</v>
      </c>
      <c r="J193" s="618">
        <v>32245.56</v>
      </c>
      <c r="K193" s="618">
        <v>31345.119999999999</v>
      </c>
      <c r="L193" s="618">
        <v>148908.01999999999</v>
      </c>
      <c r="M193" s="618">
        <v>-447069.41</v>
      </c>
      <c r="N193" s="618">
        <v>5997.66</v>
      </c>
      <c r="O193" s="618">
        <v>0</v>
      </c>
      <c r="P193" s="616">
        <v>0</v>
      </c>
      <c r="Q193" s="618">
        <v>0</v>
      </c>
      <c r="R193" s="618">
        <v>0</v>
      </c>
    </row>
    <row r="194" spans="1:18" s="623" customFormat="1" ht="12.75" customHeight="1" x14ac:dyDescent="0.25">
      <c r="B194" s="623" t="s">
        <v>79</v>
      </c>
      <c r="C194" s="623" t="s">
        <v>70</v>
      </c>
      <c r="D194" s="624">
        <v>-439016.54</v>
      </c>
      <c r="E194" s="624">
        <v>-190403.28</v>
      </c>
      <c r="F194" s="624">
        <v>-107378.28</v>
      </c>
      <c r="G194" s="636">
        <v>-56563.26</v>
      </c>
      <c r="H194" s="624">
        <v>140225.29999999999</v>
      </c>
      <c r="I194" s="624">
        <v>3676.03</v>
      </c>
      <c r="J194" s="624">
        <v>32245.56</v>
      </c>
      <c r="K194" s="624">
        <v>31345.119999999999</v>
      </c>
      <c r="L194" s="624">
        <v>148908.01999999999</v>
      </c>
      <c r="M194" s="624">
        <v>-447069.41</v>
      </c>
      <c r="N194" s="624">
        <v>5997.66</v>
      </c>
      <c r="O194" s="624">
        <v>0</v>
      </c>
      <c r="P194" s="624">
        <v>0</v>
      </c>
      <c r="Q194" s="624">
        <v>0</v>
      </c>
      <c r="R194" s="623">
        <v>0</v>
      </c>
    </row>
    <row r="195" spans="1:18" s="637" customFormat="1" ht="12.75" customHeight="1" x14ac:dyDescent="0.25">
      <c r="A195" s="637" t="s">
        <v>155</v>
      </c>
      <c r="B195" s="633" t="s">
        <v>70</v>
      </c>
      <c r="C195" s="633"/>
      <c r="D195" s="633">
        <v>-7715664</v>
      </c>
      <c r="E195" s="633">
        <v>-706055.65</v>
      </c>
      <c r="F195" s="633">
        <v>-397565.24</v>
      </c>
      <c r="G195" s="633">
        <v>-209527.97</v>
      </c>
      <c r="H195" s="633">
        <v>-1651792.27</v>
      </c>
      <c r="I195" s="633">
        <v>-51232.14</v>
      </c>
      <c r="J195" s="633">
        <v>-449407.64</v>
      </c>
      <c r="K195" s="633">
        <v>-438101.89</v>
      </c>
      <c r="L195" s="633">
        <v>-2065690.76</v>
      </c>
      <c r="M195" s="633">
        <v>-1662568.18</v>
      </c>
      <c r="N195" s="633">
        <v>-83589.84</v>
      </c>
      <c r="O195" s="633">
        <v>-132.41999999999999</v>
      </c>
      <c r="P195" s="637">
        <v>0</v>
      </c>
      <c r="Q195" s="633">
        <v>0</v>
      </c>
      <c r="R195" s="633">
        <v>0</v>
      </c>
    </row>
    <row r="196" spans="1:18" s="631" customFormat="1" ht="12.75" customHeight="1" x14ac:dyDescent="0.25">
      <c r="A196" s="630" t="s">
        <v>70</v>
      </c>
      <c r="D196" s="630">
        <v>-7715664</v>
      </c>
      <c r="E196" s="630">
        <v>-706055.65</v>
      </c>
      <c r="F196" s="630">
        <v>-397565.24</v>
      </c>
      <c r="G196" s="630">
        <v>-209527.97</v>
      </c>
      <c r="H196" s="630">
        <v>-1651792.27</v>
      </c>
      <c r="I196" s="630">
        <v>-51232.14</v>
      </c>
      <c r="J196" s="630">
        <v>-449407.64</v>
      </c>
      <c r="K196" s="630">
        <v>-438101.89</v>
      </c>
      <c r="L196" s="630">
        <v>-2065690.76</v>
      </c>
      <c r="M196" s="630">
        <v>-1662568.18</v>
      </c>
      <c r="N196" s="630">
        <v>-83589.84</v>
      </c>
      <c r="O196" s="630">
        <v>-132.41999999999999</v>
      </c>
      <c r="P196" s="631">
        <v>0</v>
      </c>
      <c r="Q196" s="631">
        <v>0</v>
      </c>
      <c r="R196" s="631">
        <v>0</v>
      </c>
    </row>
    <row r="197" spans="1:18" ht="12.75" customHeight="1" x14ac:dyDescent="0.25">
      <c r="A197" s="618"/>
      <c r="D197" s="618"/>
      <c r="E197" s="618"/>
      <c r="F197" s="618"/>
      <c r="G197" s="618"/>
      <c r="H197" s="618"/>
      <c r="I197" s="618"/>
      <c r="J197" s="618"/>
      <c r="K197" s="618"/>
      <c r="L197" s="618"/>
      <c r="M197" s="618"/>
      <c r="N197" s="618"/>
      <c r="O197" s="618"/>
    </row>
    <row r="198" spans="1:18" ht="12.75" customHeight="1" x14ac:dyDescent="0.25">
      <c r="A198" s="618"/>
      <c r="D198" s="618"/>
      <c r="E198" s="618"/>
      <c r="F198" s="618"/>
      <c r="G198" s="618"/>
      <c r="H198" s="618"/>
      <c r="I198" s="618"/>
      <c r="J198" s="618"/>
      <c r="K198" s="618"/>
      <c r="L198" s="618"/>
      <c r="M198" s="618"/>
      <c r="N198" s="618"/>
      <c r="O198" s="618"/>
    </row>
    <row r="199" spans="1:18" ht="12.75" customHeight="1" x14ac:dyDescent="0.25">
      <c r="A199" s="618"/>
      <c r="D199" s="618"/>
      <c r="E199" s="618"/>
      <c r="F199" s="618"/>
      <c r="G199" s="618"/>
      <c r="H199" s="618"/>
      <c r="I199" s="618"/>
      <c r="J199" s="618"/>
      <c r="K199" s="618"/>
      <c r="L199" s="618"/>
      <c r="M199" s="618"/>
      <c r="N199" s="618"/>
      <c r="O199" s="618"/>
    </row>
    <row r="200" spans="1:18" ht="12.75" customHeight="1" x14ac:dyDescent="0.25">
      <c r="A200" s="618"/>
      <c r="D200" s="618"/>
      <c r="E200" s="618"/>
      <c r="F200" s="618"/>
      <c r="G200" s="618"/>
      <c r="H200" s="618"/>
      <c r="I200" s="618"/>
      <c r="J200" s="618"/>
      <c r="K200" s="618"/>
      <c r="L200" s="618"/>
      <c r="M200" s="618"/>
      <c r="N200" s="618"/>
      <c r="O200" s="618"/>
    </row>
    <row r="201" spans="1:18" ht="12.75" customHeight="1" x14ac:dyDescent="0.25">
      <c r="A201" s="780" t="s">
        <v>2</v>
      </c>
      <c r="B201" s="779" t="s">
        <v>132</v>
      </c>
      <c r="C201" s="766" t="s">
        <v>70</v>
      </c>
      <c r="D201" s="766">
        <f>D196-P196</f>
        <v>-7715664</v>
      </c>
      <c r="E201" s="766">
        <f>E192</f>
        <v>-515652.37</v>
      </c>
      <c r="F201" s="766">
        <f t="shared" ref="F201:R201" si="7">F192</f>
        <v>-290186.96000000002</v>
      </c>
      <c r="G201" s="766">
        <f t="shared" si="7"/>
        <v>-152964.71</v>
      </c>
      <c r="H201" s="766">
        <f t="shared" si="7"/>
        <v>-1792017.57</v>
      </c>
      <c r="I201" s="766">
        <f t="shared" si="7"/>
        <v>-54908.17</v>
      </c>
      <c r="J201" s="766">
        <f t="shared" si="7"/>
        <v>-481653.2</v>
      </c>
      <c r="K201" s="766">
        <f t="shared" si="7"/>
        <v>-469447.01</v>
      </c>
      <c r="L201" s="766">
        <f t="shared" si="7"/>
        <v>-2214598.7799999998</v>
      </c>
      <c r="M201" s="766">
        <f t="shared" si="7"/>
        <v>-1215498.77</v>
      </c>
      <c r="N201" s="766">
        <f t="shared" si="7"/>
        <v>-89587.5</v>
      </c>
      <c r="O201" s="766">
        <f t="shared" si="7"/>
        <v>-132.41999999999999</v>
      </c>
      <c r="P201" s="766">
        <f t="shared" si="7"/>
        <v>0</v>
      </c>
      <c r="Q201" s="766">
        <f t="shared" si="7"/>
        <v>0</v>
      </c>
      <c r="R201" s="766">
        <f t="shared" si="7"/>
        <v>0</v>
      </c>
    </row>
    <row r="202" spans="1:18" ht="12.75" customHeight="1" x14ac:dyDescent="0.25">
      <c r="A202" s="780"/>
      <c r="B202" s="779"/>
      <c r="C202" s="766" t="s">
        <v>73</v>
      </c>
      <c r="D202" s="766">
        <f>D194</f>
        <v>-439016.54</v>
      </c>
      <c r="E202" s="618"/>
      <c r="F202" s="618"/>
      <c r="G202" s="618"/>
      <c r="H202" s="618"/>
      <c r="I202" s="618"/>
      <c r="J202" s="618"/>
      <c r="K202" s="618"/>
      <c r="L202" s="618"/>
      <c r="M202" s="618"/>
      <c r="N202" s="618"/>
      <c r="O202" s="618"/>
      <c r="P202" s="618"/>
      <c r="Q202" s="618"/>
      <c r="R202" s="618"/>
    </row>
    <row r="203" spans="1:18" ht="12.75" customHeight="1" x14ac:dyDescent="0.3">
      <c r="A203" s="617"/>
      <c r="D203" s="618"/>
      <c r="E203" s="618"/>
      <c r="F203" s="618"/>
      <c r="G203" s="618"/>
      <c r="H203" s="618"/>
      <c r="I203" s="618"/>
      <c r="J203" s="618"/>
      <c r="K203" s="618"/>
      <c r="L203" s="618"/>
      <c r="M203" s="618"/>
      <c r="N203" s="618"/>
      <c r="O203" s="618"/>
      <c r="P203" s="618"/>
      <c r="Q203" s="618"/>
      <c r="R203" s="618"/>
    </row>
    <row r="204" spans="1:18" ht="12.75" customHeight="1" x14ac:dyDescent="0.25">
      <c r="A204" s="780" t="s">
        <v>160</v>
      </c>
      <c r="B204" s="779" t="s">
        <v>132</v>
      </c>
      <c r="C204" s="632" t="s">
        <v>70</v>
      </c>
      <c r="D204" s="632">
        <v>0</v>
      </c>
      <c r="E204" s="632">
        <v>0</v>
      </c>
      <c r="F204" s="632">
        <v>0</v>
      </c>
      <c r="G204" s="632">
        <v>0</v>
      </c>
      <c r="H204" s="632">
        <v>0</v>
      </c>
      <c r="I204" s="632">
        <v>0</v>
      </c>
      <c r="J204" s="632">
        <v>0</v>
      </c>
      <c r="K204" s="632">
        <v>0</v>
      </c>
      <c r="L204" s="632">
        <v>0</v>
      </c>
      <c r="M204" s="632">
        <v>0</v>
      </c>
      <c r="N204" s="632">
        <v>0</v>
      </c>
      <c r="O204" s="632">
        <v>0</v>
      </c>
      <c r="P204" s="632">
        <v>0</v>
      </c>
      <c r="Q204" s="632">
        <v>0</v>
      </c>
      <c r="R204" s="632">
        <v>0</v>
      </c>
    </row>
    <row r="205" spans="1:18" ht="12.75" customHeight="1" x14ac:dyDescent="0.25">
      <c r="A205" s="780"/>
      <c r="B205" s="779"/>
      <c r="C205" s="632" t="s">
        <v>73</v>
      </c>
      <c r="D205" s="632">
        <v>0</v>
      </c>
      <c r="E205" s="618"/>
      <c r="F205" s="618"/>
      <c r="G205" s="618"/>
      <c r="H205" s="618"/>
      <c r="I205" s="618"/>
      <c r="J205" s="618"/>
      <c r="K205" s="618"/>
      <c r="L205" s="618"/>
      <c r="M205" s="618"/>
      <c r="N205" s="618"/>
      <c r="O205" s="618"/>
      <c r="P205" s="618"/>
      <c r="Q205" s="618"/>
      <c r="R205" s="618"/>
    </row>
    <row r="206" spans="1:18" ht="12.75" customHeight="1" x14ac:dyDescent="0.3">
      <c r="A206" s="617"/>
      <c r="D206" s="618"/>
      <c r="E206" s="618"/>
      <c r="F206" s="618"/>
      <c r="G206" s="618"/>
      <c r="H206" s="618"/>
      <c r="I206" s="618"/>
      <c r="J206" s="618"/>
      <c r="K206" s="618"/>
      <c r="L206" s="618"/>
      <c r="M206" s="618"/>
      <c r="N206" s="618"/>
      <c r="O206" s="618"/>
      <c r="P206" s="618"/>
      <c r="Q206" s="618"/>
      <c r="R206" s="618"/>
    </row>
    <row r="207" spans="1:18" ht="12.75" customHeight="1" x14ac:dyDescent="0.25">
      <c r="A207" s="780" t="s">
        <v>155</v>
      </c>
      <c r="B207" s="779" t="s">
        <v>132</v>
      </c>
      <c r="C207" s="633" t="s">
        <v>70</v>
      </c>
      <c r="D207" s="633">
        <f>D195-P195</f>
        <v>-7715664</v>
      </c>
      <c r="E207" s="633">
        <f t="shared" ref="E207:R207" si="8">E192</f>
        <v>-515652.37</v>
      </c>
      <c r="F207" s="633">
        <f t="shared" si="8"/>
        <v>-290186.96000000002</v>
      </c>
      <c r="G207" s="633">
        <f t="shared" si="8"/>
        <v>-152964.71</v>
      </c>
      <c r="H207" s="633">
        <f t="shared" si="8"/>
        <v>-1792017.57</v>
      </c>
      <c r="I207" s="633">
        <f t="shared" si="8"/>
        <v>-54908.17</v>
      </c>
      <c r="J207" s="633">
        <f t="shared" si="8"/>
        <v>-481653.2</v>
      </c>
      <c r="K207" s="633">
        <f t="shared" si="8"/>
        <v>-469447.01</v>
      </c>
      <c r="L207" s="633">
        <f t="shared" si="8"/>
        <v>-2214598.7799999998</v>
      </c>
      <c r="M207" s="633">
        <f t="shared" si="8"/>
        <v>-1215498.77</v>
      </c>
      <c r="N207" s="633">
        <f t="shared" si="8"/>
        <v>-89587.5</v>
      </c>
      <c r="O207" s="633">
        <f t="shared" si="8"/>
        <v>-132.41999999999999</v>
      </c>
      <c r="P207" s="633">
        <f t="shared" si="8"/>
        <v>0</v>
      </c>
      <c r="Q207" s="633">
        <f t="shared" si="8"/>
        <v>0</v>
      </c>
      <c r="R207" s="633">
        <f t="shared" si="8"/>
        <v>0</v>
      </c>
    </row>
    <row r="208" spans="1:18" ht="12.75" customHeight="1" x14ac:dyDescent="0.25">
      <c r="A208" s="780"/>
      <c r="B208" s="779"/>
      <c r="C208" s="633" t="s">
        <v>73</v>
      </c>
      <c r="D208" s="633">
        <f>D194</f>
        <v>-439016.54</v>
      </c>
      <c r="E208" s="618"/>
      <c r="F208" s="618"/>
      <c r="G208" s="618"/>
      <c r="H208" s="618"/>
      <c r="I208" s="618"/>
      <c r="J208" s="618"/>
      <c r="K208" s="618"/>
      <c r="L208" s="618"/>
      <c r="M208" s="618"/>
      <c r="N208" s="618"/>
      <c r="O208" s="618"/>
      <c r="P208" s="618"/>
      <c r="Q208" s="618"/>
      <c r="R208" s="618"/>
    </row>
    <row r="209" spans="1:18" ht="12.75" customHeight="1" x14ac:dyDescent="0.25">
      <c r="A209" s="722"/>
      <c r="B209" s="721"/>
      <c r="C209" s="618"/>
      <c r="D209" s="618"/>
      <c r="E209" s="618"/>
      <c r="F209" s="618"/>
      <c r="G209" s="618"/>
      <c r="H209" s="618"/>
      <c r="I209" s="618"/>
      <c r="J209" s="618"/>
      <c r="K209" s="618"/>
      <c r="L209" s="618"/>
      <c r="M209" s="618"/>
      <c r="N209" s="618"/>
      <c r="O209" s="618"/>
      <c r="P209" s="618"/>
      <c r="Q209" s="618"/>
      <c r="R209" s="618"/>
    </row>
    <row r="210" spans="1:18" ht="12.75" customHeight="1" x14ac:dyDescent="0.25">
      <c r="A210" s="781" t="s">
        <v>326</v>
      </c>
      <c r="B210" s="779" t="s">
        <v>132</v>
      </c>
      <c r="C210" s="633" t="s">
        <v>70</v>
      </c>
      <c r="D210" s="720">
        <v>0</v>
      </c>
      <c r="E210" s="720">
        <v>0</v>
      </c>
      <c r="F210" s="720">
        <v>0</v>
      </c>
      <c r="G210" s="720">
        <v>0</v>
      </c>
      <c r="H210" s="720">
        <v>0</v>
      </c>
      <c r="I210" s="720">
        <v>0</v>
      </c>
      <c r="J210" s="720">
        <v>0</v>
      </c>
      <c r="K210" s="720">
        <v>0</v>
      </c>
      <c r="L210" s="720">
        <v>0</v>
      </c>
      <c r="M210" s="720">
        <v>0</v>
      </c>
      <c r="N210" s="720">
        <v>0</v>
      </c>
      <c r="O210" s="720">
        <v>0</v>
      </c>
      <c r="P210" s="720">
        <v>0</v>
      </c>
      <c r="Q210" s="720">
        <v>0</v>
      </c>
      <c r="R210" s="720">
        <v>0</v>
      </c>
    </row>
    <row r="211" spans="1:18" ht="12.75" customHeight="1" x14ac:dyDescent="0.25">
      <c r="A211" s="781"/>
      <c r="B211" s="779"/>
      <c r="C211" s="633" t="s">
        <v>73</v>
      </c>
      <c r="D211" s="720">
        <v>0</v>
      </c>
      <c r="E211" s="618"/>
      <c r="F211" s="618"/>
      <c r="G211" s="618"/>
      <c r="H211" s="618"/>
      <c r="I211" s="618"/>
      <c r="J211" s="618"/>
      <c r="K211" s="618"/>
      <c r="L211" s="618"/>
      <c r="M211" s="618"/>
      <c r="N211" s="618"/>
      <c r="O211" s="618"/>
      <c r="P211" s="618"/>
      <c r="Q211" s="618"/>
    </row>
    <row r="212" spans="1:18" ht="12.75" customHeight="1" x14ac:dyDescent="0.3">
      <c r="A212" s="617"/>
      <c r="D212" s="618"/>
      <c r="E212" s="618"/>
      <c r="F212" s="618"/>
      <c r="G212" s="618"/>
      <c r="H212" s="618"/>
      <c r="I212" s="618"/>
      <c r="J212" s="618"/>
      <c r="K212" s="618"/>
      <c r="L212" s="618"/>
      <c r="M212" s="618"/>
      <c r="N212" s="618"/>
      <c r="O212" s="618"/>
      <c r="P212" s="618"/>
      <c r="Q212" s="618"/>
      <c r="R212" s="618"/>
    </row>
    <row r="213" spans="1:18" ht="12.75" customHeight="1" x14ac:dyDescent="0.25">
      <c r="A213" s="780" t="s">
        <v>119</v>
      </c>
      <c r="B213" s="779" t="s">
        <v>132</v>
      </c>
      <c r="C213" s="628" t="s">
        <v>70</v>
      </c>
      <c r="D213" s="628">
        <v>0</v>
      </c>
      <c r="E213" s="628">
        <v>0</v>
      </c>
      <c r="F213" s="628">
        <v>0</v>
      </c>
      <c r="G213" s="628">
        <v>0</v>
      </c>
      <c r="H213" s="628">
        <v>0</v>
      </c>
      <c r="I213" s="628">
        <v>0</v>
      </c>
      <c r="J213" s="628">
        <v>0</v>
      </c>
      <c r="K213" s="628">
        <v>0</v>
      </c>
      <c r="L213" s="628">
        <v>0</v>
      </c>
      <c r="M213" s="628">
        <v>0</v>
      </c>
      <c r="N213" s="628">
        <v>0</v>
      </c>
      <c r="O213" s="628">
        <v>0</v>
      </c>
      <c r="P213" s="628">
        <v>0</v>
      </c>
      <c r="Q213" s="628">
        <v>0</v>
      </c>
      <c r="R213" s="628">
        <v>0</v>
      </c>
    </row>
    <row r="214" spans="1:18" ht="12.75" customHeight="1" x14ac:dyDescent="0.25">
      <c r="A214" s="780"/>
      <c r="B214" s="779"/>
      <c r="C214" s="628" t="s">
        <v>73</v>
      </c>
      <c r="D214" s="628">
        <v>0</v>
      </c>
      <c r="E214" s="618"/>
      <c r="F214" s="618"/>
      <c r="G214" s="618"/>
      <c r="H214" s="618"/>
      <c r="I214" s="618"/>
      <c r="J214" s="618"/>
      <c r="K214" s="618"/>
      <c r="L214" s="618"/>
      <c r="M214" s="618"/>
      <c r="N214" s="618"/>
      <c r="O214" s="618"/>
      <c r="P214" s="618"/>
      <c r="Q214" s="618"/>
      <c r="R214" s="618"/>
    </row>
    <row r="215" spans="1:18" ht="12.75" customHeight="1" x14ac:dyDescent="0.3">
      <c r="A215" s="617"/>
      <c r="D215" s="618"/>
      <c r="E215" s="618"/>
      <c r="F215" s="618"/>
      <c r="G215" s="618"/>
      <c r="H215" s="618"/>
      <c r="I215" s="618"/>
      <c r="J215" s="618"/>
      <c r="K215" s="618"/>
      <c r="L215" s="618"/>
      <c r="M215" s="618"/>
      <c r="N215" s="618"/>
      <c r="O215" s="618"/>
      <c r="P215" s="618"/>
      <c r="Q215" s="618"/>
      <c r="R215" s="618"/>
    </row>
    <row r="216" spans="1:18" ht="12.75" customHeight="1" x14ac:dyDescent="0.25">
      <c r="A216" s="778" t="s">
        <v>161</v>
      </c>
      <c r="B216" s="779" t="s">
        <v>132</v>
      </c>
      <c r="C216" s="634" t="s">
        <v>70</v>
      </c>
      <c r="D216" s="634">
        <v>0</v>
      </c>
      <c r="E216" s="634">
        <v>0</v>
      </c>
      <c r="F216" s="634">
        <v>0</v>
      </c>
      <c r="G216" s="634">
        <v>0</v>
      </c>
      <c r="H216" s="634">
        <v>0</v>
      </c>
      <c r="I216" s="634">
        <v>0</v>
      </c>
      <c r="J216" s="634">
        <v>0</v>
      </c>
      <c r="K216" s="634">
        <v>0</v>
      </c>
      <c r="L216" s="634">
        <v>0</v>
      </c>
      <c r="M216" s="634">
        <v>0</v>
      </c>
      <c r="N216" s="634">
        <v>0</v>
      </c>
      <c r="O216" s="634">
        <v>0</v>
      </c>
      <c r="P216" s="634">
        <v>0</v>
      </c>
      <c r="Q216" s="634">
        <v>0</v>
      </c>
      <c r="R216" s="634">
        <v>0</v>
      </c>
    </row>
    <row r="217" spans="1:18" ht="12.75" customHeight="1" x14ac:dyDescent="0.25">
      <c r="A217" s="778"/>
      <c r="B217" s="779"/>
      <c r="C217" s="634" t="s">
        <v>73</v>
      </c>
      <c r="D217" s="634">
        <v>0</v>
      </c>
      <c r="E217" s="618"/>
      <c r="F217" s="618"/>
      <c r="G217" s="618"/>
      <c r="H217" s="618"/>
      <c r="I217" s="618"/>
      <c r="J217" s="618"/>
      <c r="K217" s="618"/>
      <c r="L217" s="618"/>
      <c r="M217" s="618"/>
      <c r="N217" s="618"/>
      <c r="O217" s="618"/>
      <c r="P217" s="618"/>
      <c r="Q217" s="618"/>
    </row>
    <row r="218" spans="1:18" s="635" customFormat="1" x14ac:dyDescent="0.25"/>
    <row r="219" spans="1:18" ht="13" x14ac:dyDescent="0.3">
      <c r="B219" s="617" t="s">
        <v>88</v>
      </c>
    </row>
    <row r="220" spans="1:18" ht="12.75" customHeight="1" x14ac:dyDescent="0.25">
      <c r="D220" s="618" t="s">
        <v>70</v>
      </c>
      <c r="E220" s="618" t="s">
        <v>64</v>
      </c>
      <c r="F220" s="618" t="s">
        <v>65</v>
      </c>
      <c r="G220" s="619" t="s">
        <v>164</v>
      </c>
      <c r="H220" s="618" t="s">
        <v>69</v>
      </c>
      <c r="I220" s="618" t="s">
        <v>68</v>
      </c>
      <c r="J220" s="618" t="s">
        <v>66</v>
      </c>
      <c r="K220" s="618" t="s">
        <v>63</v>
      </c>
      <c r="L220" s="618" t="s">
        <v>61</v>
      </c>
      <c r="M220" s="618" t="s">
        <v>62</v>
      </c>
      <c r="N220" s="618" t="s">
        <v>67</v>
      </c>
      <c r="O220" s="618" t="s">
        <v>77</v>
      </c>
      <c r="P220" s="618" t="s">
        <v>71</v>
      </c>
      <c r="Q220" s="618" t="s">
        <v>80</v>
      </c>
      <c r="R220" s="616" t="s">
        <v>168</v>
      </c>
    </row>
    <row r="221" spans="1:18" ht="12.75" customHeight="1" x14ac:dyDescent="0.25">
      <c r="C221" s="616" t="s">
        <v>72</v>
      </c>
      <c r="D221" s="620">
        <v>-157327453.84</v>
      </c>
      <c r="E221" s="618">
        <v>-9430397.4000000004</v>
      </c>
      <c r="F221" s="618">
        <v>-5276977.1500000004</v>
      </c>
      <c r="G221" s="620">
        <v>-2791564.24</v>
      </c>
      <c r="H221" s="618">
        <v>-34817384.299999997</v>
      </c>
      <c r="I221" s="618">
        <v>-1247425.25</v>
      </c>
      <c r="J221" s="618">
        <v>-10847623.039999999</v>
      </c>
      <c r="K221" s="618">
        <v>-10796410.560000001</v>
      </c>
      <c r="L221" s="618">
        <v>-54839371.479999997</v>
      </c>
      <c r="M221" s="618">
        <v>-25201521.27</v>
      </c>
      <c r="N221" s="618">
        <v>-2032323.21</v>
      </c>
      <c r="O221" s="618">
        <v>44.06</v>
      </c>
      <c r="P221" s="618">
        <v>-46500</v>
      </c>
      <c r="Q221" s="618">
        <v>0</v>
      </c>
      <c r="R221" s="616">
        <v>0</v>
      </c>
    </row>
    <row r="222" spans="1:18" ht="12.75" customHeight="1" x14ac:dyDescent="0.25">
      <c r="C222" s="616" t="s">
        <v>81</v>
      </c>
      <c r="D222" s="620">
        <v>-8144813.9699999997</v>
      </c>
      <c r="E222" s="618">
        <v>-951923.77</v>
      </c>
      <c r="F222" s="618">
        <v>-375514.63</v>
      </c>
      <c r="G222" s="620">
        <v>-129613.08</v>
      </c>
      <c r="H222" s="618">
        <v>-1189171.04</v>
      </c>
      <c r="I222" s="618">
        <v>-52721.89</v>
      </c>
      <c r="J222" s="618">
        <v>-463859.24</v>
      </c>
      <c r="K222" s="618">
        <v>-525049.74</v>
      </c>
      <c r="L222" s="618">
        <v>-1738654.49</v>
      </c>
      <c r="M222" s="618">
        <v>-2632481.2200000002</v>
      </c>
      <c r="N222" s="618">
        <v>-86041.09</v>
      </c>
      <c r="O222" s="618">
        <v>23.23</v>
      </c>
      <c r="P222" s="618">
        <v>0</v>
      </c>
      <c r="Q222" s="618">
        <v>0</v>
      </c>
      <c r="R222" s="616">
        <v>192.99</v>
      </c>
    </row>
    <row r="223" spans="1:18" s="621" customFormat="1" ht="12.75" customHeight="1" x14ac:dyDescent="0.25">
      <c r="B223" s="622" t="s">
        <v>78</v>
      </c>
      <c r="C223" s="622" t="s">
        <v>70</v>
      </c>
      <c r="D223" s="622">
        <v>-165472267.81</v>
      </c>
      <c r="E223" s="622">
        <v>-10382321.17</v>
      </c>
      <c r="F223" s="622">
        <v>-5652491.7800000003</v>
      </c>
      <c r="G223" s="622">
        <v>-2921177.32</v>
      </c>
      <c r="H223" s="622">
        <v>-36006555.340000004</v>
      </c>
      <c r="I223" s="622">
        <v>-1300147.1399999999</v>
      </c>
      <c r="J223" s="622">
        <v>-11311482.279999999</v>
      </c>
      <c r="K223" s="622">
        <v>-11321460.300000001</v>
      </c>
      <c r="L223" s="622">
        <v>-56578025.969999999</v>
      </c>
      <c r="M223" s="622">
        <v>-27834002.489999998</v>
      </c>
      <c r="N223" s="622">
        <v>-2118364.2999999998</v>
      </c>
      <c r="O223" s="622">
        <v>67.290000000000006</v>
      </c>
      <c r="P223" s="621">
        <v>-46500</v>
      </c>
      <c r="Q223" s="622">
        <v>0</v>
      </c>
      <c r="R223" s="622">
        <v>192.99</v>
      </c>
    </row>
    <row r="224" spans="1:18" ht="12.75" customHeight="1" x14ac:dyDescent="0.25">
      <c r="C224" s="616" t="s">
        <v>73</v>
      </c>
      <c r="D224" s="620">
        <v>-2184344.85</v>
      </c>
      <c r="E224" s="618">
        <v>-1160936.6299999999</v>
      </c>
      <c r="F224" s="618">
        <v>-658002.48</v>
      </c>
      <c r="G224" s="620">
        <v>-348496.64000000001</v>
      </c>
      <c r="H224" s="618">
        <v>1038703.4</v>
      </c>
      <c r="I224" s="618">
        <v>30026.19</v>
      </c>
      <c r="J224" s="618">
        <v>266241.69</v>
      </c>
      <c r="K224" s="618">
        <v>289895.02</v>
      </c>
      <c r="L224" s="618">
        <v>1391094.3</v>
      </c>
      <c r="M224" s="618">
        <v>-3081846.4</v>
      </c>
      <c r="N224" s="618">
        <v>48976.7</v>
      </c>
      <c r="O224" s="618">
        <v>0</v>
      </c>
      <c r="P224" s="618">
        <v>0</v>
      </c>
      <c r="Q224" s="618">
        <v>0</v>
      </c>
      <c r="R224" s="616">
        <v>0</v>
      </c>
    </row>
    <row r="225" spans="1:18" s="623" customFormat="1" ht="12.75" customHeight="1" x14ac:dyDescent="0.25">
      <c r="B225" s="624" t="s">
        <v>79</v>
      </c>
      <c r="C225" s="624" t="s">
        <v>70</v>
      </c>
      <c r="D225" s="624">
        <v>-2184344.85</v>
      </c>
      <c r="E225" s="624">
        <v>-1160936.6299999999</v>
      </c>
      <c r="F225" s="624">
        <v>-658002.48</v>
      </c>
      <c r="G225" s="624">
        <v>-348496.64000000001</v>
      </c>
      <c r="H225" s="624">
        <v>1038703.4</v>
      </c>
      <c r="I225" s="624">
        <v>30026.19</v>
      </c>
      <c r="J225" s="624">
        <v>266241.69</v>
      </c>
      <c r="K225" s="624">
        <v>289895.02</v>
      </c>
      <c r="L225" s="624">
        <v>1391094.3</v>
      </c>
      <c r="M225" s="624">
        <v>-3081846.4</v>
      </c>
      <c r="N225" s="624">
        <v>48976.7</v>
      </c>
      <c r="O225" s="624">
        <v>0</v>
      </c>
      <c r="P225" s="623">
        <v>0</v>
      </c>
      <c r="Q225" s="624">
        <v>0</v>
      </c>
      <c r="R225" s="624">
        <v>0</v>
      </c>
    </row>
    <row r="226" spans="1:18" s="755" customFormat="1" ht="12.75" customHeight="1" x14ac:dyDescent="0.25">
      <c r="A226" s="755" t="s">
        <v>155</v>
      </c>
      <c r="B226" s="755" t="s">
        <v>70</v>
      </c>
      <c r="D226" s="756">
        <v>-167656612.66</v>
      </c>
      <c r="E226" s="757">
        <v>-11543257.800000001</v>
      </c>
      <c r="F226" s="757">
        <v>-6310494.2599999998</v>
      </c>
      <c r="G226" s="756">
        <v>-3269673.96</v>
      </c>
      <c r="H226" s="757">
        <v>-34967851.939999998</v>
      </c>
      <c r="I226" s="757">
        <v>-1270120.95</v>
      </c>
      <c r="J226" s="757">
        <v>-11045240.59</v>
      </c>
      <c r="K226" s="757">
        <v>-11031565.279999999</v>
      </c>
      <c r="L226" s="757">
        <v>-55186931.670000002</v>
      </c>
      <c r="M226" s="757">
        <v>-30915848.890000001</v>
      </c>
      <c r="N226" s="757">
        <v>-2069387.6</v>
      </c>
      <c r="O226" s="757">
        <v>67.290000000000006</v>
      </c>
      <c r="P226" s="757">
        <v>-46500</v>
      </c>
      <c r="Q226" s="757">
        <v>0</v>
      </c>
      <c r="R226" s="755">
        <v>192.99</v>
      </c>
    </row>
    <row r="227" spans="1:18" ht="12.75" customHeight="1" x14ac:dyDescent="0.25">
      <c r="C227" s="616" t="s">
        <v>72</v>
      </c>
      <c r="D227" s="620">
        <v>-1724959.39</v>
      </c>
      <c r="E227" s="618">
        <v>-91259.53</v>
      </c>
      <c r="F227" s="618">
        <v>-48435.24</v>
      </c>
      <c r="G227" s="620">
        <v>-27909.759999999998</v>
      </c>
      <c r="H227" s="618">
        <v>-408389.88</v>
      </c>
      <c r="I227" s="618">
        <v>-10429.99</v>
      </c>
      <c r="J227" s="618">
        <v>-91492.5</v>
      </c>
      <c r="K227" s="618">
        <v>-129303.36</v>
      </c>
      <c r="L227" s="618">
        <v>-657960.06000000006</v>
      </c>
      <c r="M227" s="618">
        <v>-242752.42</v>
      </c>
      <c r="N227" s="618">
        <v>-17017.52</v>
      </c>
      <c r="O227" s="618">
        <v>-9.1300000000000008</v>
      </c>
      <c r="P227" s="618">
        <v>0</v>
      </c>
      <c r="Q227" s="618">
        <v>0</v>
      </c>
      <c r="R227" s="616">
        <v>0</v>
      </c>
    </row>
    <row r="228" spans="1:18" ht="12.75" customHeight="1" x14ac:dyDescent="0.25">
      <c r="C228" s="616" t="s">
        <v>81</v>
      </c>
      <c r="D228" s="620">
        <v>-337.76</v>
      </c>
      <c r="E228" s="618">
        <v>-15.23</v>
      </c>
      <c r="F228" s="618">
        <v>-6.99</v>
      </c>
      <c r="G228" s="620">
        <v>-3.86</v>
      </c>
      <c r="H228" s="618">
        <v>-94.08</v>
      </c>
      <c r="I228" s="618">
        <v>-2.3199999999999998</v>
      </c>
      <c r="J228" s="618">
        <v>-20.260000000000002</v>
      </c>
      <c r="K228" s="618">
        <v>-25.24</v>
      </c>
      <c r="L228" s="618">
        <v>-124.85</v>
      </c>
      <c r="M228" s="618">
        <v>-41.16</v>
      </c>
      <c r="N228" s="618">
        <v>-3.77</v>
      </c>
      <c r="O228" s="618">
        <v>0</v>
      </c>
      <c r="P228" s="618">
        <v>0</v>
      </c>
      <c r="Q228" s="618">
        <v>0</v>
      </c>
      <c r="R228" s="616">
        <v>0</v>
      </c>
    </row>
    <row r="229" spans="1:18" s="621" customFormat="1" ht="12.75" customHeight="1" x14ac:dyDescent="0.25">
      <c r="B229" s="622" t="s">
        <v>78</v>
      </c>
      <c r="C229" s="622" t="s">
        <v>70</v>
      </c>
      <c r="D229" s="622">
        <v>-1725297.15</v>
      </c>
      <c r="E229" s="622">
        <v>-91274.76</v>
      </c>
      <c r="F229" s="622">
        <v>-48442.23</v>
      </c>
      <c r="G229" s="622">
        <v>-27913.62</v>
      </c>
      <c r="H229" s="622">
        <v>-408483.96</v>
      </c>
      <c r="I229" s="622">
        <v>-10432.31</v>
      </c>
      <c r="J229" s="622">
        <v>-91512.76</v>
      </c>
      <c r="K229" s="622">
        <v>-129328.6</v>
      </c>
      <c r="L229" s="622">
        <v>-658084.91</v>
      </c>
      <c r="M229" s="622">
        <v>-242793.58</v>
      </c>
      <c r="N229" s="622">
        <v>-17021.29</v>
      </c>
      <c r="O229" s="622">
        <v>-9.1300000000000008</v>
      </c>
      <c r="P229" s="621">
        <v>0</v>
      </c>
      <c r="Q229" s="622">
        <v>0</v>
      </c>
      <c r="R229" s="622">
        <v>0</v>
      </c>
    </row>
    <row r="230" spans="1:18" ht="12.75" customHeight="1" x14ac:dyDescent="0.25">
      <c r="C230" s="616" t="s">
        <v>73</v>
      </c>
      <c r="D230" s="620">
        <v>161137.15</v>
      </c>
      <c r="E230" s="618">
        <v>3670.4</v>
      </c>
      <c r="F230" s="618">
        <v>2105.69</v>
      </c>
      <c r="G230" s="620">
        <v>1208.53</v>
      </c>
      <c r="H230" s="618">
        <v>43532.95</v>
      </c>
      <c r="I230" s="618">
        <v>1149.26</v>
      </c>
      <c r="J230" s="618">
        <v>10081.39</v>
      </c>
      <c r="K230" s="618">
        <v>14348.69</v>
      </c>
      <c r="L230" s="618">
        <v>73395.61</v>
      </c>
      <c r="M230" s="618">
        <v>9769.58</v>
      </c>
      <c r="N230" s="618">
        <v>1875.05</v>
      </c>
      <c r="O230" s="618">
        <v>0</v>
      </c>
      <c r="P230" s="618">
        <v>0</v>
      </c>
      <c r="Q230" s="618">
        <v>0</v>
      </c>
      <c r="R230" s="616">
        <v>0</v>
      </c>
    </row>
    <row r="231" spans="1:18" s="623" customFormat="1" ht="12.75" customHeight="1" x14ac:dyDescent="0.25">
      <c r="B231" s="624" t="s">
        <v>79</v>
      </c>
      <c r="C231" s="624" t="s">
        <v>70</v>
      </c>
      <c r="D231" s="624">
        <v>161137.15</v>
      </c>
      <c r="E231" s="624">
        <v>3670.4</v>
      </c>
      <c r="F231" s="624">
        <v>2105.69</v>
      </c>
      <c r="G231" s="624">
        <v>1208.53</v>
      </c>
      <c r="H231" s="624">
        <v>43532.95</v>
      </c>
      <c r="I231" s="624">
        <v>1149.26</v>
      </c>
      <c r="J231" s="624">
        <v>10081.39</v>
      </c>
      <c r="K231" s="624">
        <v>14348.69</v>
      </c>
      <c r="L231" s="624">
        <v>73395.61</v>
      </c>
      <c r="M231" s="624">
        <v>9769.58</v>
      </c>
      <c r="N231" s="624">
        <v>1875.05</v>
      </c>
      <c r="O231" s="624">
        <v>0</v>
      </c>
      <c r="P231" s="623">
        <v>0</v>
      </c>
      <c r="Q231" s="624">
        <v>0</v>
      </c>
      <c r="R231" s="624">
        <v>0</v>
      </c>
    </row>
    <row r="232" spans="1:18" s="763" customFormat="1" ht="12.75" customHeight="1" x14ac:dyDescent="0.25">
      <c r="A232" s="763" t="s">
        <v>120</v>
      </c>
      <c r="B232" s="763" t="s">
        <v>70</v>
      </c>
      <c r="D232" s="765">
        <v>-1564160</v>
      </c>
      <c r="E232" s="764">
        <v>-87604.36</v>
      </c>
      <c r="F232" s="764">
        <v>-46336.54</v>
      </c>
      <c r="G232" s="765">
        <v>-26705.09</v>
      </c>
      <c r="H232" s="764">
        <v>-364951.01</v>
      </c>
      <c r="I232" s="764">
        <v>-9283.0499999999993</v>
      </c>
      <c r="J232" s="764">
        <v>-81431.37</v>
      </c>
      <c r="K232" s="764">
        <v>-114979.91</v>
      </c>
      <c r="L232" s="764">
        <v>-584689.30000000005</v>
      </c>
      <c r="M232" s="764">
        <v>-233024</v>
      </c>
      <c r="N232" s="764">
        <v>-15146.24</v>
      </c>
      <c r="O232" s="764">
        <v>-9.1300000000000008</v>
      </c>
      <c r="P232" s="764">
        <v>0</v>
      </c>
      <c r="Q232" s="764">
        <v>0</v>
      </c>
      <c r="R232" s="763">
        <v>0</v>
      </c>
    </row>
    <row r="233" spans="1:18" ht="12.75" customHeight="1" x14ac:dyDescent="0.25">
      <c r="C233" s="616" t="s">
        <v>72</v>
      </c>
      <c r="D233" s="620">
        <v>-10100249.84</v>
      </c>
      <c r="E233" s="618">
        <v>-607294.85</v>
      </c>
      <c r="F233" s="618">
        <v>-326671.62</v>
      </c>
      <c r="G233" s="620">
        <v>-172683.09</v>
      </c>
      <c r="H233" s="618">
        <v>-2111900.7799999998</v>
      </c>
      <c r="I233" s="618">
        <v>-70330.78</v>
      </c>
      <c r="J233" s="618">
        <v>-637400.48</v>
      </c>
      <c r="K233" s="618">
        <v>-763863.09</v>
      </c>
      <c r="L233" s="618">
        <v>-3673670.2</v>
      </c>
      <c r="M233" s="618">
        <v>-1615156.58</v>
      </c>
      <c r="N233" s="618">
        <v>-117847.03</v>
      </c>
      <c r="O233" s="618">
        <v>-30.9</v>
      </c>
      <c r="P233" s="618">
        <v>-3400.44</v>
      </c>
      <c r="Q233" s="618">
        <v>0</v>
      </c>
      <c r="R233" s="616">
        <v>0</v>
      </c>
    </row>
    <row r="234" spans="1:18" ht="12.75" customHeight="1" x14ac:dyDescent="0.25">
      <c r="C234" s="616" t="s">
        <v>81</v>
      </c>
      <c r="D234" s="620">
        <v>-397350.61</v>
      </c>
      <c r="E234" s="618">
        <v>-33893.040000000001</v>
      </c>
      <c r="F234" s="618">
        <v>-16136.18</v>
      </c>
      <c r="G234" s="620">
        <v>-6879.74</v>
      </c>
      <c r="H234" s="618">
        <v>-82482.34</v>
      </c>
      <c r="I234" s="618">
        <v>-2952.82</v>
      </c>
      <c r="J234" s="618">
        <v>-25776.6</v>
      </c>
      <c r="K234" s="618">
        <v>-32756.7</v>
      </c>
      <c r="L234" s="618">
        <v>-104055.6</v>
      </c>
      <c r="M234" s="618">
        <v>-87594.34</v>
      </c>
      <c r="N234" s="618">
        <v>-4823.72</v>
      </c>
      <c r="O234" s="618">
        <v>0.71</v>
      </c>
      <c r="P234" s="618">
        <v>0</v>
      </c>
      <c r="Q234" s="618">
        <v>0</v>
      </c>
      <c r="R234" s="616">
        <v>-0.24</v>
      </c>
    </row>
    <row r="235" spans="1:18" s="621" customFormat="1" ht="12.75" customHeight="1" x14ac:dyDescent="0.25">
      <c r="B235" s="622" t="s">
        <v>78</v>
      </c>
      <c r="C235" s="622" t="s">
        <v>70</v>
      </c>
      <c r="D235" s="622">
        <v>-10497600.449999999</v>
      </c>
      <c r="E235" s="622">
        <v>-641187.89</v>
      </c>
      <c r="F235" s="622">
        <v>-342807.8</v>
      </c>
      <c r="G235" s="622">
        <v>-179562.83</v>
      </c>
      <c r="H235" s="622">
        <v>-2194383.12</v>
      </c>
      <c r="I235" s="622">
        <v>-73283.600000000006</v>
      </c>
      <c r="J235" s="622">
        <v>-663177.07999999996</v>
      </c>
      <c r="K235" s="622">
        <v>-796619.79</v>
      </c>
      <c r="L235" s="622">
        <v>-3777725.8</v>
      </c>
      <c r="M235" s="622">
        <v>-1702750.92</v>
      </c>
      <c r="N235" s="622">
        <v>-122670.75</v>
      </c>
      <c r="O235" s="622">
        <v>-30.19</v>
      </c>
      <c r="P235" s="621">
        <v>-3400.44</v>
      </c>
      <c r="Q235" s="622">
        <v>0</v>
      </c>
      <c r="R235" s="622">
        <v>-0.24</v>
      </c>
    </row>
    <row r="236" spans="1:18" ht="12.75" customHeight="1" x14ac:dyDescent="0.25">
      <c r="C236" s="616" t="s">
        <v>73</v>
      </c>
      <c r="D236" s="618">
        <v>1098663.58</v>
      </c>
      <c r="E236" s="618">
        <v>30030.42</v>
      </c>
      <c r="F236" s="618">
        <v>18785.990000000002</v>
      </c>
      <c r="G236" s="620">
        <v>9703.94</v>
      </c>
      <c r="H236" s="618">
        <v>301708.71999999997</v>
      </c>
      <c r="I236" s="618">
        <v>10087.81</v>
      </c>
      <c r="J236" s="618">
        <v>88465.97</v>
      </c>
      <c r="K236" s="618">
        <v>90031.21</v>
      </c>
      <c r="L236" s="618">
        <v>452691.34</v>
      </c>
      <c r="M236" s="618">
        <v>80706.350000000006</v>
      </c>
      <c r="N236" s="618">
        <v>16451.830000000002</v>
      </c>
      <c r="O236" s="618">
        <v>0</v>
      </c>
      <c r="P236" s="618">
        <v>0</v>
      </c>
      <c r="Q236" s="618">
        <v>0</v>
      </c>
      <c r="R236" s="616">
        <v>0</v>
      </c>
    </row>
    <row r="237" spans="1:18" s="623" customFormat="1" ht="12.75" customHeight="1" x14ac:dyDescent="0.25">
      <c r="B237" s="624" t="s">
        <v>79</v>
      </c>
      <c r="C237" s="624" t="s">
        <v>70</v>
      </c>
      <c r="D237" s="624">
        <v>1098663.58</v>
      </c>
      <c r="E237" s="624">
        <v>30030.42</v>
      </c>
      <c r="F237" s="624">
        <v>18785.990000000002</v>
      </c>
      <c r="G237" s="624">
        <v>9703.94</v>
      </c>
      <c r="H237" s="624">
        <v>301708.71999999997</v>
      </c>
      <c r="I237" s="624">
        <v>10087.81</v>
      </c>
      <c r="J237" s="624">
        <v>88465.97</v>
      </c>
      <c r="K237" s="624">
        <v>90031.21</v>
      </c>
      <c r="L237" s="624">
        <v>452691.34</v>
      </c>
      <c r="M237" s="624">
        <v>80706.350000000006</v>
      </c>
      <c r="N237" s="624">
        <v>16451.830000000002</v>
      </c>
      <c r="O237" s="624">
        <v>0</v>
      </c>
      <c r="P237" s="623">
        <v>0</v>
      </c>
      <c r="Q237" s="624">
        <v>0</v>
      </c>
      <c r="R237" s="624">
        <v>0</v>
      </c>
    </row>
    <row r="238" spans="1:18" s="754" customFormat="1" ht="12.75" customHeight="1" x14ac:dyDescent="0.25">
      <c r="A238" s="754" t="s">
        <v>119</v>
      </c>
      <c r="B238" s="628" t="s">
        <v>70</v>
      </c>
      <c r="C238" s="628"/>
      <c r="D238" s="628">
        <v>-9398936.8699999992</v>
      </c>
      <c r="E238" s="628">
        <v>-611157.47</v>
      </c>
      <c r="F238" s="628">
        <v>-324021.81</v>
      </c>
      <c r="G238" s="628">
        <v>-169858.89</v>
      </c>
      <c r="H238" s="628">
        <v>-1892674.4</v>
      </c>
      <c r="I238" s="628">
        <v>-63195.79</v>
      </c>
      <c r="J238" s="628">
        <v>-574711.11</v>
      </c>
      <c r="K238" s="628">
        <v>-706588.58</v>
      </c>
      <c r="L238" s="628">
        <v>-3325034.46</v>
      </c>
      <c r="M238" s="628">
        <v>-1622044.57</v>
      </c>
      <c r="N238" s="628">
        <v>-106218.92</v>
      </c>
      <c r="O238" s="628">
        <v>-30.19</v>
      </c>
      <c r="P238" s="754">
        <v>-3400.44</v>
      </c>
      <c r="Q238" s="628">
        <v>0</v>
      </c>
      <c r="R238" s="628">
        <v>-0.24</v>
      </c>
    </row>
    <row r="239" spans="1:18" s="631" customFormat="1" ht="12.75" customHeight="1" x14ac:dyDescent="0.25">
      <c r="A239" s="630" t="s">
        <v>70</v>
      </c>
      <c r="D239" s="630">
        <v>-178619709.53</v>
      </c>
      <c r="E239" s="630">
        <v>-12242019.630000001</v>
      </c>
      <c r="F239" s="630">
        <v>-6680852.6100000003</v>
      </c>
      <c r="G239" s="630">
        <v>-3466237.94</v>
      </c>
      <c r="H239" s="630">
        <v>-37225477.350000001</v>
      </c>
      <c r="I239" s="630">
        <v>-1342599.79</v>
      </c>
      <c r="J239" s="630">
        <v>-11701383.07</v>
      </c>
      <c r="K239" s="630">
        <v>-11853133.77</v>
      </c>
      <c r="L239" s="630">
        <v>-59096655.43</v>
      </c>
      <c r="M239" s="630">
        <v>-32770917.460000001</v>
      </c>
      <c r="N239" s="630">
        <v>-2190752.7599999998</v>
      </c>
      <c r="O239" s="630">
        <v>27.97</v>
      </c>
      <c r="P239" s="631">
        <v>-49900.44</v>
      </c>
      <c r="Q239" s="631">
        <v>0</v>
      </c>
      <c r="R239" s="631">
        <v>192.75</v>
      </c>
    </row>
    <row r="240" spans="1:18" ht="12.75" customHeight="1" x14ac:dyDescent="0.25">
      <c r="A240" s="618"/>
      <c r="B240" s="618"/>
      <c r="D240" s="618"/>
      <c r="E240" s="618"/>
      <c r="F240" s="618"/>
      <c r="G240" s="618"/>
      <c r="H240" s="618"/>
      <c r="I240" s="618"/>
      <c r="J240" s="618"/>
      <c r="K240" s="618"/>
      <c r="L240" s="618"/>
      <c r="M240" s="618"/>
      <c r="N240" s="618"/>
      <c r="O240" s="618"/>
    </row>
    <row r="241" spans="1:15" ht="12.75" customHeight="1" x14ac:dyDescent="0.25">
      <c r="A241" s="618"/>
      <c r="D241" s="618"/>
      <c r="E241" s="618"/>
      <c r="F241" s="618"/>
      <c r="G241" s="618"/>
      <c r="H241" s="618"/>
      <c r="I241" s="618"/>
      <c r="J241" s="618"/>
      <c r="K241" s="618"/>
      <c r="L241" s="618"/>
      <c r="M241" s="618"/>
      <c r="N241" s="618"/>
      <c r="O241" s="618"/>
    </row>
    <row r="242" spans="1:15" ht="12.75" customHeight="1" x14ac:dyDescent="0.25">
      <c r="B242" s="618"/>
      <c r="C242" s="618"/>
      <c r="D242" s="618"/>
      <c r="E242" s="618"/>
      <c r="F242" s="618"/>
      <c r="G242" s="618"/>
      <c r="H242" s="618"/>
      <c r="I242" s="618"/>
      <c r="J242" s="618"/>
      <c r="K242" s="618"/>
      <c r="L242" s="618"/>
      <c r="M242" s="618"/>
      <c r="N242" s="618"/>
      <c r="O242" s="618"/>
    </row>
    <row r="243" spans="1:15" ht="12.75" hidden="1" customHeight="1" x14ac:dyDescent="0.25">
      <c r="B243" s="618"/>
      <c r="C243" s="618"/>
      <c r="D243" s="618"/>
      <c r="E243" s="618"/>
      <c r="F243" s="618"/>
      <c r="G243" s="618"/>
      <c r="H243" s="618"/>
      <c r="I243" s="618"/>
      <c r="J243" s="618"/>
      <c r="K243" s="618"/>
      <c r="L243" s="618"/>
      <c r="M243" s="618"/>
      <c r="N243" s="618"/>
      <c r="O243" s="618"/>
    </row>
    <row r="244" spans="1:15" ht="12.75" hidden="1" customHeight="1" x14ac:dyDescent="0.25">
      <c r="B244" s="618"/>
      <c r="C244" s="618"/>
      <c r="D244" s="618"/>
      <c r="E244" s="618"/>
      <c r="F244" s="618"/>
      <c r="G244" s="618"/>
      <c r="H244" s="618"/>
      <c r="I244" s="618"/>
      <c r="J244" s="618"/>
      <c r="K244" s="618"/>
      <c r="L244" s="618"/>
      <c r="M244" s="618"/>
      <c r="N244" s="618"/>
      <c r="O244" s="618"/>
    </row>
    <row r="245" spans="1:15" ht="12.75" hidden="1" customHeight="1" x14ac:dyDescent="0.25">
      <c r="B245" s="618"/>
      <c r="C245" s="618"/>
      <c r="D245" s="618"/>
      <c r="E245" s="618"/>
      <c r="F245" s="618"/>
      <c r="G245" s="618"/>
      <c r="H245" s="618"/>
      <c r="I245" s="618"/>
      <c r="J245" s="618"/>
      <c r="K245" s="618"/>
      <c r="L245" s="618"/>
      <c r="M245" s="618"/>
      <c r="N245" s="618"/>
      <c r="O245" s="618"/>
    </row>
    <row r="246" spans="1:15" ht="12.75" hidden="1" customHeight="1" x14ac:dyDescent="0.25">
      <c r="B246" s="618"/>
      <c r="C246" s="618"/>
      <c r="D246" s="618"/>
      <c r="E246" s="618"/>
      <c r="F246" s="618"/>
      <c r="G246" s="618"/>
      <c r="H246" s="618"/>
      <c r="I246" s="618"/>
      <c r="J246" s="618"/>
      <c r="K246" s="618"/>
      <c r="L246" s="618"/>
      <c r="M246" s="618"/>
      <c r="N246" s="618"/>
      <c r="O246" s="618"/>
    </row>
    <row r="247" spans="1:15" ht="12.75" hidden="1" customHeight="1" x14ac:dyDescent="0.25">
      <c r="B247" s="618"/>
      <c r="C247" s="618"/>
      <c r="D247" s="618"/>
      <c r="E247" s="618"/>
      <c r="F247" s="618"/>
      <c r="G247" s="618"/>
      <c r="H247" s="618"/>
      <c r="I247" s="618"/>
      <c r="J247" s="618"/>
      <c r="K247" s="618"/>
      <c r="L247" s="618"/>
      <c r="M247" s="618"/>
      <c r="N247" s="618"/>
      <c r="O247" s="618"/>
    </row>
    <row r="248" spans="1:15" ht="12.75" hidden="1" customHeight="1" x14ac:dyDescent="0.25">
      <c r="B248" s="618"/>
      <c r="C248" s="618"/>
      <c r="D248" s="618"/>
      <c r="E248" s="618"/>
      <c r="F248" s="618"/>
      <c r="G248" s="618"/>
      <c r="H248" s="618"/>
      <c r="I248" s="618"/>
      <c r="J248" s="618"/>
      <c r="K248" s="618"/>
      <c r="L248" s="618"/>
      <c r="M248" s="618"/>
      <c r="N248" s="618"/>
      <c r="O248" s="618"/>
    </row>
    <row r="249" spans="1:15" ht="12.75" hidden="1" customHeight="1" x14ac:dyDescent="0.25">
      <c r="B249" s="618"/>
      <c r="C249" s="618"/>
      <c r="D249" s="618"/>
      <c r="E249" s="618"/>
      <c r="F249" s="618"/>
      <c r="G249" s="618"/>
      <c r="H249" s="618"/>
      <c r="I249" s="618"/>
      <c r="J249" s="618"/>
      <c r="K249" s="618"/>
      <c r="L249" s="618"/>
      <c r="M249" s="618"/>
      <c r="N249" s="618"/>
      <c r="O249" s="618"/>
    </row>
    <row r="250" spans="1:15" ht="12.75" hidden="1" customHeight="1" x14ac:dyDescent="0.25">
      <c r="B250" s="618"/>
      <c r="C250" s="618"/>
      <c r="D250" s="618"/>
      <c r="E250" s="618"/>
      <c r="F250" s="618"/>
      <c r="G250" s="618"/>
      <c r="H250" s="618"/>
      <c r="I250" s="618"/>
      <c r="J250" s="618"/>
      <c r="K250" s="618"/>
      <c r="L250" s="618"/>
      <c r="M250" s="618"/>
      <c r="N250" s="618"/>
      <c r="O250" s="618"/>
    </row>
    <row r="251" spans="1:15" ht="12.75" hidden="1" customHeight="1" x14ac:dyDescent="0.25">
      <c r="B251" s="618"/>
      <c r="C251" s="618"/>
      <c r="D251" s="618"/>
      <c r="E251" s="618"/>
      <c r="F251" s="618"/>
      <c r="G251" s="618"/>
      <c r="H251" s="618"/>
      <c r="I251" s="618"/>
      <c r="J251" s="618"/>
      <c r="K251" s="618"/>
      <c r="L251" s="618"/>
      <c r="M251" s="618"/>
      <c r="N251" s="618"/>
      <c r="O251" s="618"/>
    </row>
    <row r="252" spans="1:15" ht="12.75" hidden="1" customHeight="1" x14ac:dyDescent="0.25">
      <c r="B252" s="618"/>
      <c r="C252" s="618"/>
      <c r="D252" s="618"/>
      <c r="E252" s="618"/>
      <c r="F252" s="618"/>
      <c r="G252" s="618"/>
      <c r="H252" s="618"/>
      <c r="I252" s="618"/>
      <c r="J252" s="618"/>
      <c r="K252" s="618"/>
      <c r="L252" s="618"/>
      <c r="M252" s="618"/>
      <c r="N252" s="618"/>
      <c r="O252" s="618"/>
    </row>
    <row r="253" spans="1:15" ht="12.75" hidden="1" customHeight="1" x14ac:dyDescent="0.25">
      <c r="B253" s="618"/>
      <c r="C253" s="618"/>
      <c r="D253" s="618"/>
      <c r="E253" s="618"/>
      <c r="F253" s="618"/>
      <c r="G253" s="618"/>
      <c r="H253" s="618"/>
      <c r="I253" s="618"/>
      <c r="J253" s="618"/>
      <c r="K253" s="618"/>
      <c r="L253" s="618"/>
      <c r="M253" s="618"/>
      <c r="N253" s="618"/>
      <c r="O253" s="618"/>
    </row>
    <row r="254" spans="1:15" ht="12.75" hidden="1" customHeight="1" x14ac:dyDescent="0.25">
      <c r="B254" s="618"/>
      <c r="C254" s="618"/>
      <c r="D254" s="618"/>
      <c r="E254" s="618"/>
      <c r="F254" s="618"/>
      <c r="G254" s="618"/>
      <c r="H254" s="618"/>
      <c r="I254" s="618"/>
      <c r="J254" s="618"/>
      <c r="K254" s="618"/>
      <c r="L254" s="618"/>
      <c r="M254" s="618"/>
      <c r="N254" s="618"/>
      <c r="O254" s="618"/>
    </row>
    <row r="255" spans="1:15" ht="12.75" hidden="1" customHeight="1" x14ac:dyDescent="0.25">
      <c r="B255" s="618"/>
      <c r="C255" s="618"/>
      <c r="D255" s="618"/>
      <c r="E255" s="618"/>
      <c r="F255" s="618"/>
      <c r="G255" s="618"/>
      <c r="H255" s="618"/>
      <c r="I255" s="618"/>
      <c r="J255" s="618"/>
      <c r="K255" s="618"/>
      <c r="L255" s="618"/>
      <c r="M255" s="618"/>
      <c r="N255" s="618"/>
      <c r="O255" s="618"/>
    </row>
    <row r="256" spans="1:15" ht="12.75" hidden="1" customHeight="1" x14ac:dyDescent="0.25">
      <c r="B256" s="618"/>
      <c r="C256" s="618"/>
      <c r="D256" s="618"/>
      <c r="E256" s="618"/>
      <c r="F256" s="618"/>
      <c r="G256" s="618"/>
      <c r="H256" s="618"/>
      <c r="I256" s="618"/>
      <c r="J256" s="618"/>
      <c r="K256" s="618"/>
      <c r="L256" s="618"/>
      <c r="M256" s="618"/>
      <c r="N256" s="618"/>
      <c r="O256" s="618"/>
    </row>
    <row r="257" spans="2:15" ht="12.75" hidden="1" customHeight="1" x14ac:dyDescent="0.25">
      <c r="B257" s="618"/>
      <c r="C257" s="618"/>
      <c r="D257" s="618"/>
      <c r="E257" s="618"/>
      <c r="F257" s="618"/>
      <c r="G257" s="618"/>
      <c r="H257" s="618"/>
      <c r="I257" s="618"/>
      <c r="J257" s="618"/>
      <c r="K257" s="618"/>
      <c r="L257" s="618"/>
      <c r="M257" s="618"/>
      <c r="N257" s="618"/>
      <c r="O257" s="618"/>
    </row>
    <row r="258" spans="2:15" ht="12.75" hidden="1" customHeight="1" x14ac:dyDescent="0.25">
      <c r="B258" s="618"/>
      <c r="C258" s="618"/>
      <c r="D258" s="618"/>
      <c r="E258" s="618"/>
      <c r="F258" s="618"/>
      <c r="G258" s="618"/>
      <c r="H258" s="618"/>
      <c r="I258" s="618"/>
      <c r="J258" s="618"/>
      <c r="K258" s="618"/>
      <c r="L258" s="618"/>
      <c r="M258" s="618"/>
      <c r="N258" s="618"/>
      <c r="O258" s="618"/>
    </row>
    <row r="259" spans="2:15" ht="12.75" hidden="1" customHeight="1" x14ac:dyDescent="0.25">
      <c r="B259" s="618"/>
      <c r="C259" s="618"/>
      <c r="D259" s="618"/>
      <c r="E259" s="618"/>
      <c r="F259" s="618"/>
      <c r="G259" s="618"/>
      <c r="H259" s="618"/>
      <c r="I259" s="618"/>
      <c r="J259" s="618"/>
      <c r="K259" s="618"/>
      <c r="L259" s="618"/>
      <c r="M259" s="618"/>
      <c r="N259" s="618"/>
      <c r="O259" s="618"/>
    </row>
    <row r="260" spans="2:15" ht="12.75" hidden="1" customHeight="1" x14ac:dyDescent="0.25"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</row>
    <row r="261" spans="2:15" ht="12.75" hidden="1" customHeight="1" x14ac:dyDescent="0.25">
      <c r="B261" s="618"/>
      <c r="C261" s="618"/>
      <c r="D261" s="618"/>
      <c r="E261" s="618"/>
      <c r="F261" s="618"/>
      <c r="G261" s="618"/>
      <c r="H261" s="618"/>
      <c r="I261" s="618"/>
      <c r="J261" s="618"/>
      <c r="K261" s="618"/>
      <c r="L261" s="618"/>
      <c r="M261" s="618"/>
      <c r="N261" s="618"/>
      <c r="O261" s="618"/>
    </row>
    <row r="262" spans="2:15" ht="12.75" hidden="1" customHeight="1" x14ac:dyDescent="0.25"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</row>
    <row r="263" spans="2:15" ht="12.75" hidden="1" customHeight="1" x14ac:dyDescent="0.25">
      <c r="B263" s="618"/>
      <c r="C263" s="618"/>
      <c r="D263" s="618"/>
      <c r="E263" s="618"/>
      <c r="F263" s="618"/>
      <c r="G263" s="618"/>
      <c r="H263" s="618"/>
      <c r="I263" s="618"/>
      <c r="J263" s="618"/>
      <c r="K263" s="618"/>
      <c r="L263" s="618"/>
      <c r="M263" s="618"/>
      <c r="N263" s="618"/>
      <c r="O263" s="618"/>
    </row>
    <row r="264" spans="2:15" ht="12.75" hidden="1" customHeight="1" x14ac:dyDescent="0.25">
      <c r="B264" s="618"/>
      <c r="C264" s="618"/>
      <c r="D264" s="618"/>
      <c r="E264" s="618"/>
      <c r="F264" s="618"/>
      <c r="G264" s="618"/>
      <c r="H264" s="618"/>
      <c r="I264" s="618"/>
      <c r="J264" s="618"/>
      <c r="K264" s="618"/>
      <c r="L264" s="618"/>
      <c r="M264" s="618"/>
      <c r="N264" s="618"/>
      <c r="O264" s="618"/>
    </row>
    <row r="265" spans="2:15" ht="12.75" hidden="1" customHeight="1" x14ac:dyDescent="0.25">
      <c r="B265" s="618"/>
      <c r="C265" s="618"/>
      <c r="D265" s="618"/>
      <c r="E265" s="618"/>
      <c r="F265" s="618"/>
      <c r="G265" s="618"/>
      <c r="H265" s="618"/>
      <c r="I265" s="618"/>
      <c r="J265" s="618"/>
      <c r="K265" s="618"/>
      <c r="L265" s="618"/>
      <c r="M265" s="618"/>
      <c r="N265" s="618"/>
      <c r="O265" s="618"/>
    </row>
    <row r="266" spans="2:15" ht="12.75" hidden="1" customHeight="1" x14ac:dyDescent="0.25">
      <c r="B266" s="618"/>
      <c r="C266" s="618"/>
      <c r="D266" s="618"/>
      <c r="E266" s="618"/>
      <c r="F266" s="618"/>
      <c r="G266" s="618"/>
      <c r="H266" s="618"/>
      <c r="I266" s="618"/>
      <c r="J266" s="618"/>
      <c r="K266" s="618"/>
      <c r="L266" s="618"/>
      <c r="M266" s="618"/>
      <c r="N266" s="618"/>
      <c r="O266" s="618"/>
    </row>
    <row r="267" spans="2:15" ht="12.75" hidden="1" customHeight="1" x14ac:dyDescent="0.25">
      <c r="B267" s="618"/>
      <c r="C267" s="618"/>
      <c r="D267" s="618"/>
      <c r="E267" s="618"/>
      <c r="F267" s="618"/>
      <c r="G267" s="618"/>
      <c r="H267" s="618"/>
      <c r="I267" s="618"/>
      <c r="J267" s="618"/>
      <c r="K267" s="618"/>
      <c r="L267" s="618"/>
      <c r="M267" s="618"/>
      <c r="N267" s="618"/>
      <c r="O267" s="618"/>
    </row>
    <row r="268" spans="2:15" ht="12.75" hidden="1" customHeight="1" x14ac:dyDescent="0.25">
      <c r="B268" s="618"/>
      <c r="C268" s="618"/>
      <c r="D268" s="618"/>
      <c r="E268" s="618"/>
      <c r="F268" s="618"/>
      <c r="G268" s="618"/>
      <c r="H268" s="618"/>
      <c r="I268" s="618"/>
      <c r="J268" s="618"/>
      <c r="K268" s="618"/>
      <c r="L268" s="618"/>
      <c r="M268" s="618"/>
      <c r="N268" s="618"/>
      <c r="O268" s="618"/>
    </row>
    <row r="269" spans="2:15" ht="12.75" hidden="1" customHeight="1" x14ac:dyDescent="0.25"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</row>
    <row r="270" spans="2:15" ht="12.75" hidden="1" customHeight="1" x14ac:dyDescent="0.25"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</row>
    <row r="271" spans="2:15" ht="12.75" hidden="1" customHeight="1" x14ac:dyDescent="0.25">
      <c r="B271" s="618"/>
      <c r="C271" s="618"/>
      <c r="D271" s="618"/>
      <c r="E271" s="618"/>
      <c r="F271" s="618"/>
      <c r="G271" s="618"/>
      <c r="H271" s="618"/>
      <c r="I271" s="618"/>
      <c r="J271" s="618"/>
      <c r="K271" s="618"/>
      <c r="L271" s="618"/>
      <c r="M271" s="618"/>
      <c r="N271" s="618"/>
      <c r="O271" s="618"/>
    </row>
    <row r="272" spans="2:15" ht="12.75" hidden="1" customHeight="1" x14ac:dyDescent="0.25">
      <c r="B272" s="618"/>
      <c r="C272" s="618"/>
      <c r="D272" s="618"/>
      <c r="E272" s="618"/>
      <c r="F272" s="618"/>
      <c r="G272" s="618"/>
      <c r="H272" s="618"/>
      <c r="I272" s="618"/>
      <c r="J272" s="618"/>
      <c r="K272" s="618"/>
      <c r="L272" s="618"/>
      <c r="M272" s="618"/>
      <c r="N272" s="618"/>
      <c r="O272" s="618"/>
    </row>
    <row r="273" spans="2:15" ht="12.75" hidden="1" customHeight="1" x14ac:dyDescent="0.25">
      <c r="B273" s="618"/>
      <c r="C273" s="618"/>
      <c r="D273" s="618"/>
      <c r="E273" s="618"/>
      <c r="F273" s="618"/>
      <c r="G273" s="618"/>
      <c r="H273" s="618"/>
      <c r="I273" s="618"/>
      <c r="J273" s="618"/>
      <c r="K273" s="618"/>
      <c r="L273" s="618"/>
      <c r="M273" s="618"/>
      <c r="N273" s="618"/>
      <c r="O273" s="618"/>
    </row>
    <row r="274" spans="2:15" ht="12.75" hidden="1" customHeight="1" x14ac:dyDescent="0.25">
      <c r="B274" s="618"/>
      <c r="C274" s="618"/>
      <c r="D274" s="618"/>
      <c r="E274" s="618"/>
      <c r="F274" s="618"/>
      <c r="G274" s="618"/>
      <c r="H274" s="618"/>
      <c r="I274" s="618"/>
      <c r="J274" s="618"/>
      <c r="K274" s="618"/>
      <c r="L274" s="618"/>
      <c r="M274" s="618"/>
      <c r="N274" s="618"/>
      <c r="O274" s="618"/>
    </row>
    <row r="275" spans="2:15" ht="12.75" hidden="1" customHeight="1" x14ac:dyDescent="0.25">
      <c r="B275" s="618"/>
      <c r="C275" s="618"/>
      <c r="D275" s="618"/>
      <c r="E275" s="618"/>
      <c r="F275" s="618"/>
      <c r="G275" s="618"/>
      <c r="H275" s="618"/>
      <c r="I275" s="618"/>
      <c r="J275" s="618"/>
      <c r="K275" s="618"/>
      <c r="L275" s="618"/>
      <c r="M275" s="618"/>
      <c r="N275" s="618"/>
      <c r="O275" s="618"/>
    </row>
    <row r="276" spans="2:15" ht="12.75" hidden="1" customHeight="1" x14ac:dyDescent="0.25">
      <c r="B276" s="618"/>
      <c r="C276" s="618"/>
      <c r="D276" s="618"/>
      <c r="E276" s="618"/>
      <c r="F276" s="618"/>
      <c r="G276" s="618"/>
      <c r="H276" s="618"/>
      <c r="I276" s="618"/>
      <c r="J276" s="618"/>
      <c r="K276" s="618"/>
      <c r="L276" s="618"/>
      <c r="M276" s="618"/>
      <c r="N276" s="618"/>
      <c r="O276" s="618"/>
    </row>
    <row r="277" spans="2:15" ht="12.75" hidden="1" customHeight="1" x14ac:dyDescent="0.25"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</row>
    <row r="278" spans="2:15" ht="12.75" hidden="1" customHeight="1" x14ac:dyDescent="0.25">
      <c r="B278" s="618"/>
      <c r="C278" s="618"/>
      <c r="D278" s="618"/>
      <c r="E278" s="618"/>
      <c r="F278" s="618"/>
      <c r="G278" s="618"/>
      <c r="H278" s="618"/>
      <c r="I278" s="618"/>
      <c r="J278" s="618"/>
      <c r="K278" s="618"/>
      <c r="L278" s="618"/>
      <c r="M278" s="618"/>
      <c r="N278" s="618"/>
      <c r="O278" s="618"/>
    </row>
    <row r="279" spans="2:15" ht="12.75" hidden="1" customHeight="1" x14ac:dyDescent="0.25">
      <c r="B279" s="618"/>
      <c r="C279" s="618"/>
      <c r="D279" s="618"/>
      <c r="E279" s="618"/>
      <c r="F279" s="618"/>
      <c r="G279" s="618"/>
      <c r="H279" s="618"/>
      <c r="I279" s="618"/>
      <c r="J279" s="618"/>
      <c r="K279" s="618"/>
      <c r="L279" s="618"/>
      <c r="M279" s="618"/>
      <c r="N279" s="618"/>
      <c r="O279" s="618"/>
    </row>
    <row r="280" spans="2:15" ht="12.75" hidden="1" customHeight="1" x14ac:dyDescent="0.25">
      <c r="B280" s="618"/>
      <c r="C280" s="618"/>
      <c r="D280" s="618"/>
      <c r="E280" s="618"/>
      <c r="F280" s="618"/>
      <c r="G280" s="618"/>
      <c r="H280" s="618"/>
      <c r="I280" s="618"/>
      <c r="J280" s="618"/>
      <c r="K280" s="618"/>
      <c r="L280" s="618"/>
      <c r="M280" s="618"/>
      <c r="N280" s="618"/>
      <c r="O280" s="618"/>
    </row>
    <row r="281" spans="2:15" ht="12.75" hidden="1" customHeight="1" x14ac:dyDescent="0.25">
      <c r="B281" s="618"/>
      <c r="C281" s="618"/>
      <c r="D281" s="618"/>
      <c r="E281" s="618"/>
      <c r="F281" s="618"/>
      <c r="G281" s="618"/>
      <c r="H281" s="618"/>
      <c r="I281" s="618"/>
      <c r="J281" s="618"/>
      <c r="K281" s="618"/>
      <c r="L281" s="618"/>
      <c r="M281" s="618"/>
      <c r="N281" s="618"/>
      <c r="O281" s="618"/>
    </row>
    <row r="282" spans="2:15" ht="12.75" hidden="1" customHeight="1" x14ac:dyDescent="0.25"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</row>
    <row r="283" spans="2:15" ht="12.75" hidden="1" customHeight="1" x14ac:dyDescent="0.25">
      <c r="B283" s="618"/>
      <c r="C283" s="618"/>
      <c r="D283" s="618"/>
      <c r="E283" s="618"/>
      <c r="F283" s="618"/>
      <c r="G283" s="618"/>
      <c r="H283" s="618"/>
      <c r="I283" s="618"/>
      <c r="J283" s="618"/>
      <c r="K283" s="618"/>
      <c r="L283" s="618"/>
      <c r="M283" s="618"/>
      <c r="N283" s="618"/>
      <c r="O283" s="618"/>
    </row>
    <row r="284" spans="2:15" ht="12.75" hidden="1" customHeight="1" x14ac:dyDescent="0.25"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</row>
    <row r="285" spans="2:15" ht="12.75" hidden="1" customHeight="1" x14ac:dyDescent="0.25">
      <c r="B285" s="618"/>
      <c r="C285" s="618"/>
      <c r="D285" s="618"/>
      <c r="E285" s="618"/>
      <c r="F285" s="618"/>
      <c r="G285" s="618"/>
      <c r="H285" s="618"/>
      <c r="I285" s="618"/>
      <c r="J285" s="618"/>
      <c r="K285" s="618"/>
      <c r="L285" s="618"/>
      <c r="M285" s="618"/>
      <c r="N285" s="618"/>
      <c r="O285" s="618"/>
    </row>
    <row r="286" spans="2:15" ht="12.75" hidden="1" customHeight="1" x14ac:dyDescent="0.25">
      <c r="B286" s="618"/>
      <c r="C286" s="618"/>
      <c r="D286" s="618"/>
      <c r="E286" s="618"/>
      <c r="F286" s="618"/>
      <c r="G286" s="618"/>
      <c r="H286" s="618"/>
      <c r="I286" s="618"/>
      <c r="J286" s="618"/>
      <c r="K286" s="618"/>
      <c r="L286" s="618"/>
      <c r="M286" s="618"/>
      <c r="N286" s="618"/>
      <c r="O286" s="618"/>
    </row>
    <row r="287" spans="2:15" ht="12.75" hidden="1" customHeight="1" x14ac:dyDescent="0.25"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</row>
    <row r="288" spans="2:15" ht="12.75" hidden="1" customHeight="1" x14ac:dyDescent="0.25"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</row>
    <row r="289" spans="2:15" ht="12.75" hidden="1" customHeight="1" x14ac:dyDescent="0.25">
      <c r="B289" s="618"/>
      <c r="C289" s="618"/>
      <c r="D289" s="618"/>
      <c r="E289" s="618"/>
      <c r="F289" s="618"/>
      <c r="G289" s="618"/>
      <c r="H289" s="618"/>
      <c r="I289" s="618"/>
      <c r="J289" s="618"/>
      <c r="K289" s="618"/>
      <c r="L289" s="618"/>
      <c r="M289" s="618"/>
      <c r="N289" s="618"/>
      <c r="O289" s="618"/>
    </row>
    <row r="290" spans="2:15" ht="12.75" hidden="1" customHeight="1" x14ac:dyDescent="0.25">
      <c r="B290" s="618"/>
      <c r="C290" s="618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8"/>
    </row>
    <row r="291" spans="2:15" ht="12.75" hidden="1" customHeight="1" x14ac:dyDescent="0.25">
      <c r="B291" s="618"/>
      <c r="C291" s="618"/>
      <c r="D291" s="618"/>
      <c r="E291" s="618"/>
      <c r="F291" s="618"/>
      <c r="G291" s="618"/>
      <c r="H291" s="618"/>
      <c r="I291" s="618"/>
      <c r="J291" s="618"/>
      <c r="K291" s="618"/>
      <c r="L291" s="618"/>
      <c r="M291" s="618"/>
      <c r="N291" s="618"/>
      <c r="O291" s="618"/>
    </row>
    <row r="292" spans="2:15" ht="12.75" hidden="1" customHeight="1" x14ac:dyDescent="0.25">
      <c r="B292" s="618"/>
      <c r="C292" s="618"/>
      <c r="D292" s="618"/>
      <c r="E292" s="618"/>
      <c r="F292" s="618"/>
      <c r="G292" s="618"/>
      <c r="H292" s="618"/>
      <c r="I292" s="618"/>
      <c r="J292" s="618"/>
      <c r="K292" s="618"/>
      <c r="L292" s="618"/>
      <c r="M292" s="618"/>
      <c r="N292" s="618"/>
      <c r="O292" s="618"/>
    </row>
    <row r="293" spans="2:15" ht="12.75" hidden="1" customHeight="1" x14ac:dyDescent="0.25">
      <c r="B293" s="618"/>
      <c r="C293" s="618"/>
      <c r="D293" s="618"/>
      <c r="E293" s="618"/>
      <c r="F293" s="618"/>
      <c r="G293" s="618"/>
      <c r="H293" s="618"/>
      <c r="I293" s="618"/>
      <c r="J293" s="618"/>
      <c r="K293" s="618"/>
      <c r="L293" s="618"/>
      <c r="M293" s="618"/>
      <c r="N293" s="618"/>
      <c r="O293" s="618"/>
    </row>
    <row r="294" spans="2:15" ht="12.75" hidden="1" customHeight="1" x14ac:dyDescent="0.25">
      <c r="B294" s="618"/>
      <c r="C294" s="618"/>
      <c r="D294" s="618"/>
      <c r="E294" s="618"/>
      <c r="F294" s="618"/>
      <c r="G294" s="618"/>
      <c r="H294" s="618"/>
      <c r="I294" s="618"/>
      <c r="J294" s="618"/>
      <c r="K294" s="618"/>
      <c r="L294" s="618"/>
      <c r="M294" s="618"/>
      <c r="N294" s="618"/>
      <c r="O294" s="618"/>
    </row>
    <row r="295" spans="2:15" ht="12.75" hidden="1" customHeight="1" x14ac:dyDescent="0.25"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</row>
    <row r="296" spans="2:15" ht="12.75" hidden="1" customHeight="1" x14ac:dyDescent="0.25"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</row>
    <row r="297" spans="2:15" ht="12.75" hidden="1" customHeight="1" x14ac:dyDescent="0.25">
      <c r="B297" s="618"/>
      <c r="C297" s="618"/>
      <c r="D297" s="618"/>
      <c r="E297" s="618"/>
      <c r="F297" s="618"/>
      <c r="G297" s="618"/>
      <c r="H297" s="618"/>
      <c r="I297" s="618"/>
      <c r="J297" s="618"/>
      <c r="K297" s="618"/>
      <c r="L297" s="618"/>
      <c r="M297" s="618"/>
      <c r="N297" s="618"/>
      <c r="O297" s="618"/>
    </row>
    <row r="298" spans="2:15" ht="12.75" hidden="1" customHeight="1" x14ac:dyDescent="0.25">
      <c r="B298" s="618"/>
      <c r="C298" s="618"/>
      <c r="D298" s="618"/>
      <c r="E298" s="618"/>
      <c r="F298" s="618"/>
      <c r="G298" s="618"/>
      <c r="H298" s="618"/>
      <c r="I298" s="618"/>
      <c r="J298" s="618"/>
      <c r="K298" s="618"/>
      <c r="L298" s="618"/>
      <c r="M298" s="618"/>
      <c r="N298" s="618"/>
      <c r="O298" s="618"/>
    </row>
    <row r="299" spans="2:15" ht="12.75" hidden="1" customHeight="1" x14ac:dyDescent="0.25">
      <c r="B299" s="618"/>
      <c r="C299" s="618"/>
      <c r="D299" s="618"/>
      <c r="E299" s="618"/>
      <c r="F299" s="618"/>
      <c r="G299" s="618"/>
      <c r="H299" s="618"/>
      <c r="I299" s="618"/>
      <c r="J299" s="618"/>
      <c r="K299" s="618"/>
      <c r="L299" s="618"/>
      <c r="M299" s="618"/>
      <c r="N299" s="618"/>
      <c r="O299" s="618"/>
    </row>
    <row r="300" spans="2:15" ht="12.75" hidden="1" customHeight="1" x14ac:dyDescent="0.25">
      <c r="B300" s="618"/>
      <c r="C300" s="618"/>
      <c r="D300" s="618"/>
      <c r="E300" s="618"/>
      <c r="F300" s="618"/>
      <c r="G300" s="618"/>
      <c r="H300" s="618"/>
      <c r="I300" s="618"/>
      <c r="J300" s="618"/>
      <c r="K300" s="618"/>
      <c r="L300" s="618"/>
      <c r="M300" s="618"/>
      <c r="N300" s="618"/>
      <c r="O300" s="618"/>
    </row>
    <row r="301" spans="2:15" ht="12.75" hidden="1" customHeight="1" x14ac:dyDescent="0.25">
      <c r="B301" s="618"/>
      <c r="C301" s="618"/>
      <c r="D301" s="618"/>
      <c r="E301" s="618"/>
      <c r="F301" s="618"/>
      <c r="G301" s="618"/>
      <c r="H301" s="618"/>
      <c r="I301" s="618"/>
      <c r="J301" s="618"/>
      <c r="K301" s="618"/>
      <c r="L301" s="618"/>
      <c r="M301" s="618"/>
      <c r="N301" s="618"/>
      <c r="O301" s="618"/>
    </row>
    <row r="302" spans="2:15" ht="12.75" hidden="1" customHeight="1" x14ac:dyDescent="0.25">
      <c r="B302" s="618"/>
      <c r="C302" s="618"/>
      <c r="D302" s="618"/>
      <c r="E302" s="618"/>
      <c r="F302" s="618"/>
      <c r="G302" s="618"/>
      <c r="H302" s="618"/>
      <c r="I302" s="618"/>
      <c r="J302" s="618"/>
      <c r="K302" s="618"/>
      <c r="L302" s="618"/>
      <c r="M302" s="618"/>
      <c r="N302" s="618"/>
      <c r="O302" s="618"/>
    </row>
    <row r="303" spans="2:15" ht="12.75" hidden="1" customHeight="1" x14ac:dyDescent="0.25">
      <c r="B303" s="618"/>
      <c r="C303" s="618"/>
      <c r="D303" s="618"/>
      <c r="E303" s="618"/>
      <c r="F303" s="618"/>
      <c r="G303" s="618"/>
      <c r="H303" s="618"/>
      <c r="I303" s="618"/>
      <c r="J303" s="618"/>
      <c r="K303" s="618"/>
      <c r="L303" s="618"/>
      <c r="M303" s="618"/>
      <c r="N303" s="618"/>
      <c r="O303" s="618"/>
    </row>
    <row r="304" spans="2:15" ht="12.75" hidden="1" customHeight="1" x14ac:dyDescent="0.25">
      <c r="B304" s="618"/>
      <c r="C304" s="618"/>
      <c r="D304" s="618"/>
      <c r="E304" s="618"/>
      <c r="F304" s="618"/>
      <c r="G304" s="618"/>
      <c r="H304" s="618"/>
      <c r="I304" s="618"/>
      <c r="J304" s="618"/>
      <c r="K304" s="618"/>
      <c r="L304" s="618"/>
      <c r="M304" s="618"/>
      <c r="N304" s="618"/>
      <c r="O304" s="618"/>
    </row>
    <row r="305" spans="1:18" ht="12.75" hidden="1" customHeight="1" x14ac:dyDescent="0.25"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</row>
    <row r="306" spans="1:18" ht="12.75" hidden="1" customHeight="1" x14ac:dyDescent="0.25"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</row>
    <row r="307" spans="1:18" ht="12.75" hidden="1" customHeight="1" x14ac:dyDescent="0.25">
      <c r="B307" s="618"/>
      <c r="C307" s="618"/>
      <c r="D307" s="618"/>
      <c r="E307" s="618"/>
      <c r="F307" s="618"/>
      <c r="G307" s="618"/>
      <c r="H307" s="618"/>
      <c r="I307" s="618"/>
      <c r="J307" s="618"/>
      <c r="K307" s="618"/>
      <c r="L307" s="618"/>
      <c r="M307" s="618"/>
      <c r="N307" s="618"/>
      <c r="O307" s="618"/>
    </row>
    <row r="308" spans="1:18" ht="12.75" hidden="1" customHeight="1" x14ac:dyDescent="0.25">
      <c r="B308" s="618"/>
      <c r="C308" s="618"/>
      <c r="D308" s="618"/>
      <c r="E308" s="618"/>
      <c r="F308" s="618"/>
      <c r="G308" s="618"/>
      <c r="H308" s="618"/>
      <c r="I308" s="618"/>
      <c r="J308" s="618"/>
      <c r="K308" s="618"/>
      <c r="L308" s="618"/>
      <c r="M308" s="618"/>
      <c r="N308" s="618"/>
      <c r="O308" s="618"/>
    </row>
    <row r="309" spans="1:18" ht="12.75" hidden="1" customHeight="1" x14ac:dyDescent="0.25">
      <c r="B309" s="618"/>
      <c r="C309" s="618"/>
      <c r="D309" s="618"/>
      <c r="E309" s="618"/>
      <c r="F309" s="618"/>
      <c r="G309" s="618"/>
      <c r="H309" s="618"/>
      <c r="I309" s="618"/>
      <c r="J309" s="618"/>
      <c r="K309" s="618"/>
      <c r="L309" s="618"/>
      <c r="M309" s="618"/>
      <c r="N309" s="618"/>
      <c r="O309" s="618"/>
    </row>
    <row r="310" spans="1:18" ht="12.75" hidden="1" customHeight="1" x14ac:dyDescent="0.25">
      <c r="B310" s="618"/>
      <c r="C310" s="618"/>
      <c r="D310" s="618"/>
      <c r="E310" s="618"/>
      <c r="F310" s="618"/>
      <c r="G310" s="618"/>
      <c r="H310" s="618"/>
      <c r="I310" s="618"/>
      <c r="J310" s="618"/>
      <c r="K310" s="618"/>
      <c r="L310" s="618"/>
      <c r="M310" s="618"/>
      <c r="N310" s="618"/>
      <c r="O310" s="618"/>
    </row>
    <row r="311" spans="1:18" ht="12.75" hidden="1" customHeight="1" x14ac:dyDescent="0.25">
      <c r="B311" s="618"/>
      <c r="C311" s="618"/>
      <c r="D311" s="618"/>
      <c r="E311" s="618"/>
      <c r="F311" s="618"/>
      <c r="G311" s="618"/>
      <c r="H311" s="618"/>
      <c r="I311" s="618"/>
      <c r="J311" s="618"/>
      <c r="K311" s="618"/>
      <c r="L311" s="618"/>
      <c r="M311" s="618"/>
      <c r="N311" s="618"/>
      <c r="O311" s="618"/>
    </row>
    <row r="312" spans="1:18" ht="12.75" hidden="1" customHeight="1" x14ac:dyDescent="0.25">
      <c r="B312" s="618"/>
      <c r="C312" s="618"/>
      <c r="D312" s="618"/>
      <c r="E312" s="618"/>
      <c r="F312" s="618"/>
      <c r="G312" s="618"/>
      <c r="H312" s="618"/>
      <c r="I312" s="618"/>
      <c r="J312" s="618"/>
      <c r="K312" s="618"/>
      <c r="L312" s="618"/>
      <c r="M312" s="618"/>
      <c r="N312" s="618"/>
      <c r="O312" s="618"/>
    </row>
    <row r="313" spans="1:18" ht="12.75" hidden="1" customHeight="1" x14ac:dyDescent="0.25"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</row>
    <row r="314" spans="1:18" ht="12.75" hidden="1" customHeight="1" x14ac:dyDescent="0.25">
      <c r="B314" s="618"/>
      <c r="C314" s="618"/>
      <c r="D314" s="618"/>
      <c r="E314" s="618"/>
      <c r="F314" s="618"/>
      <c r="G314" s="618"/>
      <c r="H314" s="618"/>
      <c r="I314" s="618"/>
      <c r="J314" s="618"/>
      <c r="K314" s="618"/>
      <c r="L314" s="618"/>
      <c r="M314" s="618"/>
      <c r="N314" s="618"/>
      <c r="O314" s="618"/>
    </row>
    <row r="315" spans="1:18" ht="12.75" customHeight="1" x14ac:dyDescent="0.25">
      <c r="B315" s="618"/>
      <c r="C315" s="618"/>
      <c r="D315" s="618"/>
      <c r="E315" s="618"/>
      <c r="F315" s="618"/>
      <c r="G315" s="618"/>
      <c r="H315" s="618"/>
      <c r="I315" s="618"/>
      <c r="J315" s="618"/>
      <c r="K315" s="618"/>
      <c r="L315" s="618"/>
      <c r="M315" s="618"/>
      <c r="N315" s="618"/>
      <c r="O315" s="618"/>
    </row>
    <row r="316" spans="1:18" ht="12.75" customHeight="1" x14ac:dyDescent="0.25">
      <c r="A316" s="780" t="s">
        <v>2</v>
      </c>
      <c r="B316" s="779" t="s">
        <v>132</v>
      </c>
      <c r="C316" s="766" t="s">
        <v>70</v>
      </c>
      <c r="D316" s="766">
        <f>D239-P239</f>
        <v>-178569809.09</v>
      </c>
      <c r="E316" s="766">
        <f>E235+E229+E223</f>
        <v>-11114783.82</v>
      </c>
      <c r="F316" s="766">
        <f t="shared" ref="F316:R316" si="9">F235+F229+F223</f>
        <v>-6043741.8100000005</v>
      </c>
      <c r="G316" s="766">
        <f t="shared" si="9"/>
        <v>-3128653.77</v>
      </c>
      <c r="H316" s="766">
        <f t="shared" si="9"/>
        <v>-38609422.420000002</v>
      </c>
      <c r="I316" s="766">
        <f t="shared" si="9"/>
        <v>-1383863.0499999998</v>
      </c>
      <c r="J316" s="766">
        <f t="shared" si="9"/>
        <v>-12066172.119999999</v>
      </c>
      <c r="K316" s="766">
        <f t="shared" si="9"/>
        <v>-12247408.690000001</v>
      </c>
      <c r="L316" s="766">
        <f t="shared" si="9"/>
        <v>-61013836.68</v>
      </c>
      <c r="M316" s="766">
        <f t="shared" si="9"/>
        <v>-29779546.989999998</v>
      </c>
      <c r="N316" s="766">
        <f t="shared" si="9"/>
        <v>-2258056.34</v>
      </c>
      <c r="O316" s="766">
        <f t="shared" si="9"/>
        <v>27.970000000000006</v>
      </c>
      <c r="P316" s="766">
        <f t="shared" si="9"/>
        <v>-49900.44</v>
      </c>
      <c r="Q316" s="766">
        <f t="shared" si="9"/>
        <v>0</v>
      </c>
      <c r="R316" s="766">
        <f t="shared" si="9"/>
        <v>192.75</v>
      </c>
    </row>
    <row r="317" spans="1:18" ht="12.75" customHeight="1" x14ac:dyDescent="0.25">
      <c r="A317" s="780"/>
      <c r="B317" s="779"/>
      <c r="C317" s="766" t="s">
        <v>73</v>
      </c>
      <c r="D317" s="766">
        <f>D237+D231+D225</f>
        <v>-924544.12000000011</v>
      </c>
      <c r="E317" s="618"/>
      <c r="F317" s="618"/>
      <c r="G317" s="618"/>
      <c r="H317" s="618"/>
      <c r="I317" s="618"/>
      <c r="J317" s="618"/>
      <c r="K317" s="618"/>
      <c r="L317" s="618"/>
      <c r="M317" s="618"/>
      <c r="N317" s="618"/>
      <c r="O317" s="618"/>
      <c r="P317" s="618"/>
      <c r="Q317" s="618"/>
      <c r="R317" s="618"/>
    </row>
    <row r="318" spans="1:18" ht="12.75" customHeight="1" x14ac:dyDescent="0.3">
      <c r="A318" s="617"/>
      <c r="D318" s="618"/>
      <c r="E318" s="618"/>
      <c r="F318" s="618"/>
      <c r="G318" s="618"/>
      <c r="H318" s="618"/>
      <c r="I318" s="618"/>
      <c r="J318" s="618"/>
      <c r="K318" s="618"/>
      <c r="L318" s="618"/>
      <c r="M318" s="618"/>
      <c r="N318" s="618"/>
      <c r="O318" s="618"/>
      <c r="P318" s="618"/>
      <c r="Q318" s="618"/>
      <c r="R318" s="618"/>
    </row>
    <row r="319" spans="1:18" ht="12.75" customHeight="1" x14ac:dyDescent="0.25">
      <c r="A319" s="780" t="s">
        <v>160</v>
      </c>
      <c r="B319" s="779" t="s">
        <v>132</v>
      </c>
      <c r="C319" s="632" t="s">
        <v>70</v>
      </c>
      <c r="D319" s="632">
        <f>D232-P232</f>
        <v>-1564160</v>
      </c>
      <c r="E319" s="632">
        <f>E229</f>
        <v>-91274.76</v>
      </c>
      <c r="F319" s="632">
        <f t="shared" ref="F319:R319" si="10">F229</f>
        <v>-48442.23</v>
      </c>
      <c r="G319" s="632">
        <f t="shared" si="10"/>
        <v>-27913.62</v>
      </c>
      <c r="H319" s="632">
        <f t="shared" si="10"/>
        <v>-408483.96</v>
      </c>
      <c r="I319" s="632">
        <f t="shared" si="10"/>
        <v>-10432.31</v>
      </c>
      <c r="J319" s="632">
        <f t="shared" si="10"/>
        <v>-91512.76</v>
      </c>
      <c r="K319" s="632">
        <f t="shared" si="10"/>
        <v>-129328.6</v>
      </c>
      <c r="L319" s="632">
        <f t="shared" si="10"/>
        <v>-658084.91</v>
      </c>
      <c r="M319" s="632">
        <f t="shared" si="10"/>
        <v>-242793.58</v>
      </c>
      <c r="N319" s="632">
        <f t="shared" si="10"/>
        <v>-17021.29</v>
      </c>
      <c r="O319" s="632">
        <f t="shared" si="10"/>
        <v>-9.1300000000000008</v>
      </c>
      <c r="P319" s="632">
        <f t="shared" si="10"/>
        <v>0</v>
      </c>
      <c r="Q319" s="632">
        <f t="shared" si="10"/>
        <v>0</v>
      </c>
      <c r="R319" s="632">
        <f t="shared" si="10"/>
        <v>0</v>
      </c>
    </row>
    <row r="320" spans="1:18" ht="12.75" customHeight="1" x14ac:dyDescent="0.25">
      <c r="A320" s="780"/>
      <c r="B320" s="779"/>
      <c r="C320" s="632" t="s">
        <v>73</v>
      </c>
      <c r="D320" s="714">
        <f>D231</f>
        <v>161137.15</v>
      </c>
      <c r="E320" s="618"/>
      <c r="F320" s="618"/>
      <c r="G320" s="618"/>
      <c r="H320" s="618"/>
      <c r="I320" s="618"/>
      <c r="J320" s="618"/>
      <c r="K320" s="618"/>
      <c r="L320" s="618"/>
      <c r="M320" s="618"/>
      <c r="N320" s="618"/>
      <c r="O320" s="618"/>
      <c r="P320" s="618"/>
      <c r="Q320" s="618"/>
      <c r="R320" s="618"/>
    </row>
    <row r="321" spans="1:18" ht="12.75" customHeight="1" x14ac:dyDescent="0.3">
      <c r="A321" s="617"/>
      <c r="D321" s="618"/>
      <c r="E321" s="618"/>
      <c r="F321" s="618"/>
      <c r="G321" s="618"/>
      <c r="H321" s="618"/>
      <c r="I321" s="618"/>
      <c r="J321" s="618"/>
      <c r="K321" s="618"/>
      <c r="L321" s="618"/>
      <c r="M321" s="618"/>
      <c r="N321" s="618"/>
      <c r="O321" s="618"/>
      <c r="P321" s="618"/>
      <c r="Q321" s="618"/>
      <c r="R321" s="618"/>
    </row>
    <row r="322" spans="1:18" ht="12.75" customHeight="1" x14ac:dyDescent="0.25">
      <c r="A322" s="780" t="s">
        <v>155</v>
      </c>
      <c r="B322" s="779" t="s">
        <v>132</v>
      </c>
      <c r="C322" s="633" t="s">
        <v>70</v>
      </c>
      <c r="D322" s="633">
        <f>D226-P226</f>
        <v>-167610112.66</v>
      </c>
      <c r="E322" s="633">
        <f>E223</f>
        <v>-10382321.17</v>
      </c>
      <c r="F322" s="633">
        <f t="shared" ref="F322:R322" si="11">F223</f>
        <v>-5652491.7800000003</v>
      </c>
      <c r="G322" s="633">
        <f t="shared" si="11"/>
        <v>-2921177.32</v>
      </c>
      <c r="H322" s="633">
        <f t="shared" si="11"/>
        <v>-36006555.340000004</v>
      </c>
      <c r="I322" s="633">
        <f t="shared" si="11"/>
        <v>-1300147.1399999999</v>
      </c>
      <c r="J322" s="633">
        <f t="shared" si="11"/>
        <v>-11311482.279999999</v>
      </c>
      <c r="K322" s="633">
        <f t="shared" si="11"/>
        <v>-11321460.300000001</v>
      </c>
      <c r="L322" s="633">
        <f t="shared" si="11"/>
        <v>-56578025.969999999</v>
      </c>
      <c r="M322" s="633">
        <f t="shared" si="11"/>
        <v>-27834002.489999998</v>
      </c>
      <c r="N322" s="633">
        <f t="shared" si="11"/>
        <v>-2118364.2999999998</v>
      </c>
      <c r="O322" s="633">
        <f t="shared" si="11"/>
        <v>67.290000000000006</v>
      </c>
      <c r="P322" s="633">
        <f t="shared" si="11"/>
        <v>-46500</v>
      </c>
      <c r="Q322" s="633">
        <f t="shared" si="11"/>
        <v>0</v>
      </c>
      <c r="R322" s="633">
        <f t="shared" si="11"/>
        <v>192.99</v>
      </c>
    </row>
    <row r="323" spans="1:18" ht="12.75" customHeight="1" x14ac:dyDescent="0.25">
      <c r="A323" s="780"/>
      <c r="B323" s="779"/>
      <c r="C323" s="633" t="s">
        <v>73</v>
      </c>
      <c r="D323" s="633">
        <f>D225</f>
        <v>-2184344.85</v>
      </c>
      <c r="E323" s="618"/>
      <c r="F323" s="618"/>
      <c r="G323" s="618"/>
      <c r="H323" s="618"/>
      <c r="I323" s="618"/>
      <c r="J323" s="618"/>
      <c r="K323" s="618"/>
      <c r="L323" s="618"/>
      <c r="M323" s="618"/>
      <c r="N323" s="618"/>
      <c r="O323" s="618"/>
      <c r="P323" s="618"/>
      <c r="Q323" s="618"/>
      <c r="R323" s="618"/>
    </row>
    <row r="324" spans="1:18" ht="12.75" customHeight="1" x14ac:dyDescent="0.25">
      <c r="A324" s="722"/>
      <c r="B324" s="721"/>
      <c r="C324" s="618"/>
      <c r="D324" s="618"/>
      <c r="E324" s="618"/>
      <c r="F324" s="618"/>
      <c r="G324" s="618"/>
      <c r="H324" s="618"/>
      <c r="I324" s="618"/>
      <c r="J324" s="618"/>
      <c r="K324" s="618"/>
      <c r="L324" s="618"/>
      <c r="M324" s="618"/>
      <c r="N324" s="618"/>
      <c r="O324" s="618"/>
      <c r="P324" s="618"/>
      <c r="Q324" s="618"/>
      <c r="R324" s="618"/>
    </row>
    <row r="325" spans="1:18" ht="12.75" customHeight="1" x14ac:dyDescent="0.25">
      <c r="A325" s="781" t="s">
        <v>326</v>
      </c>
      <c r="B325" s="779" t="s">
        <v>132</v>
      </c>
      <c r="C325" s="633" t="s">
        <v>70</v>
      </c>
      <c r="D325" s="720">
        <v>0</v>
      </c>
      <c r="E325" s="720">
        <v>0</v>
      </c>
      <c r="F325" s="720">
        <v>0</v>
      </c>
      <c r="G325" s="720">
        <v>0</v>
      </c>
      <c r="H325" s="720">
        <v>0</v>
      </c>
      <c r="I325" s="720">
        <v>0</v>
      </c>
      <c r="J325" s="720">
        <v>0</v>
      </c>
      <c r="K325" s="720">
        <v>0</v>
      </c>
      <c r="L325" s="720">
        <v>0</v>
      </c>
      <c r="M325" s="720">
        <v>0</v>
      </c>
      <c r="N325" s="720">
        <v>0</v>
      </c>
      <c r="O325" s="720">
        <v>0</v>
      </c>
      <c r="P325" s="720">
        <v>0</v>
      </c>
      <c r="Q325" s="720">
        <v>0</v>
      </c>
      <c r="R325" s="720">
        <v>0</v>
      </c>
    </row>
    <row r="326" spans="1:18" ht="12.75" customHeight="1" x14ac:dyDescent="0.25">
      <c r="A326" s="781"/>
      <c r="B326" s="779"/>
      <c r="C326" s="633" t="s">
        <v>73</v>
      </c>
      <c r="D326" s="720">
        <v>0</v>
      </c>
      <c r="E326" s="618"/>
      <c r="F326" s="618"/>
      <c r="G326" s="618"/>
      <c r="H326" s="618"/>
      <c r="I326" s="618"/>
      <c r="J326" s="618"/>
      <c r="K326" s="618"/>
      <c r="L326" s="618"/>
      <c r="M326" s="618"/>
      <c r="N326" s="618"/>
      <c r="O326" s="618"/>
      <c r="P326" s="618"/>
      <c r="Q326" s="618"/>
    </row>
    <row r="327" spans="1:18" ht="12.75" customHeight="1" x14ac:dyDescent="0.3">
      <c r="A327" s="617"/>
      <c r="D327" s="618"/>
      <c r="E327" s="618"/>
      <c r="F327" s="618"/>
      <c r="G327" s="618"/>
      <c r="H327" s="618"/>
      <c r="I327" s="618"/>
      <c r="J327" s="618"/>
      <c r="K327" s="618"/>
      <c r="L327" s="618"/>
      <c r="M327" s="618"/>
      <c r="N327" s="618"/>
      <c r="O327" s="618"/>
      <c r="P327" s="618"/>
      <c r="Q327" s="618"/>
      <c r="R327" s="618"/>
    </row>
    <row r="328" spans="1:18" ht="12.75" customHeight="1" x14ac:dyDescent="0.25">
      <c r="A328" s="780" t="s">
        <v>119</v>
      </c>
      <c r="B328" s="779" t="s">
        <v>132</v>
      </c>
      <c r="C328" s="628" t="s">
        <v>70</v>
      </c>
      <c r="D328" s="628">
        <f>D238-P238</f>
        <v>-9395536.4299999997</v>
      </c>
      <c r="E328" s="628">
        <f>E235</f>
        <v>-641187.89</v>
      </c>
      <c r="F328" s="628">
        <f t="shared" ref="F328:R328" si="12">F235</f>
        <v>-342807.8</v>
      </c>
      <c r="G328" s="628">
        <f t="shared" si="12"/>
        <v>-179562.83</v>
      </c>
      <c r="H328" s="628">
        <f t="shared" si="12"/>
        <v>-2194383.12</v>
      </c>
      <c r="I328" s="628">
        <f t="shared" si="12"/>
        <v>-73283.600000000006</v>
      </c>
      <c r="J328" s="628">
        <f t="shared" si="12"/>
        <v>-663177.07999999996</v>
      </c>
      <c r="K328" s="628">
        <f t="shared" si="12"/>
        <v>-796619.79</v>
      </c>
      <c r="L328" s="628">
        <f t="shared" si="12"/>
        <v>-3777725.8</v>
      </c>
      <c r="M328" s="628">
        <f t="shared" si="12"/>
        <v>-1702750.92</v>
      </c>
      <c r="N328" s="628">
        <f t="shared" si="12"/>
        <v>-122670.75</v>
      </c>
      <c r="O328" s="628">
        <f t="shared" si="12"/>
        <v>-30.19</v>
      </c>
      <c r="P328" s="628">
        <f t="shared" si="12"/>
        <v>-3400.44</v>
      </c>
      <c r="Q328" s="628">
        <f t="shared" si="12"/>
        <v>0</v>
      </c>
      <c r="R328" s="628">
        <f t="shared" si="12"/>
        <v>-0.24</v>
      </c>
    </row>
    <row r="329" spans="1:18" ht="12.75" customHeight="1" x14ac:dyDescent="0.25">
      <c r="A329" s="780"/>
      <c r="B329" s="779"/>
      <c r="C329" s="628" t="s">
        <v>73</v>
      </c>
      <c r="D329" s="628">
        <f>D237</f>
        <v>1098663.58</v>
      </c>
      <c r="E329" s="618"/>
      <c r="F329" s="618"/>
      <c r="G329" s="618"/>
      <c r="H329" s="618"/>
      <c r="I329" s="618"/>
      <c r="J329" s="618"/>
      <c r="K329" s="618"/>
      <c r="L329" s="618"/>
      <c r="M329" s="618"/>
      <c r="N329" s="618"/>
      <c r="O329" s="618"/>
      <c r="P329" s="618"/>
      <c r="Q329" s="618"/>
      <c r="R329" s="618"/>
    </row>
    <row r="330" spans="1:18" ht="12.75" customHeight="1" x14ac:dyDescent="0.3">
      <c r="A330" s="617"/>
      <c r="D330" s="618"/>
      <c r="E330" s="618"/>
      <c r="F330" s="618"/>
      <c r="G330" s="618"/>
      <c r="H330" s="618"/>
      <c r="I330" s="618"/>
      <c r="J330" s="618"/>
      <c r="K330" s="618"/>
      <c r="L330" s="618"/>
      <c r="M330" s="618"/>
      <c r="N330" s="618"/>
      <c r="O330" s="618"/>
      <c r="P330" s="618"/>
      <c r="Q330" s="618"/>
      <c r="R330" s="618"/>
    </row>
    <row r="331" spans="1:18" ht="12.75" customHeight="1" x14ac:dyDescent="0.25">
      <c r="A331" s="778" t="s">
        <v>161</v>
      </c>
      <c r="B331" s="779" t="s">
        <v>132</v>
      </c>
      <c r="C331" s="634" t="s">
        <v>70</v>
      </c>
      <c r="D331" s="634">
        <v>0</v>
      </c>
      <c r="E331" s="634">
        <v>0</v>
      </c>
      <c r="F331" s="634">
        <v>0</v>
      </c>
      <c r="G331" s="634">
        <v>0</v>
      </c>
      <c r="H331" s="634">
        <v>0</v>
      </c>
      <c r="I331" s="634">
        <v>0</v>
      </c>
      <c r="J331" s="634">
        <v>0</v>
      </c>
      <c r="K331" s="634">
        <v>0</v>
      </c>
      <c r="L331" s="634">
        <v>0</v>
      </c>
      <c r="M331" s="634">
        <v>0</v>
      </c>
      <c r="N331" s="634">
        <v>0</v>
      </c>
      <c r="O331" s="634">
        <v>0</v>
      </c>
      <c r="P331" s="634">
        <v>0</v>
      </c>
      <c r="Q331" s="634">
        <v>0</v>
      </c>
      <c r="R331" s="634">
        <v>0</v>
      </c>
    </row>
    <row r="332" spans="1:18" ht="12.75" customHeight="1" x14ac:dyDescent="0.25">
      <c r="A332" s="778"/>
      <c r="B332" s="779"/>
      <c r="C332" s="634" t="s">
        <v>73</v>
      </c>
      <c r="D332" s="634">
        <v>0</v>
      </c>
      <c r="E332" s="618"/>
      <c r="F332" s="618"/>
      <c r="G332" s="618"/>
      <c r="H332" s="618"/>
      <c r="I332" s="618"/>
      <c r="J332" s="618"/>
      <c r="K332" s="618"/>
      <c r="L332" s="618"/>
      <c r="M332" s="618"/>
      <c r="N332" s="618"/>
      <c r="O332" s="618"/>
      <c r="P332" s="618"/>
      <c r="Q332" s="618"/>
    </row>
    <row r="333" spans="1:18" s="635" customFormat="1" x14ac:dyDescent="0.25"/>
    <row r="334" spans="1:18" ht="13" x14ac:dyDescent="0.3">
      <c r="B334" s="617" t="s">
        <v>93</v>
      </c>
    </row>
    <row r="335" spans="1:18" ht="12.75" customHeight="1" x14ac:dyDescent="0.25">
      <c r="D335" s="618" t="s">
        <v>70</v>
      </c>
      <c r="E335" s="618" t="s">
        <v>64</v>
      </c>
      <c r="F335" s="618" t="s">
        <v>65</v>
      </c>
      <c r="G335" s="619" t="s">
        <v>164</v>
      </c>
      <c r="H335" s="618" t="s">
        <v>69</v>
      </c>
      <c r="I335" s="618" t="s">
        <v>68</v>
      </c>
      <c r="J335" s="618" t="s">
        <v>66</v>
      </c>
      <c r="K335" s="618" t="s">
        <v>63</v>
      </c>
      <c r="L335" s="618" t="s">
        <v>61</v>
      </c>
      <c r="M335" s="618" t="s">
        <v>62</v>
      </c>
      <c r="N335" s="618" t="s">
        <v>67</v>
      </c>
      <c r="O335" s="618" t="s">
        <v>77</v>
      </c>
      <c r="P335" s="616" t="s">
        <v>71</v>
      </c>
      <c r="Q335" s="618" t="s">
        <v>80</v>
      </c>
      <c r="R335" s="616" t="s">
        <v>168</v>
      </c>
    </row>
    <row r="336" spans="1:18" ht="12" customHeight="1" x14ac:dyDescent="0.25">
      <c r="C336" s="618" t="s">
        <v>72</v>
      </c>
      <c r="D336" s="618">
        <v>-5821417.8700000001</v>
      </c>
      <c r="E336" s="618">
        <v>-283408.15000000002</v>
      </c>
      <c r="F336" s="618">
        <v>-156558.59</v>
      </c>
      <c r="G336" s="618">
        <v>-80193.19</v>
      </c>
      <c r="H336" s="618">
        <v>-1154159.82</v>
      </c>
      <c r="I336" s="618">
        <v>-55541.57</v>
      </c>
      <c r="J336" s="618">
        <v>-486140.97</v>
      </c>
      <c r="K336" s="618">
        <v>-456254.38</v>
      </c>
      <c r="L336" s="618">
        <v>-2215440.17</v>
      </c>
      <c r="M336" s="618">
        <v>-843140.93</v>
      </c>
      <c r="N336" s="618">
        <v>-90620.4</v>
      </c>
      <c r="O336" s="618">
        <v>40.299999999999997</v>
      </c>
      <c r="P336" s="616">
        <v>0</v>
      </c>
      <c r="Q336" s="618">
        <v>0</v>
      </c>
      <c r="R336" s="616">
        <v>0</v>
      </c>
    </row>
    <row r="337" spans="1:18" ht="12" customHeight="1" x14ac:dyDescent="0.25">
      <c r="C337" s="618" t="s">
        <v>81</v>
      </c>
      <c r="D337" s="618">
        <v>-103419.8</v>
      </c>
      <c r="E337" s="618">
        <v>-5464.32</v>
      </c>
      <c r="F337" s="618">
        <v>-2789.76</v>
      </c>
      <c r="G337" s="618">
        <v>-1167.02</v>
      </c>
      <c r="H337" s="618">
        <v>-12606.49</v>
      </c>
      <c r="I337" s="618">
        <v>-1424.01</v>
      </c>
      <c r="J337" s="618">
        <v>-12260.45</v>
      </c>
      <c r="K337" s="618">
        <v>-10533.73</v>
      </c>
      <c r="L337" s="618">
        <v>-39354.89</v>
      </c>
      <c r="M337" s="618">
        <v>-15499.33</v>
      </c>
      <c r="N337" s="618">
        <v>-2321.38</v>
      </c>
      <c r="O337" s="618">
        <v>1.67</v>
      </c>
      <c r="P337" s="616">
        <v>0</v>
      </c>
      <c r="Q337" s="618">
        <v>-0.09</v>
      </c>
      <c r="R337" s="616">
        <v>0</v>
      </c>
    </row>
    <row r="338" spans="1:18" s="621" customFormat="1" ht="12.75" customHeight="1" x14ac:dyDescent="0.25">
      <c r="A338" s="622"/>
      <c r="B338" s="621" t="s">
        <v>78</v>
      </c>
      <c r="C338" s="621" t="s">
        <v>70</v>
      </c>
      <c r="D338" s="622">
        <v>-5924837.6699999999</v>
      </c>
      <c r="E338" s="622">
        <v>-288872.46999999997</v>
      </c>
      <c r="F338" s="622">
        <v>-159348.35</v>
      </c>
      <c r="G338" s="622">
        <v>-81360.210000000006</v>
      </c>
      <c r="H338" s="622">
        <v>-1166766.31</v>
      </c>
      <c r="I338" s="622">
        <v>-56965.58</v>
      </c>
      <c r="J338" s="622">
        <v>-498401.42</v>
      </c>
      <c r="K338" s="622">
        <v>-466788.11</v>
      </c>
      <c r="L338" s="622">
        <v>-2254795.06</v>
      </c>
      <c r="M338" s="622">
        <v>-858640.26</v>
      </c>
      <c r="N338" s="622">
        <v>-92941.78</v>
      </c>
      <c r="O338" s="622">
        <v>41.97</v>
      </c>
      <c r="P338" s="621">
        <v>0</v>
      </c>
      <c r="Q338" s="621">
        <v>-0.09</v>
      </c>
      <c r="R338" s="621">
        <v>0</v>
      </c>
    </row>
    <row r="339" spans="1:18" ht="12" customHeight="1" x14ac:dyDescent="0.25">
      <c r="C339" s="618" t="s">
        <v>73</v>
      </c>
      <c r="D339" s="618">
        <v>1134738.67</v>
      </c>
      <c r="E339" s="618">
        <v>42261.53</v>
      </c>
      <c r="F339" s="618">
        <v>22706.91</v>
      </c>
      <c r="G339" s="618">
        <v>11109.21</v>
      </c>
      <c r="H339" s="618">
        <v>207333.25</v>
      </c>
      <c r="I339" s="618">
        <v>12860.76</v>
      </c>
      <c r="J339" s="618">
        <v>112811.62</v>
      </c>
      <c r="K339" s="618">
        <v>103024.59</v>
      </c>
      <c r="L339" s="618">
        <v>477644.69</v>
      </c>
      <c r="M339" s="618">
        <v>124003.15</v>
      </c>
      <c r="N339" s="618">
        <v>20982.959999999999</v>
      </c>
      <c r="O339" s="618">
        <v>0</v>
      </c>
      <c r="P339" s="616">
        <v>0</v>
      </c>
      <c r="Q339" s="618">
        <v>0</v>
      </c>
      <c r="R339" s="616">
        <v>0</v>
      </c>
    </row>
    <row r="340" spans="1:18" s="623" customFormat="1" ht="12.75" customHeight="1" x14ac:dyDescent="0.25">
      <c r="A340" s="624"/>
      <c r="B340" s="624" t="s">
        <v>79</v>
      </c>
      <c r="C340" s="623" t="s">
        <v>70</v>
      </c>
      <c r="D340" s="624">
        <v>1134738.67</v>
      </c>
      <c r="E340" s="624">
        <v>42261.53</v>
      </c>
      <c r="F340" s="624">
        <v>22706.91</v>
      </c>
      <c r="G340" s="624">
        <v>11109.21</v>
      </c>
      <c r="H340" s="624">
        <v>207333.25</v>
      </c>
      <c r="I340" s="624">
        <v>12860.76</v>
      </c>
      <c r="J340" s="624">
        <v>112811.62</v>
      </c>
      <c r="K340" s="624">
        <v>103024.59</v>
      </c>
      <c r="L340" s="624">
        <v>477644.69</v>
      </c>
      <c r="M340" s="624">
        <v>124003.15</v>
      </c>
      <c r="N340" s="624">
        <v>20982.959999999999</v>
      </c>
      <c r="O340" s="624">
        <v>0</v>
      </c>
      <c r="P340" s="623">
        <v>0</v>
      </c>
      <c r="Q340" s="623">
        <v>0</v>
      </c>
      <c r="R340" s="623">
        <v>0</v>
      </c>
    </row>
    <row r="341" spans="1:18" s="625" customFormat="1" ht="12.75" customHeight="1" x14ac:dyDescent="0.25">
      <c r="A341" s="625" t="s">
        <v>155</v>
      </c>
      <c r="B341" s="625" t="s">
        <v>70</v>
      </c>
      <c r="D341" s="626">
        <v>-4790099</v>
      </c>
      <c r="E341" s="626">
        <v>-246610.94</v>
      </c>
      <c r="F341" s="626">
        <v>-136641.44</v>
      </c>
      <c r="G341" s="627">
        <v>-70251</v>
      </c>
      <c r="H341" s="626">
        <v>-959433.06</v>
      </c>
      <c r="I341" s="626">
        <v>-44104.82</v>
      </c>
      <c r="J341" s="626">
        <v>-385589.8</v>
      </c>
      <c r="K341" s="626">
        <v>-363763.52</v>
      </c>
      <c r="L341" s="626">
        <v>-1777150.37</v>
      </c>
      <c r="M341" s="626">
        <v>-734637.11</v>
      </c>
      <c r="N341" s="626">
        <v>-71958.820000000007</v>
      </c>
      <c r="O341" s="626">
        <v>41.97</v>
      </c>
      <c r="P341" s="626">
        <v>0</v>
      </c>
      <c r="Q341" s="626">
        <v>-0.09</v>
      </c>
      <c r="R341" s="625">
        <v>0</v>
      </c>
    </row>
    <row r="342" spans="1:18" s="631" customFormat="1" ht="12.75" customHeight="1" x14ac:dyDescent="0.25">
      <c r="A342" s="630" t="s">
        <v>70</v>
      </c>
      <c r="D342" s="630">
        <v>-4790099</v>
      </c>
      <c r="E342" s="630">
        <v>-246610.94</v>
      </c>
      <c r="F342" s="630">
        <v>-136641.44</v>
      </c>
      <c r="G342" s="630">
        <v>-70251</v>
      </c>
      <c r="H342" s="630">
        <v>-959433.06</v>
      </c>
      <c r="I342" s="630">
        <v>-44104.82</v>
      </c>
      <c r="J342" s="630">
        <v>-385589.8</v>
      </c>
      <c r="K342" s="630">
        <v>-363763.52</v>
      </c>
      <c r="L342" s="630">
        <v>-1777150.37</v>
      </c>
      <c r="M342" s="630">
        <v>-734637.11</v>
      </c>
      <c r="N342" s="630">
        <v>-71958.820000000007</v>
      </c>
      <c r="O342" s="630">
        <v>41.97</v>
      </c>
      <c r="P342" s="631">
        <v>0</v>
      </c>
      <c r="Q342" s="631">
        <v>-0.09</v>
      </c>
      <c r="R342" s="631">
        <v>0</v>
      </c>
    </row>
    <row r="343" spans="1:18" ht="12.75" customHeight="1" x14ac:dyDescent="0.25">
      <c r="C343" s="618"/>
      <c r="D343" s="618"/>
      <c r="E343" s="618"/>
      <c r="F343" s="618"/>
      <c r="G343" s="618"/>
      <c r="H343" s="618"/>
      <c r="I343" s="618"/>
      <c r="J343" s="618"/>
      <c r="K343" s="618"/>
      <c r="L343" s="618"/>
      <c r="M343" s="618"/>
      <c r="N343" s="618"/>
      <c r="O343" s="618"/>
      <c r="Q343" s="618"/>
    </row>
    <row r="344" spans="1:18" ht="12.75" customHeight="1" x14ac:dyDescent="0.25">
      <c r="C344" s="618"/>
      <c r="D344" s="618"/>
      <c r="E344" s="618"/>
      <c r="F344" s="618"/>
      <c r="G344" s="618"/>
      <c r="H344" s="618"/>
      <c r="I344" s="618"/>
      <c r="J344" s="618"/>
      <c r="K344" s="618"/>
      <c r="L344" s="618"/>
      <c r="M344" s="618"/>
      <c r="N344" s="618"/>
      <c r="O344" s="618"/>
      <c r="Q344" s="618"/>
    </row>
    <row r="345" spans="1:18" ht="12.75" customHeight="1" x14ac:dyDescent="0.25">
      <c r="A345" s="780" t="s">
        <v>2</v>
      </c>
      <c r="B345" s="779" t="s">
        <v>132</v>
      </c>
      <c r="C345" s="766" t="s">
        <v>70</v>
      </c>
      <c r="D345" s="766">
        <f>D342-P342</f>
        <v>-4790099</v>
      </c>
      <c r="E345" s="766">
        <f>E338</f>
        <v>-288872.46999999997</v>
      </c>
      <c r="F345" s="766">
        <f t="shared" ref="F345:R345" si="13">F338</f>
        <v>-159348.35</v>
      </c>
      <c r="G345" s="766">
        <f t="shared" si="13"/>
        <v>-81360.210000000006</v>
      </c>
      <c r="H345" s="766">
        <f t="shared" si="13"/>
        <v>-1166766.31</v>
      </c>
      <c r="I345" s="766">
        <f t="shared" si="13"/>
        <v>-56965.58</v>
      </c>
      <c r="J345" s="766">
        <f t="shared" si="13"/>
        <v>-498401.42</v>
      </c>
      <c r="K345" s="766">
        <f t="shared" si="13"/>
        <v>-466788.11</v>
      </c>
      <c r="L345" s="766">
        <f t="shared" si="13"/>
        <v>-2254795.06</v>
      </c>
      <c r="M345" s="766">
        <f t="shared" si="13"/>
        <v>-858640.26</v>
      </c>
      <c r="N345" s="766">
        <f t="shared" si="13"/>
        <v>-92941.78</v>
      </c>
      <c r="O345" s="766">
        <f t="shared" si="13"/>
        <v>41.97</v>
      </c>
      <c r="P345" s="766">
        <f t="shared" si="13"/>
        <v>0</v>
      </c>
      <c r="Q345" s="766">
        <f t="shared" si="13"/>
        <v>-0.09</v>
      </c>
      <c r="R345" s="766">
        <f t="shared" si="13"/>
        <v>0</v>
      </c>
    </row>
    <row r="346" spans="1:18" ht="12.75" customHeight="1" x14ac:dyDescent="0.25">
      <c r="A346" s="780"/>
      <c r="B346" s="779"/>
      <c r="C346" s="766" t="s">
        <v>73</v>
      </c>
      <c r="D346" s="767">
        <f>D340</f>
        <v>1134738.67</v>
      </c>
      <c r="E346" s="618"/>
      <c r="F346" s="618"/>
      <c r="G346" s="618"/>
      <c r="H346" s="618"/>
      <c r="I346" s="618"/>
      <c r="J346" s="618"/>
      <c r="K346" s="618"/>
      <c r="L346" s="618"/>
      <c r="M346" s="618"/>
      <c r="N346" s="618"/>
      <c r="O346" s="618"/>
      <c r="P346" s="618"/>
      <c r="Q346" s="618"/>
      <c r="R346" s="618"/>
    </row>
    <row r="347" spans="1:18" ht="12.75" customHeight="1" x14ac:dyDescent="0.3">
      <c r="A347" s="617"/>
      <c r="D347" s="618"/>
      <c r="E347" s="618"/>
      <c r="F347" s="618"/>
      <c r="G347" s="618"/>
      <c r="H347" s="618"/>
      <c r="I347" s="618"/>
      <c r="J347" s="618"/>
      <c r="K347" s="618"/>
      <c r="L347" s="618"/>
      <c r="M347" s="618"/>
      <c r="N347" s="618"/>
      <c r="O347" s="618"/>
      <c r="P347" s="618"/>
      <c r="Q347" s="618"/>
      <c r="R347" s="618"/>
    </row>
    <row r="348" spans="1:18" ht="12.75" customHeight="1" x14ac:dyDescent="0.25">
      <c r="A348" s="780" t="s">
        <v>160</v>
      </c>
      <c r="B348" s="779" t="s">
        <v>132</v>
      </c>
      <c r="C348" s="632" t="s">
        <v>70</v>
      </c>
      <c r="D348" s="632">
        <v>0</v>
      </c>
      <c r="E348" s="632">
        <v>0</v>
      </c>
      <c r="F348" s="632">
        <v>0</v>
      </c>
      <c r="G348" s="632">
        <v>0</v>
      </c>
      <c r="H348" s="632">
        <v>0</v>
      </c>
      <c r="I348" s="632">
        <v>0</v>
      </c>
      <c r="J348" s="632">
        <v>0</v>
      </c>
      <c r="K348" s="632">
        <v>0</v>
      </c>
      <c r="L348" s="632">
        <v>0</v>
      </c>
      <c r="M348" s="632">
        <v>0</v>
      </c>
      <c r="N348" s="632">
        <v>0</v>
      </c>
      <c r="O348" s="632">
        <v>0</v>
      </c>
      <c r="P348" s="632">
        <v>0</v>
      </c>
      <c r="Q348" s="632">
        <v>0</v>
      </c>
      <c r="R348" s="632">
        <v>0</v>
      </c>
    </row>
    <row r="349" spans="1:18" ht="12.75" customHeight="1" x14ac:dyDescent="0.25">
      <c r="A349" s="780"/>
      <c r="B349" s="779"/>
      <c r="C349" s="632" t="s">
        <v>73</v>
      </c>
      <c r="D349" s="632">
        <v>0</v>
      </c>
      <c r="E349" s="618"/>
      <c r="F349" s="618"/>
      <c r="G349" s="618"/>
      <c r="H349" s="618"/>
      <c r="I349" s="618"/>
      <c r="J349" s="618"/>
      <c r="K349" s="618"/>
      <c r="L349" s="618"/>
      <c r="M349" s="618"/>
      <c r="N349" s="618"/>
      <c r="O349" s="618"/>
      <c r="P349" s="618"/>
      <c r="Q349" s="618"/>
      <c r="R349" s="618"/>
    </row>
    <row r="350" spans="1:18" ht="12.75" customHeight="1" x14ac:dyDescent="0.3">
      <c r="A350" s="617"/>
      <c r="D350" s="618"/>
      <c r="E350" s="618"/>
      <c r="F350" s="618"/>
      <c r="G350" s="618"/>
      <c r="H350" s="618"/>
      <c r="I350" s="618"/>
      <c r="J350" s="618"/>
      <c r="K350" s="618"/>
      <c r="L350" s="618"/>
      <c r="M350" s="618"/>
      <c r="N350" s="618"/>
      <c r="O350" s="618"/>
      <c r="P350" s="618"/>
      <c r="Q350" s="618"/>
      <c r="R350" s="618"/>
    </row>
    <row r="351" spans="1:18" ht="12.75" customHeight="1" x14ac:dyDescent="0.25">
      <c r="A351" s="780" t="s">
        <v>155</v>
      </c>
      <c r="B351" s="779" t="s">
        <v>132</v>
      </c>
      <c r="C351" s="633" t="s">
        <v>70</v>
      </c>
      <c r="D351" s="633">
        <f>D341-P341</f>
        <v>-4790099</v>
      </c>
      <c r="E351" s="633">
        <f t="shared" ref="E351:R351" si="14">E338</f>
        <v>-288872.46999999997</v>
      </c>
      <c r="F351" s="633">
        <f t="shared" si="14"/>
        <v>-159348.35</v>
      </c>
      <c r="G351" s="633">
        <f t="shared" si="14"/>
        <v>-81360.210000000006</v>
      </c>
      <c r="H351" s="633">
        <f t="shared" si="14"/>
        <v>-1166766.31</v>
      </c>
      <c r="I351" s="633">
        <f t="shared" si="14"/>
        <v>-56965.58</v>
      </c>
      <c r="J351" s="633">
        <f t="shared" si="14"/>
        <v>-498401.42</v>
      </c>
      <c r="K351" s="633">
        <f t="shared" si="14"/>
        <v>-466788.11</v>
      </c>
      <c r="L351" s="633">
        <f t="shared" si="14"/>
        <v>-2254795.06</v>
      </c>
      <c r="M351" s="633">
        <f t="shared" si="14"/>
        <v>-858640.26</v>
      </c>
      <c r="N351" s="633">
        <f t="shared" si="14"/>
        <v>-92941.78</v>
      </c>
      <c r="O351" s="633">
        <f t="shared" si="14"/>
        <v>41.97</v>
      </c>
      <c r="P351" s="633">
        <f t="shared" si="14"/>
        <v>0</v>
      </c>
      <c r="Q351" s="633">
        <f t="shared" si="14"/>
        <v>-0.09</v>
      </c>
      <c r="R351" s="633">
        <f t="shared" si="14"/>
        <v>0</v>
      </c>
    </row>
    <row r="352" spans="1:18" ht="12.75" customHeight="1" x14ac:dyDescent="0.25">
      <c r="A352" s="780"/>
      <c r="B352" s="779"/>
      <c r="C352" s="633" t="s">
        <v>73</v>
      </c>
      <c r="D352" s="633">
        <f>D340</f>
        <v>1134738.67</v>
      </c>
      <c r="E352" s="618"/>
      <c r="F352" s="618"/>
      <c r="G352" s="618"/>
      <c r="H352" s="618"/>
      <c r="I352" s="618"/>
      <c r="J352" s="618"/>
      <c r="K352" s="618"/>
      <c r="L352" s="618"/>
      <c r="M352" s="618"/>
      <c r="N352" s="618"/>
      <c r="O352" s="618"/>
      <c r="P352" s="618"/>
      <c r="Q352" s="618"/>
    </row>
    <row r="353" spans="1:18" ht="12.75" customHeight="1" x14ac:dyDescent="0.3">
      <c r="A353" s="617"/>
      <c r="D353" s="618"/>
      <c r="E353" s="618"/>
      <c r="F353" s="618"/>
      <c r="G353" s="618"/>
      <c r="H353" s="618"/>
      <c r="I353" s="618"/>
      <c r="J353" s="618"/>
      <c r="K353" s="618"/>
      <c r="L353" s="618"/>
      <c r="M353" s="618"/>
      <c r="N353" s="618"/>
      <c r="O353" s="618"/>
      <c r="P353" s="618"/>
      <c r="Q353" s="618"/>
    </row>
    <row r="354" spans="1:18" ht="12.75" customHeight="1" x14ac:dyDescent="0.25">
      <c r="A354" s="781" t="s">
        <v>326</v>
      </c>
      <c r="B354" s="779" t="s">
        <v>132</v>
      </c>
      <c r="C354" s="633" t="s">
        <v>70</v>
      </c>
      <c r="D354" s="720">
        <v>0</v>
      </c>
      <c r="E354" s="720">
        <v>0</v>
      </c>
      <c r="F354" s="720">
        <v>0</v>
      </c>
      <c r="G354" s="720">
        <v>0</v>
      </c>
      <c r="H354" s="720">
        <v>0</v>
      </c>
      <c r="I354" s="720">
        <v>0</v>
      </c>
      <c r="J354" s="720">
        <v>0</v>
      </c>
      <c r="K354" s="720">
        <v>0</v>
      </c>
      <c r="L354" s="720">
        <v>0</v>
      </c>
      <c r="M354" s="720">
        <v>0</v>
      </c>
      <c r="N354" s="720">
        <v>0</v>
      </c>
      <c r="O354" s="720">
        <v>0</v>
      </c>
      <c r="P354" s="720">
        <v>0</v>
      </c>
      <c r="Q354" s="720">
        <v>0</v>
      </c>
      <c r="R354" s="720">
        <v>0</v>
      </c>
    </row>
    <row r="355" spans="1:18" ht="12.75" customHeight="1" x14ac:dyDescent="0.25">
      <c r="A355" s="781"/>
      <c r="B355" s="779"/>
      <c r="C355" s="633" t="s">
        <v>73</v>
      </c>
      <c r="D355" s="720">
        <v>0</v>
      </c>
      <c r="E355" s="618"/>
      <c r="F355" s="618"/>
      <c r="G355" s="618"/>
      <c r="H355" s="618"/>
      <c r="I355" s="618"/>
      <c r="J355" s="618"/>
      <c r="K355" s="618"/>
      <c r="L355" s="618"/>
      <c r="M355" s="618"/>
      <c r="N355" s="618"/>
      <c r="O355" s="618"/>
      <c r="P355" s="618"/>
      <c r="Q355" s="618"/>
    </row>
    <row r="356" spans="1:18" ht="12.75" customHeight="1" x14ac:dyDescent="0.3">
      <c r="A356" s="617"/>
      <c r="D356" s="618"/>
      <c r="E356" s="618"/>
      <c r="F356" s="618"/>
      <c r="G356" s="618"/>
      <c r="H356" s="618"/>
      <c r="I356" s="618"/>
      <c r="J356" s="618"/>
      <c r="K356" s="618"/>
      <c r="L356" s="618"/>
      <c r="M356" s="618"/>
      <c r="N356" s="618"/>
      <c r="O356" s="618"/>
      <c r="P356" s="618"/>
      <c r="Q356" s="618"/>
    </row>
    <row r="357" spans="1:18" ht="12.75" customHeight="1" x14ac:dyDescent="0.25">
      <c r="A357" s="780" t="s">
        <v>119</v>
      </c>
      <c r="B357" s="779" t="s">
        <v>132</v>
      </c>
      <c r="C357" s="628" t="s">
        <v>70</v>
      </c>
      <c r="D357" s="628">
        <v>0</v>
      </c>
      <c r="E357" s="628">
        <v>0</v>
      </c>
      <c r="F357" s="628">
        <v>0</v>
      </c>
      <c r="G357" s="628">
        <v>0</v>
      </c>
      <c r="H357" s="628">
        <v>0</v>
      </c>
      <c r="I357" s="628">
        <v>0</v>
      </c>
      <c r="J357" s="628">
        <v>0</v>
      </c>
      <c r="K357" s="628">
        <v>0</v>
      </c>
      <c r="L357" s="628">
        <v>0</v>
      </c>
      <c r="M357" s="628">
        <v>0</v>
      </c>
      <c r="N357" s="628">
        <v>0</v>
      </c>
      <c r="O357" s="628">
        <v>0</v>
      </c>
      <c r="P357" s="628">
        <v>0</v>
      </c>
      <c r="Q357" s="628">
        <v>0</v>
      </c>
      <c r="R357" s="628">
        <v>0</v>
      </c>
    </row>
    <row r="358" spans="1:18" ht="12.75" customHeight="1" x14ac:dyDescent="0.25">
      <c r="A358" s="780"/>
      <c r="B358" s="779"/>
      <c r="C358" s="628" t="s">
        <v>73</v>
      </c>
      <c r="D358" s="629">
        <v>0</v>
      </c>
      <c r="E358" s="618"/>
      <c r="F358" s="618"/>
      <c r="G358" s="618"/>
      <c r="H358" s="618"/>
      <c r="I358" s="618"/>
      <c r="J358" s="618"/>
      <c r="K358" s="618"/>
      <c r="L358" s="618"/>
      <c r="M358" s="618"/>
      <c r="N358" s="618"/>
      <c r="O358" s="618"/>
      <c r="P358" s="618"/>
      <c r="Q358" s="618"/>
    </row>
    <row r="359" spans="1:18" ht="12.75" customHeight="1" x14ac:dyDescent="0.3">
      <c r="A359" s="617"/>
      <c r="D359" s="618"/>
      <c r="E359" s="618"/>
      <c r="F359" s="618"/>
      <c r="G359" s="618"/>
      <c r="H359" s="618"/>
      <c r="I359" s="618"/>
      <c r="J359" s="618"/>
      <c r="K359" s="618"/>
      <c r="L359" s="618"/>
      <c r="M359" s="618"/>
      <c r="N359" s="618"/>
      <c r="O359" s="618"/>
      <c r="P359" s="618"/>
      <c r="Q359" s="618"/>
    </row>
    <row r="360" spans="1:18" x14ac:dyDescent="0.25">
      <c r="A360" s="778" t="s">
        <v>161</v>
      </c>
      <c r="B360" s="779" t="s">
        <v>132</v>
      </c>
      <c r="C360" s="634" t="s">
        <v>70</v>
      </c>
      <c r="D360" s="634">
        <v>0</v>
      </c>
      <c r="E360" s="634">
        <v>0</v>
      </c>
      <c r="F360" s="634">
        <v>0</v>
      </c>
      <c r="G360" s="634">
        <v>0</v>
      </c>
      <c r="H360" s="634">
        <v>0</v>
      </c>
      <c r="I360" s="634">
        <v>0</v>
      </c>
      <c r="J360" s="634">
        <v>0</v>
      </c>
      <c r="K360" s="634">
        <v>0</v>
      </c>
      <c r="L360" s="634">
        <v>0</v>
      </c>
      <c r="M360" s="634">
        <v>0</v>
      </c>
      <c r="N360" s="634">
        <v>0</v>
      </c>
      <c r="O360" s="634">
        <v>0</v>
      </c>
      <c r="P360" s="634">
        <v>0</v>
      </c>
      <c r="Q360" s="634">
        <v>0</v>
      </c>
      <c r="R360" s="634">
        <v>0</v>
      </c>
    </row>
    <row r="361" spans="1:18" x14ac:dyDescent="0.25">
      <c r="A361" s="778"/>
      <c r="B361" s="779"/>
      <c r="C361" s="634" t="s">
        <v>73</v>
      </c>
      <c r="D361" s="634">
        <v>0</v>
      </c>
      <c r="E361" s="618"/>
      <c r="F361" s="618"/>
      <c r="G361" s="618"/>
      <c r="H361" s="618"/>
      <c r="I361" s="618"/>
      <c r="J361" s="618"/>
      <c r="K361" s="618"/>
      <c r="L361" s="618"/>
      <c r="M361" s="618"/>
      <c r="N361" s="618"/>
      <c r="O361" s="618"/>
      <c r="P361" s="618"/>
      <c r="Q361" s="618"/>
    </row>
    <row r="362" spans="1:18" s="635" customFormat="1" x14ac:dyDescent="0.25"/>
    <row r="365" spans="1:18" x14ac:dyDescent="0.25">
      <c r="D365" s="616">
        <f t="shared" ref="D365:R365" si="15">D70+D170+D201+D316+D345</f>
        <v>-237590684.09</v>
      </c>
      <c r="E365" s="616">
        <f t="shared" si="15"/>
        <v>-15606289.689999999</v>
      </c>
      <c r="F365" s="616">
        <f t="shared" si="15"/>
        <v>-8463236.790000001</v>
      </c>
      <c r="G365" s="616">
        <f t="shared" si="15"/>
        <v>-4382795.74</v>
      </c>
      <c r="H365" s="616">
        <f t="shared" si="15"/>
        <v>-56108064.860000007</v>
      </c>
      <c r="I365" s="616">
        <f t="shared" si="15"/>
        <v>-2000991.46</v>
      </c>
      <c r="J365" s="616">
        <f t="shared" si="15"/>
        <v>-17509184.609999999</v>
      </c>
      <c r="K365" s="616">
        <f t="shared" si="15"/>
        <v>-17785384.960000001</v>
      </c>
      <c r="L365" s="616">
        <f t="shared" si="15"/>
        <v>-86335003.629999995</v>
      </c>
      <c r="M365" s="616">
        <f t="shared" si="15"/>
        <v>-39202124.019999996</v>
      </c>
      <c r="N365" s="616">
        <f t="shared" si="15"/>
        <v>-3268151.51</v>
      </c>
      <c r="O365" s="616">
        <f t="shared" si="15"/>
        <v>-11.949999999999982</v>
      </c>
      <c r="P365" s="616">
        <f t="shared" si="15"/>
        <v>-49900.44</v>
      </c>
      <c r="Q365" s="616">
        <f t="shared" si="15"/>
        <v>-10.25</v>
      </c>
      <c r="R365" s="616">
        <f t="shared" si="15"/>
        <v>481.94</v>
      </c>
    </row>
    <row r="366" spans="1:18" x14ac:dyDescent="0.25">
      <c r="D366" s="616">
        <f>D71+D171+D202+D317+D346</f>
        <v>13070083.439999999</v>
      </c>
    </row>
  </sheetData>
  <mergeCells count="60">
    <mergeCell ref="A79:A80"/>
    <mergeCell ref="B79:B80"/>
    <mergeCell ref="A179:A180"/>
    <mergeCell ref="B179:B180"/>
    <mergeCell ref="A210:A211"/>
    <mergeCell ref="B210:B211"/>
    <mergeCell ref="A82:A83"/>
    <mergeCell ref="B82:B83"/>
    <mergeCell ref="A85:A86"/>
    <mergeCell ref="B85:B86"/>
    <mergeCell ref="A170:A171"/>
    <mergeCell ref="B170:B171"/>
    <mergeCell ref="A173:A174"/>
    <mergeCell ref="B173:B174"/>
    <mergeCell ref="A176:A177"/>
    <mergeCell ref="B176:B177"/>
    <mergeCell ref="A70:A71"/>
    <mergeCell ref="B70:B71"/>
    <mergeCell ref="A73:A74"/>
    <mergeCell ref="B73:B74"/>
    <mergeCell ref="A76:A77"/>
    <mergeCell ref="B76:B77"/>
    <mergeCell ref="A182:A183"/>
    <mergeCell ref="B182:B183"/>
    <mergeCell ref="A185:A186"/>
    <mergeCell ref="B185:B186"/>
    <mergeCell ref="A201:A202"/>
    <mergeCell ref="B201:B202"/>
    <mergeCell ref="A204:A205"/>
    <mergeCell ref="B204:B205"/>
    <mergeCell ref="A207:A208"/>
    <mergeCell ref="B207:B208"/>
    <mergeCell ref="A213:A214"/>
    <mergeCell ref="B213:B214"/>
    <mergeCell ref="A216:A217"/>
    <mergeCell ref="B216:B217"/>
    <mergeCell ref="A316:A317"/>
    <mergeCell ref="B316:B317"/>
    <mergeCell ref="A319:A320"/>
    <mergeCell ref="B319:B320"/>
    <mergeCell ref="A322:A323"/>
    <mergeCell ref="B322:B323"/>
    <mergeCell ref="A328:A329"/>
    <mergeCell ref="B328:B329"/>
    <mergeCell ref="A325:A326"/>
    <mergeCell ref="B325:B326"/>
    <mergeCell ref="A331:A332"/>
    <mergeCell ref="B331:B332"/>
    <mergeCell ref="A345:A346"/>
    <mergeCell ref="B345:B346"/>
    <mergeCell ref="A360:A361"/>
    <mergeCell ref="B360:B361"/>
    <mergeCell ref="A348:A349"/>
    <mergeCell ref="B348:B349"/>
    <mergeCell ref="A351:A352"/>
    <mergeCell ref="B351:B352"/>
    <mergeCell ref="A357:A358"/>
    <mergeCell ref="B357:B358"/>
    <mergeCell ref="A354:A355"/>
    <mergeCell ref="B354:B355"/>
  </mergeCells>
  <conditionalFormatting sqref="D72:D86 D170:D186 D201:D217 D316:D332 D345:D361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1"/>
  <sheetViews>
    <sheetView topLeftCell="A37" zoomScale="90" zoomScaleNormal="90" workbookViewId="0">
      <selection activeCell="G65" sqref="G65"/>
    </sheetView>
  </sheetViews>
  <sheetFormatPr baseColWidth="10" defaultRowHeight="12.5" x14ac:dyDescent="0.25"/>
  <cols>
    <col min="2" max="2" width="24.453125" bestFit="1" customWidth="1"/>
    <col min="3" max="3" width="17" style="144" bestFit="1" customWidth="1"/>
    <col min="4" max="4" width="23.1796875" bestFit="1" customWidth="1"/>
    <col min="5" max="5" width="15.81640625" bestFit="1" customWidth="1"/>
    <col min="6" max="6" width="16.1796875" customWidth="1"/>
    <col min="7" max="7" width="15.453125" bestFit="1" customWidth="1"/>
    <col min="8" max="8" width="15" bestFit="1" customWidth="1"/>
    <col min="9" max="9" width="15.1796875" bestFit="1" customWidth="1"/>
    <col min="10" max="10" width="17" bestFit="1" customWidth="1"/>
    <col min="11" max="12" width="15.54296875" bestFit="1" customWidth="1"/>
    <col min="13" max="13" width="15.1796875" bestFit="1" customWidth="1"/>
    <col min="14" max="14" width="17.81640625" bestFit="1" customWidth="1"/>
    <col min="15" max="15" width="15.54296875" customWidth="1"/>
    <col min="16" max="16" width="20.453125" bestFit="1" customWidth="1"/>
  </cols>
  <sheetData>
    <row r="1" spans="1:16" ht="13" x14ac:dyDescent="0.3">
      <c r="B1" s="97" t="s">
        <v>74</v>
      </c>
    </row>
    <row r="2" spans="1:16" ht="12.75" customHeight="1" x14ac:dyDescent="0.25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5">
      <c r="B3" s="89" t="s">
        <v>72</v>
      </c>
      <c r="C3" s="90">
        <v>610474.63</v>
      </c>
      <c r="D3" s="90">
        <v>31457.17</v>
      </c>
      <c r="E3" s="90">
        <v>17527.740000000002</v>
      </c>
      <c r="F3" s="90">
        <v>8747.16</v>
      </c>
      <c r="G3" s="90">
        <v>161245.56</v>
      </c>
      <c r="H3" s="90">
        <v>5296.18</v>
      </c>
      <c r="I3" s="90">
        <v>0</v>
      </c>
      <c r="J3" s="90">
        <v>49817.24</v>
      </c>
      <c r="K3" s="90">
        <v>43798.38</v>
      </c>
      <c r="L3" s="90">
        <v>198669.66</v>
      </c>
      <c r="M3" s="90">
        <v>85917.24</v>
      </c>
      <c r="N3" s="90">
        <v>7999.99</v>
      </c>
      <c r="O3" s="90">
        <v>-1.69</v>
      </c>
    </row>
    <row r="4" spans="1:16" ht="12.75" customHeight="1" x14ac:dyDescent="0.25">
      <c r="A4" s="376" t="s">
        <v>78</v>
      </c>
      <c r="B4" s="376" t="s">
        <v>70</v>
      </c>
      <c r="C4" s="377">
        <v>610474.63</v>
      </c>
      <c r="D4" s="377">
        <v>31457.17</v>
      </c>
      <c r="E4" s="377">
        <v>17527.740000000002</v>
      </c>
      <c r="F4" s="377">
        <v>8747.16</v>
      </c>
      <c r="G4" s="377">
        <v>161245.56</v>
      </c>
      <c r="H4" s="377">
        <v>5296.18</v>
      </c>
      <c r="I4" s="377">
        <v>0</v>
      </c>
      <c r="J4" s="377">
        <v>49817.24</v>
      </c>
      <c r="K4" s="377">
        <v>43798.38</v>
      </c>
      <c r="L4" s="377">
        <v>198669.66</v>
      </c>
      <c r="M4" s="377">
        <v>85917.24</v>
      </c>
      <c r="N4" s="377">
        <v>7999.99</v>
      </c>
      <c r="O4" s="377">
        <v>-1.69</v>
      </c>
      <c r="P4" s="378"/>
    </row>
    <row r="5" spans="1:16" ht="12.75" customHeight="1" x14ac:dyDescent="0.25">
      <c r="B5" s="89" t="s">
        <v>73</v>
      </c>
      <c r="C5" s="90">
        <v>-21467.71</v>
      </c>
      <c r="D5" s="90">
        <v>1021.25</v>
      </c>
      <c r="E5" s="90">
        <v>569.02</v>
      </c>
      <c r="F5" s="90">
        <v>302.68</v>
      </c>
      <c r="G5" s="90">
        <v>-11805.23</v>
      </c>
      <c r="H5" s="90">
        <v>-273.33999999999997</v>
      </c>
      <c r="I5" s="90">
        <v>0</v>
      </c>
      <c r="J5" s="90">
        <v>-3741.84</v>
      </c>
      <c r="K5" s="90">
        <v>-1666.65</v>
      </c>
      <c r="L5" s="90">
        <v>-8216.89</v>
      </c>
      <c r="M5" s="90">
        <v>2789.29</v>
      </c>
      <c r="N5" s="90">
        <v>-446</v>
      </c>
      <c r="O5" s="90">
        <v>0</v>
      </c>
    </row>
    <row r="6" spans="1:16" ht="12.75" customHeight="1" x14ac:dyDescent="0.25">
      <c r="A6" s="373" t="s">
        <v>79</v>
      </c>
      <c r="B6" s="373" t="s">
        <v>70</v>
      </c>
      <c r="C6" s="374">
        <v>-21467.71</v>
      </c>
      <c r="D6" s="374">
        <v>1021.25</v>
      </c>
      <c r="E6" s="374">
        <v>569.02</v>
      </c>
      <c r="F6" s="374">
        <v>302.68</v>
      </c>
      <c r="G6" s="374">
        <v>-11805.23</v>
      </c>
      <c r="H6" s="374">
        <v>-273.33999999999997</v>
      </c>
      <c r="I6" s="374">
        <v>0</v>
      </c>
      <c r="J6" s="374">
        <v>-3741.84</v>
      </c>
      <c r="K6" s="374">
        <v>-1666.65</v>
      </c>
      <c r="L6" s="374">
        <v>-8216.89</v>
      </c>
      <c r="M6" s="374">
        <v>2789.29</v>
      </c>
      <c r="N6" s="374">
        <v>-446</v>
      </c>
      <c r="O6" s="374">
        <v>0</v>
      </c>
      <c r="P6" s="372"/>
    </row>
    <row r="7" spans="1:16" ht="12.75" customHeight="1" x14ac:dyDescent="0.25">
      <c r="A7" s="89" t="s">
        <v>70</v>
      </c>
      <c r="C7" s="90">
        <v>589006.92000000004</v>
      </c>
      <c r="D7" s="90">
        <v>32478.42</v>
      </c>
      <c r="E7" s="90">
        <v>18096.759999999998</v>
      </c>
      <c r="F7" s="90">
        <v>9049.84</v>
      </c>
      <c r="G7" s="90">
        <v>149440.32999999999</v>
      </c>
      <c r="H7" s="90">
        <v>5022.84</v>
      </c>
      <c r="I7" s="90">
        <v>0</v>
      </c>
      <c r="J7" s="90">
        <v>46075.4</v>
      </c>
      <c r="K7" s="90">
        <v>42131.73</v>
      </c>
      <c r="L7" s="90">
        <v>190452.77</v>
      </c>
      <c r="M7" s="90">
        <v>88706.53</v>
      </c>
      <c r="N7" s="90">
        <v>7553.99</v>
      </c>
      <c r="O7" s="90">
        <v>-1.69</v>
      </c>
    </row>
    <row r="8" spans="1:16" ht="12.75" customHeight="1" x14ac:dyDescent="0.25"/>
    <row r="9" spans="1:16" ht="12.75" customHeight="1" x14ac:dyDescent="0.25">
      <c r="B9" s="145" t="s">
        <v>70</v>
      </c>
      <c r="C9" s="99">
        <f>C7-I7</f>
        <v>589006.92000000004</v>
      </c>
      <c r="D9" s="99">
        <f>D4</f>
        <v>31457.17</v>
      </c>
      <c r="E9" s="99">
        <f t="shared" ref="E9:P9" si="0">E4</f>
        <v>17527.740000000002</v>
      </c>
      <c r="F9" s="99">
        <f t="shared" si="0"/>
        <v>8747.16</v>
      </c>
      <c r="G9" s="99">
        <f t="shared" si="0"/>
        <v>161245.56</v>
      </c>
      <c r="H9" s="99">
        <f t="shared" si="0"/>
        <v>5296.18</v>
      </c>
      <c r="I9" s="99">
        <f t="shared" si="0"/>
        <v>0</v>
      </c>
      <c r="J9" s="99">
        <f t="shared" si="0"/>
        <v>49817.24</v>
      </c>
      <c r="K9" s="99">
        <f t="shared" si="0"/>
        <v>43798.38</v>
      </c>
      <c r="L9" s="99">
        <f t="shared" si="0"/>
        <v>198669.66</v>
      </c>
      <c r="M9" s="99">
        <f t="shared" si="0"/>
        <v>85917.24</v>
      </c>
      <c r="N9" s="99">
        <f t="shared" si="0"/>
        <v>7999.99</v>
      </c>
      <c r="O9" s="99">
        <f>O4</f>
        <v>-1.69</v>
      </c>
      <c r="P9" s="99">
        <f t="shared" si="0"/>
        <v>0</v>
      </c>
    </row>
    <row r="10" spans="1:16" ht="12.75" customHeight="1" x14ac:dyDescent="0.25">
      <c r="B10" s="145" t="s">
        <v>73</v>
      </c>
      <c r="C10" s="99">
        <f>C6</f>
        <v>-21467.71</v>
      </c>
      <c r="D10" s="150"/>
    </row>
    <row r="11" spans="1:16" x14ac:dyDescent="0.25">
      <c r="D11" s="150"/>
    </row>
    <row r="12" spans="1:16" x14ac:dyDescent="0.25">
      <c r="A12" s="94"/>
      <c r="B12" s="94"/>
      <c r="C12" s="146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</row>
    <row r="13" spans="1:16" ht="13" x14ac:dyDescent="0.3">
      <c r="B13" s="97" t="s">
        <v>75</v>
      </c>
    </row>
    <row r="14" spans="1:16" ht="12.75" customHeight="1" x14ac:dyDescent="0.25">
      <c r="C14" s="89" t="s">
        <v>70</v>
      </c>
      <c r="D14" s="89" t="s">
        <v>64</v>
      </c>
      <c r="E14" s="89" t="s">
        <v>65</v>
      </c>
      <c r="F14" s="219" t="s">
        <v>164</v>
      </c>
      <c r="G14" s="89" t="s">
        <v>69</v>
      </c>
      <c r="H14" s="89" t="s">
        <v>68</v>
      </c>
      <c r="I14" s="89" t="s">
        <v>83</v>
      </c>
      <c r="J14" s="89" t="s">
        <v>66</v>
      </c>
      <c r="K14" s="89" t="s">
        <v>63</v>
      </c>
      <c r="L14" s="89" t="s">
        <v>61</v>
      </c>
      <c r="M14" s="89" t="s">
        <v>62</v>
      </c>
      <c r="N14" s="89" t="s">
        <v>67</v>
      </c>
      <c r="O14" s="89" t="s">
        <v>84</v>
      </c>
    </row>
    <row r="15" spans="1:16" ht="12.75" customHeight="1" x14ac:dyDescent="0.25">
      <c r="B15" t="s">
        <v>72</v>
      </c>
      <c r="C15" s="89">
        <v>1892491.93</v>
      </c>
      <c r="D15" s="89">
        <v>163064.18</v>
      </c>
      <c r="E15" s="89">
        <v>104049.98</v>
      </c>
      <c r="F15" s="384">
        <v>29276.94</v>
      </c>
      <c r="G15" s="89">
        <v>518383.42</v>
      </c>
      <c r="H15" s="89">
        <v>16747.23</v>
      </c>
      <c r="I15" s="89">
        <v>0</v>
      </c>
      <c r="J15" s="89">
        <v>129955.32</v>
      </c>
      <c r="K15" s="89">
        <v>129030.3</v>
      </c>
      <c r="L15" s="89">
        <v>466888.64</v>
      </c>
      <c r="M15" s="89">
        <v>319038.69</v>
      </c>
      <c r="N15" s="89">
        <v>16066.11</v>
      </c>
      <c r="O15" s="89">
        <v>-8.8800000000000008</v>
      </c>
    </row>
    <row r="16" spans="1:16" ht="12.75" customHeight="1" x14ac:dyDescent="0.25">
      <c r="B16" t="s">
        <v>81</v>
      </c>
      <c r="C16" s="89">
        <v>3621.15</v>
      </c>
      <c r="D16" s="89">
        <v>345.13</v>
      </c>
      <c r="E16" s="89">
        <v>194.86</v>
      </c>
      <c r="F16" s="384">
        <v>102.27</v>
      </c>
      <c r="G16" s="89">
        <v>783.49</v>
      </c>
      <c r="H16" s="89">
        <v>25.09</v>
      </c>
      <c r="I16" s="89">
        <v>0</v>
      </c>
      <c r="J16" s="89">
        <v>220.11</v>
      </c>
      <c r="K16" s="89">
        <v>213.42</v>
      </c>
      <c r="L16" s="89">
        <v>1010.61</v>
      </c>
      <c r="M16" s="89">
        <v>685.23</v>
      </c>
      <c r="N16" s="89">
        <v>40.94</v>
      </c>
      <c r="O16" s="89">
        <v>0</v>
      </c>
    </row>
    <row r="17" spans="1:16" ht="12.75" customHeight="1" x14ac:dyDescent="0.25">
      <c r="A17" s="376" t="s">
        <v>78</v>
      </c>
      <c r="B17" s="376" t="s">
        <v>70</v>
      </c>
      <c r="C17" s="377">
        <v>1896113.08</v>
      </c>
      <c r="D17" s="377">
        <v>163409.31</v>
      </c>
      <c r="E17" s="377">
        <v>104244.84</v>
      </c>
      <c r="F17" s="377">
        <v>29379.21</v>
      </c>
      <c r="G17" s="377">
        <v>519166.91</v>
      </c>
      <c r="H17" s="377">
        <v>16772.32</v>
      </c>
      <c r="I17" s="377">
        <v>0</v>
      </c>
      <c r="J17" s="377">
        <v>130175.43</v>
      </c>
      <c r="K17" s="377">
        <v>129243.72</v>
      </c>
      <c r="L17" s="377">
        <v>467899.25</v>
      </c>
      <c r="M17" s="377">
        <v>319723.92</v>
      </c>
      <c r="N17" s="377">
        <v>16107.05</v>
      </c>
      <c r="O17" s="377">
        <v>-8.8800000000000008</v>
      </c>
      <c r="P17" s="378"/>
    </row>
    <row r="18" spans="1:16" ht="12.75" customHeight="1" x14ac:dyDescent="0.25">
      <c r="B18" s="89" t="s">
        <v>73</v>
      </c>
      <c r="C18" s="90">
        <v>-640396.29</v>
      </c>
      <c r="D18" s="90">
        <v>-32142.69</v>
      </c>
      <c r="E18" s="90">
        <v>-15328.96</v>
      </c>
      <c r="F18" s="90">
        <v>-9507.4699999999993</v>
      </c>
      <c r="G18" s="90">
        <v>-164746.93</v>
      </c>
      <c r="H18" s="90">
        <v>-5636</v>
      </c>
      <c r="I18" s="90">
        <v>0</v>
      </c>
      <c r="J18" s="90">
        <v>-68052.5</v>
      </c>
      <c r="K18" s="90">
        <v>-49800.77</v>
      </c>
      <c r="L18" s="90">
        <v>-222045.88</v>
      </c>
      <c r="M18" s="90">
        <v>-64569.3</v>
      </c>
      <c r="N18" s="90">
        <v>-8565.7900000000009</v>
      </c>
      <c r="O18" s="90">
        <v>0</v>
      </c>
    </row>
    <row r="19" spans="1:16" ht="12.75" customHeight="1" x14ac:dyDescent="0.25">
      <c r="A19" s="373" t="s">
        <v>79</v>
      </c>
      <c r="B19" s="373" t="s">
        <v>70</v>
      </c>
      <c r="C19" s="374">
        <v>-640396.29</v>
      </c>
      <c r="D19" s="374">
        <v>-32142.69</v>
      </c>
      <c r="E19" s="374">
        <v>-15328.96</v>
      </c>
      <c r="F19" s="374">
        <v>-9507.4699999999993</v>
      </c>
      <c r="G19" s="374">
        <v>-164746.93</v>
      </c>
      <c r="H19" s="374">
        <v>-5636</v>
      </c>
      <c r="I19" s="374">
        <v>0</v>
      </c>
      <c r="J19" s="374">
        <v>-68052.5</v>
      </c>
      <c r="K19" s="374">
        <v>-49800.77</v>
      </c>
      <c r="L19" s="374">
        <v>-222045.88</v>
      </c>
      <c r="M19" s="374">
        <v>-64569.3</v>
      </c>
      <c r="N19" s="374">
        <v>-8565.7900000000009</v>
      </c>
      <c r="O19" s="374">
        <v>0</v>
      </c>
      <c r="P19" s="372"/>
    </row>
    <row r="20" spans="1:16" ht="12.75" customHeight="1" x14ac:dyDescent="0.25">
      <c r="A20" s="89" t="s">
        <v>70</v>
      </c>
      <c r="C20" s="90">
        <v>1255716.79</v>
      </c>
      <c r="D20" s="90">
        <v>131266.62</v>
      </c>
      <c r="E20" s="90">
        <v>88915.88</v>
      </c>
      <c r="F20" s="90">
        <v>19871.740000000002</v>
      </c>
      <c r="G20" s="90">
        <v>354419.98</v>
      </c>
      <c r="H20" s="90">
        <v>11136.32</v>
      </c>
      <c r="I20" s="90">
        <v>0</v>
      </c>
      <c r="J20" s="90">
        <v>62122.93</v>
      </c>
      <c r="K20" s="90">
        <v>79442.95</v>
      </c>
      <c r="L20" s="90">
        <v>245853.37</v>
      </c>
      <c r="M20" s="90">
        <v>255154.62</v>
      </c>
      <c r="N20" s="90">
        <v>7541.26</v>
      </c>
      <c r="O20" s="90">
        <v>-8.8800000000000008</v>
      </c>
    </row>
    <row r="21" spans="1:16" ht="12.75" customHeight="1" x14ac:dyDescent="0.25">
      <c r="A21" s="89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</row>
    <row r="22" spans="1:16" ht="12.75" customHeight="1" x14ac:dyDescent="0.25">
      <c r="B22" s="145" t="s">
        <v>70</v>
      </c>
      <c r="C22" s="99">
        <f>C20-I20</f>
        <v>1255716.79</v>
      </c>
      <c r="D22" s="99">
        <f>D17</f>
        <v>163409.31</v>
      </c>
      <c r="E22" s="99">
        <f t="shared" ref="E22:P22" si="1">E17</f>
        <v>104244.84</v>
      </c>
      <c r="F22" s="99">
        <f t="shared" si="1"/>
        <v>29379.21</v>
      </c>
      <c r="G22" s="99">
        <f t="shared" si="1"/>
        <v>519166.91</v>
      </c>
      <c r="H22" s="99">
        <f t="shared" si="1"/>
        <v>16772.32</v>
      </c>
      <c r="I22" s="99">
        <f t="shared" si="1"/>
        <v>0</v>
      </c>
      <c r="J22" s="99">
        <f t="shared" si="1"/>
        <v>130175.43</v>
      </c>
      <c r="K22" s="99">
        <f t="shared" si="1"/>
        <v>129243.72</v>
      </c>
      <c r="L22" s="99">
        <f t="shared" si="1"/>
        <v>467899.25</v>
      </c>
      <c r="M22" s="99">
        <f t="shared" si="1"/>
        <v>319723.92</v>
      </c>
      <c r="N22" s="99">
        <f t="shared" si="1"/>
        <v>16107.05</v>
      </c>
      <c r="O22" s="99">
        <f>O17</f>
        <v>-8.8800000000000008</v>
      </c>
      <c r="P22" s="99">
        <f t="shared" si="1"/>
        <v>0</v>
      </c>
    </row>
    <row r="23" spans="1:16" ht="12.75" customHeight="1" x14ac:dyDescent="0.25">
      <c r="B23" s="145" t="s">
        <v>73</v>
      </c>
      <c r="C23" s="99">
        <f>C19</f>
        <v>-640396.29</v>
      </c>
    </row>
    <row r="25" spans="1:16" x14ac:dyDescent="0.25">
      <c r="A25" s="94"/>
      <c r="B25" s="94"/>
      <c r="C25" s="146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</row>
    <row r="26" spans="1:16" ht="13" x14ac:dyDescent="0.3">
      <c r="B26" s="97" t="s">
        <v>76</v>
      </c>
    </row>
    <row r="27" spans="1:16" ht="12.75" customHeight="1" x14ac:dyDescent="0.25">
      <c r="C27" s="89" t="s">
        <v>70</v>
      </c>
      <c r="D27" s="89" t="s">
        <v>64</v>
      </c>
      <c r="E27" s="89" t="s">
        <v>65</v>
      </c>
      <c r="F27" s="219" t="s">
        <v>164</v>
      </c>
      <c r="G27" s="89" t="s">
        <v>69</v>
      </c>
      <c r="H27" s="89" t="s">
        <v>68</v>
      </c>
      <c r="I27" s="89" t="s">
        <v>83</v>
      </c>
      <c r="J27" s="89" t="s">
        <v>66</v>
      </c>
      <c r="K27" s="89" t="s">
        <v>63</v>
      </c>
      <c r="L27" s="89" t="s">
        <v>61</v>
      </c>
      <c r="M27" s="89" t="s">
        <v>62</v>
      </c>
      <c r="N27" s="89" t="s">
        <v>67</v>
      </c>
      <c r="O27" s="89" t="s">
        <v>84</v>
      </c>
    </row>
    <row r="28" spans="1:16" ht="12.75" customHeight="1" x14ac:dyDescent="0.25">
      <c r="B28" s="89" t="s">
        <v>72</v>
      </c>
      <c r="C28" s="90">
        <v>92308.17</v>
      </c>
      <c r="D28" s="90">
        <v>6267.13</v>
      </c>
      <c r="E28" s="90">
        <v>3492.01</v>
      </c>
      <c r="F28" s="90">
        <v>1857.22</v>
      </c>
      <c r="G28" s="90">
        <v>21047.14</v>
      </c>
      <c r="H28" s="90">
        <v>743.08</v>
      </c>
      <c r="I28" s="90">
        <v>0</v>
      </c>
      <c r="J28" s="90">
        <v>6518.28</v>
      </c>
      <c r="K28" s="90">
        <v>6377.76</v>
      </c>
      <c r="L28" s="90">
        <v>29933.14</v>
      </c>
      <c r="M28" s="90">
        <v>14860.01</v>
      </c>
      <c r="N28" s="90">
        <v>1212.4000000000001</v>
      </c>
      <c r="O28" s="90">
        <v>0</v>
      </c>
    </row>
    <row r="29" spans="1:16" ht="12.75" customHeight="1" x14ac:dyDescent="0.25">
      <c r="A29" s="376" t="s">
        <v>78</v>
      </c>
      <c r="B29" s="376" t="s">
        <v>70</v>
      </c>
      <c r="C29" s="377">
        <v>92308.17</v>
      </c>
      <c r="D29" s="377">
        <v>6267.13</v>
      </c>
      <c r="E29" s="377">
        <v>3492.01</v>
      </c>
      <c r="F29" s="377">
        <v>1857.22</v>
      </c>
      <c r="G29" s="377">
        <v>21047.14</v>
      </c>
      <c r="H29" s="377">
        <v>743.08</v>
      </c>
      <c r="I29" s="377">
        <v>0</v>
      </c>
      <c r="J29" s="377">
        <v>6518.28</v>
      </c>
      <c r="K29" s="377">
        <v>6377.76</v>
      </c>
      <c r="L29" s="377">
        <v>29933.14</v>
      </c>
      <c r="M29" s="377">
        <v>14860.01</v>
      </c>
      <c r="N29" s="377">
        <v>1212.4000000000001</v>
      </c>
      <c r="O29" s="377">
        <v>0</v>
      </c>
      <c r="P29" s="378"/>
    </row>
    <row r="30" spans="1:16" ht="12.75" customHeight="1" x14ac:dyDescent="0.25">
      <c r="B30" s="89" t="s">
        <v>73</v>
      </c>
      <c r="C30" s="90">
        <v>10027.540000000001</v>
      </c>
      <c r="D30" s="90">
        <v>1594.44</v>
      </c>
      <c r="E30" s="90">
        <v>888.42</v>
      </c>
      <c r="F30" s="90">
        <v>472.5</v>
      </c>
      <c r="G30" s="90">
        <v>1052.3599999999999</v>
      </c>
      <c r="H30" s="90">
        <v>37.15</v>
      </c>
      <c r="I30" s="90">
        <v>0</v>
      </c>
      <c r="J30" s="90">
        <v>325.91000000000003</v>
      </c>
      <c r="K30" s="90">
        <v>318.89</v>
      </c>
      <c r="L30" s="90">
        <v>1496.66</v>
      </c>
      <c r="M30" s="90">
        <v>3780.59</v>
      </c>
      <c r="N30" s="90">
        <v>60.62</v>
      </c>
      <c r="O30" s="90">
        <v>0</v>
      </c>
    </row>
    <row r="31" spans="1:16" ht="12.75" customHeight="1" x14ac:dyDescent="0.25">
      <c r="A31" s="373" t="s">
        <v>79</v>
      </c>
      <c r="B31" s="373" t="s">
        <v>70</v>
      </c>
      <c r="C31" s="374">
        <v>10027.540000000001</v>
      </c>
      <c r="D31" s="374">
        <v>1594.44</v>
      </c>
      <c r="E31" s="374">
        <v>888.42</v>
      </c>
      <c r="F31" s="374">
        <v>472.5</v>
      </c>
      <c r="G31" s="374">
        <v>1052.3599999999999</v>
      </c>
      <c r="H31" s="374">
        <v>37.15</v>
      </c>
      <c r="I31" s="374">
        <v>0</v>
      </c>
      <c r="J31" s="374">
        <v>325.91000000000003</v>
      </c>
      <c r="K31" s="374">
        <v>318.89</v>
      </c>
      <c r="L31" s="374">
        <v>1496.66</v>
      </c>
      <c r="M31" s="374">
        <v>3780.59</v>
      </c>
      <c r="N31" s="374">
        <v>60.62</v>
      </c>
      <c r="O31" s="374">
        <v>0</v>
      </c>
      <c r="P31" s="372"/>
    </row>
    <row r="32" spans="1:16" ht="12.75" customHeight="1" x14ac:dyDescent="0.25">
      <c r="A32" s="89" t="s">
        <v>70</v>
      </c>
      <c r="C32" s="90">
        <v>102335.71</v>
      </c>
      <c r="D32" s="90">
        <v>7861.57</v>
      </c>
      <c r="E32" s="90">
        <v>4380.43</v>
      </c>
      <c r="F32" s="90">
        <v>2329.7199999999998</v>
      </c>
      <c r="G32" s="90">
        <v>22099.5</v>
      </c>
      <c r="H32" s="90">
        <v>780.23</v>
      </c>
      <c r="I32" s="90">
        <v>0</v>
      </c>
      <c r="J32" s="90">
        <v>6844.19</v>
      </c>
      <c r="K32" s="90">
        <v>6696.65</v>
      </c>
      <c r="L32" s="90">
        <v>31429.8</v>
      </c>
      <c r="M32" s="90">
        <v>18640.599999999999</v>
      </c>
      <c r="N32" s="90">
        <v>1273.02</v>
      </c>
      <c r="O32" s="90">
        <v>0</v>
      </c>
    </row>
    <row r="33" spans="1:16" ht="12.75" customHeight="1" x14ac:dyDescent="0.25">
      <c r="A33" s="89"/>
      <c r="C33" s="90"/>
      <c r="D33" s="90"/>
      <c r="E33" s="90"/>
      <c r="F33" s="90"/>
      <c r="G33" s="90"/>
      <c r="H33" s="90"/>
      <c r="I33" s="90"/>
      <c r="J33" s="90"/>
      <c r="L33" s="90"/>
      <c r="M33" s="90"/>
      <c r="N33" s="90"/>
      <c r="O33" s="90"/>
      <c r="P33" s="90"/>
    </row>
    <row r="34" spans="1:16" ht="12.75" customHeight="1" x14ac:dyDescent="0.25">
      <c r="B34" s="145" t="s">
        <v>70</v>
      </c>
      <c r="C34" s="99">
        <f>C32-I32</f>
        <v>102335.71</v>
      </c>
      <c r="D34" s="99">
        <f>D29</f>
        <v>6267.13</v>
      </c>
      <c r="E34" s="99">
        <f t="shared" ref="E34:P34" si="2">E29</f>
        <v>3492.01</v>
      </c>
      <c r="F34" s="99">
        <f t="shared" si="2"/>
        <v>1857.22</v>
      </c>
      <c r="G34" s="99">
        <f t="shared" si="2"/>
        <v>21047.14</v>
      </c>
      <c r="H34" s="99">
        <f t="shared" si="2"/>
        <v>743.08</v>
      </c>
      <c r="I34" s="99">
        <f t="shared" si="2"/>
        <v>0</v>
      </c>
      <c r="J34" s="99">
        <f t="shared" si="2"/>
        <v>6518.28</v>
      </c>
      <c r="K34" s="99">
        <f t="shared" si="2"/>
        <v>6377.76</v>
      </c>
      <c r="L34" s="99">
        <f t="shared" si="2"/>
        <v>29933.14</v>
      </c>
      <c r="M34" s="99">
        <f t="shared" si="2"/>
        <v>14860.01</v>
      </c>
      <c r="N34" s="99">
        <f t="shared" si="2"/>
        <v>1212.4000000000001</v>
      </c>
      <c r="O34" s="99">
        <f>O29</f>
        <v>0</v>
      </c>
      <c r="P34" s="99">
        <f t="shared" si="2"/>
        <v>0</v>
      </c>
    </row>
    <row r="35" spans="1:16" ht="12.75" customHeight="1" x14ac:dyDescent="0.25">
      <c r="B35" s="145" t="s">
        <v>73</v>
      </c>
      <c r="C35" s="99">
        <f>C31</f>
        <v>10027.540000000001</v>
      </c>
    </row>
    <row r="37" spans="1:16" x14ac:dyDescent="0.25">
      <c r="A37" s="94"/>
      <c r="B37" s="94"/>
      <c r="C37" s="146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</row>
    <row r="38" spans="1:16" ht="13" x14ac:dyDescent="0.3">
      <c r="B38" s="97" t="s">
        <v>88</v>
      </c>
    </row>
    <row r="39" spans="1:16" ht="12.75" customHeight="1" x14ac:dyDescent="0.25">
      <c r="C39" s="89" t="s">
        <v>70</v>
      </c>
      <c r="D39" s="89" t="s">
        <v>64</v>
      </c>
      <c r="E39" s="89" t="s">
        <v>65</v>
      </c>
      <c r="F39" s="219" t="s">
        <v>164</v>
      </c>
      <c r="G39" s="89" t="s">
        <v>69</v>
      </c>
      <c r="H39" s="89" t="s">
        <v>68</v>
      </c>
      <c r="I39" s="89" t="s">
        <v>83</v>
      </c>
      <c r="J39" s="89" t="s">
        <v>66</v>
      </c>
      <c r="K39" s="89" t="s">
        <v>63</v>
      </c>
      <c r="L39" s="89" t="s">
        <v>61</v>
      </c>
      <c r="M39" s="89" t="s">
        <v>62</v>
      </c>
      <c r="N39" s="89" t="s">
        <v>67</v>
      </c>
      <c r="O39" s="89" t="s">
        <v>84</v>
      </c>
    </row>
    <row r="40" spans="1:16" ht="12.75" customHeight="1" x14ac:dyDescent="0.25">
      <c r="B40" t="s">
        <v>72</v>
      </c>
      <c r="C40" s="89">
        <v>384704.1</v>
      </c>
      <c r="D40" s="89">
        <v>35792.410000000003</v>
      </c>
      <c r="E40" s="89">
        <v>20194.46</v>
      </c>
      <c r="F40" s="384">
        <v>2067.44</v>
      </c>
      <c r="G40" s="89">
        <v>112556.14</v>
      </c>
      <c r="H40" s="89">
        <v>2826.23</v>
      </c>
      <c r="I40" s="89">
        <v>0</v>
      </c>
      <c r="J40" s="89">
        <v>27571.69</v>
      </c>
      <c r="K40" s="89">
        <v>34487.269999999997</v>
      </c>
      <c r="L40" s="89">
        <v>48317.47</v>
      </c>
      <c r="M40" s="89">
        <v>96285.04</v>
      </c>
      <c r="N40" s="89">
        <v>4611.2700000000004</v>
      </c>
      <c r="O40" s="89">
        <v>-5.32</v>
      </c>
    </row>
    <row r="41" spans="1:16" ht="12.75" customHeight="1" x14ac:dyDescent="0.25">
      <c r="B41" s="89" t="s">
        <v>81</v>
      </c>
      <c r="C41" s="90">
        <v>-1393.04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-1393.07</v>
      </c>
      <c r="M41" s="90">
        <v>0</v>
      </c>
      <c r="N41" s="90">
        <v>0</v>
      </c>
      <c r="O41" s="90">
        <v>0.03</v>
      </c>
    </row>
    <row r="42" spans="1:16" ht="12.75" customHeight="1" x14ac:dyDescent="0.25">
      <c r="A42" s="376" t="s">
        <v>78</v>
      </c>
      <c r="B42" s="376" t="s">
        <v>70</v>
      </c>
      <c r="C42" s="377">
        <v>383311.06</v>
      </c>
      <c r="D42" s="377">
        <v>35792.410000000003</v>
      </c>
      <c r="E42" s="377">
        <v>20194.46</v>
      </c>
      <c r="F42" s="377">
        <v>2067.44</v>
      </c>
      <c r="G42" s="377">
        <v>112556.14</v>
      </c>
      <c r="H42" s="377">
        <v>2826.23</v>
      </c>
      <c r="I42" s="377">
        <v>0</v>
      </c>
      <c r="J42" s="377">
        <v>27571.69</v>
      </c>
      <c r="K42" s="377">
        <v>34487.269999999997</v>
      </c>
      <c r="L42" s="377">
        <v>46924.4</v>
      </c>
      <c r="M42" s="377">
        <v>96285.04</v>
      </c>
      <c r="N42" s="377">
        <v>4611.2700000000004</v>
      </c>
      <c r="O42" s="377">
        <v>-5.29</v>
      </c>
      <c r="P42" s="378"/>
    </row>
    <row r="43" spans="1:16" ht="12.75" customHeight="1" x14ac:dyDescent="0.25">
      <c r="B43" s="89" t="s">
        <v>73</v>
      </c>
      <c r="C43" s="90">
        <v>-43651.25</v>
      </c>
      <c r="D43" s="90">
        <v>-2153.83</v>
      </c>
      <c r="E43" s="90">
        <v>-1213.99</v>
      </c>
      <c r="F43" s="90">
        <v>-638.29</v>
      </c>
      <c r="G43" s="90">
        <v>-10771.77</v>
      </c>
      <c r="H43" s="90">
        <v>-277.32</v>
      </c>
      <c r="I43" s="90">
        <v>0</v>
      </c>
      <c r="J43" s="90">
        <v>-2432.7600000000002</v>
      </c>
      <c r="K43" s="90">
        <v>-3291.62</v>
      </c>
      <c r="L43" s="90">
        <v>-16717.82</v>
      </c>
      <c r="M43" s="90">
        <v>-5701.37</v>
      </c>
      <c r="N43" s="90">
        <v>-452.48</v>
      </c>
      <c r="O43" s="90">
        <v>0</v>
      </c>
    </row>
    <row r="44" spans="1:16" ht="12.75" customHeight="1" x14ac:dyDescent="0.25">
      <c r="A44" s="373" t="s">
        <v>79</v>
      </c>
      <c r="B44" s="373" t="s">
        <v>70</v>
      </c>
      <c r="C44" s="374">
        <v>-43651.25</v>
      </c>
      <c r="D44" s="374">
        <v>-2153.83</v>
      </c>
      <c r="E44" s="374">
        <v>-1213.99</v>
      </c>
      <c r="F44" s="374">
        <v>-638.29</v>
      </c>
      <c r="G44" s="374">
        <v>-10771.77</v>
      </c>
      <c r="H44" s="374">
        <v>-277.32</v>
      </c>
      <c r="I44" s="374">
        <v>0</v>
      </c>
      <c r="J44" s="374">
        <v>-2432.7600000000002</v>
      </c>
      <c r="K44" s="374">
        <v>-3291.62</v>
      </c>
      <c r="L44" s="374">
        <v>-16717.82</v>
      </c>
      <c r="M44" s="374">
        <v>-5701.37</v>
      </c>
      <c r="N44" s="374">
        <v>-452.48</v>
      </c>
      <c r="O44" s="374">
        <v>0</v>
      </c>
      <c r="P44" s="372"/>
    </row>
    <row r="45" spans="1:16" ht="12.75" customHeight="1" x14ac:dyDescent="0.25">
      <c r="A45" s="89" t="s">
        <v>70</v>
      </c>
      <c r="C45" s="90">
        <v>339659.81</v>
      </c>
      <c r="D45" s="90">
        <v>33638.58</v>
      </c>
      <c r="E45" s="90">
        <v>18980.47</v>
      </c>
      <c r="F45" s="90">
        <v>1429.15</v>
      </c>
      <c r="G45" s="90">
        <v>101784.37</v>
      </c>
      <c r="H45" s="90">
        <v>2548.91</v>
      </c>
      <c r="I45" s="90">
        <v>0</v>
      </c>
      <c r="J45" s="90">
        <v>25138.93</v>
      </c>
      <c r="K45" s="90">
        <v>31195.65</v>
      </c>
      <c r="L45" s="90">
        <v>30206.58</v>
      </c>
      <c r="M45" s="90">
        <v>90583.67</v>
      </c>
      <c r="N45" s="90">
        <v>4158.79</v>
      </c>
      <c r="O45" s="90">
        <v>-5.29</v>
      </c>
    </row>
    <row r="46" spans="1:16" ht="12.75" customHeight="1" x14ac:dyDescent="0.25">
      <c r="A46" s="89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</row>
    <row r="47" spans="1:16" ht="12.75" customHeight="1" x14ac:dyDescent="0.25">
      <c r="B47" s="145" t="s">
        <v>70</v>
      </c>
      <c r="C47" s="99">
        <f>C45-I45</f>
        <v>339659.81</v>
      </c>
      <c r="D47" s="99">
        <f>D42</f>
        <v>35792.410000000003</v>
      </c>
      <c r="E47" s="99">
        <f t="shared" ref="E47:P47" si="3">E42</f>
        <v>20194.46</v>
      </c>
      <c r="F47" s="99">
        <f t="shared" si="3"/>
        <v>2067.44</v>
      </c>
      <c r="G47" s="99">
        <f t="shared" si="3"/>
        <v>112556.14</v>
      </c>
      <c r="H47" s="99">
        <f t="shared" si="3"/>
        <v>2826.23</v>
      </c>
      <c r="I47" s="99">
        <f t="shared" si="3"/>
        <v>0</v>
      </c>
      <c r="J47" s="99">
        <f t="shared" si="3"/>
        <v>27571.69</v>
      </c>
      <c r="K47" s="99">
        <f t="shared" si="3"/>
        <v>34487.269999999997</v>
      </c>
      <c r="L47" s="99">
        <f t="shared" si="3"/>
        <v>46924.4</v>
      </c>
      <c r="M47" s="99">
        <f t="shared" si="3"/>
        <v>96285.04</v>
      </c>
      <c r="N47" s="99">
        <f t="shared" si="3"/>
        <v>4611.2700000000004</v>
      </c>
      <c r="O47" s="99">
        <f>O42</f>
        <v>-5.29</v>
      </c>
      <c r="P47" s="99">
        <f t="shared" si="3"/>
        <v>0</v>
      </c>
    </row>
    <row r="48" spans="1:16" ht="12.75" customHeight="1" x14ac:dyDescent="0.25">
      <c r="B48" s="145" t="s">
        <v>73</v>
      </c>
      <c r="C48" s="99">
        <f>C44</f>
        <v>-43651.25</v>
      </c>
    </row>
    <row r="50" spans="1:16" x14ac:dyDescent="0.25">
      <c r="A50" s="94"/>
      <c r="B50" s="94"/>
      <c r="C50" s="146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</row>
    <row r="51" spans="1:16" ht="13" x14ac:dyDescent="0.3">
      <c r="B51" s="97" t="s">
        <v>93</v>
      </c>
    </row>
    <row r="52" spans="1:16" ht="12.75" customHeight="1" x14ac:dyDescent="0.25">
      <c r="C52" s="89" t="s">
        <v>70</v>
      </c>
      <c r="D52" s="89" t="s">
        <v>64</v>
      </c>
      <c r="E52" s="89" t="s">
        <v>65</v>
      </c>
      <c r="F52" s="219" t="s">
        <v>164</v>
      </c>
      <c r="G52" s="89" t="s">
        <v>69</v>
      </c>
      <c r="H52" s="89" t="s">
        <v>68</v>
      </c>
      <c r="I52" t="s">
        <v>83</v>
      </c>
      <c r="J52" s="89" t="s">
        <v>66</v>
      </c>
      <c r="K52" s="89" t="s">
        <v>63</v>
      </c>
      <c r="L52" s="89" t="s">
        <v>61</v>
      </c>
      <c r="M52" s="89" t="s">
        <v>62</v>
      </c>
      <c r="N52" s="89" t="s">
        <v>67</v>
      </c>
      <c r="O52" s="89" t="s">
        <v>84</v>
      </c>
    </row>
    <row r="53" spans="1:16" ht="12.75" customHeight="1" x14ac:dyDescent="0.25">
      <c r="B53" s="89" t="s">
        <v>72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</row>
    <row r="54" spans="1:16" ht="12.75" customHeight="1" x14ac:dyDescent="0.25">
      <c r="B54" s="89" t="s">
        <v>81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</row>
    <row r="55" spans="1:16" ht="12.75" customHeight="1" x14ac:dyDescent="0.25">
      <c r="A55" s="376" t="s">
        <v>78</v>
      </c>
      <c r="B55" s="376" t="s">
        <v>70</v>
      </c>
      <c r="C55" s="377">
        <v>0</v>
      </c>
      <c r="D55" s="377">
        <v>0</v>
      </c>
      <c r="E55" s="377">
        <v>0</v>
      </c>
      <c r="F55" s="377">
        <v>0</v>
      </c>
      <c r="G55" s="377">
        <v>0</v>
      </c>
      <c r="H55" s="377">
        <v>0</v>
      </c>
      <c r="I55" s="378">
        <v>0</v>
      </c>
      <c r="J55" s="377">
        <v>0</v>
      </c>
      <c r="K55" s="377">
        <v>0</v>
      </c>
      <c r="L55" s="377">
        <v>0</v>
      </c>
      <c r="M55" s="377">
        <v>0</v>
      </c>
      <c r="N55" s="377">
        <v>0</v>
      </c>
      <c r="O55" s="377">
        <v>0</v>
      </c>
      <c r="P55" s="378"/>
    </row>
    <row r="56" spans="1:16" ht="12.75" customHeight="1" x14ac:dyDescent="0.25">
      <c r="B56" s="89" t="s">
        <v>73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6" ht="12.75" customHeight="1" x14ac:dyDescent="0.25">
      <c r="A57" s="373" t="s">
        <v>79</v>
      </c>
      <c r="B57" s="373" t="s">
        <v>70</v>
      </c>
      <c r="C57" s="374">
        <v>0</v>
      </c>
      <c r="D57" s="374">
        <v>0</v>
      </c>
      <c r="E57" s="374">
        <v>0</v>
      </c>
      <c r="F57" s="374">
        <v>0</v>
      </c>
      <c r="G57" s="374">
        <v>0</v>
      </c>
      <c r="H57" s="374">
        <v>0</v>
      </c>
      <c r="I57" s="372">
        <v>0</v>
      </c>
      <c r="J57" s="374">
        <v>0</v>
      </c>
      <c r="K57" s="374">
        <v>0</v>
      </c>
      <c r="L57" s="374">
        <v>0</v>
      </c>
      <c r="M57" s="374">
        <v>0</v>
      </c>
      <c r="N57" s="374">
        <v>0</v>
      </c>
      <c r="O57" s="374">
        <v>0</v>
      </c>
      <c r="P57" s="372"/>
    </row>
    <row r="58" spans="1:16" ht="12.75" customHeight="1" x14ac:dyDescent="0.25">
      <c r="A58" s="89" t="s">
        <v>70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60" spans="1:16" ht="12.75" customHeight="1" x14ac:dyDescent="0.25">
      <c r="B60" s="145" t="s">
        <v>70</v>
      </c>
      <c r="C60" s="99">
        <f>C58-I58</f>
        <v>0</v>
      </c>
      <c r="D60" s="99">
        <f>D55</f>
        <v>0</v>
      </c>
      <c r="E60" s="99">
        <f t="shared" ref="E60:P60" si="4">E55</f>
        <v>0</v>
      </c>
      <c r="F60" s="99">
        <f t="shared" si="4"/>
        <v>0</v>
      </c>
      <c r="G60" s="99">
        <f t="shared" si="4"/>
        <v>0</v>
      </c>
      <c r="H60" s="99">
        <f t="shared" si="4"/>
        <v>0</v>
      </c>
      <c r="I60" s="99">
        <f t="shared" si="4"/>
        <v>0</v>
      </c>
      <c r="J60" s="99">
        <f t="shared" si="4"/>
        <v>0</v>
      </c>
      <c r="K60" s="99">
        <f t="shared" si="4"/>
        <v>0</v>
      </c>
      <c r="L60" s="99">
        <f t="shared" si="4"/>
        <v>0</v>
      </c>
      <c r="M60" s="99">
        <f t="shared" si="4"/>
        <v>0</v>
      </c>
      <c r="N60" s="99">
        <f t="shared" si="4"/>
        <v>0</v>
      </c>
      <c r="O60" s="99">
        <f>O55</f>
        <v>0</v>
      </c>
      <c r="P60" s="99">
        <f t="shared" si="4"/>
        <v>0</v>
      </c>
    </row>
    <row r="61" spans="1:16" ht="12.75" customHeight="1" x14ac:dyDescent="0.25">
      <c r="B61" s="145" t="s">
        <v>73</v>
      </c>
      <c r="C61" s="99">
        <f>C57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2"/>
  <sheetViews>
    <sheetView zoomScale="90" zoomScaleNormal="90" workbookViewId="0">
      <pane ySplit="2" topLeftCell="A9" activePane="bottomLeft" state="frozen"/>
      <selection activeCell="C50" sqref="C50"/>
      <selection pane="bottomLeft"/>
    </sheetView>
  </sheetViews>
  <sheetFormatPr baseColWidth="10" defaultRowHeight="12.5" x14ac:dyDescent="0.25"/>
  <cols>
    <col min="2" max="2" width="24.453125" bestFit="1" customWidth="1"/>
    <col min="3" max="3" width="15.1796875" style="144" bestFit="1" customWidth="1"/>
    <col min="4" max="4" width="23.1796875" bestFit="1" customWidth="1"/>
    <col min="5" max="5" width="15.81640625" bestFit="1" customWidth="1"/>
    <col min="6" max="6" width="16.54296875" customWidth="1"/>
    <col min="7" max="7" width="15.453125" bestFit="1" customWidth="1"/>
    <col min="8" max="8" width="15" bestFit="1" customWidth="1"/>
    <col min="9" max="10" width="15" customWidth="1"/>
    <col min="11" max="11" width="15.1796875" bestFit="1" customWidth="1"/>
    <col min="12" max="12" width="17" bestFit="1" customWidth="1"/>
    <col min="13" max="14" width="15.54296875" bestFit="1" customWidth="1"/>
    <col min="15" max="15" width="15.1796875" bestFit="1" customWidth="1"/>
  </cols>
  <sheetData>
    <row r="1" spans="1:15" ht="13" x14ac:dyDescent="0.3">
      <c r="B1" s="97" t="s">
        <v>74</v>
      </c>
    </row>
    <row r="2" spans="1:15" ht="12.75" customHeight="1" x14ac:dyDescent="0.25">
      <c r="C2" s="89" t="s">
        <v>70</v>
      </c>
      <c r="D2" s="89" t="s">
        <v>64</v>
      </c>
      <c r="E2" s="89" t="s">
        <v>65</v>
      </c>
      <c r="F2" s="375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5">
      <c r="B3" t="s">
        <v>81</v>
      </c>
      <c r="C3" s="89">
        <v>0</v>
      </c>
      <c r="D3" s="89">
        <v>0</v>
      </c>
      <c r="E3" s="89">
        <v>0</v>
      </c>
      <c r="F3" s="89">
        <v>0</v>
      </c>
      <c r="G3" s="89">
        <v>0</v>
      </c>
      <c r="H3" s="89">
        <v>0</v>
      </c>
      <c r="I3" s="89">
        <v>0</v>
      </c>
      <c r="J3" s="89">
        <v>0</v>
      </c>
      <c r="K3" s="89">
        <v>0</v>
      </c>
      <c r="L3" s="89">
        <v>0</v>
      </c>
      <c r="M3" s="89">
        <v>0</v>
      </c>
      <c r="N3" s="89">
        <v>0</v>
      </c>
      <c r="O3" s="89">
        <v>0</v>
      </c>
    </row>
    <row r="4" spans="1:15" ht="12.75" customHeight="1" x14ac:dyDescent="0.25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78" customFormat="1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</row>
    <row r="6" spans="1:15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2" customFormat="1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</row>
    <row r="8" spans="1:15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5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5">
      <c r="B11" s="145" t="s">
        <v>73</v>
      </c>
      <c r="C11" s="99">
        <f>C7</f>
        <v>0</v>
      </c>
    </row>
    <row r="13" spans="1:15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ht="13" x14ac:dyDescent="0.3">
      <c r="B14" s="97" t="s">
        <v>75</v>
      </c>
    </row>
    <row r="15" spans="1:15" ht="12.75" customHeight="1" x14ac:dyDescent="0.25">
      <c r="C15" s="89" t="s">
        <v>70</v>
      </c>
      <c r="D15" s="89" t="s">
        <v>64</v>
      </c>
      <c r="E15" s="89" t="s">
        <v>65</v>
      </c>
      <c r="F15" s="375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5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5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78" customFormat="1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8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</row>
    <row r="19" spans="1:15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2" customFormat="1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2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</row>
    <row r="21" spans="1:15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5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5">
      <c r="B24" s="145" t="s">
        <v>73</v>
      </c>
      <c r="C24" s="99">
        <f>C20</f>
        <v>0</v>
      </c>
    </row>
    <row r="26" spans="1:15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ht="13" x14ac:dyDescent="0.3">
      <c r="B27" s="97" t="s">
        <v>76</v>
      </c>
    </row>
    <row r="28" spans="1:15" ht="12.75" customHeight="1" x14ac:dyDescent="0.25">
      <c r="C28" s="89" t="s">
        <v>70</v>
      </c>
      <c r="D28" s="89" t="s">
        <v>64</v>
      </c>
      <c r="E28" s="89" t="s">
        <v>65</v>
      </c>
      <c r="F28" s="375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5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5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78" customFormat="1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</row>
    <row r="32" spans="1:15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2" customFormat="1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</row>
    <row r="34" spans="1:15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5">
      <c r="B37" s="145" t="s">
        <v>73</v>
      </c>
      <c r="C37" s="99">
        <f>C33</f>
        <v>0</v>
      </c>
    </row>
    <row r="39" spans="1:15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ht="13" x14ac:dyDescent="0.3">
      <c r="B40" s="97" t="s">
        <v>88</v>
      </c>
    </row>
    <row r="41" spans="1:15" ht="12.75" customHeight="1" x14ac:dyDescent="0.25">
      <c r="C41" s="89" t="s">
        <v>70</v>
      </c>
      <c r="D41" s="89" t="s">
        <v>64</v>
      </c>
      <c r="E41" s="89" t="s">
        <v>65</v>
      </c>
      <c r="F41" s="375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5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5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78" customFormat="1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</row>
    <row r="45" spans="1:15" ht="12.75" customHeight="1" x14ac:dyDescent="0.25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2" customFormat="1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</row>
    <row r="47" spans="1:15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5">
      <c r="B50" s="145" t="s">
        <v>73</v>
      </c>
      <c r="C50" s="99">
        <f>C46</f>
        <v>0</v>
      </c>
    </row>
    <row r="52" spans="1:15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ht="13" x14ac:dyDescent="0.3">
      <c r="B53" s="97" t="s">
        <v>93</v>
      </c>
    </row>
    <row r="54" spans="1:15" ht="12.75" customHeight="1" x14ac:dyDescent="0.25">
      <c r="C54" s="89" t="s">
        <v>70</v>
      </c>
      <c r="D54" s="89" t="s">
        <v>64</v>
      </c>
      <c r="E54" s="89" t="s">
        <v>65</v>
      </c>
      <c r="F54" s="375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5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5" s="378" customFormat="1" ht="12.75" customHeight="1" x14ac:dyDescent="0.25">
      <c r="A56" s="376" t="s">
        <v>78</v>
      </c>
      <c r="B56" s="376" t="s">
        <v>70</v>
      </c>
      <c r="C56" s="377">
        <v>0</v>
      </c>
      <c r="D56" s="377">
        <v>0</v>
      </c>
      <c r="E56" s="377">
        <v>0</v>
      </c>
      <c r="F56" s="377">
        <v>0</v>
      </c>
      <c r="G56" s="377">
        <v>0</v>
      </c>
      <c r="H56" s="377">
        <v>0</v>
      </c>
      <c r="I56" s="378">
        <v>0</v>
      </c>
      <c r="J56" s="377">
        <v>0</v>
      </c>
      <c r="K56" s="377">
        <v>0</v>
      </c>
      <c r="L56" s="377">
        <v>0</v>
      </c>
      <c r="M56" s="377">
        <v>0</v>
      </c>
      <c r="N56" s="377">
        <v>0</v>
      </c>
      <c r="O56" s="377">
        <v>0</v>
      </c>
    </row>
    <row r="57" spans="1:15" ht="12.75" customHeight="1" x14ac:dyDescent="0.25">
      <c r="B57" s="89" t="s">
        <v>73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</row>
    <row r="58" spans="1:15" s="372" customFormat="1" ht="12.75" customHeight="1" x14ac:dyDescent="0.25">
      <c r="A58" s="373" t="s">
        <v>79</v>
      </c>
      <c r="B58" s="373" t="s">
        <v>70</v>
      </c>
      <c r="C58" s="374">
        <v>0</v>
      </c>
      <c r="D58" s="374">
        <v>0</v>
      </c>
      <c r="E58" s="374">
        <v>0</v>
      </c>
      <c r="F58" s="374">
        <v>0</v>
      </c>
      <c r="G58" s="374">
        <v>0</v>
      </c>
      <c r="H58" s="374">
        <v>0</v>
      </c>
      <c r="I58" s="372">
        <v>0</v>
      </c>
      <c r="J58" s="374">
        <v>0</v>
      </c>
      <c r="K58" s="374">
        <v>0</v>
      </c>
      <c r="L58" s="374">
        <v>0</v>
      </c>
      <c r="M58" s="374">
        <v>0</v>
      </c>
      <c r="N58" s="374">
        <v>0</v>
      </c>
      <c r="O58" s="374">
        <v>0</v>
      </c>
    </row>
    <row r="59" spans="1:15" ht="12.75" customHeight="1" x14ac:dyDescent="0.25">
      <c r="A59" s="89" t="s">
        <v>70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</row>
    <row r="61" spans="1:15" ht="12.75" customHeight="1" x14ac:dyDescent="0.25">
      <c r="B61" s="145" t="s">
        <v>70</v>
      </c>
      <c r="C61" s="99">
        <f>C59-I59</f>
        <v>0</v>
      </c>
      <c r="D61" s="99">
        <f>D56</f>
        <v>0</v>
      </c>
      <c r="E61" s="99">
        <f t="shared" ref="E61:O61" si="4">E56</f>
        <v>0</v>
      </c>
      <c r="F61" s="99">
        <f t="shared" si="4"/>
        <v>0</v>
      </c>
      <c r="G61" s="99">
        <f t="shared" si="4"/>
        <v>0</v>
      </c>
      <c r="H61" s="99">
        <f t="shared" si="4"/>
        <v>0</v>
      </c>
      <c r="I61" s="99">
        <f t="shared" si="4"/>
        <v>0</v>
      </c>
      <c r="J61" s="99">
        <f t="shared" si="4"/>
        <v>0</v>
      </c>
      <c r="K61" s="99">
        <f t="shared" si="4"/>
        <v>0</v>
      </c>
      <c r="L61" s="99">
        <f t="shared" si="4"/>
        <v>0</v>
      </c>
      <c r="M61" s="99">
        <f t="shared" si="4"/>
        <v>0</v>
      </c>
      <c r="N61" s="99">
        <f t="shared" si="4"/>
        <v>0</v>
      </c>
      <c r="O61" s="99">
        <f t="shared" si="4"/>
        <v>0</v>
      </c>
    </row>
    <row r="62" spans="1:15" ht="12.75" customHeight="1" x14ac:dyDescent="0.25">
      <c r="B62" s="145" t="s">
        <v>73</v>
      </c>
      <c r="C62" s="99">
        <f>C58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T6" zoomScaleNormal="100" workbookViewId="0">
      <selection activeCell="AA10" sqref="AA10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8" width="16.1796875" style="1" customWidth="1"/>
    <col min="9" max="9" width="20.1796875" style="1" bestFit="1" customWidth="1"/>
    <col min="10" max="10" width="15.54296875" style="1" customWidth="1"/>
    <col min="11" max="11" width="17.54296875" style="1" customWidth="1"/>
    <col min="12" max="12" width="17" style="1" bestFit="1" customWidth="1"/>
    <col min="13" max="13" width="19.81640625" style="1" customWidth="1"/>
    <col min="14" max="14" width="19.1796875" style="1" bestFit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7.54296875" style="1" bestFit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8" width="16.81640625" style="1" customWidth="1"/>
    <col min="29" max="30" width="15.81640625" style="1" bestFit="1" customWidth="1"/>
    <col min="31" max="31" width="16.1796875" style="1" customWidth="1"/>
    <col min="32" max="32" width="18.1796875" style="1" customWidth="1"/>
    <col min="33" max="33" width="13.81640625" style="1" customWidth="1"/>
    <col min="34" max="34" width="3.453125" style="1" customWidth="1"/>
    <col min="35" max="35" width="13.81640625" style="1" bestFit="1" customWidth="1"/>
    <col min="36" max="16384" width="11.453125" style="1"/>
  </cols>
  <sheetData>
    <row r="1" spans="1:34" ht="12" thickBot="1" x14ac:dyDescent="0.3">
      <c r="A1" s="1" t="s">
        <v>1</v>
      </c>
      <c r="Q1" s="4"/>
      <c r="AH1" s="4"/>
    </row>
    <row r="2" spans="1:34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2026092</v>
      </c>
      <c r="AD3" s="84"/>
      <c r="AE3" s="48"/>
      <c r="AF3" s="2"/>
      <c r="AH3" s="4"/>
    </row>
    <row r="4" spans="1:34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5" x14ac:dyDescent="0.35">
      <c r="B6" s="8"/>
      <c r="C6" s="2" t="s">
        <v>17</v>
      </c>
      <c r="D6" s="9">
        <f>'CONSOLIDADO_TOTAL RECAUDO'!D6</f>
        <v>46297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" thickBot="1" x14ac:dyDescent="0.3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H7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E7" s="48"/>
      <c r="AF7" s="2"/>
      <c r="AH7" s="4"/>
    </row>
    <row r="8" spans="1:34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0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x14ac:dyDescent="0.25">
      <c r="B9" s="14">
        <v>1</v>
      </c>
      <c r="C9" s="61" t="s">
        <v>10</v>
      </c>
      <c r="D9" s="66">
        <f>'SALDOS POR NOTA'!C9</f>
        <v>589006.92000000004</v>
      </c>
      <c r="E9" s="66">
        <f>'SALDOS POR NOTA'!D9</f>
        <v>31457.17</v>
      </c>
      <c r="F9" s="66">
        <f>'SALDOS POR NOTA'!E9</f>
        <v>17527.740000000002</v>
      </c>
      <c r="G9" s="66">
        <f>'SALDOS POR NOTA'!F9</f>
        <v>8747.16</v>
      </c>
      <c r="H9" s="66">
        <f>'SALDOS POR NOTA'!G9</f>
        <v>161245.56</v>
      </c>
      <c r="I9" s="66">
        <f>'SALDOS POR NOTA'!H9</f>
        <v>5296.18</v>
      </c>
      <c r="J9" s="66">
        <v>0</v>
      </c>
      <c r="K9" s="30">
        <f>D9-E9-F9-G9-H9-I9-J9</f>
        <v>364733.11</v>
      </c>
      <c r="L9" s="37">
        <v>0</v>
      </c>
      <c r="M9" s="30">
        <f>K9-L9</f>
        <v>364733.11</v>
      </c>
      <c r="N9" s="37">
        <f>'SALDOS POR NOTA'!I9</f>
        <v>0</v>
      </c>
      <c r="O9" s="30">
        <f>M9+N9</f>
        <v>364733.11</v>
      </c>
      <c r="Q9" s="4"/>
      <c r="S9" s="14">
        <v>1</v>
      </c>
      <c r="T9" s="61" t="s">
        <v>10</v>
      </c>
      <c r="U9" s="66">
        <f>'SALDOS POR NOTA'!J9</f>
        <v>49817.24</v>
      </c>
      <c r="V9" s="66">
        <f>'SALDOS POR NOTA'!K9</f>
        <v>43798.38</v>
      </c>
      <c r="W9" s="66">
        <f>'SALDOS POR NOTA'!L9</f>
        <v>198669.66</v>
      </c>
      <c r="X9" s="66">
        <f>'SALDOS POR NOTA'!M9</f>
        <v>85917.24</v>
      </c>
      <c r="Y9" s="66">
        <f>'SALDOS POR NOTA'!N9</f>
        <v>7999.99</v>
      </c>
      <c r="Z9" s="379">
        <f>L9*-1</f>
        <v>0</v>
      </c>
      <c r="AA9" s="75">
        <f>'SALDOS POR NOTA'!O9</f>
        <v>-1.69</v>
      </c>
      <c r="AB9" s="37">
        <f>N9</f>
        <v>0</v>
      </c>
      <c r="AC9" s="66">
        <f>-J9+AD9</f>
        <v>-21467.71</v>
      </c>
      <c r="AD9" s="66">
        <f>'SALDOS POR NOTA'!C10</f>
        <v>-21467.71</v>
      </c>
      <c r="AE9" s="115">
        <f>SUM(U9:AC9)</f>
        <v>364733.11</v>
      </c>
      <c r="AF9" s="117">
        <f>(AE9-O9)</f>
        <v>0</v>
      </c>
      <c r="AG9" s="1" t="b">
        <f>AF9=0</f>
        <v>1</v>
      </c>
      <c r="AH9" s="4"/>
    </row>
    <row r="10" spans="1:34" x14ac:dyDescent="0.25">
      <c r="B10" s="16">
        <v>2</v>
      </c>
      <c r="C10" s="62" t="s">
        <v>11</v>
      </c>
      <c r="D10" s="66">
        <f>'SALDOS POR NOTA'!C22</f>
        <v>1255716.79</v>
      </c>
      <c r="E10" s="66">
        <f>'SALDOS POR NOTA'!D22</f>
        <v>163409.31</v>
      </c>
      <c r="F10" s="66">
        <f>'SALDOS POR NOTA'!E22</f>
        <v>104244.84</v>
      </c>
      <c r="G10" s="66">
        <f>'SALDOS POR NOTA'!F22</f>
        <v>29379.21</v>
      </c>
      <c r="H10" s="66">
        <f>'SALDOS POR NOTA'!G22</f>
        <v>519166.91</v>
      </c>
      <c r="I10" s="66">
        <f>'SALDOS POR NOTA'!H22</f>
        <v>16772.32</v>
      </c>
      <c r="J10" s="66">
        <v>0</v>
      </c>
      <c r="K10" s="31">
        <f t="shared" ref="K10:K13" si="0">D10-E10-F10-G10-H10-I10-J10</f>
        <v>422744.20000000007</v>
      </c>
      <c r="L10" s="38">
        <v>0</v>
      </c>
      <c r="M10" s="31">
        <f>K10-L10</f>
        <v>422744.20000000007</v>
      </c>
      <c r="N10" s="37">
        <f>'SALDOS POR NOTA'!I22</f>
        <v>0</v>
      </c>
      <c r="O10" s="31">
        <f t="shared" ref="O10:O12" si="1">M10+N10</f>
        <v>422744.20000000007</v>
      </c>
      <c r="Q10" s="4"/>
      <c r="S10" s="16">
        <v>2</v>
      </c>
      <c r="T10" s="62" t="s">
        <v>11</v>
      </c>
      <c r="U10" s="66">
        <f>'SALDOS POR NOTA'!J22</f>
        <v>130175.43</v>
      </c>
      <c r="V10" s="66">
        <f>'SALDOS POR NOTA'!K22</f>
        <v>129243.72</v>
      </c>
      <c r="W10" s="66">
        <f>'SALDOS POR NOTA'!L22</f>
        <v>467899.25</v>
      </c>
      <c r="X10" s="66">
        <f>'SALDOS POR NOTA'!M22</f>
        <v>319723.92</v>
      </c>
      <c r="Y10" s="66">
        <f>'SALDOS POR NOTA'!N22</f>
        <v>16107.05</v>
      </c>
      <c r="Z10" s="38">
        <f>L10*-1</f>
        <v>0</v>
      </c>
      <c r="AA10" s="382">
        <f>'SALDOS POR NOTA'!O22</f>
        <v>-8.8800000000000008</v>
      </c>
      <c r="AB10" s="37">
        <f>N10</f>
        <v>0</v>
      </c>
      <c r="AC10" s="66">
        <f t="shared" ref="AC10:AC13" si="2">-J10+AD10</f>
        <v>-640396.29</v>
      </c>
      <c r="AD10" s="66">
        <f>'SALDOS POR NOTA'!C23</f>
        <v>-640396.29</v>
      </c>
      <c r="AE10" s="116">
        <f>SUM(U10:AC10)</f>
        <v>422744.20000000019</v>
      </c>
      <c r="AF10" s="118">
        <f>(AE10-O10)</f>
        <v>1.1641532182693481E-10</v>
      </c>
      <c r="AG10" s="1" t="b">
        <f t="shared" ref="AG10:AG14" si="3">AF10=0</f>
        <v>0</v>
      </c>
      <c r="AH10" s="4"/>
    </row>
    <row r="11" spans="1:34" x14ac:dyDescent="0.25">
      <c r="B11" s="16">
        <v>3</v>
      </c>
      <c r="C11" s="62" t="s">
        <v>12</v>
      </c>
      <c r="D11" s="66">
        <f>'SALDOS POR NOTA'!C34</f>
        <v>102335.71</v>
      </c>
      <c r="E11" s="66">
        <f>'SALDOS POR NOTA'!D34</f>
        <v>6267.13</v>
      </c>
      <c r="F11" s="66">
        <f>'SALDOS POR NOTA'!E34</f>
        <v>3492.01</v>
      </c>
      <c r="G11" s="66">
        <f>'SALDOS POR NOTA'!F34</f>
        <v>1857.22</v>
      </c>
      <c r="H11" s="66">
        <f>'SALDOS POR NOTA'!G34</f>
        <v>21047.14</v>
      </c>
      <c r="I11" s="66">
        <f>'SALDOS POR NOTA'!H34</f>
        <v>743.08</v>
      </c>
      <c r="J11" s="66">
        <v>0</v>
      </c>
      <c r="K11" s="31">
        <f t="shared" si="0"/>
        <v>68929.13</v>
      </c>
      <c r="L11" s="38">
        <v>0</v>
      </c>
      <c r="M11" s="31">
        <f>K11-L11</f>
        <v>68929.13</v>
      </c>
      <c r="N11" s="37">
        <f>'SALDOS POR NOTA'!I34</f>
        <v>0</v>
      </c>
      <c r="O11" s="31">
        <f t="shared" si="1"/>
        <v>68929.13</v>
      </c>
      <c r="Q11" s="4"/>
      <c r="S11" s="16">
        <v>3</v>
      </c>
      <c r="T11" s="62" t="s">
        <v>12</v>
      </c>
      <c r="U11" s="66">
        <f>'SALDOS POR NOTA'!J34</f>
        <v>6518.28</v>
      </c>
      <c r="V11" s="66">
        <f>'SALDOS POR NOTA'!K34</f>
        <v>6377.76</v>
      </c>
      <c r="W11" s="66">
        <f>'SALDOS POR NOTA'!L34</f>
        <v>29933.14</v>
      </c>
      <c r="X11" s="66">
        <f>'SALDOS POR NOTA'!M34</f>
        <v>14860.01</v>
      </c>
      <c r="Y11" s="66">
        <f>'SALDOS POR NOTA'!N34</f>
        <v>1212.4000000000001</v>
      </c>
      <c r="Z11" s="38">
        <f>L11*-1</f>
        <v>0</v>
      </c>
      <c r="AA11" s="382">
        <f>'SALDOS POR NOTA'!O34</f>
        <v>0</v>
      </c>
      <c r="AB11" s="37">
        <f>N11</f>
        <v>0</v>
      </c>
      <c r="AC11" s="66">
        <f t="shared" si="2"/>
        <v>10027.540000000001</v>
      </c>
      <c r="AD11" s="66">
        <f>'SALDOS POR NOTA'!C35</f>
        <v>10027.540000000001</v>
      </c>
      <c r="AE11" s="116">
        <f>SUM(U11:AC11)</f>
        <v>68929.13</v>
      </c>
      <c r="AF11" s="118">
        <f>(AE11-O11)</f>
        <v>0</v>
      </c>
      <c r="AG11" s="1" t="b">
        <f t="shared" si="3"/>
        <v>1</v>
      </c>
      <c r="AH11" s="4"/>
    </row>
    <row r="12" spans="1:34" x14ac:dyDescent="0.25">
      <c r="B12" s="16">
        <v>4</v>
      </c>
      <c r="C12" s="62" t="s">
        <v>13</v>
      </c>
      <c r="D12" s="66">
        <f>'SALDOS POR NOTA'!C47</f>
        <v>339659.81</v>
      </c>
      <c r="E12" s="66">
        <f>'SALDOS POR NOTA'!D47</f>
        <v>35792.410000000003</v>
      </c>
      <c r="F12" s="66">
        <f>'SALDOS POR NOTA'!E47</f>
        <v>20194.46</v>
      </c>
      <c r="G12" s="66">
        <f>'SALDOS POR NOTA'!F47</f>
        <v>2067.44</v>
      </c>
      <c r="H12" s="66">
        <f>'SALDOS POR NOTA'!G47</f>
        <v>112556.14</v>
      </c>
      <c r="I12" s="66">
        <f>'SALDOS POR NOTA'!H47</f>
        <v>2826.23</v>
      </c>
      <c r="J12" s="66">
        <v>0</v>
      </c>
      <c r="K12" s="31">
        <f t="shared" si="0"/>
        <v>166223.12999999998</v>
      </c>
      <c r="L12" s="38">
        <v>0</v>
      </c>
      <c r="M12" s="31">
        <f>K12-L12</f>
        <v>166223.12999999998</v>
      </c>
      <c r="N12" s="37">
        <f>'SALDOS POR NOTA'!I47</f>
        <v>0</v>
      </c>
      <c r="O12" s="31">
        <f t="shared" si="1"/>
        <v>166223.12999999998</v>
      </c>
      <c r="Q12" s="4"/>
      <c r="S12" s="16">
        <v>4</v>
      </c>
      <c r="T12" s="62" t="s">
        <v>13</v>
      </c>
      <c r="U12" s="66">
        <f>'SALDOS POR NOTA'!J47</f>
        <v>27571.69</v>
      </c>
      <c r="V12" s="66">
        <f>'SALDOS POR NOTA'!K47</f>
        <v>34487.269999999997</v>
      </c>
      <c r="W12" s="66">
        <f>'SALDOS POR NOTA'!L47</f>
        <v>46924.4</v>
      </c>
      <c r="X12" s="66">
        <f>'SALDOS POR NOTA'!M47</f>
        <v>96285.04</v>
      </c>
      <c r="Y12" s="66">
        <f>'SALDOS POR NOTA'!N47</f>
        <v>4611.2700000000004</v>
      </c>
      <c r="Z12" s="38">
        <f>L12*-1</f>
        <v>0</v>
      </c>
      <c r="AA12" s="382">
        <f>'SALDOS POR NOTA'!O47</f>
        <v>-5.29</v>
      </c>
      <c r="AB12" s="37">
        <f>N12</f>
        <v>0</v>
      </c>
      <c r="AC12" s="66">
        <f t="shared" si="2"/>
        <v>-43651.25</v>
      </c>
      <c r="AD12" s="66">
        <f>'SALDOS POR NOTA'!C48</f>
        <v>-43651.25</v>
      </c>
      <c r="AE12" s="116">
        <f>SUM(U12:AC12)</f>
        <v>166223.12999999995</v>
      </c>
      <c r="AF12" s="118">
        <f>(AE12-O12)</f>
        <v>-2.9103830456733704E-11</v>
      </c>
      <c r="AG12" s="1" t="b">
        <f t="shared" si="3"/>
        <v>0</v>
      </c>
      <c r="AH12" s="4"/>
    </row>
    <row r="13" spans="1:34" ht="12" thickBot="1" x14ac:dyDescent="0.3">
      <c r="B13" s="19">
        <v>5</v>
      </c>
      <c r="C13" s="63" t="s">
        <v>14</v>
      </c>
      <c r="D13" s="66">
        <f>'SALDOS POR NOTA'!C60</f>
        <v>0</v>
      </c>
      <c r="E13" s="66">
        <f>'SALDOS POR NOTA'!D60</f>
        <v>0</v>
      </c>
      <c r="F13" s="66">
        <f>'SALDOS POR NOTA'!E60</f>
        <v>0</v>
      </c>
      <c r="G13" s="66">
        <f>'SALDOS POR NOTA'!F60</f>
        <v>0</v>
      </c>
      <c r="H13" s="66">
        <f>'SALDOS POR NOTA'!G60</f>
        <v>0</v>
      </c>
      <c r="I13" s="66">
        <f>'SALDOS POR NOTA'!H60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NOTA'!I60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NOTA'!J60</f>
        <v>0</v>
      </c>
      <c r="V13" s="66">
        <f>'SALDOS POR NOTA'!K60</f>
        <v>0</v>
      </c>
      <c r="W13" s="66">
        <f>'SALDOS POR NOTA'!L60</f>
        <v>0</v>
      </c>
      <c r="X13" s="66">
        <f>'SALDOS POR NOTA'!M60</f>
        <v>0</v>
      </c>
      <c r="Y13" s="66">
        <f>'SALDOS POR NOTA'!N60</f>
        <v>0</v>
      </c>
      <c r="Z13" s="38">
        <f>L13*-1</f>
        <v>0</v>
      </c>
      <c r="AA13" s="383">
        <f>'SALDOS POR NOTA'!O60</f>
        <v>0</v>
      </c>
      <c r="AB13" s="37">
        <f>N13</f>
        <v>0</v>
      </c>
      <c r="AC13" s="66">
        <f t="shared" si="2"/>
        <v>0</v>
      </c>
      <c r="AD13" s="66">
        <f>'SALDOS POR NOTA'!C61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5" thickBot="1" x14ac:dyDescent="0.35">
      <c r="B14" s="21"/>
      <c r="C14" s="22" t="s">
        <v>2</v>
      </c>
      <c r="D14" s="43">
        <f>SUM(D9:D13)</f>
        <v>2286719.23</v>
      </c>
      <c r="E14" s="43">
        <f t="shared" ref="E14:N14" si="4">SUM(E9:E13)</f>
        <v>236926.02</v>
      </c>
      <c r="F14" s="43">
        <f t="shared" si="4"/>
        <v>145459.04999999999</v>
      </c>
      <c r="G14" s="43">
        <f t="shared" si="4"/>
        <v>42051.03</v>
      </c>
      <c r="H14" s="43">
        <f t="shared" si="4"/>
        <v>814015.75</v>
      </c>
      <c r="I14" s="43">
        <f t="shared" si="4"/>
        <v>25637.81</v>
      </c>
      <c r="J14" s="43">
        <f t="shared" si="4"/>
        <v>0</v>
      </c>
      <c r="K14" s="32">
        <f t="shared" si="4"/>
        <v>1022629.5700000001</v>
      </c>
      <c r="L14" s="23">
        <f t="shared" si="4"/>
        <v>0</v>
      </c>
      <c r="M14" s="76">
        <f t="shared" si="4"/>
        <v>1022629.5700000001</v>
      </c>
      <c r="N14" s="23">
        <f t="shared" si="4"/>
        <v>0</v>
      </c>
      <c r="O14" s="76">
        <f>SUM(O9:O13)</f>
        <v>1022629.5700000001</v>
      </c>
      <c r="P14" s="2"/>
      <c r="Q14" s="4"/>
      <c r="S14" s="21"/>
      <c r="T14" s="22" t="s">
        <v>2</v>
      </c>
      <c r="U14" s="43">
        <f>SUM(U9:U13)</f>
        <v>214082.63999999998</v>
      </c>
      <c r="V14" s="43">
        <f t="shared" ref="V14:AB14" si="5">SUM(V9:V13)</f>
        <v>213907.13</v>
      </c>
      <c r="W14" s="43">
        <f t="shared" si="5"/>
        <v>743426.45000000007</v>
      </c>
      <c r="X14" s="43">
        <f t="shared" si="5"/>
        <v>516786.20999999996</v>
      </c>
      <c r="Y14" s="43">
        <f t="shared" si="5"/>
        <v>29930.710000000003</v>
      </c>
      <c r="Z14" s="43">
        <f t="shared" si="5"/>
        <v>0</v>
      </c>
      <c r="AA14" s="381">
        <f>SUM(AA9:AA13)</f>
        <v>-15.86</v>
      </c>
      <c r="AB14" s="43">
        <f t="shared" si="5"/>
        <v>0</v>
      </c>
      <c r="AC14" s="43">
        <f>SUM(AC9:AC13)</f>
        <v>-695487.71</v>
      </c>
      <c r="AD14" s="43">
        <f>SUM(AD9:AD13)</f>
        <v>-695487.71</v>
      </c>
      <c r="AE14" s="68">
        <f>SUM(AE9:AE13)</f>
        <v>1022629.5700000001</v>
      </c>
      <c r="AF14" s="120">
        <f>SUM(AF9:AF13)</f>
        <v>8.7311491370201111E-11</v>
      </c>
      <c r="AG14" s="1" t="b">
        <f t="shared" si="3"/>
        <v>0</v>
      </c>
      <c r="AH14" s="4"/>
    </row>
    <row r="15" spans="1:34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1718133.1400000001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thickBot="1" x14ac:dyDescent="0.3">
      <c r="Q20" s="4"/>
      <c r="AH20" s="4"/>
    </row>
    <row r="21" spans="1:34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2026092</v>
      </c>
      <c r="AD22" s="84"/>
      <c r="AE22" s="48"/>
      <c r="AF22" s="2"/>
      <c r="AH22" s="4"/>
    </row>
    <row r="23" spans="1:34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5" x14ac:dyDescent="0.35">
      <c r="B25" s="8"/>
      <c r="C25" s="2" t="s">
        <v>17</v>
      </c>
      <c r="D25" s="9">
        <f>D6</f>
        <v>46297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" thickBot="1" x14ac:dyDescent="0.3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H26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E26" s="48"/>
      <c r="AF26" s="2"/>
      <c r="AH26" s="4"/>
    </row>
    <row r="27" spans="1:34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5" customFormat="1" x14ac:dyDescent="0.25">
      <c r="B28" s="303">
        <v>1</v>
      </c>
      <c r="C28" s="304" t="s">
        <v>10</v>
      </c>
      <c r="D28" s="291">
        <f>'RETRIBUCION NEGATIVA'!C10</f>
        <v>0</v>
      </c>
      <c r="E28" s="292">
        <f>'RETRIBUCION NEGATIVA'!D10</f>
        <v>0</v>
      </c>
      <c r="F28" s="292">
        <f>'RETRIBUCION NEGATIVA'!E10</f>
        <v>0</v>
      </c>
      <c r="G28" s="292">
        <f>'RETRIBUCION NEGATIVA'!F10</f>
        <v>0</v>
      </c>
      <c r="H28" s="292">
        <f>'RETRIBUCION NEGATIVA'!G10</f>
        <v>0</v>
      </c>
      <c r="I28" s="292">
        <f>'RETRIBUCION NEGATIVA'!H10</f>
        <v>0</v>
      </c>
      <c r="J28" s="288">
        <v>0</v>
      </c>
      <c r="K28" s="293">
        <f>D28-E28-F28-H28-I28-J28-G28</f>
        <v>0</v>
      </c>
      <c r="L28" s="294">
        <v>0</v>
      </c>
      <c r="M28" s="293">
        <f>K28-L28</f>
        <v>0</v>
      </c>
      <c r="N28" s="294">
        <f>'RETRIBUCION NEGATIVA'!I10</f>
        <v>0</v>
      </c>
      <c r="O28" s="293">
        <f>M28+N28</f>
        <v>0</v>
      </c>
      <c r="Q28" s="306"/>
      <c r="S28" s="303">
        <v>1</v>
      </c>
      <c r="T28" s="304" t="s">
        <v>10</v>
      </c>
      <c r="U28" s="291">
        <f>'RETRIBUCION NEGATIVA'!J10</f>
        <v>0</v>
      </c>
      <c r="V28" s="291">
        <f>'RETRIBUCION NEGATIVA'!K10</f>
        <v>0</v>
      </c>
      <c r="W28" s="291">
        <f>'RETRIBUCION NEGATIVA'!L10</f>
        <v>0</v>
      </c>
      <c r="X28" s="291">
        <f>'RETRIBUCION NEGATIVA'!M10</f>
        <v>0</v>
      </c>
      <c r="Y28" s="291">
        <f>'RETRIBUCION NEGATIVA'!N10</f>
        <v>0</v>
      </c>
      <c r="Z28" s="310">
        <f>L28*-1</f>
        <v>0</v>
      </c>
      <c r="AA28" s="312">
        <f>'RETRIBUCION NEGATIVA'!O10</f>
        <v>0</v>
      </c>
      <c r="AB28" s="294">
        <f>N28</f>
        <v>0</v>
      </c>
      <c r="AC28" s="291">
        <f>-J28+AD28</f>
        <v>0</v>
      </c>
      <c r="AD28" s="291">
        <f>'RETRIBUCION NEGATIVA'!C11</f>
        <v>0</v>
      </c>
      <c r="AE28" s="363">
        <f>SUM(U28:AC28)</f>
        <v>0</v>
      </c>
      <c r="AF28" s="311">
        <f>(AE28-O28)</f>
        <v>0</v>
      </c>
      <c r="AG28" s="305" t="b">
        <f>AF28=0</f>
        <v>1</v>
      </c>
      <c r="AH28" s="306"/>
    </row>
    <row r="29" spans="1:34" s="305" customFormat="1" x14ac:dyDescent="0.25">
      <c r="B29" s="314">
        <v>2</v>
      </c>
      <c r="C29" s="315" t="s">
        <v>11</v>
      </c>
      <c r="D29" s="291">
        <f>'RETRIBUCION NEGATIVA'!C23</f>
        <v>0</v>
      </c>
      <c r="E29" s="292">
        <f>'RETRIBUCION NEGATIVA'!D23</f>
        <v>0</v>
      </c>
      <c r="F29" s="292">
        <f>'RETRIBUCION NEGATIVA'!E23</f>
        <v>0</v>
      </c>
      <c r="G29" s="292">
        <f>'RETRIBUCION NEGATIVA'!F23</f>
        <v>0</v>
      </c>
      <c r="H29" s="292">
        <f>'RETRIBUCION NEGATIVA'!G23</f>
        <v>0</v>
      </c>
      <c r="I29" s="292">
        <f>'RETRIBUCION NEGATIVA'!H23</f>
        <v>0</v>
      </c>
      <c r="J29" s="288">
        <v>0</v>
      </c>
      <c r="K29" s="295">
        <f t="shared" ref="K29:K32" si="6">D29-E29-F29-H29-I29-J29-G29</f>
        <v>0</v>
      </c>
      <c r="L29" s="299">
        <v>0</v>
      </c>
      <c r="M29" s="295">
        <f>K29-L29</f>
        <v>0</v>
      </c>
      <c r="N29" s="294">
        <f>'RETRIBUCION NEGATIVA'!I23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'RETRIBUCION NEGATIVA'!J23</f>
        <v>0</v>
      </c>
      <c r="V29" s="316">
        <f>'RETRIBUCION NEGATIVA'!K23</f>
        <v>0</v>
      </c>
      <c r="W29" s="316">
        <f>'RETRIBUCION NEGATIVA'!L23</f>
        <v>0</v>
      </c>
      <c r="X29" s="316">
        <f>'RETRIBUCION NEGATIVA'!M23</f>
        <v>0</v>
      </c>
      <c r="Y29" s="316">
        <f>'RETRIBUCION NEGATIVA'!N23</f>
        <v>0</v>
      </c>
      <c r="Z29" s="319">
        <f>L29*-1</f>
        <v>0</v>
      </c>
      <c r="AA29" s="320">
        <f>'RETRIBUCION NEGATIVA'!O23</f>
        <v>0</v>
      </c>
      <c r="AB29" s="294">
        <f>N29</f>
        <v>0</v>
      </c>
      <c r="AC29" s="291">
        <f>-J29+AD29</f>
        <v>0</v>
      </c>
      <c r="AD29" s="291">
        <f>'RETRIBUCION NEGATIVA'!C24</f>
        <v>0</v>
      </c>
      <c r="AE29" s="365">
        <f>SUM(U29:AC29)</f>
        <v>0</v>
      </c>
      <c r="AF29" s="323">
        <f>(AE29-O29)</f>
        <v>0</v>
      </c>
      <c r="AG29" s="305" t="b">
        <f t="shared" ref="AG29:AG33" si="8">AF29=0</f>
        <v>1</v>
      </c>
      <c r="AH29" s="306"/>
    </row>
    <row r="30" spans="1:34" s="305" customFormat="1" x14ac:dyDescent="0.25">
      <c r="B30" s="314">
        <v>3</v>
      </c>
      <c r="C30" s="315" t="s">
        <v>12</v>
      </c>
      <c r="D30" s="291">
        <f>'RETRIBUCION NEGATIVA'!C36</f>
        <v>0</v>
      </c>
      <c r="E30" s="292">
        <f>'RETRIBUCION NEGATIVA'!D36</f>
        <v>0</v>
      </c>
      <c r="F30" s="292">
        <f>'RETRIBUCION NEGATIVA'!E36</f>
        <v>0</v>
      </c>
      <c r="G30" s="292">
        <f>'RETRIBUCION NEGATIVA'!F36</f>
        <v>0</v>
      </c>
      <c r="H30" s="292">
        <f>'RETRIBUCION NEGATIVA'!G36</f>
        <v>0</v>
      </c>
      <c r="I30" s="292">
        <f>'RETRIBUCION NEGATIVA'!H36</f>
        <v>0</v>
      </c>
      <c r="J30" s="288">
        <v>0</v>
      </c>
      <c r="K30" s="295">
        <f t="shared" si="6"/>
        <v>0</v>
      </c>
      <c r="L30" s="299">
        <v>0</v>
      </c>
      <c r="M30" s="295">
        <f>K30-L30</f>
        <v>0</v>
      </c>
      <c r="N30" s="294">
        <f>'RETRIBUCION NEGATIVA'!I36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'RETRIBUCION NEGATIVA'!J36</f>
        <v>0</v>
      </c>
      <c r="V30" s="316">
        <f>'RETRIBUCION NEGATIVA'!K36</f>
        <v>0</v>
      </c>
      <c r="W30" s="316">
        <f>'RETRIBUCION NEGATIVA'!L36</f>
        <v>0</v>
      </c>
      <c r="X30" s="316">
        <f>'RETRIBUCION NEGATIVA'!M36</f>
        <v>0</v>
      </c>
      <c r="Y30" s="316">
        <f>'RETRIBUCION NEGATIVA'!N36</f>
        <v>0</v>
      </c>
      <c r="Z30" s="319">
        <f>L30*-1</f>
        <v>0</v>
      </c>
      <c r="AA30" s="320">
        <f>'RETRIBUCION NEGATIVA'!O36</f>
        <v>0</v>
      </c>
      <c r="AB30" s="294">
        <f>N30</f>
        <v>0</v>
      </c>
      <c r="AC30" s="291">
        <f t="shared" ref="AC30:AC32" si="9">-J30+AD30</f>
        <v>0</v>
      </c>
      <c r="AD30" s="291">
        <f>'RETRIBUCION NEGATIVA'!C37</f>
        <v>0</v>
      </c>
      <c r="AE30" s="365">
        <f>SUM(U30:AC30)</f>
        <v>0</v>
      </c>
      <c r="AF30" s="323">
        <f t="shared" ref="AF30:AF31" si="10">(AE30-O30)</f>
        <v>0</v>
      </c>
      <c r="AG30" s="305" t="b">
        <f t="shared" si="8"/>
        <v>1</v>
      </c>
      <c r="AH30" s="306"/>
    </row>
    <row r="31" spans="1:34" s="305" customFormat="1" x14ac:dyDescent="0.25">
      <c r="B31" s="314">
        <v>4</v>
      </c>
      <c r="C31" s="315" t="s">
        <v>13</v>
      </c>
      <c r="D31" s="291">
        <f>'RETRIBUCION NEGATIVA'!C49</f>
        <v>0</v>
      </c>
      <c r="E31" s="292">
        <f>'RETRIBUCION NEGATIVA'!D49</f>
        <v>0</v>
      </c>
      <c r="F31" s="292">
        <f>'RETRIBUCION NEGATIVA'!E49</f>
        <v>0</v>
      </c>
      <c r="G31" s="292">
        <f>'RETRIBUCION NEGATIVA'!F49</f>
        <v>0</v>
      </c>
      <c r="H31" s="292">
        <f>'RETRIBUCION NEGATIVA'!G49</f>
        <v>0</v>
      </c>
      <c r="I31" s="292">
        <f>'RETRIBUCION NEGATIVA'!H49</f>
        <v>0</v>
      </c>
      <c r="J31" s="288">
        <v>0</v>
      </c>
      <c r="K31" s="295">
        <f t="shared" si="6"/>
        <v>0</v>
      </c>
      <c r="L31" s="299">
        <v>0</v>
      </c>
      <c r="M31" s="295">
        <f>K31-L31</f>
        <v>0</v>
      </c>
      <c r="N31" s="294">
        <f>'RETRIBUCION NEGATIVA'!I49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'RETRIBUCION NEGATIVA'!J49</f>
        <v>0</v>
      </c>
      <c r="V31" s="316">
        <f>'RETRIBUCION NEGATIVA'!K49</f>
        <v>0</v>
      </c>
      <c r="W31" s="316">
        <f>'RETRIBUCION NEGATIVA'!L49</f>
        <v>0</v>
      </c>
      <c r="X31" s="316">
        <f>'RETRIBUCION NEGATIVA'!M49</f>
        <v>0</v>
      </c>
      <c r="Y31" s="316">
        <f>'RETRIBUCION NEGATIVA'!N49</f>
        <v>0</v>
      </c>
      <c r="Z31" s="319">
        <f>L31*-1</f>
        <v>0</v>
      </c>
      <c r="AA31" s="320">
        <f>'RETRIBUCION NEGATIVA'!O49</f>
        <v>0</v>
      </c>
      <c r="AB31" s="294">
        <f>N31</f>
        <v>0</v>
      </c>
      <c r="AC31" s="291">
        <f t="shared" si="9"/>
        <v>0</v>
      </c>
      <c r="AD31" s="291">
        <f>'RETRIBUCION NEGATIVA'!C50</f>
        <v>0</v>
      </c>
      <c r="AE31" s="365">
        <f>SUM(U31:AC31)</f>
        <v>0</v>
      </c>
      <c r="AF31" s="323">
        <f t="shared" si="10"/>
        <v>0</v>
      </c>
      <c r="AG31" s="305" t="b">
        <f t="shared" si="8"/>
        <v>1</v>
      </c>
      <c r="AH31" s="306"/>
    </row>
    <row r="32" spans="1:34" s="305" customFormat="1" ht="12" thickBot="1" x14ac:dyDescent="0.3">
      <c r="B32" s="324">
        <v>5</v>
      </c>
      <c r="C32" s="325" t="s">
        <v>14</v>
      </c>
      <c r="D32" s="296">
        <f>'RETRIBUCION NEGATIVA'!C61</f>
        <v>0</v>
      </c>
      <c r="E32" s="297">
        <f>'RETRIBUCION NEGATIVA'!D61</f>
        <v>0</v>
      </c>
      <c r="F32" s="297">
        <f>'RETRIBUCION NEGATIVA'!E61</f>
        <v>0</v>
      </c>
      <c r="G32" s="297">
        <f>'RETRIBUCION NEGATIVA'!F61</f>
        <v>0</v>
      </c>
      <c r="H32" s="297">
        <f>'RETRIBUCION NEGATIVA'!G61</f>
        <v>0</v>
      </c>
      <c r="I32" s="297">
        <f>'RETRIBUCION NEGATIVA'!H61</f>
        <v>0</v>
      </c>
      <c r="J32" s="289">
        <v>0</v>
      </c>
      <c r="K32" s="295">
        <f t="shared" si="6"/>
        <v>0</v>
      </c>
      <c r="L32" s="299">
        <v>0</v>
      </c>
      <c r="M32" s="298">
        <f>K32-L32</f>
        <v>0</v>
      </c>
      <c r="N32" s="299">
        <f>'RETRIBUCION NEGATIVA'!I61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'RETRIBUCION NEGATIVA'!J61</f>
        <v>0</v>
      </c>
      <c r="V32" s="296">
        <f>'RETRIBUCION NEGATIVA'!K61</f>
        <v>0</v>
      </c>
      <c r="W32" s="296">
        <f>'RETRIBUCION NEGATIVA'!L61</f>
        <v>0</v>
      </c>
      <c r="X32" s="296">
        <f>'RETRIBUCION NEGATIVA'!M61</f>
        <v>0</v>
      </c>
      <c r="Y32" s="296">
        <f>'RETRIBUCION NEGATIVA'!N61</f>
        <v>0</v>
      </c>
      <c r="Z32" s="319">
        <f>L32*-1</f>
        <v>0</v>
      </c>
      <c r="AA32" s="320">
        <f>'RETRIBUCION NEGATIVA'!O61</f>
        <v>0</v>
      </c>
      <c r="AB32" s="294">
        <f>N32</f>
        <v>0</v>
      </c>
      <c r="AC32" s="291">
        <f t="shared" si="9"/>
        <v>0</v>
      </c>
      <c r="AD32" s="291">
        <f>'RETRIBUCION NEGATIVA'!C62</f>
        <v>0</v>
      </c>
      <c r="AE32" s="365">
        <f>SUM(U32:AC32)</f>
        <v>0</v>
      </c>
      <c r="AF32" s="326">
        <f>(AE32-O32)</f>
        <v>0</v>
      </c>
      <c r="AG32" s="305" t="b">
        <f t="shared" si="8"/>
        <v>1</v>
      </c>
      <c r="AH32" s="306"/>
    </row>
    <row r="33" spans="1:34" s="305" customFormat="1" ht="13.5" thickBot="1" x14ac:dyDescent="0.35">
      <c r="B33" s="327"/>
      <c r="C33" s="328" t="s">
        <v>2</v>
      </c>
      <c r="D33" s="290">
        <f>SUM(D28:D32)</f>
        <v>0</v>
      </c>
      <c r="E33" s="290">
        <f t="shared" ref="E33:O33" si="11">SUM(E28:E32)</f>
        <v>0</v>
      </c>
      <c r="F33" s="290">
        <f t="shared" si="11"/>
        <v>0</v>
      </c>
      <c r="G33" s="290">
        <f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290">
        <f>SUM(U28:U32)</f>
        <v>0</v>
      </c>
      <c r="V33" s="290">
        <f t="shared" ref="V33:AF33" si="12">SUM(V28:V32)</f>
        <v>0</v>
      </c>
      <c r="W33" s="290">
        <f t="shared" si="12"/>
        <v>0</v>
      </c>
      <c r="X33" s="290">
        <f t="shared" si="12"/>
        <v>0</v>
      </c>
      <c r="Y33" s="290">
        <f t="shared" si="12"/>
        <v>0</v>
      </c>
      <c r="Z33" s="290">
        <f t="shared" si="12"/>
        <v>0</v>
      </c>
      <c r="AA33" s="290">
        <f t="shared" si="12"/>
        <v>0</v>
      </c>
      <c r="AB33" s="290">
        <f t="shared" si="12"/>
        <v>0</v>
      </c>
      <c r="AC33" s="290">
        <f>SUM(AC28:AC32)</f>
        <v>0</v>
      </c>
      <c r="AD33" s="290">
        <f>SUM(AD28:AD32)</f>
        <v>0</v>
      </c>
      <c r="AE33" s="331">
        <f t="shared" si="12"/>
        <v>0</v>
      </c>
      <c r="AF33" s="332">
        <f t="shared" si="12"/>
        <v>0</v>
      </c>
      <c r="AG33" s="305" t="b">
        <f t="shared" si="8"/>
        <v>1</v>
      </c>
      <c r="AH33" s="306"/>
    </row>
    <row r="34" spans="1:34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265</v>
      </c>
      <c r="M35" s="639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" thickBot="1" x14ac:dyDescent="0.3">
      <c r="Q39" s="4"/>
      <c r="AH39" s="4"/>
    </row>
    <row r="40" spans="1:34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2026092</v>
      </c>
      <c r="AD41" s="84"/>
      <c r="AE41" s="48"/>
      <c r="AF41" s="2"/>
      <c r="AH41" s="4"/>
    </row>
    <row r="42" spans="1:34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5" x14ac:dyDescent="0.35">
      <c r="B44" s="8"/>
      <c r="C44" s="2" t="s">
        <v>17</v>
      </c>
      <c r="D44" s="9">
        <f>D6</f>
        <v>46297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" thickBot="1" x14ac:dyDescent="0.3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H45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E45" s="48"/>
      <c r="AF45" s="2"/>
      <c r="AH45" s="4"/>
    </row>
    <row r="46" spans="1:34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x14ac:dyDescent="0.25">
      <c r="B47" s="14">
        <v>1</v>
      </c>
      <c r="C47" s="61" t="s">
        <v>10</v>
      </c>
      <c r="D47" s="66">
        <f>D9+D28</f>
        <v>589006.92000000004</v>
      </c>
      <c r="E47" s="66">
        <f t="shared" ref="E47:F47" si="13">E9+E28</f>
        <v>31457.17</v>
      </c>
      <c r="F47" s="66">
        <f t="shared" si="13"/>
        <v>17527.740000000002</v>
      </c>
      <c r="G47" s="66">
        <f t="shared" ref="G47" si="14">G9+G28</f>
        <v>8747.16</v>
      </c>
      <c r="H47" s="66">
        <f t="shared" ref="H47:J51" si="15">H9+H28</f>
        <v>161245.56</v>
      </c>
      <c r="I47" s="66">
        <f t="shared" si="15"/>
        <v>5296.18</v>
      </c>
      <c r="J47" s="66">
        <f>J9+J28</f>
        <v>0</v>
      </c>
      <c r="K47" s="30">
        <f>D47-E47-F47-G47-H47-I47-J47</f>
        <v>364733.11</v>
      </c>
      <c r="L47" s="37">
        <v>0</v>
      </c>
      <c r="M47" s="30">
        <f>K47-L47</f>
        <v>364733.11</v>
      </c>
      <c r="N47" s="66">
        <f>N9+N28</f>
        <v>0</v>
      </c>
      <c r="O47" s="30">
        <f>M47+N47</f>
        <v>364733.11</v>
      </c>
      <c r="Q47" s="4"/>
      <c r="S47" s="14">
        <v>1</v>
      </c>
      <c r="T47" s="61" t="s">
        <v>10</v>
      </c>
      <c r="U47" s="140">
        <f t="shared" ref="U47:Y51" si="16">U9+U28</f>
        <v>49817.24</v>
      </c>
      <c r="V47" s="140">
        <f t="shared" si="16"/>
        <v>43798.38</v>
      </c>
      <c r="W47" s="140">
        <f t="shared" si="16"/>
        <v>198669.66</v>
      </c>
      <c r="X47" s="140">
        <f t="shared" si="16"/>
        <v>85917.24</v>
      </c>
      <c r="Y47" s="140">
        <f t="shared" si="16"/>
        <v>7999.99</v>
      </c>
      <c r="Z47" s="87">
        <f>-L47</f>
        <v>0</v>
      </c>
      <c r="AA47" s="75">
        <f t="shared" ref="AA47:AD51" si="17">AA9+AA28</f>
        <v>-1.69</v>
      </c>
      <c r="AB47" s="75">
        <f>AB9+AB28</f>
        <v>0</v>
      </c>
      <c r="AC47" s="75">
        <f t="shared" si="17"/>
        <v>-21467.71</v>
      </c>
      <c r="AD47" s="75">
        <f t="shared" si="17"/>
        <v>-21467.71</v>
      </c>
      <c r="AE47" s="69">
        <f>SUM(U47:AC47)</f>
        <v>364733.11</v>
      </c>
      <c r="AF47" s="117">
        <f>(AE47-O47)</f>
        <v>0</v>
      </c>
      <c r="AG47" s="1" t="b">
        <f>AF47=0</f>
        <v>1</v>
      </c>
      <c r="AH47" s="4"/>
    </row>
    <row r="48" spans="1:34" x14ac:dyDescent="0.25">
      <c r="B48" s="16">
        <v>2</v>
      </c>
      <c r="C48" s="62" t="s">
        <v>11</v>
      </c>
      <c r="D48" s="66">
        <f t="shared" ref="D48:F51" si="18">D10+D29</f>
        <v>1255716.79</v>
      </c>
      <c r="E48" s="66">
        <f t="shared" si="18"/>
        <v>163409.31</v>
      </c>
      <c r="F48" s="66">
        <f t="shared" si="18"/>
        <v>104244.84</v>
      </c>
      <c r="G48" s="66">
        <f t="shared" ref="G48" si="19">G10+G29</f>
        <v>29379.21</v>
      </c>
      <c r="H48" s="66">
        <f t="shared" si="15"/>
        <v>519166.91</v>
      </c>
      <c r="I48" s="66">
        <f t="shared" si="15"/>
        <v>16772.32</v>
      </c>
      <c r="J48" s="66">
        <f t="shared" si="15"/>
        <v>0</v>
      </c>
      <c r="K48" s="31">
        <f>D48-E48-F48-G48-H48-I48-J48</f>
        <v>422744.20000000007</v>
      </c>
      <c r="L48" s="38">
        <v>0</v>
      </c>
      <c r="M48" s="31">
        <f>K48-L48</f>
        <v>422744.20000000007</v>
      </c>
      <c r="N48" s="66">
        <f>N10+N29</f>
        <v>0</v>
      </c>
      <c r="O48" s="31">
        <f t="shared" ref="O48:O51" si="20">M48+N48</f>
        <v>422744.20000000007</v>
      </c>
      <c r="Q48" s="4"/>
      <c r="S48" s="16">
        <v>2</v>
      </c>
      <c r="T48" s="62" t="s">
        <v>11</v>
      </c>
      <c r="U48" s="82">
        <f t="shared" si="16"/>
        <v>130175.43</v>
      </c>
      <c r="V48" s="82">
        <f t="shared" si="16"/>
        <v>129243.72</v>
      </c>
      <c r="W48" s="82">
        <f t="shared" si="16"/>
        <v>467899.25</v>
      </c>
      <c r="X48" s="82">
        <f t="shared" si="16"/>
        <v>319723.92</v>
      </c>
      <c r="Y48" s="82">
        <f t="shared" si="16"/>
        <v>16107.05</v>
      </c>
      <c r="Z48" s="88">
        <f>-L48</f>
        <v>0</v>
      </c>
      <c r="AA48" s="67">
        <f>AA10+AA29</f>
        <v>-8.8800000000000008</v>
      </c>
      <c r="AB48" s="67">
        <f>AB10+AB29</f>
        <v>0</v>
      </c>
      <c r="AC48" s="67">
        <f t="shared" si="17"/>
        <v>-640396.29</v>
      </c>
      <c r="AD48" s="67">
        <f t="shared" si="17"/>
        <v>-640396.29</v>
      </c>
      <c r="AE48" s="70">
        <f>SUM(U48:AC48)</f>
        <v>422744.20000000019</v>
      </c>
      <c r="AF48" s="118">
        <f>(AE48-O48)</f>
        <v>1.1641532182693481E-10</v>
      </c>
      <c r="AG48" s="1" t="b">
        <f t="shared" ref="AG48:AG52" si="21">AF48=0</f>
        <v>0</v>
      </c>
      <c r="AH48" s="4"/>
    </row>
    <row r="49" spans="1:34" x14ac:dyDescent="0.25">
      <c r="B49" s="16">
        <v>3</v>
      </c>
      <c r="C49" s="62" t="s">
        <v>12</v>
      </c>
      <c r="D49" s="66">
        <f t="shared" si="18"/>
        <v>102335.71</v>
      </c>
      <c r="E49" s="66">
        <f t="shared" si="18"/>
        <v>6267.13</v>
      </c>
      <c r="F49" s="66">
        <f t="shared" si="18"/>
        <v>3492.01</v>
      </c>
      <c r="G49" s="66">
        <f t="shared" ref="G49" si="22">G11+G30</f>
        <v>1857.22</v>
      </c>
      <c r="H49" s="66">
        <f t="shared" si="15"/>
        <v>21047.14</v>
      </c>
      <c r="I49" s="66">
        <f t="shared" si="15"/>
        <v>743.08</v>
      </c>
      <c r="J49" s="66">
        <f t="shared" si="15"/>
        <v>0</v>
      </c>
      <c r="K49" s="31">
        <f t="shared" ref="K49:K51" si="23">D49-E49-F49-G49-H49-I49-J49</f>
        <v>68929.13</v>
      </c>
      <c r="L49" s="38">
        <v>0</v>
      </c>
      <c r="M49" s="31">
        <f>K49-L49</f>
        <v>68929.13</v>
      </c>
      <c r="N49" s="66">
        <f>N11+N30</f>
        <v>0</v>
      </c>
      <c r="O49" s="31">
        <f t="shared" si="20"/>
        <v>68929.13</v>
      </c>
      <c r="Q49" s="4"/>
      <c r="S49" s="16">
        <v>3</v>
      </c>
      <c r="T49" s="62" t="s">
        <v>12</v>
      </c>
      <c r="U49" s="82">
        <f t="shared" si="16"/>
        <v>6518.28</v>
      </c>
      <c r="V49" s="82">
        <f t="shared" si="16"/>
        <v>6377.76</v>
      </c>
      <c r="W49" s="82">
        <f t="shared" si="16"/>
        <v>29933.14</v>
      </c>
      <c r="X49" s="82">
        <f t="shared" si="16"/>
        <v>14860.01</v>
      </c>
      <c r="Y49" s="82">
        <f t="shared" si="16"/>
        <v>1212.4000000000001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10027.540000000001</v>
      </c>
      <c r="AD49" s="67">
        <f t="shared" si="17"/>
        <v>10027.540000000001</v>
      </c>
      <c r="AE49" s="70">
        <f t="shared" ref="AE49:AE51" si="24">SUM(U49:AC49)</f>
        <v>68929.13</v>
      </c>
      <c r="AF49" s="118">
        <f>(AE49-O49)</f>
        <v>0</v>
      </c>
      <c r="AG49" s="1" t="b">
        <f t="shared" si="21"/>
        <v>1</v>
      </c>
      <c r="AH49" s="4"/>
    </row>
    <row r="50" spans="1:34" x14ac:dyDescent="0.25">
      <c r="B50" s="16">
        <v>4</v>
      </c>
      <c r="C50" s="62" t="s">
        <v>13</v>
      </c>
      <c r="D50" s="66">
        <f t="shared" si="18"/>
        <v>339659.81</v>
      </c>
      <c r="E50" s="66">
        <f t="shared" si="18"/>
        <v>35792.410000000003</v>
      </c>
      <c r="F50" s="66">
        <f t="shared" si="18"/>
        <v>20194.46</v>
      </c>
      <c r="G50" s="66">
        <f t="shared" ref="G50" si="25">G12+G31</f>
        <v>2067.44</v>
      </c>
      <c r="H50" s="66">
        <f t="shared" si="15"/>
        <v>112556.14</v>
      </c>
      <c r="I50" s="66">
        <f t="shared" si="15"/>
        <v>2826.23</v>
      </c>
      <c r="J50" s="66">
        <f t="shared" si="15"/>
        <v>0</v>
      </c>
      <c r="K50" s="31">
        <f t="shared" si="23"/>
        <v>166223.12999999998</v>
      </c>
      <c r="L50" s="38">
        <v>0</v>
      </c>
      <c r="M50" s="31">
        <f>K50-L50</f>
        <v>166223.12999999998</v>
      </c>
      <c r="N50" s="66">
        <f>N12+N31</f>
        <v>0</v>
      </c>
      <c r="O50" s="31">
        <f t="shared" si="20"/>
        <v>166223.12999999998</v>
      </c>
      <c r="Q50" s="4"/>
      <c r="S50" s="16">
        <v>4</v>
      </c>
      <c r="T50" s="62" t="s">
        <v>13</v>
      </c>
      <c r="U50" s="82">
        <f t="shared" si="16"/>
        <v>27571.69</v>
      </c>
      <c r="V50" s="82">
        <f t="shared" si="16"/>
        <v>34487.269999999997</v>
      </c>
      <c r="W50" s="82">
        <f t="shared" si="16"/>
        <v>46924.4</v>
      </c>
      <c r="X50" s="82">
        <f t="shared" si="16"/>
        <v>96285.04</v>
      </c>
      <c r="Y50" s="82">
        <f t="shared" si="16"/>
        <v>4611.2700000000004</v>
      </c>
      <c r="Z50" s="88">
        <f>-L50</f>
        <v>0</v>
      </c>
      <c r="AA50" s="67">
        <f>AA12+AA31</f>
        <v>-5.29</v>
      </c>
      <c r="AB50" s="67">
        <f t="shared" si="17"/>
        <v>0</v>
      </c>
      <c r="AC50" s="67">
        <f t="shared" si="17"/>
        <v>-43651.25</v>
      </c>
      <c r="AD50" s="67">
        <f t="shared" si="17"/>
        <v>-43651.25</v>
      </c>
      <c r="AE50" s="70">
        <f t="shared" si="24"/>
        <v>166223.12999999995</v>
      </c>
      <c r="AF50" s="118">
        <f>(AE50-O50)</f>
        <v>-2.9103830456733704E-11</v>
      </c>
      <c r="AG50" s="1" t="b">
        <f t="shared" si="21"/>
        <v>0</v>
      </c>
      <c r="AH50" s="4"/>
    </row>
    <row r="51" spans="1:34" ht="12" thickBot="1" x14ac:dyDescent="0.3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5" thickBot="1" x14ac:dyDescent="0.35">
      <c r="B52" s="21"/>
      <c r="C52" s="22" t="s">
        <v>2</v>
      </c>
      <c r="D52" s="43">
        <f t="shared" ref="D52:O52" si="27">SUM(D47:D51)</f>
        <v>2286719.23</v>
      </c>
      <c r="E52" s="43">
        <f t="shared" si="27"/>
        <v>236926.02</v>
      </c>
      <c r="F52" s="43">
        <f t="shared" si="27"/>
        <v>145459.04999999999</v>
      </c>
      <c r="G52" s="43">
        <f t="shared" si="27"/>
        <v>42051.03</v>
      </c>
      <c r="H52" s="43">
        <f t="shared" si="27"/>
        <v>814015.75</v>
      </c>
      <c r="I52" s="43">
        <f t="shared" si="27"/>
        <v>25637.81</v>
      </c>
      <c r="J52" s="43">
        <f t="shared" si="27"/>
        <v>0</v>
      </c>
      <c r="K52" s="32">
        <f t="shared" si="27"/>
        <v>1022629.5700000001</v>
      </c>
      <c r="L52" s="23">
        <f t="shared" si="27"/>
        <v>0</v>
      </c>
      <c r="M52" s="76">
        <f t="shared" si="27"/>
        <v>1022629.5700000001</v>
      </c>
      <c r="N52" s="23">
        <f t="shared" si="27"/>
        <v>0</v>
      </c>
      <c r="O52" s="76">
        <f t="shared" si="27"/>
        <v>1022629.5700000001</v>
      </c>
      <c r="P52" s="2"/>
      <c r="Q52" s="4"/>
      <c r="S52" s="21"/>
      <c r="T52" s="22" t="s">
        <v>2</v>
      </c>
      <c r="U52" s="43">
        <f>SUM(U47:U51)</f>
        <v>214082.63999999998</v>
      </c>
      <c r="V52" s="43">
        <f t="shared" ref="V52:AE52" si="28">SUM(V47:V51)</f>
        <v>213907.13</v>
      </c>
      <c r="W52" s="43">
        <f t="shared" si="28"/>
        <v>743426.45000000007</v>
      </c>
      <c r="X52" s="43">
        <f t="shared" si="28"/>
        <v>516786.20999999996</v>
      </c>
      <c r="Y52" s="43">
        <f t="shared" si="28"/>
        <v>29930.710000000003</v>
      </c>
      <c r="Z52" s="43">
        <f t="shared" si="28"/>
        <v>0</v>
      </c>
      <c r="AA52" s="43">
        <f>SUM(AA47:AA51)</f>
        <v>-15.86</v>
      </c>
      <c r="AB52" s="43">
        <f t="shared" si="28"/>
        <v>0</v>
      </c>
      <c r="AC52" s="43">
        <f>SUM(AC47:AC51)</f>
        <v>-695487.71</v>
      </c>
      <c r="AD52" s="43">
        <f>SUM(AD47:AD51)</f>
        <v>-695487.71</v>
      </c>
      <c r="AE52" s="68">
        <f t="shared" si="28"/>
        <v>1022629.5700000001</v>
      </c>
      <c r="AF52" s="120">
        <f>SUM(AF47:AF51)</f>
        <v>8.7311491370201111E-11</v>
      </c>
      <c r="AG52" s="1" t="b">
        <f t="shared" si="21"/>
        <v>0</v>
      </c>
      <c r="AH52" s="4"/>
    </row>
    <row r="53" spans="1:34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1718133.1400000001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5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I19" zoomScaleNormal="100" workbookViewId="0">
      <selection activeCell="R32" sqref="R32"/>
    </sheetView>
  </sheetViews>
  <sheetFormatPr baseColWidth="10" defaultRowHeight="13" x14ac:dyDescent="0.3"/>
  <cols>
    <col min="1" max="1" width="2.81640625" customWidth="1"/>
    <col min="2" max="2" width="17.453125" bestFit="1" customWidth="1"/>
    <col min="3" max="3" width="4.81640625" style="151" bestFit="1" customWidth="1"/>
    <col min="4" max="4" width="42.81640625" style="151" bestFit="1" customWidth="1"/>
    <col min="5" max="5" width="9" customWidth="1"/>
    <col min="6" max="6" width="15.81640625" customWidth="1"/>
    <col min="7" max="7" width="17.453125" bestFit="1" customWidth="1"/>
    <col min="8" max="8" width="14.1796875" customWidth="1"/>
    <col min="9" max="9" width="16.1796875" bestFit="1" customWidth="1"/>
    <col min="10" max="10" width="16.81640625" customWidth="1"/>
    <col min="11" max="11" width="17.54296875" customWidth="1"/>
    <col min="12" max="12" width="15.54296875" bestFit="1" customWidth="1"/>
    <col min="13" max="13" width="15.81640625" bestFit="1" customWidth="1"/>
    <col min="14" max="14" width="17" customWidth="1"/>
    <col min="15" max="15" width="17.81640625" customWidth="1"/>
    <col min="16" max="16" width="16.81640625" customWidth="1"/>
    <col min="17" max="17" width="18" customWidth="1"/>
    <col min="18" max="18" width="14.1796875" bestFit="1" customWidth="1"/>
    <col min="19" max="19" width="15.81640625" bestFit="1" customWidth="1"/>
    <col min="20" max="20" width="14.1796875" bestFit="1" customWidth="1"/>
  </cols>
  <sheetData>
    <row r="1" spans="2:19" ht="13.5" thickBot="1" x14ac:dyDescent="0.35"/>
    <row r="2" spans="2:19" s="151" customFormat="1" ht="13.5" thickBot="1" x14ac:dyDescent="0.35">
      <c r="B2" s="665"/>
      <c r="E2" s="151" t="s">
        <v>1</v>
      </c>
      <c r="F2" s="581" t="s">
        <v>275</v>
      </c>
      <c r="G2" s="582" t="s">
        <v>276</v>
      </c>
      <c r="H2" s="583" t="s">
        <v>277</v>
      </c>
      <c r="I2" s="583" t="s">
        <v>278</v>
      </c>
      <c r="J2" s="583" t="s">
        <v>279</v>
      </c>
      <c r="K2" s="582" t="s">
        <v>280</v>
      </c>
      <c r="L2" s="582" t="s">
        <v>281</v>
      </c>
      <c r="M2" s="583" t="s">
        <v>282</v>
      </c>
      <c r="N2" s="583" t="s">
        <v>283</v>
      </c>
      <c r="O2" s="583" t="s">
        <v>284</v>
      </c>
      <c r="P2" s="761" t="s">
        <v>285</v>
      </c>
      <c r="Q2" s="583" t="s">
        <v>286</v>
      </c>
    </row>
    <row r="3" spans="2:19" s="151" customFormat="1" ht="26.5" thickBot="1" x14ac:dyDescent="0.35">
      <c r="B3" s="666" t="s">
        <v>134</v>
      </c>
      <c r="C3" s="152" t="s">
        <v>3</v>
      </c>
      <c r="D3" s="153" t="s">
        <v>9</v>
      </c>
      <c r="E3" s="560" t="s">
        <v>108</v>
      </c>
      <c r="F3" s="584" t="s">
        <v>287</v>
      </c>
      <c r="G3" s="585" t="s">
        <v>288</v>
      </c>
      <c r="H3" s="586" t="s">
        <v>289</v>
      </c>
      <c r="I3" s="587" t="s">
        <v>290</v>
      </c>
      <c r="J3" s="584" t="s">
        <v>291</v>
      </c>
      <c r="K3" s="585" t="s">
        <v>292</v>
      </c>
      <c r="L3" s="586" t="s">
        <v>293</v>
      </c>
      <c r="M3" s="587" t="s">
        <v>294</v>
      </c>
      <c r="N3" s="584" t="s">
        <v>295</v>
      </c>
      <c r="O3" s="585" t="s">
        <v>296</v>
      </c>
      <c r="P3" s="586" t="s">
        <v>297</v>
      </c>
      <c r="Q3" s="587" t="s">
        <v>298</v>
      </c>
    </row>
    <row r="4" spans="2:19" s="151" customFormat="1" x14ac:dyDescent="0.3">
      <c r="B4" s="667">
        <v>378371975</v>
      </c>
      <c r="C4" s="561">
        <v>1</v>
      </c>
      <c r="D4" s="161" t="s">
        <v>10</v>
      </c>
      <c r="E4" s="668">
        <v>0.22</v>
      </c>
      <c r="F4" s="669">
        <v>189185988</v>
      </c>
      <c r="G4" s="670">
        <v>189185987</v>
      </c>
      <c r="H4" s="671">
        <v>189185988</v>
      </c>
      <c r="I4" s="672">
        <v>189185987</v>
      </c>
      <c r="J4" s="669">
        <v>189185988</v>
      </c>
      <c r="K4" s="670">
        <v>189185987</v>
      </c>
      <c r="L4" s="671">
        <v>189185988</v>
      </c>
      <c r="M4" s="672">
        <v>189185987</v>
      </c>
      <c r="N4" s="669">
        <v>189185988</v>
      </c>
      <c r="O4" s="670">
        <v>189185987</v>
      </c>
      <c r="P4" s="671">
        <v>189185988</v>
      </c>
      <c r="Q4" s="672">
        <v>189185987</v>
      </c>
      <c r="S4" s="762"/>
    </row>
    <row r="5" spans="2:19" s="151" customFormat="1" x14ac:dyDescent="0.3">
      <c r="B5" s="667">
        <v>533160511</v>
      </c>
      <c r="C5" s="562">
        <v>2</v>
      </c>
      <c r="D5" s="156" t="s">
        <v>11</v>
      </c>
      <c r="E5" s="673">
        <v>0.31</v>
      </c>
      <c r="F5" s="674">
        <v>266580256</v>
      </c>
      <c r="G5" s="675">
        <v>266580255</v>
      </c>
      <c r="H5" s="676">
        <v>266580256</v>
      </c>
      <c r="I5" s="672">
        <v>266580255</v>
      </c>
      <c r="J5" s="674">
        <v>266580256</v>
      </c>
      <c r="K5" s="675">
        <v>266580255</v>
      </c>
      <c r="L5" s="676">
        <v>266580256</v>
      </c>
      <c r="M5" s="672">
        <v>266580255</v>
      </c>
      <c r="N5" s="674">
        <v>266580256</v>
      </c>
      <c r="O5" s="675">
        <v>266580255</v>
      </c>
      <c r="P5" s="676">
        <v>266580256</v>
      </c>
      <c r="Q5" s="672">
        <v>266580255</v>
      </c>
      <c r="S5" s="762"/>
    </row>
    <row r="6" spans="2:19" s="151" customFormat="1" x14ac:dyDescent="0.3">
      <c r="B6" s="667">
        <v>309577071</v>
      </c>
      <c r="C6" s="562">
        <v>3</v>
      </c>
      <c r="D6" s="156" t="s">
        <v>12</v>
      </c>
      <c r="E6" s="673">
        <v>0.18</v>
      </c>
      <c r="F6" s="674">
        <v>154788536</v>
      </c>
      <c r="G6" s="675">
        <v>154788535</v>
      </c>
      <c r="H6" s="676">
        <v>154788536</v>
      </c>
      <c r="I6" s="672">
        <v>154788535</v>
      </c>
      <c r="J6" s="674">
        <v>154788536</v>
      </c>
      <c r="K6" s="675">
        <v>154788535</v>
      </c>
      <c r="L6" s="676">
        <v>154788536</v>
      </c>
      <c r="M6" s="672">
        <v>154788535</v>
      </c>
      <c r="N6" s="674">
        <v>154788536</v>
      </c>
      <c r="O6" s="675">
        <v>154788535</v>
      </c>
      <c r="P6" s="676">
        <v>154788536</v>
      </c>
      <c r="Q6" s="672">
        <v>154788535</v>
      </c>
      <c r="S6" s="762"/>
    </row>
    <row r="7" spans="2:19" s="151" customFormat="1" x14ac:dyDescent="0.3">
      <c r="B7" s="667">
        <v>240782166</v>
      </c>
      <c r="C7" s="562">
        <v>4</v>
      </c>
      <c r="D7" s="156" t="s">
        <v>13</v>
      </c>
      <c r="E7" s="673">
        <v>0.14000000000000001</v>
      </c>
      <c r="F7" s="674">
        <v>120391083</v>
      </c>
      <c r="G7" s="675">
        <v>120391083</v>
      </c>
      <c r="H7" s="676">
        <v>120391083</v>
      </c>
      <c r="I7" s="672">
        <v>120391083</v>
      </c>
      <c r="J7" s="674">
        <v>120391083</v>
      </c>
      <c r="K7" s="675">
        <v>120391083</v>
      </c>
      <c r="L7" s="676">
        <v>120391083</v>
      </c>
      <c r="M7" s="672">
        <v>120391083</v>
      </c>
      <c r="N7" s="674">
        <v>120391083</v>
      </c>
      <c r="O7" s="675">
        <v>120391083</v>
      </c>
      <c r="P7" s="676">
        <v>120391083</v>
      </c>
      <c r="Q7" s="672">
        <v>120391083</v>
      </c>
      <c r="S7" s="762"/>
    </row>
    <row r="8" spans="2:19" s="151" customFormat="1" ht="13.5" thickBot="1" x14ac:dyDescent="0.35">
      <c r="B8" s="667">
        <v>257980891</v>
      </c>
      <c r="C8" s="563">
        <v>5</v>
      </c>
      <c r="D8" s="158" t="s">
        <v>14</v>
      </c>
      <c r="E8" s="677">
        <v>0.15</v>
      </c>
      <c r="F8" s="678">
        <v>128990446</v>
      </c>
      <c r="G8" s="679">
        <v>128990445</v>
      </c>
      <c r="H8" s="680">
        <v>128990446</v>
      </c>
      <c r="I8" s="681">
        <v>128990445</v>
      </c>
      <c r="J8" s="678">
        <v>128990446</v>
      </c>
      <c r="K8" s="679">
        <v>128990445</v>
      </c>
      <c r="L8" s="680">
        <v>128990446</v>
      </c>
      <c r="M8" s="681">
        <v>128990445</v>
      </c>
      <c r="N8" s="678">
        <v>128990446</v>
      </c>
      <c r="O8" s="679">
        <v>128990445</v>
      </c>
      <c r="P8" s="680">
        <v>128990446</v>
      </c>
      <c r="Q8" s="681">
        <v>128990445</v>
      </c>
      <c r="S8" s="762"/>
    </row>
    <row r="9" spans="2:19" s="151" customFormat="1" ht="13.5" thickBot="1" x14ac:dyDescent="0.35">
      <c r="B9" s="682">
        <v>1719872614</v>
      </c>
      <c r="C9" s="159"/>
      <c r="D9" s="160" t="s">
        <v>2</v>
      </c>
      <c r="E9" s="564">
        <v>1</v>
      </c>
      <c r="F9" s="683">
        <v>859936309</v>
      </c>
      <c r="G9" s="683">
        <v>859936305</v>
      </c>
      <c r="H9" s="684">
        <v>859936309</v>
      </c>
      <c r="I9" s="684">
        <v>859936305</v>
      </c>
      <c r="J9" s="683">
        <v>859936309</v>
      </c>
      <c r="K9" s="683">
        <v>859936305</v>
      </c>
      <c r="L9" s="684">
        <v>859936309</v>
      </c>
      <c r="M9" s="684">
        <v>859936305</v>
      </c>
      <c r="N9" s="683">
        <v>859936309</v>
      </c>
      <c r="O9" s="683">
        <v>859936305</v>
      </c>
      <c r="P9" s="684">
        <v>859936309</v>
      </c>
      <c r="Q9" s="684">
        <v>859936305</v>
      </c>
      <c r="S9" s="762"/>
    </row>
    <row r="10" spans="2:19" s="151" customFormat="1" ht="15.75" customHeight="1" thickBot="1" x14ac:dyDescent="0.35">
      <c r="B10" s="665"/>
      <c r="F10" s="782">
        <f>SUM(F9:G9)</f>
        <v>1719872614</v>
      </c>
      <c r="G10" s="783"/>
      <c r="H10" s="782">
        <f>SUM(H9:I9)</f>
        <v>1719872614</v>
      </c>
      <c r="I10" s="783"/>
      <c r="J10" s="782">
        <f>SUM(J9:K9)</f>
        <v>1719872614</v>
      </c>
      <c r="K10" s="783"/>
      <c r="L10" s="782">
        <f>SUM(L9:M9)</f>
        <v>1719872614</v>
      </c>
      <c r="M10" s="783"/>
      <c r="N10" s="782">
        <f>SUM(N9:O9)</f>
        <v>1719872614</v>
      </c>
      <c r="O10" s="783"/>
      <c r="P10" s="782">
        <f>SUM(P9:Q9)</f>
        <v>1719872614</v>
      </c>
      <c r="Q10" s="783"/>
    </row>
    <row r="12" spans="2:19" ht="13.5" thickBot="1" x14ac:dyDescent="0.35"/>
    <row r="13" spans="2:19" s="151" customFormat="1" ht="13.5" thickBot="1" x14ac:dyDescent="0.35">
      <c r="B13" s="665"/>
      <c r="E13" s="151" t="s">
        <v>1</v>
      </c>
      <c r="F13" s="581" t="s">
        <v>299</v>
      </c>
      <c r="G13" s="582" t="s">
        <v>300</v>
      </c>
      <c r="H13" s="768" t="s">
        <v>301</v>
      </c>
      <c r="I13" s="583" t="s">
        <v>302</v>
      </c>
      <c r="J13" s="771" t="s">
        <v>303</v>
      </c>
      <c r="K13" s="582" t="s">
        <v>304</v>
      </c>
      <c r="L13" s="582" t="s">
        <v>305</v>
      </c>
      <c r="M13" s="583" t="s">
        <v>306</v>
      </c>
      <c r="N13" s="583" t="s">
        <v>307</v>
      </c>
      <c r="O13" s="582" t="s">
        <v>308</v>
      </c>
      <c r="P13" s="582" t="s">
        <v>309</v>
      </c>
      <c r="Q13" s="583" t="s">
        <v>310</v>
      </c>
    </row>
    <row r="14" spans="2:19" s="151" customFormat="1" ht="26.5" thickBot="1" x14ac:dyDescent="0.35">
      <c r="B14" s="665"/>
      <c r="C14" s="152" t="s">
        <v>3</v>
      </c>
      <c r="D14" s="153" t="s">
        <v>9</v>
      </c>
      <c r="E14" s="560" t="s">
        <v>108</v>
      </c>
      <c r="F14" s="584" t="s">
        <v>311</v>
      </c>
      <c r="G14" s="585" t="s">
        <v>312</v>
      </c>
      <c r="H14" s="586" t="s">
        <v>313</v>
      </c>
      <c r="I14" s="587" t="s">
        <v>314</v>
      </c>
      <c r="J14" s="584" t="s">
        <v>315</v>
      </c>
      <c r="K14" s="585" t="s">
        <v>316</v>
      </c>
      <c r="L14" s="586" t="s">
        <v>317</v>
      </c>
      <c r="M14" s="587" t="s">
        <v>318</v>
      </c>
      <c r="N14" s="584" t="s">
        <v>319</v>
      </c>
      <c r="O14" s="585" t="s">
        <v>320</v>
      </c>
      <c r="P14" s="586" t="s">
        <v>321</v>
      </c>
      <c r="Q14" s="587" t="s">
        <v>322</v>
      </c>
    </row>
    <row r="15" spans="2:19" s="151" customFormat="1" x14ac:dyDescent="0.3">
      <c r="B15" s="665"/>
      <c r="C15" s="154">
        <v>1</v>
      </c>
      <c r="D15" s="161" t="s">
        <v>10</v>
      </c>
      <c r="E15" s="685">
        <v>0.22</v>
      </c>
      <c r="F15" s="669">
        <v>189185988</v>
      </c>
      <c r="G15" s="670">
        <v>189185987</v>
      </c>
      <c r="H15" s="671">
        <v>189185988</v>
      </c>
      <c r="I15" s="672">
        <v>189185987</v>
      </c>
      <c r="J15" s="669">
        <v>189185988</v>
      </c>
      <c r="K15" s="670">
        <v>189185987</v>
      </c>
      <c r="L15" s="671">
        <v>189185988</v>
      </c>
      <c r="M15" s="672">
        <v>189185987</v>
      </c>
      <c r="N15" s="669">
        <v>189185988</v>
      </c>
      <c r="O15" s="670">
        <v>189185987</v>
      </c>
      <c r="P15" s="671">
        <v>189185988</v>
      </c>
      <c r="Q15" s="672">
        <v>189185987</v>
      </c>
    </row>
    <row r="16" spans="2:19" s="151" customFormat="1" x14ac:dyDescent="0.3">
      <c r="B16" s="665"/>
      <c r="C16" s="155">
        <v>2</v>
      </c>
      <c r="D16" s="156" t="s">
        <v>11</v>
      </c>
      <c r="E16" s="686">
        <v>0.31</v>
      </c>
      <c r="F16" s="674">
        <v>266580256</v>
      </c>
      <c r="G16" s="675">
        <v>266580255</v>
      </c>
      <c r="H16" s="676">
        <v>266580256</v>
      </c>
      <c r="I16" s="672">
        <v>266580255</v>
      </c>
      <c r="J16" s="674">
        <v>266580256</v>
      </c>
      <c r="K16" s="675">
        <v>266580255</v>
      </c>
      <c r="L16" s="676">
        <v>266580256</v>
      </c>
      <c r="M16" s="672">
        <v>266580255</v>
      </c>
      <c r="N16" s="674">
        <v>266580256</v>
      </c>
      <c r="O16" s="675">
        <v>266580255</v>
      </c>
      <c r="P16" s="676">
        <v>266580256</v>
      </c>
      <c r="Q16" s="672">
        <v>266580255</v>
      </c>
    </row>
    <row r="17" spans="2:19" s="151" customFormat="1" x14ac:dyDescent="0.3">
      <c r="B17" s="665"/>
      <c r="C17" s="155">
        <v>3</v>
      </c>
      <c r="D17" s="156" t="s">
        <v>12</v>
      </c>
      <c r="E17" s="686">
        <v>0.18</v>
      </c>
      <c r="F17" s="674">
        <v>154788536</v>
      </c>
      <c r="G17" s="675">
        <v>154788535</v>
      </c>
      <c r="H17" s="676">
        <v>154788536</v>
      </c>
      <c r="I17" s="672">
        <v>154788535</v>
      </c>
      <c r="J17" s="674">
        <v>154788536</v>
      </c>
      <c r="K17" s="675">
        <v>154788535</v>
      </c>
      <c r="L17" s="676">
        <v>154788536</v>
      </c>
      <c r="M17" s="672">
        <v>154788535</v>
      </c>
      <c r="N17" s="674">
        <v>154788536</v>
      </c>
      <c r="O17" s="675">
        <v>154788535</v>
      </c>
      <c r="P17" s="676">
        <v>154788536</v>
      </c>
      <c r="Q17" s="672">
        <v>154788535</v>
      </c>
    </row>
    <row r="18" spans="2:19" s="151" customFormat="1" x14ac:dyDescent="0.3">
      <c r="B18" s="665"/>
      <c r="C18" s="155">
        <v>4</v>
      </c>
      <c r="D18" s="156" t="s">
        <v>13</v>
      </c>
      <c r="E18" s="686">
        <v>0.14000000000000001</v>
      </c>
      <c r="F18" s="674">
        <v>120391083</v>
      </c>
      <c r="G18" s="675">
        <v>120391083</v>
      </c>
      <c r="H18" s="676">
        <v>120391083</v>
      </c>
      <c r="I18" s="672">
        <v>120391083</v>
      </c>
      <c r="J18" s="674">
        <v>120391083</v>
      </c>
      <c r="K18" s="675">
        <v>120391083</v>
      </c>
      <c r="L18" s="676">
        <v>120391083</v>
      </c>
      <c r="M18" s="672">
        <v>120391083</v>
      </c>
      <c r="N18" s="674">
        <v>120391083</v>
      </c>
      <c r="O18" s="675">
        <v>120391083</v>
      </c>
      <c r="P18" s="676">
        <v>120391083</v>
      </c>
      <c r="Q18" s="672">
        <v>120391083</v>
      </c>
    </row>
    <row r="19" spans="2:19" s="151" customFormat="1" ht="13.5" thickBot="1" x14ac:dyDescent="0.35">
      <c r="B19" s="665"/>
      <c r="C19" s="157">
        <v>5</v>
      </c>
      <c r="D19" s="158" t="s">
        <v>14</v>
      </c>
      <c r="E19" s="687">
        <v>0.15</v>
      </c>
      <c r="F19" s="678">
        <v>128990446</v>
      </c>
      <c r="G19" s="679">
        <v>128990445</v>
      </c>
      <c r="H19" s="680">
        <v>128990446</v>
      </c>
      <c r="I19" s="681">
        <v>128990445</v>
      </c>
      <c r="J19" s="678">
        <v>128990446</v>
      </c>
      <c r="K19" s="679">
        <v>128990445</v>
      </c>
      <c r="L19" s="680">
        <v>128990446</v>
      </c>
      <c r="M19" s="681">
        <v>128990445</v>
      </c>
      <c r="N19" s="678">
        <v>128990446</v>
      </c>
      <c r="O19" s="679">
        <v>128990445</v>
      </c>
      <c r="P19" s="680">
        <v>128990446</v>
      </c>
      <c r="Q19" s="681">
        <v>128990445</v>
      </c>
    </row>
    <row r="20" spans="2:19" s="151" customFormat="1" ht="13.5" thickBot="1" x14ac:dyDescent="0.35">
      <c r="B20" s="665"/>
      <c r="C20" s="159"/>
      <c r="D20" s="160" t="s">
        <v>2</v>
      </c>
      <c r="E20" s="565">
        <v>1</v>
      </c>
      <c r="F20" s="683">
        <v>859936309</v>
      </c>
      <c r="G20" s="683">
        <v>859936305</v>
      </c>
      <c r="H20" s="684">
        <v>859936309</v>
      </c>
      <c r="I20" s="684">
        <v>859936305</v>
      </c>
      <c r="J20" s="683">
        <v>859936309</v>
      </c>
      <c r="K20" s="683">
        <v>859936305</v>
      </c>
      <c r="L20" s="684">
        <v>859936309</v>
      </c>
      <c r="M20" s="684">
        <v>859936305</v>
      </c>
      <c r="N20" s="683">
        <v>859936309</v>
      </c>
      <c r="O20" s="683">
        <v>859936305</v>
      </c>
      <c r="P20" s="684">
        <v>859936309</v>
      </c>
      <c r="Q20" s="684">
        <v>859936305</v>
      </c>
    </row>
    <row r="21" spans="2:19" s="151" customFormat="1" ht="13.5" thickBot="1" x14ac:dyDescent="0.35">
      <c r="B21" s="665"/>
      <c r="F21" s="782">
        <f>SUM(F20:G20)</f>
        <v>1719872614</v>
      </c>
      <c r="G21" s="783">
        <v>1191383498</v>
      </c>
      <c r="H21" s="782">
        <f>SUM(H20:I20)</f>
        <v>1719872614</v>
      </c>
      <c r="I21" s="783">
        <v>1191383498</v>
      </c>
      <c r="J21" s="782">
        <f>SUM(J20:K20)</f>
        <v>1719872614</v>
      </c>
      <c r="K21" s="783">
        <v>1191383498</v>
      </c>
      <c r="L21" s="782">
        <f>SUM(L20:M20)</f>
        <v>1719872614</v>
      </c>
      <c r="M21" s="783">
        <v>1191383498</v>
      </c>
      <c r="N21" s="782">
        <f>SUM(N20:O20)</f>
        <v>1719872614</v>
      </c>
      <c r="O21" s="783">
        <v>1191383498</v>
      </c>
      <c r="P21" s="782">
        <f>SUM(P20:Q20)</f>
        <v>1719872614</v>
      </c>
      <c r="Q21" s="783">
        <v>1191383498</v>
      </c>
    </row>
    <row r="24" spans="2:19" ht="13.5" thickBot="1" x14ac:dyDescent="0.35">
      <c r="B24" s="238"/>
      <c r="C24" s="519"/>
      <c r="D24" s="519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35">
      <c r="K25" s="718" t="s">
        <v>268</v>
      </c>
      <c r="L25" s="152" t="s">
        <v>3</v>
      </c>
      <c r="M25" s="644" t="s">
        <v>266</v>
      </c>
      <c r="N25" s="644" t="s">
        <v>267</v>
      </c>
      <c r="Q25" s="520" t="s">
        <v>1</v>
      </c>
      <c r="R25" s="29" t="s">
        <v>201</v>
      </c>
    </row>
    <row r="26" spans="2:19" x14ac:dyDescent="0.3">
      <c r="G26" s="212"/>
      <c r="H26" s="212"/>
      <c r="I26" s="212"/>
      <c r="J26" s="643"/>
      <c r="K26" s="688">
        <v>378371975</v>
      </c>
      <c r="L26" s="154">
        <v>1</v>
      </c>
      <c r="M26" s="716">
        <v>189185988</v>
      </c>
      <c r="N26" s="180">
        <v>189185987</v>
      </c>
      <c r="O26" s="167" t="b">
        <f>M26=R26</f>
        <v>1</v>
      </c>
      <c r="P26" s="167"/>
      <c r="Q26" s="717">
        <f>'CONSOLIDADO_TOTAL RECAUDO'!L104</f>
        <v>189185988</v>
      </c>
      <c r="R26" s="696">
        <f t="shared" ref="R26:R31" si="0">J15</f>
        <v>189185988</v>
      </c>
      <c r="S26" t="b">
        <f>Q26=R26</f>
        <v>1</v>
      </c>
    </row>
    <row r="27" spans="2:19" x14ac:dyDescent="0.3">
      <c r="G27" s="212"/>
      <c r="H27" s="212"/>
      <c r="I27" s="212"/>
      <c r="J27" s="643"/>
      <c r="K27" s="689">
        <v>533160511</v>
      </c>
      <c r="L27" s="155">
        <v>2</v>
      </c>
      <c r="M27" s="716">
        <v>266580256</v>
      </c>
      <c r="N27" s="180">
        <v>266580255</v>
      </c>
      <c r="O27" s="167" t="b">
        <f t="shared" ref="O27:O31" si="1">M27=R27</f>
        <v>1</v>
      </c>
      <c r="P27" s="167"/>
      <c r="Q27" s="717">
        <f>'CONSOLIDADO_TOTAL RECAUDO'!L105</f>
        <v>266580256</v>
      </c>
      <c r="R27" s="696">
        <f t="shared" si="0"/>
        <v>266580256</v>
      </c>
      <c r="S27" t="b">
        <f>Q27=R27</f>
        <v>1</v>
      </c>
    </row>
    <row r="28" spans="2:19" x14ac:dyDescent="0.3">
      <c r="G28" s="167"/>
      <c r="H28" s="212"/>
      <c r="I28" s="212"/>
      <c r="J28" s="643"/>
      <c r="K28" s="689">
        <v>309577071</v>
      </c>
      <c r="L28" s="155">
        <v>3</v>
      </c>
      <c r="M28" s="716">
        <v>154788536</v>
      </c>
      <c r="N28" s="180">
        <v>154788535</v>
      </c>
      <c r="O28" s="167" t="b">
        <f t="shared" si="1"/>
        <v>1</v>
      </c>
      <c r="P28" s="167"/>
      <c r="Q28" s="717">
        <f>'CONSOLIDADO_TOTAL RECAUDO'!L106</f>
        <v>154788536</v>
      </c>
      <c r="R28" s="696">
        <f t="shared" si="0"/>
        <v>154788536</v>
      </c>
      <c r="S28" t="b">
        <f t="shared" ref="S28:S31" si="2">Q28=R28</f>
        <v>1</v>
      </c>
    </row>
    <row r="29" spans="2:19" x14ac:dyDescent="0.3">
      <c r="G29" s="601"/>
      <c r="H29" s="212"/>
      <c r="I29" s="212"/>
      <c r="J29" s="643"/>
      <c r="K29" s="689">
        <v>240782166</v>
      </c>
      <c r="L29" s="155">
        <v>4</v>
      </c>
      <c r="M29" s="716">
        <v>120391083</v>
      </c>
      <c r="N29" s="690">
        <v>120391083</v>
      </c>
      <c r="O29" s="167" t="b">
        <f t="shared" si="1"/>
        <v>1</v>
      </c>
      <c r="P29" s="167"/>
      <c r="Q29" s="717">
        <f>'CONSOLIDADO_TOTAL RECAUDO'!L107</f>
        <v>120391083</v>
      </c>
      <c r="R29" s="696">
        <f t="shared" si="0"/>
        <v>120391083</v>
      </c>
      <c r="S29" t="b">
        <f t="shared" si="2"/>
        <v>1</v>
      </c>
    </row>
    <row r="30" spans="2:19" ht="13.5" thickBot="1" x14ac:dyDescent="0.35">
      <c r="G30" s="601"/>
      <c r="H30" s="212"/>
      <c r="I30" s="212"/>
      <c r="J30" s="643"/>
      <c r="K30" s="691">
        <v>257980891</v>
      </c>
      <c r="L30" s="157">
        <v>5</v>
      </c>
      <c r="M30" s="716">
        <v>128990446</v>
      </c>
      <c r="N30" s="692">
        <v>128990445</v>
      </c>
      <c r="O30" s="167" t="b">
        <f t="shared" si="1"/>
        <v>1</v>
      </c>
      <c r="P30" s="167"/>
      <c r="Q30" s="717">
        <f>'CONSOLIDADO_TOTAL RECAUDO'!L108</f>
        <v>128990446</v>
      </c>
      <c r="R30" s="696">
        <f t="shared" si="0"/>
        <v>128990446</v>
      </c>
      <c r="S30" t="b">
        <f t="shared" si="2"/>
        <v>1</v>
      </c>
    </row>
    <row r="31" spans="2:19" ht="13.5" thickBot="1" x14ac:dyDescent="0.35">
      <c r="G31" s="601"/>
      <c r="H31" s="167"/>
      <c r="I31" s="167"/>
      <c r="J31" s="270"/>
      <c r="K31" s="693">
        <f>SUM(K26:K30)</f>
        <v>1719872614</v>
      </c>
      <c r="L31" s="159"/>
      <c r="M31" s="694">
        <f>SUM(M26:M30)</f>
        <v>859936309</v>
      </c>
      <c r="N31" s="694">
        <f>SUM(N26:N30)</f>
        <v>859936305</v>
      </c>
      <c r="O31" s="167" t="b">
        <f t="shared" si="1"/>
        <v>1</v>
      </c>
      <c r="P31" s="167"/>
      <c r="Q31" s="717">
        <f>'CONSOLIDADO_TOTAL RECAUDO'!L109</f>
        <v>859936309</v>
      </c>
      <c r="R31" s="696">
        <f t="shared" si="0"/>
        <v>859936309</v>
      </c>
      <c r="S31" t="b">
        <f t="shared" si="2"/>
        <v>1</v>
      </c>
    </row>
    <row r="32" spans="2:19" x14ac:dyDescent="0.3">
      <c r="G32" s="601"/>
      <c r="H32" s="167"/>
      <c r="I32" s="167"/>
      <c r="K32" s="645">
        <f>SUM(M31:N31)</f>
        <v>1719872614</v>
      </c>
      <c r="L32" s="270"/>
    </row>
    <row r="33" spans="7:17" x14ac:dyDescent="0.3">
      <c r="G33" s="601"/>
      <c r="H33" s="167"/>
      <c r="J33" s="270"/>
      <c r="K33" s="270"/>
      <c r="Q33" s="212"/>
    </row>
    <row r="34" spans="7:17" x14ac:dyDescent="0.3">
      <c r="G34" s="601"/>
      <c r="H34" s="167"/>
      <c r="Q34" s="212"/>
    </row>
    <row r="35" spans="7:17" x14ac:dyDescent="0.3">
      <c r="H35" s="167"/>
      <c r="K35" s="695"/>
      <c r="Q35" s="212"/>
    </row>
    <row r="36" spans="7:17" x14ac:dyDescent="0.3">
      <c r="H36" s="167"/>
      <c r="K36" s="695"/>
      <c r="Q36" s="212"/>
    </row>
    <row r="37" spans="7:17" x14ac:dyDescent="0.3">
      <c r="H37" s="167"/>
      <c r="K37" s="695"/>
      <c r="Q37" s="212"/>
    </row>
    <row r="38" spans="7:17" x14ac:dyDescent="0.3">
      <c r="H38" s="167"/>
      <c r="K38" s="695"/>
      <c r="Q38" s="212"/>
    </row>
    <row r="39" spans="7:17" x14ac:dyDescent="0.3">
      <c r="H39" s="167"/>
      <c r="K39" s="695"/>
    </row>
    <row r="40" spans="7:17" x14ac:dyDescent="0.3">
      <c r="H40" s="167"/>
      <c r="K40" s="695"/>
    </row>
    <row r="41" spans="7:17" x14ac:dyDescent="0.3">
      <c r="H41" s="167"/>
    </row>
    <row r="42" spans="7:17" x14ac:dyDescent="0.3">
      <c r="H42" s="167"/>
    </row>
    <row r="43" spans="7:17" x14ac:dyDescent="0.3">
      <c r="H43" s="167"/>
    </row>
    <row r="44" spans="7:17" x14ac:dyDescent="0.3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F28" sqref="F28"/>
    </sheetView>
  </sheetViews>
  <sheetFormatPr baseColWidth="10" defaultColWidth="11.453125" defaultRowHeight="11.5" x14ac:dyDescent="0.25"/>
  <cols>
    <col min="1" max="1" width="3" style="389" customWidth="1"/>
    <col min="2" max="2" width="4.453125" style="389" bestFit="1" customWidth="1"/>
    <col min="3" max="3" width="38.1796875" style="389" customWidth="1"/>
    <col min="4" max="4" width="15.1796875" style="389" customWidth="1"/>
    <col min="5" max="5" width="16" style="389" customWidth="1"/>
    <col min="6" max="7" width="14.81640625" style="389" customWidth="1"/>
    <col min="8" max="9" width="16" style="389" customWidth="1"/>
    <col min="10" max="10" width="17.54296875" style="389" customWidth="1"/>
    <col min="11" max="11" width="3.81640625" style="389" customWidth="1"/>
    <col min="12" max="12" width="2.81640625" style="389" customWidth="1"/>
    <col min="13" max="13" width="4.54296875" style="389" customWidth="1"/>
    <col min="14" max="14" width="11.1796875" style="389" customWidth="1"/>
    <col min="15" max="15" width="37.54296875" style="389" bestFit="1" customWidth="1"/>
    <col min="16" max="16" width="19.1796875" style="389" customWidth="1"/>
    <col min="17" max="17" width="17.81640625" style="389" customWidth="1"/>
    <col min="18" max="18" width="16.453125" style="389" customWidth="1"/>
    <col min="19" max="19" width="17.1796875" style="389" customWidth="1"/>
    <col min="20" max="20" width="15.81640625" style="389" customWidth="1"/>
    <col min="21" max="21" width="16.1796875" style="389" customWidth="1"/>
    <col min="22" max="22" width="13.1796875" style="391" customWidth="1"/>
    <col min="23" max="23" width="13.81640625" style="389" customWidth="1"/>
    <col min="24" max="24" width="3.453125" style="389" customWidth="1"/>
    <col min="25" max="25" width="13.81640625" style="389" bestFit="1" customWidth="1"/>
    <col min="26" max="27" width="11.453125" style="389"/>
    <col min="28" max="28" width="15.81640625" style="389" bestFit="1" customWidth="1"/>
    <col min="29" max="16384" width="11.453125" style="389"/>
  </cols>
  <sheetData>
    <row r="1" spans="2:28" x14ac:dyDescent="0.25">
      <c r="L1" s="390"/>
      <c r="X1" s="390"/>
    </row>
    <row r="2" spans="2:28" x14ac:dyDescent="0.25">
      <c r="L2" s="390"/>
      <c r="X2" s="390"/>
    </row>
    <row r="3" spans="2:28" ht="12" thickBot="1" x14ac:dyDescent="0.3">
      <c r="L3" s="390"/>
      <c r="X3" s="390"/>
    </row>
    <row r="4" spans="2:28" x14ac:dyDescent="0.25">
      <c r="B4" s="392"/>
      <c r="C4" s="393" t="s">
        <v>1</v>
      </c>
      <c r="D4" s="394" t="s">
        <v>1</v>
      </c>
      <c r="E4" s="393"/>
      <c r="F4" s="395"/>
      <c r="G4" s="393"/>
      <c r="H4" s="393" t="s">
        <v>1</v>
      </c>
      <c r="I4" s="393"/>
      <c r="J4" s="396"/>
      <c r="K4" s="397"/>
      <c r="L4" s="390"/>
      <c r="N4" s="392"/>
      <c r="O4" s="393" t="s">
        <v>1</v>
      </c>
      <c r="P4" s="394" t="s">
        <v>1</v>
      </c>
      <c r="Q4" s="393"/>
      <c r="R4" s="393"/>
      <c r="S4" s="393" t="s">
        <v>1</v>
      </c>
      <c r="T4" s="393"/>
      <c r="U4" s="396"/>
      <c r="V4" s="398"/>
      <c r="X4" s="390"/>
    </row>
    <row r="5" spans="2:28" ht="15.5" x14ac:dyDescent="0.35">
      <c r="B5" s="399"/>
      <c r="D5" s="400" t="s">
        <v>8</v>
      </c>
      <c r="E5" s="401"/>
      <c r="G5" s="401"/>
      <c r="I5" s="401" t="s">
        <v>16</v>
      </c>
      <c r="J5" s="402"/>
      <c r="K5" s="397"/>
      <c r="L5" s="390"/>
      <c r="N5" s="399"/>
      <c r="P5" s="400" t="s">
        <v>8</v>
      </c>
      <c r="R5" s="401"/>
      <c r="T5" s="401" t="s">
        <v>16</v>
      </c>
      <c r="U5" s="403"/>
      <c r="V5" s="398"/>
      <c r="X5" s="390"/>
    </row>
    <row r="6" spans="2:28" ht="15.5" x14ac:dyDescent="0.35">
      <c r="B6" s="399"/>
      <c r="D6" s="404" t="s">
        <v>185</v>
      </c>
      <c r="E6" s="405"/>
      <c r="G6" s="405"/>
      <c r="J6" s="402"/>
      <c r="K6" s="397"/>
      <c r="L6" s="390"/>
      <c r="N6" s="399"/>
      <c r="O6" s="401" t="s">
        <v>1</v>
      </c>
      <c r="P6" s="404" t="s">
        <v>174</v>
      </c>
      <c r="R6" s="405"/>
      <c r="U6" s="406" t="s">
        <v>1</v>
      </c>
      <c r="V6" s="398"/>
      <c r="X6" s="390"/>
    </row>
    <row r="7" spans="2:28" ht="15.5" x14ac:dyDescent="0.35">
      <c r="B7" s="399"/>
      <c r="D7" s="404" t="s">
        <v>175</v>
      </c>
      <c r="E7" s="405"/>
      <c r="G7" s="405"/>
      <c r="J7" s="402"/>
      <c r="K7" s="397"/>
      <c r="L7" s="390"/>
      <c r="N7" s="399"/>
      <c r="O7" s="401"/>
      <c r="P7" s="404" t="s">
        <v>175</v>
      </c>
      <c r="R7" s="405"/>
      <c r="U7" s="406"/>
      <c r="V7" s="398"/>
      <c r="X7" s="390"/>
    </row>
    <row r="8" spans="2:28" ht="15.5" x14ac:dyDescent="0.35">
      <c r="B8" s="399"/>
      <c r="D8" s="404" t="s">
        <v>176</v>
      </c>
      <c r="E8" s="405"/>
      <c r="G8" s="397"/>
      <c r="J8" s="402"/>
      <c r="K8" s="397"/>
      <c r="L8" s="390"/>
      <c r="N8" s="399"/>
      <c r="O8" s="407" t="s">
        <v>1</v>
      </c>
      <c r="P8" s="404" t="s">
        <v>176</v>
      </c>
      <c r="R8" s="397"/>
      <c r="U8" s="402"/>
      <c r="V8" s="398"/>
      <c r="X8" s="390"/>
    </row>
    <row r="9" spans="2:28" ht="15.5" x14ac:dyDescent="0.35">
      <c r="B9" s="399"/>
      <c r="C9" s="397"/>
      <c r="D9" s="408"/>
      <c r="E9" s="409"/>
      <c r="G9" s="409"/>
      <c r="H9" s="397"/>
      <c r="J9" s="402"/>
      <c r="K9" s="397"/>
      <c r="L9" s="390"/>
      <c r="N9" s="399"/>
      <c r="O9" s="409" t="s">
        <v>1</v>
      </c>
      <c r="P9" s="409"/>
      <c r="R9" s="409"/>
      <c r="S9" s="397"/>
      <c r="U9" s="403"/>
      <c r="V9" s="398"/>
      <c r="X9" s="390"/>
    </row>
    <row r="10" spans="2:28" ht="18" thickBot="1" x14ac:dyDescent="0.5">
      <c r="B10" s="399"/>
      <c r="C10" s="397"/>
      <c r="D10" s="410"/>
      <c r="E10" s="397" t="s">
        <v>27</v>
      </c>
      <c r="F10" s="457">
        <f>'CONSOLIDADO_TOTAL RECAUDO'!G102</f>
        <v>46281</v>
      </c>
      <c r="G10" s="408"/>
      <c r="H10" s="397" t="s">
        <v>28</v>
      </c>
      <c r="I10" s="457">
        <f>'CONSOLIDADO_TOTAL RECAUDO'!K102</f>
        <v>46295</v>
      </c>
      <c r="J10" s="403"/>
      <c r="K10" s="397"/>
      <c r="L10" s="390"/>
      <c r="N10" s="399"/>
      <c r="Q10" s="408"/>
      <c r="R10" s="389" t="s">
        <v>1</v>
      </c>
      <c r="T10" s="408"/>
      <c r="U10" s="403"/>
      <c r="V10" s="398"/>
      <c r="X10" s="390"/>
      <c r="Y10" s="411" t="s">
        <v>1</v>
      </c>
    </row>
    <row r="11" spans="2:28" ht="69.5" thickBot="1" x14ac:dyDescent="0.3">
      <c r="B11" s="412" t="s">
        <v>3</v>
      </c>
      <c r="C11" s="413" t="s">
        <v>9</v>
      </c>
      <c r="D11" s="412" t="s">
        <v>177</v>
      </c>
      <c r="E11" s="414" t="s">
        <v>178</v>
      </c>
      <c r="F11" s="413" t="s">
        <v>179</v>
      </c>
      <c r="G11" s="415" t="s">
        <v>180</v>
      </c>
      <c r="H11" s="413" t="s">
        <v>181</v>
      </c>
      <c r="I11" s="414" t="s">
        <v>182</v>
      </c>
      <c r="J11" s="416" t="s">
        <v>183</v>
      </c>
      <c r="K11" s="417"/>
      <c r="L11" s="390"/>
      <c r="N11" s="412" t="s">
        <v>3</v>
      </c>
      <c r="O11" s="413" t="s">
        <v>9</v>
      </c>
      <c r="P11" s="418" t="s">
        <v>39</v>
      </c>
      <c r="Q11" s="419" t="s">
        <v>40</v>
      </c>
      <c r="R11" s="419" t="s">
        <v>41</v>
      </c>
      <c r="S11" s="419" t="s">
        <v>42</v>
      </c>
      <c r="T11" s="420" t="s">
        <v>184</v>
      </c>
      <c r="U11" s="461" t="s">
        <v>183</v>
      </c>
      <c r="V11" s="421"/>
      <c r="X11" s="390"/>
    </row>
    <row r="12" spans="2:28" s="427" customFormat="1" x14ac:dyDescent="0.25">
      <c r="B12" s="422">
        <v>1</v>
      </c>
      <c r="C12" s="423" t="s">
        <v>10</v>
      </c>
      <c r="D12" s="424">
        <f>'Reporte Componentes R1'!F76*$D$24</f>
        <v>17225.21</v>
      </c>
      <c r="E12" s="424">
        <f>'Reporte Componentes R1'!G76*$D$24</f>
        <v>1127.52</v>
      </c>
      <c r="F12" s="425">
        <f>'Reporte Componentes R1'!H76*$D$24</f>
        <v>479</v>
      </c>
      <c r="G12" s="425">
        <f>'Reporte Componentes R1'!I76*$D$24</f>
        <v>209.2</v>
      </c>
      <c r="H12" s="425">
        <f>'Reporte Componentes R1'!J76*$D$24</f>
        <v>3072.3</v>
      </c>
      <c r="I12" s="425">
        <f>'Reporte Componentes R1'!K76*$D$24</f>
        <v>198.78</v>
      </c>
      <c r="J12" s="426">
        <f t="shared" ref="J12:J16" si="0">D12-E12-F12-G12-H12-I12</f>
        <v>12138.409999999998</v>
      </c>
      <c r="L12" s="428"/>
      <c r="N12" s="422">
        <v>1</v>
      </c>
      <c r="O12" s="423" t="s">
        <v>10</v>
      </c>
      <c r="P12" s="429">
        <f>'Reporte Componentes R1'!M76*$P$24</f>
        <v>1743.38</v>
      </c>
      <c r="Q12" s="430">
        <f>'Reporte Componentes R1'!N76*$P$24</f>
        <v>1458.17</v>
      </c>
      <c r="R12" s="430">
        <f>'Reporte Componentes R1'!O76*$P$24</f>
        <v>5823.96</v>
      </c>
      <c r="S12" s="430">
        <f>'Reporte Componentes R1'!P76*$P$24</f>
        <v>2788.6</v>
      </c>
      <c r="T12" s="430">
        <f>'Reporte Componentes R1'!Q76*$P$24</f>
        <v>324.3</v>
      </c>
      <c r="U12" s="464">
        <f>SUM(P12:T12)</f>
        <v>12138.41</v>
      </c>
      <c r="V12" s="465">
        <f>J12-U12</f>
        <v>0</v>
      </c>
      <c r="W12" s="427" t="b">
        <f t="shared" ref="W12:W17" si="1">V12=0</f>
        <v>1</v>
      </c>
      <c r="X12" s="428"/>
      <c r="AB12" s="431"/>
    </row>
    <row r="13" spans="2:28" s="427" customFormat="1" x14ac:dyDescent="0.25">
      <c r="B13" s="432">
        <v>2</v>
      </c>
      <c r="C13" s="433" t="s">
        <v>11</v>
      </c>
      <c r="D13" s="424">
        <f>'Reporte Componentes R1'!F230*$D$24</f>
        <v>993518.73</v>
      </c>
      <c r="E13" s="425">
        <f>'Reporte Componentes R1'!G230*$D$24</f>
        <v>86567.57</v>
      </c>
      <c r="F13" s="425">
        <f>'Reporte Componentes R1'!H230*$D$24</f>
        <v>36776.33</v>
      </c>
      <c r="G13" s="425">
        <f>'Reporte Componentes R1'!I230*$D$24</f>
        <v>16060.35</v>
      </c>
      <c r="H13" s="425">
        <f>'Reporte Componentes R1'!J230*$D$24</f>
        <v>200383.96</v>
      </c>
      <c r="I13" s="425">
        <f>'Reporte Componentes R1'!K230*$D$24</f>
        <v>8282.82</v>
      </c>
      <c r="J13" s="426">
        <f t="shared" si="0"/>
        <v>645447.70000000007</v>
      </c>
      <c r="L13" s="428"/>
      <c r="N13" s="432">
        <v>2</v>
      </c>
      <c r="O13" s="433" t="s">
        <v>11</v>
      </c>
      <c r="P13" s="434">
        <f>'Reporte Componentes R1'!M230*$P$24</f>
        <v>72838.8</v>
      </c>
      <c r="Q13" s="435">
        <f>'Reporte Componentes R1'!N230*$P$24</f>
        <v>91093.54</v>
      </c>
      <c r="R13" s="435">
        <f>'Reporte Componentes R1'!O230*$P$24</f>
        <v>305924.03999999998</v>
      </c>
      <c r="S13" s="435">
        <f>'Reporte Componentes R1'!P230*$P$24</f>
        <v>162075.72</v>
      </c>
      <c r="T13" s="435">
        <f>'Reporte Componentes R1'!Q230*$P$24</f>
        <v>13515.6</v>
      </c>
      <c r="U13" s="463">
        <f>SUM(P13:T13)</f>
        <v>645447.69999999995</v>
      </c>
      <c r="V13" s="466">
        <f t="shared" ref="V13:V16" si="2">J13-U13</f>
        <v>0</v>
      </c>
      <c r="W13" s="427" t="b">
        <f t="shared" si="1"/>
        <v>1</v>
      </c>
      <c r="X13" s="428"/>
      <c r="AB13" s="431"/>
    </row>
    <row r="14" spans="2:28" s="427" customFormat="1" x14ac:dyDescent="0.25">
      <c r="B14" s="432">
        <v>3</v>
      </c>
      <c r="C14" s="433" t="s">
        <v>12</v>
      </c>
      <c r="D14" s="424">
        <f>'Reporte Componentes R1'!F369*$D$24</f>
        <v>7866.61</v>
      </c>
      <c r="E14" s="424">
        <f>'Reporte Componentes R1'!G369*$D$24</f>
        <v>678.72</v>
      </c>
      <c r="F14" s="424">
        <f>'Reporte Componentes R1'!H369*$D$24</f>
        <v>288.36</v>
      </c>
      <c r="G14" s="424">
        <f>'Reporte Componentes R1'!I369*$D$24</f>
        <v>125.91</v>
      </c>
      <c r="H14" s="424">
        <f>'Reporte Componentes R1'!J369*$D$24</f>
        <v>1539.2</v>
      </c>
      <c r="I14" s="424">
        <f>'Reporte Componentes R1'!K369*$D$24</f>
        <v>63.42</v>
      </c>
      <c r="J14" s="426">
        <f t="shared" si="0"/>
        <v>5171</v>
      </c>
      <c r="L14" s="428"/>
      <c r="N14" s="432">
        <v>3</v>
      </c>
      <c r="O14" s="433" t="s">
        <v>12</v>
      </c>
      <c r="P14" s="434">
        <f>'Reporte Componentes R1'!M369*$P$24</f>
        <v>556.25</v>
      </c>
      <c r="Q14" s="435">
        <f>'Reporte Componentes R1'!N369*$P$24</f>
        <v>697.22</v>
      </c>
      <c r="R14" s="435">
        <f>'Reporte Componentes R1'!O369*$P$24</f>
        <v>2341.94</v>
      </c>
      <c r="S14" s="435">
        <f>'Reporte Componentes R1'!P369*$P$24</f>
        <v>1472.13</v>
      </c>
      <c r="T14" s="435">
        <f>'Reporte Componentes R1'!Q369*$P$24</f>
        <v>103.46</v>
      </c>
      <c r="U14" s="463">
        <f>SUM(P14:T14)</f>
        <v>5171</v>
      </c>
      <c r="V14" s="466">
        <f t="shared" si="2"/>
        <v>0</v>
      </c>
      <c r="W14" s="427" t="b">
        <f t="shared" si="1"/>
        <v>1</v>
      </c>
      <c r="X14" s="428"/>
      <c r="AB14" s="431"/>
    </row>
    <row r="15" spans="2:28" s="427" customFormat="1" x14ac:dyDescent="0.25">
      <c r="B15" s="432">
        <v>4</v>
      </c>
      <c r="C15" s="433" t="s">
        <v>13</v>
      </c>
      <c r="D15" s="424">
        <f>'Reporte Componentes R1'!F502*$D$24</f>
        <v>28294.15</v>
      </c>
      <c r="E15" s="425">
        <f>'Reporte Componentes R1'!G502*$D$24</f>
        <v>2288.4</v>
      </c>
      <c r="F15" s="425">
        <f>'Reporte Componentes R1'!H502*$D$24</f>
        <v>972.18</v>
      </c>
      <c r="G15" s="425">
        <f>'Reporte Componentes R1'!I502*$D$24</f>
        <v>424.56</v>
      </c>
      <c r="H15" s="425">
        <f>'Reporte Componentes R1'!J502*$D$24</f>
        <v>5258.96</v>
      </c>
      <c r="I15" s="425">
        <f>'Reporte Componentes R1'!K502*$D$24</f>
        <v>214.2</v>
      </c>
      <c r="J15" s="426">
        <f t="shared" si="0"/>
        <v>19135.849999999999</v>
      </c>
      <c r="L15" s="428"/>
      <c r="N15" s="432">
        <v>4</v>
      </c>
      <c r="O15" s="433" t="s">
        <v>13</v>
      </c>
      <c r="P15" s="434">
        <f>'Reporte Componentes R1'!M502*$P$24</f>
        <v>1878.6</v>
      </c>
      <c r="Q15" s="435">
        <f>'Reporte Componentes R1'!N502*$P$24</f>
        <v>2388.84</v>
      </c>
      <c r="R15" s="435">
        <f>'Reporte Componentes R1'!O502*$P$24</f>
        <v>8771.52</v>
      </c>
      <c r="S15" s="435">
        <f>'Reporte Componentes R1'!P502*$P$24</f>
        <v>5747.39</v>
      </c>
      <c r="T15" s="435">
        <f>'Reporte Componentes R1'!Q502*$P$24</f>
        <v>349.5</v>
      </c>
      <c r="U15" s="463">
        <f>SUM(P15:T15)</f>
        <v>19135.850000000002</v>
      </c>
      <c r="V15" s="466">
        <f t="shared" si="2"/>
        <v>0</v>
      </c>
      <c r="W15" s="427" t="b">
        <f t="shared" si="1"/>
        <v>1</v>
      </c>
      <c r="X15" s="428"/>
      <c r="AB15" s="431"/>
    </row>
    <row r="16" spans="2:28" s="427" customFormat="1" ht="12" thickBot="1" x14ac:dyDescent="0.3">
      <c r="B16" s="436">
        <v>5</v>
      </c>
      <c r="C16" s="437" t="s">
        <v>14</v>
      </c>
      <c r="D16" s="438">
        <f>'Reporte Componentes R1'!F581*$D$24</f>
        <v>9919.7000000000007</v>
      </c>
      <c r="E16" s="439">
        <f>'Reporte Componentes R1'!G581*$D$24</f>
        <v>794.89</v>
      </c>
      <c r="F16" s="439">
        <f>'Reporte Componentes R1'!H581*$D$24</f>
        <v>337.68</v>
      </c>
      <c r="G16" s="439">
        <f>'Reporte Componentes R1'!I581*$D$24</f>
        <v>147.47</v>
      </c>
      <c r="H16" s="439">
        <f>'Reporte Componentes R1'!J581*$D$24</f>
        <v>1690.49</v>
      </c>
      <c r="I16" s="439">
        <f>'Reporte Componentes R1'!K581*$D$24</f>
        <v>104.34</v>
      </c>
      <c r="J16" s="426">
        <f t="shared" si="0"/>
        <v>6844.8300000000017</v>
      </c>
      <c r="L16" s="428"/>
      <c r="N16" s="436">
        <v>5</v>
      </c>
      <c r="O16" s="437" t="s">
        <v>14</v>
      </c>
      <c r="P16" s="438">
        <f>'Reporte Componentes R1'!M581*$P$24</f>
        <v>915.1</v>
      </c>
      <c r="Q16" s="439">
        <f>'Reporte Componentes R1'!N581*$P$24</f>
        <v>767.16</v>
      </c>
      <c r="R16" s="439">
        <f>'Reporte Componentes R1'!O581*$P$24</f>
        <v>2803.42</v>
      </c>
      <c r="S16" s="439">
        <f>'Reporte Componentes R1'!P581*$P$24</f>
        <v>2188.9299999999998</v>
      </c>
      <c r="T16" s="439">
        <f>'Reporte Componentes R1'!Q581*$P$24</f>
        <v>170.22</v>
      </c>
      <c r="U16" s="467">
        <f>SUM(P16:T16)</f>
        <v>6844.8300000000008</v>
      </c>
      <c r="V16" s="468">
        <f t="shared" si="2"/>
        <v>0</v>
      </c>
      <c r="W16" s="427" t="b">
        <f t="shared" si="1"/>
        <v>1</v>
      </c>
      <c r="X16" s="428"/>
      <c r="AB16" s="431"/>
    </row>
    <row r="17" spans="1:28" s="427" customFormat="1" ht="12" thickBot="1" x14ac:dyDescent="0.3">
      <c r="B17" s="440"/>
      <c r="C17" s="441" t="s">
        <v>2</v>
      </c>
      <c r="D17" s="442">
        <f t="shared" ref="D17:J17" si="3">SUM(D12:D16)</f>
        <v>1056824.3999999999</v>
      </c>
      <c r="E17" s="442">
        <f t="shared" si="3"/>
        <v>91457.1</v>
      </c>
      <c r="F17" s="442">
        <f t="shared" si="3"/>
        <v>38853.550000000003</v>
      </c>
      <c r="G17" s="442">
        <f t="shared" si="3"/>
        <v>16967.490000000005</v>
      </c>
      <c r="H17" s="442">
        <f t="shared" si="3"/>
        <v>211944.90999999997</v>
      </c>
      <c r="I17" s="442">
        <f t="shared" si="3"/>
        <v>8863.5600000000013</v>
      </c>
      <c r="J17" s="443">
        <f t="shared" si="3"/>
        <v>688737.79</v>
      </c>
      <c r="K17" s="444"/>
      <c r="L17" s="428"/>
      <c r="N17" s="440"/>
      <c r="O17" s="441" t="s">
        <v>2</v>
      </c>
      <c r="P17" s="445">
        <f>SUM(P12:P16)</f>
        <v>77932.130000000019</v>
      </c>
      <c r="Q17" s="445">
        <f t="shared" ref="Q17:U17" si="4">SUM(Q12:Q16)</f>
        <v>96404.93</v>
      </c>
      <c r="R17" s="445">
        <f t="shared" si="4"/>
        <v>325664.88</v>
      </c>
      <c r="S17" s="445">
        <f t="shared" si="4"/>
        <v>174272.77000000002</v>
      </c>
      <c r="T17" s="445">
        <f t="shared" si="4"/>
        <v>14463.079999999998</v>
      </c>
      <c r="U17" s="462">
        <f t="shared" si="4"/>
        <v>688737.78999999992</v>
      </c>
      <c r="V17" s="446">
        <f>SUM(V12:V16)</f>
        <v>0</v>
      </c>
      <c r="W17" s="427" t="b">
        <f t="shared" si="1"/>
        <v>1</v>
      </c>
      <c r="X17" s="428"/>
      <c r="AB17" s="431"/>
    </row>
    <row r="18" spans="1:28" ht="12" thickBot="1" x14ac:dyDescent="0.3">
      <c r="B18" s="397"/>
      <c r="C18" s="397"/>
      <c r="D18" s="447"/>
      <c r="E18" s="448"/>
      <c r="F18" s="448"/>
      <c r="G18" s="448"/>
      <c r="H18" s="448"/>
      <c r="I18" s="448"/>
      <c r="J18" s="448"/>
      <c r="L18" s="390"/>
      <c r="N18" s="397"/>
      <c r="O18" s="397"/>
      <c r="P18" s="448"/>
      <c r="Q18" s="448"/>
      <c r="R18" s="448"/>
      <c r="S18" s="448"/>
      <c r="T18" s="448"/>
      <c r="U18" s="448"/>
      <c r="X18" s="390"/>
    </row>
    <row r="19" spans="1:28" ht="12" thickBot="1" x14ac:dyDescent="0.3">
      <c r="B19" s="397"/>
      <c r="C19" s="397"/>
      <c r="D19" s="448"/>
      <c r="E19" s="448"/>
      <c r="F19" s="448"/>
      <c r="G19" s="448"/>
      <c r="H19" s="448"/>
      <c r="I19" s="448"/>
      <c r="J19" s="448"/>
      <c r="L19" s="390"/>
      <c r="T19" s="449">
        <f>SUM(P17:T17)</f>
        <v>688737.78999999992</v>
      </c>
      <c r="U19" s="389" t="s">
        <v>1</v>
      </c>
      <c r="X19" s="390"/>
    </row>
    <row r="20" spans="1:28" ht="12" thickBot="1" x14ac:dyDescent="0.3">
      <c r="B20" s="397"/>
      <c r="C20" s="397"/>
      <c r="D20" s="448" t="s">
        <v>1</v>
      </c>
      <c r="E20" s="450"/>
      <c r="F20" s="450"/>
      <c r="G20" s="450"/>
      <c r="H20" s="450"/>
      <c r="I20" s="448"/>
      <c r="J20" s="640" t="str">
        <f>+IF(MAX(J12:J17)&gt;500000,"VALIDAR",TRUE)</f>
        <v>VALIDAR</v>
      </c>
      <c r="L20" s="390"/>
      <c r="U20" s="451"/>
      <c r="X20" s="390"/>
    </row>
    <row r="21" spans="1:28" x14ac:dyDescent="0.25">
      <c r="B21" s="397"/>
      <c r="C21" s="397"/>
      <c r="D21" s="448" t="s">
        <v>1</v>
      </c>
      <c r="E21" s="448" t="s">
        <v>1</v>
      </c>
      <c r="F21" s="448" t="s">
        <v>25</v>
      </c>
      <c r="G21" s="448"/>
      <c r="H21" s="448"/>
      <c r="I21" s="448"/>
      <c r="J21" s="448"/>
      <c r="L21" s="390"/>
      <c r="X21" s="390"/>
    </row>
    <row r="22" spans="1:28" x14ac:dyDescent="0.25">
      <c r="A22" s="452"/>
      <c r="B22" s="453"/>
      <c r="C22" s="453"/>
      <c r="D22" s="454"/>
      <c r="E22" s="454"/>
      <c r="F22" s="454"/>
      <c r="G22" s="454"/>
      <c r="H22" s="454"/>
      <c r="I22" s="454"/>
      <c r="J22" s="454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5"/>
      <c r="W22" s="452"/>
      <c r="X22" s="452"/>
    </row>
    <row r="24" spans="1:28" x14ac:dyDescent="0.25">
      <c r="D24" s="456">
        <v>-1</v>
      </c>
      <c r="P24" s="456">
        <v>-1</v>
      </c>
    </row>
    <row r="25" spans="1:28" ht="15.5" x14ac:dyDescent="0.35">
      <c r="E25" s="405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abSelected="1" topLeftCell="A96" zoomScaleNormal="100" workbookViewId="0">
      <selection activeCell="D111" sqref="D111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7.81640625" style="1" customWidth="1"/>
    <col min="4" max="4" width="15.1796875" style="1" customWidth="1"/>
    <col min="5" max="5" width="16" style="1" customWidth="1"/>
    <col min="6" max="7" width="14.81640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17.81640625" style="1" customWidth="1"/>
    <col min="13" max="13" width="20" style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7.54296875" style="1" bestFit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4.81640625" style="271" bestFit="1" customWidth="1"/>
    <col min="34" max="34" width="13.81640625" style="1" customWidth="1"/>
    <col min="35" max="35" width="3.453125" style="1" customWidth="1"/>
    <col min="36" max="36" width="13.81640625" style="1" bestFit="1" customWidth="1"/>
    <col min="37" max="38" width="11.453125" style="1"/>
    <col min="39" max="39" width="15.81640625" style="1" bestFit="1" customWidth="1"/>
    <col min="40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7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2"/>
      <c r="AI5" s="4"/>
    </row>
    <row r="6" spans="2:35" ht="15.5" x14ac:dyDescent="0.35">
      <c r="B6" s="8"/>
      <c r="C6" s="598" t="s">
        <v>17</v>
      </c>
      <c r="D6" s="9"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2"/>
      <c r="AI6" s="4"/>
    </row>
    <row r="7" spans="2:35" ht="12" thickBot="1" x14ac:dyDescent="0.3">
      <c r="B7" s="8"/>
      <c r="C7" s="598" t="s">
        <v>0</v>
      </c>
      <c r="D7" s="241">
        <v>0.58333333333333337</v>
      </c>
      <c r="F7" s="2" t="s">
        <v>27</v>
      </c>
      <c r="G7" s="9">
        <v>46281</v>
      </c>
      <c r="J7" s="2" t="s">
        <v>28</v>
      </c>
      <c r="K7" s="9"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72"/>
      <c r="AI7" s="4"/>
    </row>
    <row r="8" spans="2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273"/>
      <c r="AI8" s="4"/>
    </row>
    <row r="9" spans="2:35" s="305" customFormat="1" x14ac:dyDescent="0.25">
      <c r="B9" s="303">
        <v>1</v>
      </c>
      <c r="C9" s="304" t="s">
        <v>10</v>
      </c>
      <c r="D9" s="386">
        <f>'Reporte Componentes R1'!F46</f>
        <v>15990340244.1</v>
      </c>
      <c r="E9" s="292">
        <f>'Reporte Componentes R1'!G46</f>
        <v>812833174.74000001</v>
      </c>
      <c r="F9" s="292">
        <f>'Reporte Componentes R1'!H46</f>
        <v>452913337.97000003</v>
      </c>
      <c r="G9" s="292">
        <f>'Reporte Componentes R1'!I46</f>
        <v>240597084.62</v>
      </c>
      <c r="H9" s="292">
        <f>'Reporte Componentes R1'!J46</f>
        <v>3305231313.8299999</v>
      </c>
      <c r="I9" s="292">
        <f>'Reporte Componentes R1'!K46</f>
        <v>123866826.09999999</v>
      </c>
      <c r="J9" s="288">
        <f>'BCE SC POR FACT.'!F3</f>
        <v>-4501501560.3499994</v>
      </c>
      <c r="K9" s="293">
        <f>D9-E9-F9-G9-H9-I9-J9</f>
        <v>15556400067.189999</v>
      </c>
      <c r="L9" s="294">
        <f>INTERVENTORIA!J15</f>
        <v>189185988</v>
      </c>
      <c r="M9" s="293">
        <f>K9-L9</f>
        <v>15367214079.189999</v>
      </c>
      <c r="N9" s="387">
        <f>'Reporte Componentes R1'!L46</f>
        <v>28410292.199999999</v>
      </c>
      <c r="O9" s="293">
        <f>M9+N9</f>
        <v>15395624371.389999</v>
      </c>
      <c r="Q9" s="306"/>
      <c r="S9" s="303">
        <v>1</v>
      </c>
      <c r="T9" s="304" t="s">
        <v>10</v>
      </c>
      <c r="U9" s="307">
        <f>'Reporte Componentes R1'!M46</f>
        <v>1089907165.51</v>
      </c>
      <c r="V9" s="308">
        <f>'Reporte Componentes R1'!N46</f>
        <v>1042445002.64</v>
      </c>
      <c r="W9" s="308">
        <f>'Reporte Componentes R1'!O46</f>
        <v>4901241153.3500004</v>
      </c>
      <c r="X9" s="308">
        <f>'Reporte Componentes R1'!P46</f>
        <v>2211764876.0500002</v>
      </c>
      <c r="Y9" s="309">
        <f>'Reporte Componentes R1'!Q46</f>
        <v>202120990.57999998</v>
      </c>
      <c r="Z9" s="310">
        <f>L9*-1</f>
        <v>-189185988</v>
      </c>
      <c r="AA9" s="311">
        <f>'Reporte Componentes R1'!R46+'Reporte Componentes R1'!U46+'Reporte Componentes R1'!V46</f>
        <v>106586.1</v>
      </c>
      <c r="AB9" s="312">
        <f>N9</f>
        <v>28410292.199999999</v>
      </c>
      <c r="AC9" s="320">
        <f>'Reporte Componentes R1'!T46+'Reporte Componentes R1'!W46+'Reporte Componentes R1'!X46+'Reporte Componentes R1'!Y46+'Reporte Componentes R1'!Z46+'Reporte Componentes R1'!S46</f>
        <v>69.86</v>
      </c>
      <c r="AD9" s="291">
        <f>-J9+AE9</f>
        <v>6108814223.0999994</v>
      </c>
      <c r="AE9" s="291">
        <f>'Reporte Componentes R1'!F47</f>
        <v>1607312662.75</v>
      </c>
      <c r="AF9" s="313">
        <f>SUM(U9:AD9)</f>
        <v>15395624371.389999</v>
      </c>
      <c r="AG9" s="521">
        <f>(AF9-O9)</f>
        <v>0</v>
      </c>
      <c r="AH9" s="305" t="b">
        <f>INT(AG9)=0</f>
        <v>1</v>
      </c>
      <c r="AI9" s="306"/>
    </row>
    <row r="10" spans="2:35" s="305" customFormat="1" x14ac:dyDescent="0.25">
      <c r="B10" s="314">
        <v>2</v>
      </c>
      <c r="C10" s="315" t="s">
        <v>11</v>
      </c>
      <c r="D10" s="291">
        <f>'Reporte Componentes R1'!F200</f>
        <v>22191561890.43</v>
      </c>
      <c r="E10" s="292">
        <f>'Reporte Componentes R1'!G200</f>
        <v>1684830231.28</v>
      </c>
      <c r="F10" s="292">
        <f>'Reporte Componentes R1'!H200</f>
        <v>933455614.65999997</v>
      </c>
      <c r="G10" s="292">
        <f>'Reporte Componentes R1'!I200</f>
        <v>493512447.32999998</v>
      </c>
      <c r="H10" s="292">
        <f>'Reporte Componentes R1'!J200</f>
        <v>6821216082.0100002</v>
      </c>
      <c r="I10" s="292">
        <f>'Reporte Componentes R1'!K200</f>
        <v>238011181.83000001</v>
      </c>
      <c r="J10" s="288">
        <f>'BCE SC POR FACT.'!F4</f>
        <v>-3550307908.4800005</v>
      </c>
      <c r="K10" s="295">
        <f>D10-E10-F10-G10-H10-I10-J10</f>
        <v>15570844241.799999</v>
      </c>
      <c r="L10" s="294">
        <f>INTERVENTORIA!J16</f>
        <v>266580256</v>
      </c>
      <c r="M10" s="295">
        <f>K10-L10</f>
        <v>15304263985.799999</v>
      </c>
      <c r="N10" s="294">
        <f>'Reporte Componentes R1'!L200</f>
        <v>73927482.560000002</v>
      </c>
      <c r="O10" s="295">
        <f>M10+N10</f>
        <v>15378191468.359999</v>
      </c>
      <c r="Q10" s="306"/>
      <c r="S10" s="314">
        <v>2</v>
      </c>
      <c r="T10" s="315" t="s">
        <v>11</v>
      </c>
      <c r="U10" s="316">
        <f>'Reporte Componentes R1'!M200</f>
        <v>2085692949.77</v>
      </c>
      <c r="V10" s="317">
        <f>'Reporte Componentes R1'!N200</f>
        <v>2070915990.0699999</v>
      </c>
      <c r="W10" s="317">
        <f>'Reporte Componentes R1'!O200</f>
        <v>9728315408.3899994</v>
      </c>
      <c r="X10" s="317">
        <f>'Reporte Componentes R1'!P200</f>
        <v>3311410880.3800001</v>
      </c>
      <c r="Y10" s="318">
        <f>'Reporte Componentes R1'!Q200</f>
        <v>388787985.42999995</v>
      </c>
      <c r="Z10" s="319">
        <f>L10*-1</f>
        <v>-266580256</v>
      </c>
      <c r="AA10" s="320">
        <f>'Reporte Componentes R1'!R200+'Reporte Componentes R1'!U200+'Reporte Componentes R1'!V200</f>
        <v>157355.9</v>
      </c>
      <c r="AB10" s="321">
        <f>N10</f>
        <v>73927482.560000002</v>
      </c>
      <c r="AC10" s="320">
        <f>'Reporte Componentes R1'!T200+'Reporte Componentes R1'!W200+'Reporte Componentes R1'!X200+'Reporte Componentes R1'!Y200+'Reporte Componentes R1'!Z200+'Reporte Componentes R1'!S200</f>
        <v>-24.05</v>
      </c>
      <c r="AD10" s="291">
        <f t="shared" ref="AD10:AD13" si="0">-J10+AE10</f>
        <v>-2014436304.0899992</v>
      </c>
      <c r="AE10" s="291">
        <f>'Reporte Componentes R1'!F201</f>
        <v>-5564744212.5699997</v>
      </c>
      <c r="AF10" s="322">
        <f>SUM(U10:AD10)</f>
        <v>15378191468.360004</v>
      </c>
      <c r="AG10" s="522">
        <f>(AF10-O10)</f>
        <v>5.7220458984375E-6</v>
      </c>
      <c r="AH10" s="305" t="b">
        <f t="shared" ref="AH10:AH13" si="1">INT(AG10)=0</f>
        <v>1</v>
      </c>
      <c r="AI10" s="306"/>
    </row>
    <row r="11" spans="2:35" s="305" customFormat="1" x14ac:dyDescent="0.25">
      <c r="B11" s="314">
        <v>3</v>
      </c>
      <c r="C11" s="315" t="s">
        <v>12</v>
      </c>
      <c r="D11" s="291">
        <f>'Reporte Componentes R1'!F339</f>
        <v>15126944698.979998</v>
      </c>
      <c r="E11" s="292">
        <f>'Reporte Componentes R1'!G339</f>
        <v>1126326219.8499999</v>
      </c>
      <c r="F11" s="292">
        <f>'Reporte Componentes R1'!H339</f>
        <v>626872640.33000004</v>
      </c>
      <c r="G11" s="292">
        <f>'Reporte Componentes R1'!I339</f>
        <v>333094025.81999999</v>
      </c>
      <c r="H11" s="292">
        <f>'Reporte Componentes R1'!J339</f>
        <v>3479487567.73</v>
      </c>
      <c r="I11" s="292">
        <f>'Reporte Componentes R1'!K339</f>
        <v>126528407.55</v>
      </c>
      <c r="J11" s="288">
        <f>'BCE SC POR FACT.'!F5</f>
        <v>-750589759.5999999</v>
      </c>
      <c r="K11" s="295">
        <f>D11-E11-F11-G11-H11-I11-J11</f>
        <v>10185225597.299999</v>
      </c>
      <c r="L11" s="294">
        <f>INTERVENTORIA!J17</f>
        <v>154788536</v>
      </c>
      <c r="M11" s="295">
        <f>K11-L11</f>
        <v>10030437061.299999</v>
      </c>
      <c r="N11" s="294">
        <f>'Reporte Componentes R1'!L339</f>
        <v>37136884.869999997</v>
      </c>
      <c r="O11" s="295">
        <f>M11+N11</f>
        <v>10067573946.17</v>
      </c>
      <c r="Q11" s="306"/>
      <c r="S11" s="314">
        <v>3</v>
      </c>
      <c r="T11" s="315" t="s">
        <v>12</v>
      </c>
      <c r="U11" s="316">
        <f>'Reporte Componentes R1'!M339</f>
        <v>1109653150.5799999</v>
      </c>
      <c r="V11" s="317">
        <f>'Reporte Componentes R1'!N339</f>
        <v>1084207428.1499999</v>
      </c>
      <c r="W11" s="317">
        <f>'Reporte Componentes R1'!O339</f>
        <v>5095496184.7000008</v>
      </c>
      <c r="X11" s="317">
        <f>'Reporte Componentes R1'!P339</f>
        <v>2667230075.6599998</v>
      </c>
      <c r="Y11" s="318">
        <f>'Reporte Componentes R1'!Q339</f>
        <v>206507965.87</v>
      </c>
      <c r="Z11" s="319">
        <f>L11*-1</f>
        <v>-154788536</v>
      </c>
      <c r="AA11" s="320">
        <f>'Reporte Componentes R1'!R339+'Reporte Componentes R1'!U339+'Reporte Componentes R1'!V339</f>
        <v>-129436.44</v>
      </c>
      <c r="AB11" s="321">
        <f>N11</f>
        <v>37136884.869999997</v>
      </c>
      <c r="AC11" s="320">
        <f>'Reporte Componentes R1'!T339+'Reporte Componentes R1'!W339+'Reporte Componentes R1'!X339+'Reporte Componentes R1'!Y339+'Reporte Componentes R1'!Z339+'Reporte Componentes R1'!S339</f>
        <v>1.45</v>
      </c>
      <c r="AD11" s="291">
        <f t="shared" si="0"/>
        <v>22260227.329999924</v>
      </c>
      <c r="AE11" s="291">
        <f>'Reporte Componentes R1'!F340</f>
        <v>-728329532.26999998</v>
      </c>
      <c r="AF11" s="322">
        <f t="shared" ref="AF11:AF13" si="2">SUM(U11:AD11)</f>
        <v>10067573946.170002</v>
      </c>
      <c r="AG11" s="522">
        <f>(AF11-O11)</f>
        <v>1.9073486328125E-6</v>
      </c>
      <c r="AH11" s="305" t="b">
        <f t="shared" si="1"/>
        <v>1</v>
      </c>
      <c r="AI11" s="306"/>
    </row>
    <row r="12" spans="2:35" s="305" customFormat="1" x14ac:dyDescent="0.25">
      <c r="B12" s="314">
        <v>4</v>
      </c>
      <c r="C12" s="315" t="s">
        <v>13</v>
      </c>
      <c r="D12" s="291">
        <f>'Reporte Componentes R1'!F472</f>
        <v>7661986883.4700012</v>
      </c>
      <c r="E12" s="292">
        <f>'Reporte Componentes R1'!G472</f>
        <v>472372745.37</v>
      </c>
      <c r="F12" s="292">
        <f>'Reporte Componentes R1'!H472</f>
        <v>262251580.43000001</v>
      </c>
      <c r="G12" s="292">
        <f>'Reporte Componentes R1'!I472</f>
        <v>139261003.16999999</v>
      </c>
      <c r="H12" s="292">
        <f>'Reporte Componentes R1'!J472</f>
        <v>1776361289.71</v>
      </c>
      <c r="I12" s="292">
        <f>'Reporte Componentes R1'!K472</f>
        <v>61161136.799999997</v>
      </c>
      <c r="J12" s="288">
        <f>'BCE SC POR FACT.'!F6</f>
        <v>-714140939.3599999</v>
      </c>
      <c r="K12" s="295">
        <f>D12-E12-F12-G12-H12-I12-J12</f>
        <v>5664720067.3500004</v>
      </c>
      <c r="L12" s="294">
        <f>INTERVENTORIA!J18</f>
        <v>120391083</v>
      </c>
      <c r="M12" s="295">
        <f>K12-L12</f>
        <v>5544328984.3500004</v>
      </c>
      <c r="N12" s="294">
        <f>'Reporte Componentes R1'!L472</f>
        <v>10063121.539999999</v>
      </c>
      <c r="O12" s="295">
        <f>M12+N12</f>
        <v>5554392105.8900003</v>
      </c>
      <c r="Q12" s="306"/>
      <c r="S12" s="314">
        <v>4</v>
      </c>
      <c r="T12" s="315" t="s">
        <v>13</v>
      </c>
      <c r="U12" s="316">
        <f>'Reporte Componentes R1'!M472</f>
        <v>535211002.22999996</v>
      </c>
      <c r="V12" s="317">
        <f>'Reporte Componentes R1'!N472</f>
        <v>533242230.64000005</v>
      </c>
      <c r="W12" s="317">
        <f>'Reporte Componentes R1'!O472</f>
        <v>2730906086.27</v>
      </c>
      <c r="X12" s="317">
        <f>'Reporte Componentes R1'!P472</f>
        <v>1250489726.53</v>
      </c>
      <c r="Y12" s="318">
        <f>'Reporte Componentes R1'!Q472</f>
        <v>99941706.239999995</v>
      </c>
      <c r="Z12" s="319">
        <f>L12*-1</f>
        <v>-120391083</v>
      </c>
      <c r="AA12" s="320">
        <f>'Reporte Componentes R1'!R472+'Reporte Componentes R1'!U472+'Reporte Componentes R1'!V472</f>
        <v>2887.41</v>
      </c>
      <c r="AB12" s="321">
        <f>N12</f>
        <v>10063121.539999999</v>
      </c>
      <c r="AC12" s="320">
        <f>'Reporte Componentes R1'!T472+'Reporte Componentes R1'!W472+'Reporte Componentes R1'!X472+'Reporte Componentes R1'!Y472+'Reporte Componentes R1'!Z472+'Reporte Componentes R1'!S472</f>
        <v>70.569999999999993</v>
      </c>
      <c r="AD12" s="291">
        <f t="shared" si="0"/>
        <v>514926357.45999992</v>
      </c>
      <c r="AE12" s="291">
        <f>'Reporte Componentes R1'!F473</f>
        <v>-199214581.90000001</v>
      </c>
      <c r="AF12" s="322">
        <f t="shared" si="2"/>
        <v>5554392105.8899994</v>
      </c>
      <c r="AG12" s="522">
        <f>(AF12-O12)</f>
        <v>-9.5367431640625E-7</v>
      </c>
      <c r="AH12" s="305" t="b">
        <f t="shared" si="1"/>
        <v>0</v>
      </c>
      <c r="AI12" s="306"/>
    </row>
    <row r="13" spans="2:35" s="305" customFormat="1" ht="12" thickBot="1" x14ac:dyDescent="0.3">
      <c r="B13" s="324">
        <v>5</v>
      </c>
      <c r="C13" s="325" t="s">
        <v>14</v>
      </c>
      <c r="D13" s="296">
        <f>'Reporte Componentes R1'!F551</f>
        <v>12329805404.279999</v>
      </c>
      <c r="E13" s="297">
        <f>'Reporte Componentes R1'!G551</f>
        <v>697482755.46000004</v>
      </c>
      <c r="F13" s="297">
        <f>'Reporte Componentes R1'!H551</f>
        <v>388259287.05000001</v>
      </c>
      <c r="G13" s="297">
        <f>'Reporte Componentes R1'!I551</f>
        <v>206453749.81999999</v>
      </c>
      <c r="H13" s="297">
        <f>'Reporte Componentes R1'!J551</f>
        <v>3256931564.3100004</v>
      </c>
      <c r="I13" s="297">
        <f>'Reporte Componentes R1'!K551</f>
        <v>106089616.84</v>
      </c>
      <c r="J13" s="289">
        <f>'BCE SC POR FACT.'!F7</f>
        <v>-98238891.940000057</v>
      </c>
      <c r="K13" s="295">
        <f>D13-E13-F13-G13-H13-I13-J13</f>
        <v>7772827322.7399998</v>
      </c>
      <c r="L13" s="294">
        <f>INTERVENTORIA!J19</f>
        <v>128990446</v>
      </c>
      <c r="M13" s="298">
        <f>K13-L13</f>
        <v>7643836876.7399998</v>
      </c>
      <c r="N13" s="299">
        <f>'Reporte Componentes R1'!L551</f>
        <v>12154250.720000001</v>
      </c>
      <c r="O13" s="298">
        <f>M13+N13</f>
        <v>7655991127.46</v>
      </c>
      <c r="Q13" s="306"/>
      <c r="S13" s="324">
        <v>5</v>
      </c>
      <c r="T13" s="325" t="s">
        <v>14</v>
      </c>
      <c r="U13" s="296">
        <f>'Reporte Componentes R1'!M551</f>
        <v>930506884.49000001</v>
      </c>
      <c r="V13" s="297">
        <f>'Reporte Componentes R1'!N551</f>
        <v>903844017.66000009</v>
      </c>
      <c r="W13" s="297">
        <f>'Reporte Componentes R1'!O551</f>
        <v>4612201379.1499996</v>
      </c>
      <c r="X13" s="297">
        <f>'Reporte Componentes R1'!P551</f>
        <v>2072911787.01</v>
      </c>
      <c r="Y13" s="289">
        <f>'Reporte Componentes R1'!Q551</f>
        <v>173121551.39000002</v>
      </c>
      <c r="Z13" s="319">
        <f>L13*-1</f>
        <v>-128990446</v>
      </c>
      <c r="AA13" s="320">
        <f>'Reporte Componentes R1'!R551+'Reporte Componentes R1'!U551+'Reporte Componentes R1'!V551</f>
        <v>-177200.85</v>
      </c>
      <c r="AB13" s="321">
        <f>N13</f>
        <v>12154250.720000001</v>
      </c>
      <c r="AC13" s="320">
        <f>'Reporte Componentes R1'!T551+'Reporte Componentes R1'!W551+'Reporte Componentes R1'!X551+'Reporte Componentes R1'!Y551+'Reporte Componentes R1'!Z551+'Reporte Componentes R1'!S551</f>
        <v>-23.52000000000001</v>
      </c>
      <c r="AD13" s="291">
        <f t="shared" si="0"/>
        <v>-919581072.58999991</v>
      </c>
      <c r="AE13" s="291">
        <f>'Reporte Componentes R1'!F552</f>
        <v>-1017819964.53</v>
      </c>
      <c r="AF13" s="322">
        <f t="shared" si="2"/>
        <v>7655991127.4599981</v>
      </c>
      <c r="AG13" s="523">
        <f>(AF13-O13)</f>
        <v>-1.9073486328125E-6</v>
      </c>
      <c r="AH13" s="305" t="b">
        <f t="shared" si="1"/>
        <v>0</v>
      </c>
      <c r="AI13" s="306"/>
    </row>
    <row r="14" spans="2:35" s="305" customFormat="1" ht="13.5" thickBot="1" x14ac:dyDescent="0.35">
      <c r="B14" s="327"/>
      <c r="C14" s="328" t="s">
        <v>2</v>
      </c>
      <c r="D14" s="290">
        <f>SUM(D9:D13)</f>
        <v>73300639121.259995</v>
      </c>
      <c r="E14" s="290">
        <f t="shared" ref="E14:O14" si="3">SUM(E9:E13)</f>
        <v>4793845126.6999998</v>
      </c>
      <c r="F14" s="290">
        <f t="shared" si="3"/>
        <v>2663752460.4400001</v>
      </c>
      <c r="G14" s="290">
        <f t="shared" ref="G14" si="4">SUM(G9:G13)</f>
        <v>1412918310.76</v>
      </c>
      <c r="H14" s="290">
        <f t="shared" si="3"/>
        <v>18639227817.59</v>
      </c>
      <c r="I14" s="290">
        <f t="shared" si="3"/>
        <v>655657169.12</v>
      </c>
      <c r="J14" s="290">
        <f t="shared" si="3"/>
        <v>-9614779059.7300014</v>
      </c>
      <c r="K14" s="300">
        <f>SUM(K9:K13)</f>
        <v>54750017296.37999</v>
      </c>
      <c r="L14" s="301">
        <f>SUM(L9:L13)</f>
        <v>859936309</v>
      </c>
      <c r="M14" s="302">
        <f t="shared" si="3"/>
        <v>53890080987.37999</v>
      </c>
      <c r="N14" s="301">
        <f t="shared" si="3"/>
        <v>161692031.88999999</v>
      </c>
      <c r="O14" s="302">
        <f t="shared" si="3"/>
        <v>54051773019.269997</v>
      </c>
      <c r="P14" s="329"/>
      <c r="Q14" s="306"/>
      <c r="S14" s="327"/>
      <c r="T14" s="328" t="s">
        <v>2</v>
      </c>
      <c r="U14" s="330">
        <f>SUM(U9:U13)</f>
        <v>5750971152.579999</v>
      </c>
      <c r="V14" s="330">
        <f t="shared" ref="V14:AF14" si="5">SUM(V9:V13)</f>
        <v>5634654669.1599998</v>
      </c>
      <c r="W14" s="330">
        <f t="shared" si="5"/>
        <v>27068160211.860001</v>
      </c>
      <c r="X14" s="330">
        <f t="shared" si="5"/>
        <v>11513807345.630001</v>
      </c>
      <c r="Y14" s="330">
        <f t="shared" si="5"/>
        <v>1070480199.51</v>
      </c>
      <c r="Z14" s="290">
        <f t="shared" si="5"/>
        <v>-859936309</v>
      </c>
      <c r="AA14" s="290">
        <f t="shared" si="5"/>
        <v>-39807.880000000005</v>
      </c>
      <c r="AB14" s="290">
        <f t="shared" si="5"/>
        <v>161692031.88999999</v>
      </c>
      <c r="AC14" s="290">
        <f>SUM(AC9:AC13)</f>
        <v>94.309999999999988</v>
      </c>
      <c r="AD14" s="290">
        <f>SUM(AD9:AD13)</f>
        <v>3711983431.21</v>
      </c>
      <c r="AE14" s="290">
        <f>SUM(AE9:AE13)</f>
        <v>-5902795628.5199995</v>
      </c>
      <c r="AF14" s="331">
        <f t="shared" si="5"/>
        <v>54051773019.270004</v>
      </c>
      <c r="AG14" s="524">
        <f>SUM(AG9:AG13)</f>
        <v>4.76837158203125E-6</v>
      </c>
      <c r="AH14" s="305" t="b">
        <f>INT(AG14)=0</f>
        <v>1</v>
      </c>
      <c r="AI14" s="306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51038073578.739998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13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7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2"/>
      <c r="AI24" s="4"/>
    </row>
    <row r="25" spans="1:35" ht="15.5" x14ac:dyDescent="0.35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2"/>
      <c r="AI25" s="4"/>
    </row>
    <row r="26" spans="1:35" ht="12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7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273"/>
      <c r="AI27" s="4"/>
    </row>
    <row r="28" spans="1:35" s="305" customFormat="1" x14ac:dyDescent="0.25">
      <c r="B28" s="303">
        <v>1</v>
      </c>
      <c r="C28" s="304" t="s">
        <v>10</v>
      </c>
      <c r="D28" s="291">
        <f>'Rem. Anticipos R2'!E43</f>
        <v>67607989.019999996</v>
      </c>
      <c r="E28" s="292">
        <f>'Rem. Anticipos R2'!F43</f>
        <v>5966183.8200000003</v>
      </c>
      <c r="F28" s="292">
        <f>'Rem. Anticipos R2'!G43</f>
        <v>3277844.08</v>
      </c>
      <c r="G28" s="292">
        <f>'Rem. Anticipos R2'!H43</f>
        <v>1365627.97</v>
      </c>
      <c r="H28" s="292">
        <f>'Rem. Anticipos R2'!I43</f>
        <v>18155798.100000001</v>
      </c>
      <c r="I28" s="292">
        <f>'Rem. Anticipos R2'!J43</f>
        <v>599498.57999999996</v>
      </c>
      <c r="J28" s="288">
        <v>0</v>
      </c>
      <c r="K28" s="293">
        <f>D28-E28-F28-G28-H28-I28-J28</f>
        <v>38243036.469999999</v>
      </c>
      <c r="L28" s="294">
        <v>0</v>
      </c>
      <c r="M28" s="293">
        <f>K28-L28</f>
        <v>38243036.469999999</v>
      </c>
      <c r="N28" s="294">
        <f>'Rem. Anticipos R2'!K43</f>
        <v>1030668</v>
      </c>
      <c r="O28" s="293">
        <f>M28+N28</f>
        <v>39273704.469999999</v>
      </c>
      <c r="Q28" s="306"/>
      <c r="S28" s="303">
        <v>1</v>
      </c>
      <c r="T28" s="304" t="s">
        <v>10</v>
      </c>
      <c r="U28" s="307">
        <f>'Rem. Anticipos R2'!L43</f>
        <v>6081150.7000000002</v>
      </c>
      <c r="V28" s="308">
        <f>'Rem. Anticipos R2'!M43</f>
        <v>5284460.59</v>
      </c>
      <c r="W28" s="308">
        <f>'Rem. Anticipos R2'!N43</f>
        <v>21492908.859999999</v>
      </c>
      <c r="X28" s="308">
        <f>'Rem. Anticipos R2'!O43</f>
        <v>16744854.6</v>
      </c>
      <c r="Y28" s="308">
        <f>'Rem. Anticipos R2'!P43</f>
        <v>864186.52</v>
      </c>
      <c r="Z28" s="310">
        <f>L28*-1</f>
        <v>0</v>
      </c>
      <c r="AA28" s="311">
        <f>'Rem. Anticipos R2'!Q43</f>
        <v>-66.69</v>
      </c>
      <c r="AB28" s="294">
        <f>N28</f>
        <v>1030668</v>
      </c>
      <c r="AC28" s="311">
        <f>'Rem. Anticipos R2'!R43</f>
        <v>0</v>
      </c>
      <c r="AD28" s="291">
        <f>-J28+AE28</f>
        <v>-12224458.109999999</v>
      </c>
      <c r="AE28" s="291">
        <f>'Rem. Anticipos R2'!E44</f>
        <v>-12224458.109999999</v>
      </c>
      <c r="AF28" s="313">
        <f>SUM(U28:AD28)</f>
        <v>39273704.470000006</v>
      </c>
      <c r="AG28" s="521">
        <f>(AF28-O28)</f>
        <v>7.4505805969238281E-9</v>
      </c>
      <c r="AH28" s="305" t="b">
        <f>INT(AG28)=0</f>
        <v>1</v>
      </c>
      <c r="AI28" s="306"/>
    </row>
    <row r="29" spans="1:35" s="305" customFormat="1" x14ac:dyDescent="0.25">
      <c r="B29" s="314">
        <v>2</v>
      </c>
      <c r="C29" s="315" t="s">
        <v>11</v>
      </c>
      <c r="D29" s="291">
        <f>'Rem. Anticipos R2'!E136</f>
        <v>155750155.34</v>
      </c>
      <c r="E29" s="292">
        <f>'Rem. Anticipos R2'!F136</f>
        <v>21179037.899999999</v>
      </c>
      <c r="F29" s="292">
        <f>'Rem. Anticipos R2'!G136</f>
        <v>11187088.800000001</v>
      </c>
      <c r="G29" s="292">
        <f>'Rem. Anticipos R2'!H136</f>
        <v>5537650.54</v>
      </c>
      <c r="H29" s="292">
        <f>'Rem. Anticipos R2'!I136</f>
        <v>30381506.57</v>
      </c>
      <c r="I29" s="292">
        <f>'Rem. Anticipos R2'!J136</f>
        <v>941128.87</v>
      </c>
      <c r="J29" s="288">
        <v>0</v>
      </c>
      <c r="K29" s="295">
        <f>D29-E29-F29-G29-H29-I29-J29</f>
        <v>86523742.659999996</v>
      </c>
      <c r="L29" s="294">
        <v>0</v>
      </c>
      <c r="M29" s="295">
        <f>K29-L29</f>
        <v>86523742.659999996</v>
      </c>
      <c r="N29" s="294">
        <f>'Rem. Anticipos R2'!K136</f>
        <v>219000</v>
      </c>
      <c r="O29" s="295">
        <f t="shared" ref="O29:O32" si="6">M29+N29</f>
        <v>86742742.659999996</v>
      </c>
      <c r="Q29" s="306"/>
      <c r="S29" s="314">
        <v>2</v>
      </c>
      <c r="T29" s="315" t="s">
        <v>11</v>
      </c>
      <c r="U29" s="316">
        <f>'Rem. Anticipos R2'!L136</f>
        <v>8214775.6399999997</v>
      </c>
      <c r="V29" s="317">
        <f>'Rem. Anticipos R2'!M136</f>
        <v>8652731.7400000002</v>
      </c>
      <c r="W29" s="317">
        <f>'Rem. Anticipos R2'!N136</f>
        <v>37700932.100000001</v>
      </c>
      <c r="X29" s="317">
        <f>'Rem. Anticipos R2'!O136</f>
        <v>45281008.530000001</v>
      </c>
      <c r="Y29" s="318">
        <f>'Rem. Anticipos R2'!P136</f>
        <v>1403801.54</v>
      </c>
      <c r="Z29" s="319">
        <f>L29*-1</f>
        <v>0</v>
      </c>
      <c r="AA29" s="320">
        <f>'Rem. Anticipos R2'!Q136</f>
        <v>-162.69</v>
      </c>
      <c r="AB29" s="294">
        <f>N29</f>
        <v>219000</v>
      </c>
      <c r="AC29" s="320">
        <f>'Rem. Anticipos R2'!R136</f>
        <v>0</v>
      </c>
      <c r="AD29" s="291">
        <f>-J29+AE29</f>
        <v>-14729344.199999999</v>
      </c>
      <c r="AE29" s="291">
        <f>'Rem. Anticipos R2'!E137</f>
        <v>-14729344.199999999</v>
      </c>
      <c r="AF29" s="322">
        <f>SUM(U29:AD29)</f>
        <v>86742742.660000011</v>
      </c>
      <c r="AG29" s="522">
        <f>(AF29-O29)</f>
        <v>1.4901161193847656E-8</v>
      </c>
      <c r="AH29" s="305" t="b">
        <f t="shared" ref="AH29:AH32" si="7">INT(AG29)=0</f>
        <v>1</v>
      </c>
      <c r="AI29" s="306"/>
    </row>
    <row r="30" spans="1:35" s="305" customFormat="1" x14ac:dyDescent="0.25">
      <c r="B30" s="314">
        <v>3</v>
      </c>
      <c r="C30" s="315" t="s">
        <v>12</v>
      </c>
      <c r="D30" s="291">
        <f>'Rem. Anticipos R2'!E253</f>
        <v>113048439.3</v>
      </c>
      <c r="E30" s="292">
        <f>'Rem. Anticipos R2'!F253</f>
        <v>12979986.039999999</v>
      </c>
      <c r="F30" s="292">
        <f>'Rem. Anticipos R2'!G253</f>
        <v>7286379.6500000004</v>
      </c>
      <c r="G30" s="292">
        <f>'Rem. Anticipos R2'!H253</f>
        <v>3842632.77</v>
      </c>
      <c r="H30" s="292">
        <f>'Rem. Anticipos R2'!I253</f>
        <v>5668174.7000000002</v>
      </c>
      <c r="I30" s="292">
        <f>'Rem. Anticipos R2'!J253</f>
        <v>236252.61</v>
      </c>
      <c r="J30" s="288">
        <v>0</v>
      </c>
      <c r="K30" s="295">
        <f t="shared" ref="K30:K31" si="8">D30-E30-F30-G30-H30-I30-J30</f>
        <v>83035013.529999986</v>
      </c>
      <c r="L30" s="294">
        <v>0</v>
      </c>
      <c r="M30" s="295">
        <f>K30-L30</f>
        <v>83035013.529999986</v>
      </c>
      <c r="N30" s="294">
        <f>'Rem. Anticipos R2'!K253</f>
        <v>34149.980000000003</v>
      </c>
      <c r="O30" s="295">
        <f t="shared" si="6"/>
        <v>83069163.50999999</v>
      </c>
      <c r="Q30" s="306"/>
      <c r="S30" s="314">
        <v>3</v>
      </c>
      <c r="T30" s="315" t="s">
        <v>12</v>
      </c>
      <c r="U30" s="316">
        <f>'Rem. Anticipos R2'!L253</f>
        <v>1131854.31</v>
      </c>
      <c r="V30" s="317">
        <f>'Rem. Anticipos R2'!M253</f>
        <v>1377651.4</v>
      </c>
      <c r="W30" s="317">
        <f>'Rem. Anticipos R2'!N253</f>
        <v>6105100.71</v>
      </c>
      <c r="X30" s="317">
        <f>'Rem. Anticipos R2'!O253</f>
        <v>32123713.23</v>
      </c>
      <c r="Y30" s="318">
        <f>'Rem. Anticipos R2'!P253</f>
        <v>238348.94</v>
      </c>
      <c r="Z30" s="319">
        <f>L30*-1</f>
        <v>0</v>
      </c>
      <c r="AA30" s="320">
        <f>'Rem. Anticipos R2'!Q253</f>
        <v>-320.32</v>
      </c>
      <c r="AB30" s="294">
        <f>N30</f>
        <v>34149.980000000003</v>
      </c>
      <c r="AC30" s="320">
        <f>'Rem. Anticipos R2'!R253</f>
        <v>0</v>
      </c>
      <c r="AD30" s="291">
        <f t="shared" ref="AD30:AD32" si="9">-J30+AE30</f>
        <v>42058665.259999998</v>
      </c>
      <c r="AE30" s="291">
        <f>'Rem. Anticipos R2'!E254</f>
        <v>42058665.259999998</v>
      </c>
      <c r="AF30" s="322">
        <f>SUM(U30:AD30)</f>
        <v>83069163.50999999</v>
      </c>
      <c r="AG30" s="522">
        <f t="shared" ref="AG30:AG31" si="10">(AF30-O30)</f>
        <v>0</v>
      </c>
      <c r="AH30" s="305" t="b">
        <f t="shared" si="7"/>
        <v>1</v>
      </c>
      <c r="AI30" s="306"/>
    </row>
    <row r="31" spans="1:35" s="305" customFormat="1" x14ac:dyDescent="0.25">
      <c r="B31" s="314">
        <v>4</v>
      </c>
      <c r="C31" s="315" t="s">
        <v>13</v>
      </c>
      <c r="D31" s="291">
        <f>'Rem. Anticipos R2'!E352</f>
        <v>108246120.35000001</v>
      </c>
      <c r="E31" s="292">
        <f>'Rem. Anticipos R2'!F352</f>
        <v>9725918.3599999994</v>
      </c>
      <c r="F31" s="292">
        <f>'Rem. Anticipos R2'!G352</f>
        <v>5452154.04</v>
      </c>
      <c r="G31" s="292">
        <f>'Rem. Anticipos R2'!H352</f>
        <v>2672799.67</v>
      </c>
      <c r="H31" s="292">
        <f>'Rem. Anticipos R2'!I352</f>
        <v>22573568.5</v>
      </c>
      <c r="I31" s="292">
        <f>'Rem. Anticipos R2'!J352</f>
        <v>844332.2</v>
      </c>
      <c r="J31" s="288">
        <v>0</v>
      </c>
      <c r="K31" s="295">
        <f t="shared" si="8"/>
        <v>66977347.579999998</v>
      </c>
      <c r="L31" s="294">
        <v>0</v>
      </c>
      <c r="M31" s="295">
        <f>K31-L31</f>
        <v>66977347.579999998</v>
      </c>
      <c r="N31" s="294">
        <f>'Rem. Anticipos R2'!K352</f>
        <v>858314.69</v>
      </c>
      <c r="O31" s="295">
        <f t="shared" si="6"/>
        <v>67835662.269999996</v>
      </c>
      <c r="Q31" s="306"/>
      <c r="S31" s="314">
        <v>4</v>
      </c>
      <c r="T31" s="315" t="s">
        <v>13</v>
      </c>
      <c r="U31" s="316">
        <f>'Rem. Anticipos R2'!L352</f>
        <v>7377605.3600000003</v>
      </c>
      <c r="V31" s="317">
        <f>'Rem. Anticipos R2'!M352</f>
        <v>7810341.79</v>
      </c>
      <c r="W31" s="317">
        <f>'Rem. Anticipos R2'!N352</f>
        <v>34685436.200000003</v>
      </c>
      <c r="X31" s="317">
        <f>'Rem. Anticipos R2'!O352</f>
        <v>26142246.98</v>
      </c>
      <c r="Y31" s="318">
        <f>'Rem. Anticipos R2'!P352</f>
        <v>1125289.8600000001</v>
      </c>
      <c r="Z31" s="319">
        <f>L31*-1</f>
        <v>0</v>
      </c>
      <c r="AA31" s="320">
        <f>'Rem. Anticipos R2'!Q352</f>
        <v>237.3</v>
      </c>
      <c r="AB31" s="294">
        <f>N31</f>
        <v>858314.69</v>
      </c>
      <c r="AC31" s="320">
        <f>'Rem. Anticipos R2'!R352</f>
        <v>0</v>
      </c>
      <c r="AD31" s="291">
        <f t="shared" si="9"/>
        <v>-10163809.91</v>
      </c>
      <c r="AE31" s="291">
        <f>'Rem. Anticipos R2'!E353</f>
        <v>-10163809.91</v>
      </c>
      <c r="AF31" s="322">
        <f>SUM(U31:AD31)</f>
        <v>67835662.269999996</v>
      </c>
      <c r="AG31" s="522">
        <f t="shared" si="10"/>
        <v>0</v>
      </c>
      <c r="AH31" s="305" t="b">
        <f t="shared" si="7"/>
        <v>1</v>
      </c>
      <c r="AI31" s="306"/>
    </row>
    <row r="32" spans="1:35" s="305" customFormat="1" ht="12" thickBot="1" x14ac:dyDescent="0.3">
      <c r="B32" s="324">
        <v>5</v>
      </c>
      <c r="C32" s="325" t="s">
        <v>14</v>
      </c>
      <c r="D32" s="296">
        <f>'Rem. Anticipos R2'!E432</f>
        <v>29429174.399999999</v>
      </c>
      <c r="E32" s="297">
        <f>'Rem. Anticipos R2'!F432</f>
        <v>2356482.73</v>
      </c>
      <c r="F32" s="297">
        <f>'Rem. Anticipos R2'!G432</f>
        <v>1326761.95</v>
      </c>
      <c r="G32" s="297">
        <f>'Rem. Anticipos R2'!H432</f>
        <v>654859.67000000004</v>
      </c>
      <c r="H32" s="297">
        <f>'Rem. Anticipos R2'!I432</f>
        <v>6005028.3799999999</v>
      </c>
      <c r="I32" s="297">
        <f>'Rem. Anticipos R2'!J432</f>
        <v>194109.12</v>
      </c>
      <c r="J32" s="289">
        <v>0</v>
      </c>
      <c r="K32" s="295">
        <f>D32-E32-F32-G32-H32-I32-J32</f>
        <v>18891932.549999997</v>
      </c>
      <c r="L32" s="294">
        <v>0</v>
      </c>
      <c r="M32" s="298">
        <f>K32-L32</f>
        <v>18891932.549999997</v>
      </c>
      <c r="N32" s="299">
        <f>'Rem. Anticipos R2'!K432</f>
        <v>575000</v>
      </c>
      <c r="O32" s="298">
        <f t="shared" si="6"/>
        <v>19466932.549999997</v>
      </c>
      <c r="Q32" s="306"/>
      <c r="S32" s="324">
        <v>5</v>
      </c>
      <c r="T32" s="325" t="s">
        <v>14</v>
      </c>
      <c r="U32" s="296">
        <f>'Rem. Anticipos R2'!L432</f>
        <v>1456800.07</v>
      </c>
      <c r="V32" s="297">
        <f>'Rem. Anticipos R2'!M432</f>
        <v>1682011.83</v>
      </c>
      <c r="W32" s="297">
        <f>'Rem. Anticipos R2'!N432</f>
        <v>6682528.6399999997</v>
      </c>
      <c r="X32" s="297">
        <f>'Rem. Anticipos R2'!O432</f>
        <v>7067100.7000000002</v>
      </c>
      <c r="Y32" s="289">
        <f>'Rem. Anticipos R2'!P432</f>
        <v>312064.71999999997</v>
      </c>
      <c r="Z32" s="319">
        <f>L32*-1</f>
        <v>0</v>
      </c>
      <c r="AA32" s="320">
        <f>'Rem. Anticipos R2'!Q432</f>
        <v>79.87</v>
      </c>
      <c r="AB32" s="294">
        <f>N32</f>
        <v>575000</v>
      </c>
      <c r="AC32" s="320">
        <f>'Rem. Anticipos R2'!R432</f>
        <v>0</v>
      </c>
      <c r="AD32" s="291">
        <f t="shared" si="9"/>
        <v>1691346.72</v>
      </c>
      <c r="AE32" s="291">
        <f>'Rem. Anticipos R2'!E433</f>
        <v>1691346.72</v>
      </c>
      <c r="AF32" s="322">
        <f>SUM(U32:AD32)</f>
        <v>19466932.549999997</v>
      </c>
      <c r="AG32" s="523">
        <f>(AF32-O32)</f>
        <v>0</v>
      </c>
      <c r="AH32" s="305" t="b">
        <f t="shared" si="7"/>
        <v>1</v>
      </c>
      <c r="AI32" s="306"/>
    </row>
    <row r="33" spans="1:35" s="305" customFormat="1" ht="13.5" thickBot="1" x14ac:dyDescent="0.35">
      <c r="B33" s="327"/>
      <c r="C33" s="328" t="s">
        <v>2</v>
      </c>
      <c r="D33" s="290">
        <f>SUM(D28:D32)</f>
        <v>474081878.41000003</v>
      </c>
      <c r="E33" s="290">
        <f>SUM(E28:E32)</f>
        <v>52207608.849999994</v>
      </c>
      <c r="F33" s="290">
        <f t="shared" ref="F33:O33" si="11">SUM(F28:F32)</f>
        <v>28530228.52</v>
      </c>
      <c r="G33" s="290">
        <f t="shared" ref="G33" si="12">SUM(G28:G32)</f>
        <v>14073570.619999999</v>
      </c>
      <c r="H33" s="290">
        <f t="shared" si="11"/>
        <v>82784076.25</v>
      </c>
      <c r="I33" s="290">
        <f t="shared" si="11"/>
        <v>2815321.38</v>
      </c>
      <c r="J33" s="290">
        <f t="shared" si="11"/>
        <v>0</v>
      </c>
      <c r="K33" s="300">
        <f t="shared" si="11"/>
        <v>293671072.78999996</v>
      </c>
      <c r="L33" s="301">
        <f t="shared" si="11"/>
        <v>0</v>
      </c>
      <c r="M33" s="302">
        <f t="shared" si="11"/>
        <v>293671072.78999996</v>
      </c>
      <c r="N33" s="301">
        <f t="shared" si="11"/>
        <v>2717132.67</v>
      </c>
      <c r="O33" s="302">
        <f t="shared" si="11"/>
        <v>296388205.45999998</v>
      </c>
      <c r="P33" s="329"/>
      <c r="Q33" s="306"/>
      <c r="S33" s="327"/>
      <c r="T33" s="328" t="s">
        <v>2</v>
      </c>
      <c r="U33" s="330">
        <f>SUM(U28:U32)</f>
        <v>24262186.080000002</v>
      </c>
      <c r="V33" s="330">
        <f t="shared" ref="V33:AF33" si="13">SUM(V28:V32)</f>
        <v>24807197.350000001</v>
      </c>
      <c r="W33" s="330">
        <f t="shared" si="13"/>
        <v>106666906.51000001</v>
      </c>
      <c r="X33" s="330">
        <f t="shared" si="13"/>
        <v>127358924.04000001</v>
      </c>
      <c r="Y33" s="330">
        <f t="shared" si="13"/>
        <v>3943691.58</v>
      </c>
      <c r="Z33" s="290">
        <f t="shared" si="13"/>
        <v>0</v>
      </c>
      <c r="AA33" s="290">
        <f t="shared" si="13"/>
        <v>-232.53000000000003</v>
      </c>
      <c r="AB33" s="290">
        <f t="shared" si="13"/>
        <v>2717132.67</v>
      </c>
      <c r="AC33" s="290">
        <f t="shared" ref="AC33" si="14">SUM(AC28:AC32)</f>
        <v>0</v>
      </c>
      <c r="AD33" s="290">
        <f>SUM(AD28:AD32)</f>
        <v>6632399.7599999988</v>
      </c>
      <c r="AE33" s="290">
        <f>SUM(AE28:AE32)</f>
        <v>6632399.7599999988</v>
      </c>
      <c r="AF33" s="331">
        <f t="shared" si="13"/>
        <v>296388205.46000004</v>
      </c>
      <c r="AG33" s="524">
        <f t="shared" ref="AG33" si="15">SUM(AG28:AG32)</f>
        <v>2.2351741790771484E-8</v>
      </c>
      <c r="AH33" s="305" t="b">
        <f>INT(AG33)=0</f>
        <v>1</v>
      </c>
      <c r="AI33" s="306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287038905.56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7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2"/>
      <c r="AI43" s="4"/>
    </row>
    <row r="44" spans="1:35" ht="15.5" x14ac:dyDescent="0.35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2"/>
      <c r="AI44" s="4"/>
    </row>
    <row r="45" spans="1:35" ht="12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7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273"/>
      <c r="AI46" s="4"/>
    </row>
    <row r="47" spans="1:35" s="305" customFormat="1" x14ac:dyDescent="0.25">
      <c r="B47" s="303">
        <v>1</v>
      </c>
      <c r="C47" s="304" t="s">
        <v>10</v>
      </c>
      <c r="D47" s="291">
        <f>'Reporte Componentes R1'!F48</f>
        <v>40070</v>
      </c>
      <c r="E47" s="292">
        <f>'Reporte Componentes R1'!G48</f>
        <v>1956.64</v>
      </c>
      <c r="F47" s="292">
        <f>'Reporte Componentes R1'!H48</f>
        <v>1090.23</v>
      </c>
      <c r="G47" s="292">
        <f>'Reporte Componentes R1'!I48</f>
        <v>579.83000000000004</v>
      </c>
      <c r="H47" s="292">
        <f>'Reporte Componentes R1'!J48</f>
        <v>9781.0400000000009</v>
      </c>
      <c r="I47" s="292">
        <f>'Reporte Componentes R1'!K48</f>
        <v>359.68</v>
      </c>
      <c r="J47" s="288">
        <v>0</v>
      </c>
      <c r="K47" s="293">
        <f>D47-E47-F47-G47-H47-I47-J47</f>
        <v>26302.579999999994</v>
      </c>
      <c r="L47" s="294">
        <v>0</v>
      </c>
      <c r="M47" s="293">
        <f>K47-L47</f>
        <v>26302.579999999994</v>
      </c>
      <c r="N47" s="294">
        <f>'Reporte Componentes R1'!L48</f>
        <v>0</v>
      </c>
      <c r="O47" s="293">
        <f>M47+N47</f>
        <v>26302.579999999994</v>
      </c>
      <c r="Q47" s="306"/>
      <c r="S47" s="303">
        <v>1</v>
      </c>
      <c r="T47" s="304" t="s">
        <v>10</v>
      </c>
      <c r="U47" s="307">
        <f>'Reporte Componentes R1'!M48</f>
        <v>3155.11</v>
      </c>
      <c r="V47" s="308">
        <f>'Reporte Componentes R1'!N48</f>
        <v>3024.18</v>
      </c>
      <c r="W47" s="308">
        <f>'Reporte Componentes R1'!O48</f>
        <v>14196.18</v>
      </c>
      <c r="X47" s="308">
        <f>'Reporte Componentes R1'!P48</f>
        <v>5344.07</v>
      </c>
      <c r="Y47" s="309">
        <f>'Reporte Componentes R1'!Q48</f>
        <v>586.85</v>
      </c>
      <c r="Z47" s="310">
        <f>-L47</f>
        <v>0</v>
      </c>
      <c r="AA47" s="320">
        <f>'Reporte Componentes R1'!R48+'Reporte Componentes R1'!V48+'Reporte Componentes R1'!U48</f>
        <v>-3.81</v>
      </c>
      <c r="AB47" s="294">
        <f>N47</f>
        <v>0</v>
      </c>
      <c r="AC47" s="311">
        <f>'Reporte Componentes R1'!T48+'Reporte Componentes R1'!W48+'Reporte Componentes R1'!X48+'Reporte Componentes R1'!Y48+'Reporte Componentes R1'!Z48+'Reporte Componentes R1'!S48</f>
        <v>0</v>
      </c>
      <c r="AD47" s="291">
        <f>-J47+AE47</f>
        <v>0</v>
      </c>
      <c r="AE47" s="291">
        <f>'Reporte Componentes R1'!F49</f>
        <v>0</v>
      </c>
      <c r="AF47" s="313">
        <f>SUM(U47:AD47)</f>
        <v>26302.579999999998</v>
      </c>
      <c r="AG47" s="521">
        <f>(AF47-O47)</f>
        <v>3.637978807091713E-12</v>
      </c>
      <c r="AH47" s="305" t="b">
        <f>INT(AG47)=0</f>
        <v>1</v>
      </c>
      <c r="AI47" s="306"/>
    </row>
    <row r="48" spans="1:35" s="305" customFormat="1" x14ac:dyDescent="0.25">
      <c r="B48" s="314">
        <v>2</v>
      </c>
      <c r="C48" s="315" t="s">
        <v>11</v>
      </c>
      <c r="D48" s="291">
        <f>'Reporte Componentes R1'!F202</f>
        <v>18014168</v>
      </c>
      <c r="E48" s="292">
        <f>'Reporte Componentes R1'!G202</f>
        <v>1223567.92</v>
      </c>
      <c r="F48" s="292">
        <f>'Reporte Componentes R1'!H202</f>
        <v>686396.32</v>
      </c>
      <c r="G48" s="292">
        <f>'Reporte Componentes R1'!I202</f>
        <v>367845.29</v>
      </c>
      <c r="H48" s="292">
        <f>'Reporte Componentes R1'!J202</f>
        <v>5667614.5700000003</v>
      </c>
      <c r="I48" s="292">
        <f>'Reporte Componentes R1'!K202</f>
        <v>150264.93</v>
      </c>
      <c r="J48" s="288">
        <v>0</v>
      </c>
      <c r="K48" s="295">
        <f t="shared" ref="K48:K51" si="16">D48-E48-F48-G48-H48-I48-J48</f>
        <v>9918478.9699999988</v>
      </c>
      <c r="L48" s="294">
        <v>0</v>
      </c>
      <c r="M48" s="295">
        <f>K48-L48</f>
        <v>9918478.9699999988</v>
      </c>
      <c r="N48" s="294">
        <f>'Reporte Componentes R1'!L202</f>
        <v>0</v>
      </c>
      <c r="O48" s="295">
        <f t="shared" ref="O48:O51" si="17">M48+N48</f>
        <v>9918478.9699999988</v>
      </c>
      <c r="Q48" s="306"/>
      <c r="S48" s="314">
        <v>2</v>
      </c>
      <c r="T48" s="315" t="s">
        <v>11</v>
      </c>
      <c r="U48" s="316">
        <f>'Reporte Componentes R1'!M202</f>
        <v>1310568.47</v>
      </c>
      <c r="V48" s="317">
        <f>'Reporte Componentes R1'!N202</f>
        <v>1731493.81</v>
      </c>
      <c r="W48" s="317">
        <f>'Reporte Componentes R1'!O202</f>
        <v>8347459.8399999999</v>
      </c>
      <c r="X48" s="317">
        <f>'Reporte Componentes R1'!P202</f>
        <v>2419893.25</v>
      </c>
      <c r="Y48" s="318">
        <f>'Reporte Componentes R1'!Q202</f>
        <v>244481.8</v>
      </c>
      <c r="Z48" s="319">
        <f>-L48</f>
        <v>0</v>
      </c>
      <c r="AA48" s="320">
        <f>'Reporte Componentes R1'!R202+'Reporte Componentes R1'!V202+'Reporte Componentes R1'!U202</f>
        <v>-105.27</v>
      </c>
      <c r="AB48" s="294">
        <f>N48</f>
        <v>0</v>
      </c>
      <c r="AC48" s="320">
        <f>'Reporte Componentes R1'!T202+'Reporte Componentes R1'!W202+'Reporte Componentes R1'!X202+'Reporte Componentes R1'!Y202+'Reporte Componentes R1'!Z202+'Reporte Componentes R1'!S202</f>
        <v>0.06</v>
      </c>
      <c r="AD48" s="291">
        <f t="shared" ref="AD48:AD51" si="18">-J48+AE48</f>
        <v>-4135312.99</v>
      </c>
      <c r="AE48" s="291">
        <f>'Reporte Componentes R1'!F203</f>
        <v>-4135312.99</v>
      </c>
      <c r="AF48" s="322">
        <f>SUM(U48:AD48)</f>
        <v>9918478.9700000025</v>
      </c>
      <c r="AG48" s="522">
        <f>(AF48-O48)</f>
        <v>3.7252902984619141E-9</v>
      </c>
      <c r="AH48" s="305" t="b">
        <f t="shared" ref="AH48:AH51" si="19">INT(AG48)=0</f>
        <v>1</v>
      </c>
      <c r="AI48" s="306"/>
    </row>
    <row r="49" spans="1:35" s="305" customFormat="1" x14ac:dyDescent="0.25">
      <c r="B49" s="314">
        <v>3</v>
      </c>
      <c r="C49" s="315" t="s">
        <v>12</v>
      </c>
      <c r="D49" s="291">
        <f>'Reporte Componentes R1'!F341</f>
        <v>388550</v>
      </c>
      <c r="E49" s="292">
        <f>'Reporte Componentes R1'!G341</f>
        <v>40467.760000000002</v>
      </c>
      <c r="F49" s="292">
        <f>'Reporte Componentes R1'!H341</f>
        <v>22548.38</v>
      </c>
      <c r="G49" s="292">
        <f>'Reporte Componentes R1'!I341</f>
        <v>11992.34</v>
      </c>
      <c r="H49" s="292">
        <f>'Reporte Componentes R1'!J341</f>
        <v>10672.75</v>
      </c>
      <c r="I49" s="292">
        <f>'Reporte Componentes R1'!K341</f>
        <v>385.44</v>
      </c>
      <c r="J49" s="288">
        <v>0</v>
      </c>
      <c r="K49" s="295">
        <f t="shared" si="16"/>
        <v>302483.32999999996</v>
      </c>
      <c r="L49" s="294">
        <v>0</v>
      </c>
      <c r="M49" s="295">
        <f>K49-L49</f>
        <v>302483.32999999996</v>
      </c>
      <c r="N49" s="294">
        <f>'Reporte Componentes R1'!L341</f>
        <v>0</v>
      </c>
      <c r="O49" s="295">
        <f t="shared" si="17"/>
        <v>302483.32999999996</v>
      </c>
      <c r="Q49" s="306"/>
      <c r="S49" s="314">
        <v>3</v>
      </c>
      <c r="T49" s="315" t="s">
        <v>12</v>
      </c>
      <c r="U49" s="316">
        <f>'Reporte Componentes R1'!M341</f>
        <v>3380.99</v>
      </c>
      <c r="V49" s="317">
        <f>'Reporte Componentes R1'!N341</f>
        <v>3214.74</v>
      </c>
      <c r="W49" s="317">
        <f>'Reporte Componentes R1'!O341</f>
        <v>15256.24</v>
      </c>
      <c r="X49" s="317">
        <f>'Reporte Componentes R1'!P341</f>
        <v>95953.3</v>
      </c>
      <c r="Y49" s="318">
        <f>'Reporte Componentes R1'!Q341</f>
        <v>628.86</v>
      </c>
      <c r="Z49" s="319">
        <f>-L49</f>
        <v>0</v>
      </c>
      <c r="AA49" s="320">
        <f>'Reporte Componentes R1'!R341+'Reporte Componentes R1'!V341+'Reporte Componentes R1'!U341</f>
        <v>-1.51</v>
      </c>
      <c r="AB49" s="294">
        <f>N49</f>
        <v>0</v>
      </c>
      <c r="AC49" s="320">
        <f>'Reporte Componentes R1'!T341+'Reporte Componentes R1'!W341+'Reporte Componentes R1'!X341+'Reporte Componentes R1'!Y341+'Reporte Componentes R1'!Z341+'Reporte Componentes R1'!S341</f>
        <v>0</v>
      </c>
      <c r="AD49" s="291">
        <f t="shared" si="18"/>
        <v>184050.71</v>
      </c>
      <c r="AE49" s="291">
        <f>'Reporte Componentes R1'!F342</f>
        <v>184050.71</v>
      </c>
      <c r="AF49" s="322">
        <f t="shared" ref="AF49:AF51" si="20">SUM(U49:AD49)</f>
        <v>302483.33</v>
      </c>
      <c r="AG49" s="522">
        <f t="shared" ref="AG49:AG51" si="21">(AF49-O49)</f>
        <v>5.8207660913467407E-11</v>
      </c>
      <c r="AH49" s="305" t="b">
        <f t="shared" si="19"/>
        <v>1</v>
      </c>
      <c r="AI49" s="306"/>
    </row>
    <row r="50" spans="1:35" s="305" customFormat="1" x14ac:dyDescent="0.25">
      <c r="B50" s="314">
        <v>4</v>
      </c>
      <c r="C50" s="315" t="s">
        <v>13</v>
      </c>
      <c r="D50" s="291">
        <f>'Reporte Componentes R1'!F474</f>
        <v>83359647.420000002</v>
      </c>
      <c r="E50" s="292">
        <f>'Reporte Componentes R1'!G474</f>
        <v>6075269.3300000001</v>
      </c>
      <c r="F50" s="292">
        <f>'Reporte Componentes R1'!H474</f>
        <v>3380450.04</v>
      </c>
      <c r="G50" s="292">
        <f>'Reporte Componentes R1'!I474</f>
        <v>1783357.17</v>
      </c>
      <c r="H50" s="292">
        <f>'Reporte Componentes R1'!J474</f>
        <v>16603424.77</v>
      </c>
      <c r="I50" s="292">
        <f>'Reporte Componentes R1'!K474</f>
        <v>514853.18</v>
      </c>
      <c r="J50" s="288">
        <v>0</v>
      </c>
      <c r="K50" s="295">
        <f t="shared" si="16"/>
        <v>55002292.93</v>
      </c>
      <c r="L50" s="294">
        <v>0</v>
      </c>
      <c r="M50" s="295">
        <f>K50-L50</f>
        <v>55002292.93</v>
      </c>
      <c r="N50" s="294">
        <f>'Reporte Componentes R1'!L474</f>
        <v>5153.8500000000004</v>
      </c>
      <c r="O50" s="295">
        <f t="shared" si="17"/>
        <v>55007446.780000001</v>
      </c>
      <c r="Q50" s="306"/>
      <c r="S50" s="314">
        <v>4</v>
      </c>
      <c r="T50" s="315" t="s">
        <v>13</v>
      </c>
      <c r="U50" s="316">
        <f>'Reporte Componentes R1'!M474</f>
        <v>4479556.1500000004</v>
      </c>
      <c r="V50" s="317">
        <f>'Reporte Componentes R1'!N474</f>
        <v>5391190.3499999996</v>
      </c>
      <c r="W50" s="317">
        <f>'Reporte Componentes R1'!O474</f>
        <v>27410403</v>
      </c>
      <c r="X50" s="317">
        <f>'Reporte Componentes R1'!P474</f>
        <v>16085765.42</v>
      </c>
      <c r="Y50" s="318">
        <f>'Reporte Componentes R1'!Q474</f>
        <v>843874.77</v>
      </c>
      <c r="Z50" s="319">
        <f>-L50</f>
        <v>0</v>
      </c>
      <c r="AA50" s="320">
        <f>'Reporte Componentes R1'!R474+'Reporte Componentes R1'!V474+'Reporte Componentes R1'!U474</f>
        <v>-83.41</v>
      </c>
      <c r="AB50" s="294">
        <f>N50</f>
        <v>5153.8500000000004</v>
      </c>
      <c r="AC50" s="320">
        <f>'Reporte Componentes R1'!T474+'Reporte Componentes R1'!W474+'Reporte Componentes R1'!X474+'Reporte Componentes R1'!Y474+'Reporte Componentes R1'!Z474+'Reporte Componentes R1'!S474</f>
        <v>0.93</v>
      </c>
      <c r="AD50" s="291">
        <f t="shared" si="18"/>
        <v>791585.72</v>
      </c>
      <c r="AE50" s="291">
        <f>'Reporte Componentes R1'!F475</f>
        <v>791585.72</v>
      </c>
      <c r="AF50" s="322">
        <f t="shared" si="20"/>
        <v>55007446.780000009</v>
      </c>
      <c r="AG50" s="522">
        <f t="shared" si="21"/>
        <v>7.4505805969238281E-9</v>
      </c>
      <c r="AH50" s="305" t="b">
        <f t="shared" si="19"/>
        <v>1</v>
      </c>
      <c r="AI50" s="306"/>
    </row>
    <row r="51" spans="1:35" s="305" customFormat="1" ht="12" thickBot="1" x14ac:dyDescent="0.3">
      <c r="B51" s="324">
        <v>5</v>
      </c>
      <c r="C51" s="325" t="s">
        <v>14</v>
      </c>
      <c r="D51" s="296">
        <f>'Reporte Componentes R1'!F553</f>
        <v>0</v>
      </c>
      <c r="E51" s="297">
        <f>'Reporte Componentes R1'!G553</f>
        <v>0</v>
      </c>
      <c r="F51" s="297">
        <f>'Reporte Componentes R1'!H553</f>
        <v>0</v>
      </c>
      <c r="G51" s="297">
        <f>'Reporte Componentes R1'!I553</f>
        <v>0</v>
      </c>
      <c r="H51" s="297">
        <f>'Reporte Componentes R1'!J553</f>
        <v>0</v>
      </c>
      <c r="I51" s="297">
        <f>'Reporte Componentes R1'!K553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R1'!L553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R1'!M553</f>
        <v>0</v>
      </c>
      <c r="V51" s="297">
        <f>'Reporte Componentes R1'!N553</f>
        <v>0</v>
      </c>
      <c r="W51" s="297">
        <f>'Reporte Componentes R1'!O553</f>
        <v>0</v>
      </c>
      <c r="X51" s="297">
        <f>'Reporte Componentes R1'!P553</f>
        <v>0</v>
      </c>
      <c r="Y51" s="289">
        <f>'Reporte Componentes R1'!Q553</f>
        <v>0</v>
      </c>
      <c r="Z51" s="319">
        <f>-L51</f>
        <v>0</v>
      </c>
      <c r="AA51" s="320">
        <f>'Reporte Componentes R1'!R553+'Reporte Componentes R1'!V553+'Reporte Componentes R1'!U553</f>
        <v>0</v>
      </c>
      <c r="AB51" s="294">
        <f>N51</f>
        <v>0</v>
      </c>
      <c r="AC51" s="320">
        <f>'Reporte Componentes R1'!T553+'Reporte Componentes R1'!W553+'Reporte Componentes R1'!X553+'Reporte Componentes R1'!Y553+'Reporte Componentes R1'!Z553+'Reporte Componentes R1'!S553</f>
        <v>0</v>
      </c>
      <c r="AD51" s="291">
        <f t="shared" si="18"/>
        <v>0</v>
      </c>
      <c r="AE51" s="291">
        <f>'Reporte Componentes R1'!F554</f>
        <v>0</v>
      </c>
      <c r="AF51" s="322">
        <f t="shared" si="20"/>
        <v>0</v>
      </c>
      <c r="AG51" s="523">
        <f t="shared" si="21"/>
        <v>0</v>
      </c>
      <c r="AH51" s="305" t="b">
        <f t="shared" si="19"/>
        <v>1</v>
      </c>
      <c r="AI51" s="306"/>
    </row>
    <row r="52" spans="1:35" s="305" customFormat="1" ht="13.5" thickBot="1" x14ac:dyDescent="0.35">
      <c r="B52" s="327"/>
      <c r="C52" s="328" t="s">
        <v>2</v>
      </c>
      <c r="D52" s="290">
        <f t="shared" ref="D52:O52" si="22">SUM(D47:D51)</f>
        <v>101802435.42</v>
      </c>
      <c r="E52" s="290">
        <f t="shared" si="22"/>
        <v>7341261.6500000004</v>
      </c>
      <c r="F52" s="290">
        <f t="shared" si="22"/>
        <v>4090484.9699999997</v>
      </c>
      <c r="G52" s="290">
        <f t="shared" ref="G52" si="23">SUM(G47:G51)</f>
        <v>2163774.63</v>
      </c>
      <c r="H52" s="290">
        <f t="shared" si="22"/>
        <v>22291493.129999999</v>
      </c>
      <c r="I52" s="290">
        <f t="shared" si="22"/>
        <v>665863.23</v>
      </c>
      <c r="J52" s="290">
        <f t="shared" si="22"/>
        <v>0</v>
      </c>
      <c r="K52" s="300">
        <f t="shared" si="22"/>
        <v>65249557.810000002</v>
      </c>
      <c r="L52" s="301">
        <f t="shared" si="22"/>
        <v>0</v>
      </c>
      <c r="M52" s="302">
        <f t="shared" si="22"/>
        <v>65249557.810000002</v>
      </c>
      <c r="N52" s="301">
        <f t="shared" si="22"/>
        <v>5153.8500000000004</v>
      </c>
      <c r="O52" s="302">
        <f t="shared" si="22"/>
        <v>65254711.659999996</v>
      </c>
      <c r="P52" s="329"/>
      <c r="Q52" s="306"/>
      <c r="S52" s="327"/>
      <c r="T52" s="328" t="s">
        <v>2</v>
      </c>
      <c r="U52" s="330">
        <f>SUM(U47:U51)</f>
        <v>5796660.7200000007</v>
      </c>
      <c r="V52" s="330">
        <f t="shared" ref="V52:AG52" si="24">SUM(V47:V51)</f>
        <v>7128923.0800000001</v>
      </c>
      <c r="W52" s="330">
        <f t="shared" si="24"/>
        <v>35787315.259999998</v>
      </c>
      <c r="X52" s="330">
        <f t="shared" si="24"/>
        <v>18606956.039999999</v>
      </c>
      <c r="Y52" s="330">
        <f t="shared" si="24"/>
        <v>1089572.28</v>
      </c>
      <c r="Z52" s="290">
        <f t="shared" si="24"/>
        <v>0</v>
      </c>
      <c r="AA52" s="290">
        <f t="shared" si="24"/>
        <v>-194</v>
      </c>
      <c r="AB52" s="290">
        <f t="shared" si="24"/>
        <v>5153.8500000000004</v>
      </c>
      <c r="AC52" s="290">
        <f t="shared" si="24"/>
        <v>0.99</v>
      </c>
      <c r="AD52" s="290">
        <f>SUM(AD47:AD51)</f>
        <v>-3159676.5600000005</v>
      </c>
      <c r="AE52" s="290">
        <f>SUM(AE47:AE51)</f>
        <v>-3159676.5600000005</v>
      </c>
      <c r="AF52" s="331">
        <f t="shared" si="24"/>
        <v>65254711.660000011</v>
      </c>
      <c r="AG52" s="524">
        <f t="shared" si="24"/>
        <v>1.1237716535106301E-8</v>
      </c>
      <c r="AH52" s="305" t="b">
        <f>INT(AG52)=0</f>
        <v>1</v>
      </c>
      <c r="AI52" s="306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68409427.379999995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7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2"/>
      <c r="AI62" s="4"/>
    </row>
    <row r="63" spans="1:35" ht="15.5" x14ac:dyDescent="0.35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2"/>
      <c r="AI63" s="4"/>
    </row>
    <row r="64" spans="1:35" ht="12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7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273"/>
      <c r="AI65" s="4"/>
    </row>
    <row r="66" spans="1:35" s="305" customFormat="1" x14ac:dyDescent="0.25">
      <c r="B66" s="303">
        <v>1</v>
      </c>
      <c r="C66" s="304" t="s">
        <v>10</v>
      </c>
      <c r="D66" s="291">
        <f>'Reversion Pagos R4'!D70</f>
        <v>-1285060</v>
      </c>
      <c r="E66" s="292">
        <f>'Reversion Pagos R4'!E70</f>
        <v>-52832.92</v>
      </c>
      <c r="F66" s="292">
        <f>'Reversion Pagos R4'!F70</f>
        <v>-29843.49</v>
      </c>
      <c r="G66" s="292">
        <f>'Reversion Pagos R4'!G70</f>
        <v>-15719.25</v>
      </c>
      <c r="H66" s="292">
        <f>'Reversion Pagos R4'!H70</f>
        <v>-224869.1</v>
      </c>
      <c r="I66" s="292">
        <f>'Reversion Pagos R4'!I70</f>
        <v>-7817.0199999999995</v>
      </c>
      <c r="J66" s="288">
        <v>0</v>
      </c>
      <c r="K66" s="293">
        <f>D66-E66-F66-G66-H66-I66-J66</f>
        <v>-953978.22000000009</v>
      </c>
      <c r="L66" s="294">
        <v>0</v>
      </c>
      <c r="M66" s="293">
        <f>K66-L66</f>
        <v>-953978.22000000009</v>
      </c>
      <c r="N66" s="294">
        <f>'Reversion Pagos R4'!P70</f>
        <v>0</v>
      </c>
      <c r="O66" s="293">
        <f>M66+N66</f>
        <v>-953978.22000000009</v>
      </c>
      <c r="Q66" s="306"/>
      <c r="S66" s="303">
        <v>1</v>
      </c>
      <c r="T66" s="304" t="s">
        <v>10</v>
      </c>
      <c r="U66" s="307">
        <f>'Reversion Pagos R4'!J70</f>
        <v>-68569.97</v>
      </c>
      <c r="V66" s="308">
        <f>'Reversion Pagos R4'!K70</f>
        <v>-67711.59</v>
      </c>
      <c r="W66" s="308">
        <f>'Reversion Pagos R4'!L70</f>
        <v>-318224.89</v>
      </c>
      <c r="X66" s="308">
        <f>'Reversion Pagos R4'!M70</f>
        <v>-144463.47</v>
      </c>
      <c r="Y66" s="308">
        <f>'Reversion Pagos R4'!N70</f>
        <v>-12753.89</v>
      </c>
      <c r="Z66" s="310">
        <f>-L66</f>
        <v>0</v>
      </c>
      <c r="AA66" s="320">
        <f>'Reversion Pagos R4'!O70</f>
        <v>-5.1800000000000006</v>
      </c>
      <c r="AB66" s="294">
        <f>N66</f>
        <v>0</v>
      </c>
      <c r="AC66" s="320">
        <f>+'Reversion Pagos R4'!Q70+'Reversion Pagos R4'!R70</f>
        <v>0</v>
      </c>
      <c r="AD66" s="291">
        <f>-J66+AE66</f>
        <v>-342249.23</v>
      </c>
      <c r="AE66" s="291">
        <f>'Reversion Pagos R4'!D71</f>
        <v>-342249.23</v>
      </c>
      <c r="AF66" s="313">
        <f>SUM(U66:AD66)</f>
        <v>-953978.22000000009</v>
      </c>
      <c r="AG66" s="521">
        <f>(AF66-O66)</f>
        <v>0</v>
      </c>
      <c r="AH66" s="305" t="b">
        <f>INT(AG66)=0</f>
        <v>1</v>
      </c>
      <c r="AI66" s="306"/>
    </row>
    <row r="67" spans="1:35" s="305" customFormat="1" x14ac:dyDescent="0.25">
      <c r="B67" s="314">
        <v>2</v>
      </c>
      <c r="C67" s="315" t="s">
        <v>11</v>
      </c>
      <c r="D67" s="291">
        <f>'Reversion Pagos R4'!D170</f>
        <v>-45230052</v>
      </c>
      <c r="E67" s="292">
        <f>'Reversion Pagos R4'!E170</f>
        <v>-3634148.11</v>
      </c>
      <c r="F67" s="292">
        <f>'Reversion Pagos R4'!F170</f>
        <v>-1940116.18</v>
      </c>
      <c r="G67" s="292">
        <f>'Reversion Pagos R4'!G170</f>
        <v>-1004097.8</v>
      </c>
      <c r="H67" s="292">
        <f>'Reversion Pagos R4'!H170</f>
        <v>-14314989.460000001</v>
      </c>
      <c r="I67" s="292">
        <f>'Reversion Pagos R4'!I170</f>
        <v>-497437.64</v>
      </c>
      <c r="J67" s="288">
        <v>0</v>
      </c>
      <c r="K67" s="295">
        <f t="shared" ref="K67:K70" si="25">D67-E67-F67-G67-H67-I67-J67</f>
        <v>-23839262.810000002</v>
      </c>
      <c r="L67" s="294">
        <v>0</v>
      </c>
      <c r="M67" s="295">
        <f>K67-L67</f>
        <v>-23839262.810000002</v>
      </c>
      <c r="N67" s="294">
        <f>'Reversion Pagos R4'!P170</f>
        <v>0</v>
      </c>
      <c r="O67" s="295">
        <f t="shared" ref="O67:O70" si="26">M67+N67</f>
        <v>-23839262.810000002</v>
      </c>
      <c r="Q67" s="306"/>
      <c r="S67" s="314">
        <v>2</v>
      </c>
      <c r="T67" s="315" t="s">
        <v>11</v>
      </c>
      <c r="U67" s="316">
        <f>'Reversion Pagos R4'!J170</f>
        <v>-4394387.8999999994</v>
      </c>
      <c r="V67" s="317">
        <f>'Reversion Pagos R4'!K170</f>
        <v>-4534029.5600000005</v>
      </c>
      <c r="W67" s="317">
        <f>'Reversion Pagos R4'!L170</f>
        <v>-20533548.219999999</v>
      </c>
      <c r="X67" s="317">
        <f>'Reversion Pagos R4'!M170</f>
        <v>-7203974.5300000003</v>
      </c>
      <c r="Y67" s="318">
        <f>'Reversion Pagos R4'!N170</f>
        <v>-814812</v>
      </c>
      <c r="Z67" s="319">
        <f t="shared" ref="Z67:Z70" si="27">-L67</f>
        <v>0</v>
      </c>
      <c r="AA67" s="320">
        <f>'Reversion Pagos R4'!O170</f>
        <v>55.710000000000008</v>
      </c>
      <c r="AB67" s="294">
        <f t="shared" ref="AB67:AB70" si="28">N67</f>
        <v>0</v>
      </c>
      <c r="AC67" s="320">
        <f>+'Reversion Pagos R4'!Q170+'Reversion Pagos R4'!R170</f>
        <v>279.02999999999997</v>
      </c>
      <c r="AD67" s="291">
        <f>-J67+AE67</f>
        <v>13641154.66</v>
      </c>
      <c r="AE67" s="291">
        <f>'Reversion Pagos R4'!D171</f>
        <v>13641154.66</v>
      </c>
      <c r="AF67" s="322">
        <f>SUM(U67:AD67)</f>
        <v>-23839262.809999999</v>
      </c>
      <c r="AG67" s="522">
        <f>(AF67-O67)</f>
        <v>3.7252902984619141E-9</v>
      </c>
      <c r="AH67" s="305" t="b">
        <f t="shared" ref="AH67:AH70" si="29">INT(AG67)=0</f>
        <v>1</v>
      </c>
      <c r="AI67" s="306"/>
    </row>
    <row r="68" spans="1:35" s="305" customFormat="1" x14ac:dyDescent="0.25">
      <c r="B68" s="314">
        <v>3</v>
      </c>
      <c r="C68" s="315" t="s">
        <v>12</v>
      </c>
      <c r="D68" s="291">
        <f>'Reversion Pagos R4'!D201</f>
        <v>-7715664</v>
      </c>
      <c r="E68" s="292">
        <f>'Reversion Pagos R4'!E201</f>
        <v>-515652.37</v>
      </c>
      <c r="F68" s="292">
        <f>'Reversion Pagos R4'!F201</f>
        <v>-290186.96000000002</v>
      </c>
      <c r="G68" s="292">
        <f>'Reversion Pagos R4'!G201</f>
        <v>-152964.71</v>
      </c>
      <c r="H68" s="292">
        <f>'Reversion Pagos R4'!H201</f>
        <v>-1792017.57</v>
      </c>
      <c r="I68" s="292">
        <f>'Reversion Pagos R4'!I201</f>
        <v>-54908.17</v>
      </c>
      <c r="J68" s="288">
        <v>0</v>
      </c>
      <c r="K68" s="295">
        <f t="shared" si="25"/>
        <v>-4909934.22</v>
      </c>
      <c r="L68" s="294">
        <v>0</v>
      </c>
      <c r="M68" s="295">
        <f>K68-L68</f>
        <v>-4909934.22</v>
      </c>
      <c r="N68" s="294">
        <f>'Reversion Pagos R4'!P201</f>
        <v>0</v>
      </c>
      <c r="O68" s="295">
        <f t="shared" si="26"/>
        <v>-4909934.22</v>
      </c>
      <c r="Q68" s="306"/>
      <c r="S68" s="314">
        <v>3</v>
      </c>
      <c r="T68" s="315" t="s">
        <v>12</v>
      </c>
      <c r="U68" s="316">
        <f>'Reversion Pagos R4'!J201</f>
        <v>-481653.2</v>
      </c>
      <c r="V68" s="317">
        <f>'Reversion Pagos R4'!K201</f>
        <v>-469447.01</v>
      </c>
      <c r="W68" s="317">
        <f>'Reversion Pagos R4'!L201</f>
        <v>-2214598.7799999998</v>
      </c>
      <c r="X68" s="317">
        <f>'Reversion Pagos R4'!M201</f>
        <v>-1215498.77</v>
      </c>
      <c r="Y68" s="318">
        <f>'Reversion Pagos R4'!N201</f>
        <v>-89587.5</v>
      </c>
      <c r="Z68" s="319">
        <f t="shared" si="27"/>
        <v>0</v>
      </c>
      <c r="AA68" s="320">
        <f>'Reversion Pagos R4'!O201</f>
        <v>-132.41999999999999</v>
      </c>
      <c r="AB68" s="294">
        <f t="shared" si="28"/>
        <v>0</v>
      </c>
      <c r="AC68" s="320">
        <f>+'Reversion Pagos R4'!Q201+'Reversion Pagos R4'!R201</f>
        <v>0</v>
      </c>
      <c r="AD68" s="291">
        <f t="shared" ref="AD68:AD69" si="30">-J68+AE68</f>
        <v>-439016.54</v>
      </c>
      <c r="AE68" s="291">
        <f>'Reversion Pagos R4'!D202</f>
        <v>-439016.54</v>
      </c>
      <c r="AF68" s="322">
        <f t="shared" ref="AF68:AF70" si="31">SUM(U68:AD68)</f>
        <v>-4909934.22</v>
      </c>
      <c r="AG68" s="522">
        <f t="shared" ref="AG68:AG70" si="32">(AF68-O68)</f>
        <v>0</v>
      </c>
      <c r="AH68" s="305" t="b">
        <f t="shared" si="29"/>
        <v>1</v>
      </c>
      <c r="AI68" s="306"/>
    </row>
    <row r="69" spans="1:35" s="305" customFormat="1" x14ac:dyDescent="0.25">
      <c r="B69" s="314">
        <v>4</v>
      </c>
      <c r="C69" s="315" t="s">
        <v>13</v>
      </c>
      <c r="D69" s="291">
        <f>'Reversion Pagos R4'!D316</f>
        <v>-178569809.09</v>
      </c>
      <c r="E69" s="292">
        <f>'Reversion Pagos R4'!E316</f>
        <v>-11114783.82</v>
      </c>
      <c r="F69" s="292">
        <f>'Reversion Pagos R4'!F316</f>
        <v>-6043741.8100000005</v>
      </c>
      <c r="G69" s="292">
        <f>'Reversion Pagos R4'!G316</f>
        <v>-3128653.77</v>
      </c>
      <c r="H69" s="292">
        <f>'Reversion Pagos R4'!H316</f>
        <v>-38609422.420000002</v>
      </c>
      <c r="I69" s="292">
        <f>'Reversion Pagos R4'!I316</f>
        <v>-1383863.0499999998</v>
      </c>
      <c r="J69" s="288">
        <v>0</v>
      </c>
      <c r="K69" s="295">
        <f t="shared" si="25"/>
        <v>-118289344.22</v>
      </c>
      <c r="L69" s="294">
        <v>0</v>
      </c>
      <c r="M69" s="295">
        <f>K69-L69</f>
        <v>-118289344.22</v>
      </c>
      <c r="N69" s="294">
        <f>'Reversion Pagos R4'!P316</f>
        <v>-49900.44</v>
      </c>
      <c r="O69" s="295">
        <f t="shared" si="26"/>
        <v>-118339244.66</v>
      </c>
      <c r="Q69" s="306"/>
      <c r="S69" s="314">
        <v>4</v>
      </c>
      <c r="T69" s="315" t="s">
        <v>13</v>
      </c>
      <c r="U69" s="316">
        <f>'Reversion Pagos R4'!J316</f>
        <v>-12066172.119999999</v>
      </c>
      <c r="V69" s="317">
        <f>'Reversion Pagos R4'!K316</f>
        <v>-12247408.690000001</v>
      </c>
      <c r="W69" s="317">
        <f>'Reversion Pagos R4'!L316</f>
        <v>-61013836.68</v>
      </c>
      <c r="X69" s="317">
        <f>'Reversion Pagos R4'!M316</f>
        <v>-29779546.989999998</v>
      </c>
      <c r="Y69" s="318">
        <f>'Reversion Pagos R4'!N316</f>
        <v>-2258056.34</v>
      </c>
      <c r="Z69" s="319">
        <f t="shared" si="27"/>
        <v>0</v>
      </c>
      <c r="AA69" s="320">
        <f>'Reversion Pagos R4'!O316</f>
        <v>27.970000000000006</v>
      </c>
      <c r="AB69" s="294">
        <f t="shared" si="28"/>
        <v>-49900.44</v>
      </c>
      <c r="AC69" s="320">
        <f>+'Reversion Pagos R4'!Q316+'Reversion Pagos R4'!R316</f>
        <v>192.75</v>
      </c>
      <c r="AD69" s="291">
        <f t="shared" si="30"/>
        <v>-924544.12000000011</v>
      </c>
      <c r="AE69" s="291">
        <f>'Reversion Pagos R4'!D317</f>
        <v>-924544.12000000011</v>
      </c>
      <c r="AF69" s="322">
        <f>SUM(U69:AD69)</f>
        <v>-118339244.66000001</v>
      </c>
      <c r="AG69" s="522">
        <f>(AF69-O69)</f>
        <v>-1.4901161193847656E-8</v>
      </c>
      <c r="AH69" s="305" t="b">
        <f t="shared" si="29"/>
        <v>0</v>
      </c>
      <c r="AI69" s="306"/>
    </row>
    <row r="70" spans="1:35" s="305" customFormat="1" ht="12" thickBot="1" x14ac:dyDescent="0.3">
      <c r="B70" s="324">
        <v>5</v>
      </c>
      <c r="C70" s="325" t="s">
        <v>14</v>
      </c>
      <c r="D70" s="296">
        <f>'Reversion Pagos R4'!D345</f>
        <v>-4790099</v>
      </c>
      <c r="E70" s="297">
        <f>'Reversion Pagos R4'!E345</f>
        <v>-288872.46999999997</v>
      </c>
      <c r="F70" s="297">
        <f>'Reversion Pagos R4'!F345</f>
        <v>-159348.35</v>
      </c>
      <c r="G70" s="297">
        <f>'Reversion Pagos R4'!G345</f>
        <v>-81360.210000000006</v>
      </c>
      <c r="H70" s="297">
        <f>'Reversion Pagos R4'!H345</f>
        <v>-1166766.31</v>
      </c>
      <c r="I70" s="297">
        <f>'Reversion Pagos R4'!I345</f>
        <v>-56965.58</v>
      </c>
      <c r="J70" s="289">
        <v>0</v>
      </c>
      <c r="K70" s="295">
        <f t="shared" si="25"/>
        <v>-3036786.0800000005</v>
      </c>
      <c r="L70" s="294">
        <v>0</v>
      </c>
      <c r="M70" s="298">
        <f>K70-L70</f>
        <v>-3036786.0800000005</v>
      </c>
      <c r="N70" s="294">
        <f>'Reversion Pagos R4'!P345</f>
        <v>0</v>
      </c>
      <c r="O70" s="298">
        <f t="shared" si="26"/>
        <v>-3036786.0800000005</v>
      </c>
      <c r="Q70" s="306"/>
      <c r="S70" s="324">
        <v>5</v>
      </c>
      <c r="T70" s="325" t="s">
        <v>14</v>
      </c>
      <c r="U70" s="296">
        <f>'Reversion Pagos R4'!J345</f>
        <v>-498401.42</v>
      </c>
      <c r="V70" s="297">
        <f>'Reversion Pagos R4'!K345</f>
        <v>-466788.11</v>
      </c>
      <c r="W70" s="297">
        <f>'Reversion Pagos R4'!L345</f>
        <v>-2254795.06</v>
      </c>
      <c r="X70" s="297">
        <f>'Reversion Pagos R4'!M345</f>
        <v>-858640.26</v>
      </c>
      <c r="Y70" s="289">
        <f>'Reversion Pagos R4'!N345</f>
        <v>-92941.78</v>
      </c>
      <c r="Z70" s="319">
        <f t="shared" si="27"/>
        <v>0</v>
      </c>
      <c r="AA70" s="320">
        <f>'Reversion Pagos R4'!O345</f>
        <v>41.97</v>
      </c>
      <c r="AB70" s="294">
        <f t="shared" si="28"/>
        <v>0</v>
      </c>
      <c r="AC70" s="320">
        <f>+'Reversion Pagos R4'!Q345+'Reversion Pagos R4'!R345</f>
        <v>-0.09</v>
      </c>
      <c r="AD70" s="291">
        <f>-J70+AE70</f>
        <v>1134738.67</v>
      </c>
      <c r="AE70" s="291">
        <f>'Reversion Pagos R4'!D346</f>
        <v>1134738.67</v>
      </c>
      <c r="AF70" s="322">
        <f t="shared" si="31"/>
        <v>-3036786.0799999991</v>
      </c>
      <c r="AG70" s="523">
        <f t="shared" si="32"/>
        <v>1.3969838619232178E-9</v>
      </c>
      <c r="AH70" s="305" t="b">
        <f t="shared" si="29"/>
        <v>1</v>
      </c>
      <c r="AI70" s="306"/>
    </row>
    <row r="71" spans="1:35" s="305" customFormat="1" ht="13.5" thickBot="1" x14ac:dyDescent="0.35">
      <c r="B71" s="327"/>
      <c r="C71" s="328" t="s">
        <v>2</v>
      </c>
      <c r="D71" s="290">
        <f t="shared" ref="D71:O71" si="33">SUM(D66:D70)</f>
        <v>-237590684.09</v>
      </c>
      <c r="E71" s="290">
        <f t="shared" si="33"/>
        <v>-15606289.689999999</v>
      </c>
      <c r="F71" s="290">
        <f t="shared" si="33"/>
        <v>-8463236.790000001</v>
      </c>
      <c r="G71" s="290">
        <f t="shared" ref="G71" si="34">SUM(G66:G70)</f>
        <v>-4382795.74</v>
      </c>
      <c r="H71" s="290">
        <f t="shared" si="33"/>
        <v>-56108064.860000007</v>
      </c>
      <c r="I71" s="290">
        <f t="shared" si="33"/>
        <v>-2000991.46</v>
      </c>
      <c r="J71" s="290">
        <f t="shared" si="33"/>
        <v>0</v>
      </c>
      <c r="K71" s="300">
        <f t="shared" si="33"/>
        <v>-151029305.55000001</v>
      </c>
      <c r="L71" s="301">
        <f t="shared" si="33"/>
        <v>0</v>
      </c>
      <c r="M71" s="302">
        <f t="shared" si="33"/>
        <v>-151029305.55000001</v>
      </c>
      <c r="N71" s="301">
        <f t="shared" si="33"/>
        <v>-49900.44</v>
      </c>
      <c r="O71" s="302">
        <f t="shared" si="33"/>
        <v>-151079205.99000001</v>
      </c>
      <c r="P71" s="329"/>
      <c r="Q71" s="306"/>
      <c r="S71" s="327"/>
      <c r="T71" s="328" t="s">
        <v>2</v>
      </c>
      <c r="U71" s="330">
        <f>SUM(U66:U70)</f>
        <v>-17509184.609999999</v>
      </c>
      <c r="V71" s="330">
        <f t="shared" ref="V71:AF71" si="35">SUM(V66:V70)</f>
        <v>-17785384.960000001</v>
      </c>
      <c r="W71" s="330">
        <f t="shared" si="35"/>
        <v>-86335003.629999995</v>
      </c>
      <c r="X71" s="330">
        <f t="shared" si="35"/>
        <v>-39202124.019999996</v>
      </c>
      <c r="Y71" s="330">
        <f t="shared" si="35"/>
        <v>-3268151.51</v>
      </c>
      <c r="Z71" s="290">
        <f t="shared" si="35"/>
        <v>0</v>
      </c>
      <c r="AA71" s="290">
        <f>SUM(AA66:AA70)</f>
        <v>-11.949999999999982</v>
      </c>
      <c r="AB71" s="290">
        <f t="shared" si="35"/>
        <v>-49900.44</v>
      </c>
      <c r="AC71" s="290">
        <f t="shared" ref="AC71" si="36">SUM(AC66:AC70)</f>
        <v>471.69</v>
      </c>
      <c r="AD71" s="290">
        <f>SUM(AD66:AD70)</f>
        <v>13070083.439999999</v>
      </c>
      <c r="AE71" s="290">
        <f>SUM(AE66:AE70)</f>
        <v>13070083.439999999</v>
      </c>
      <c r="AF71" s="331">
        <f t="shared" si="35"/>
        <v>-151079205.99000001</v>
      </c>
      <c r="AG71" s="524">
        <f t="shared" ref="AG71" si="37">SUM(AG66:AG70)</f>
        <v>-9.7788870334625244E-9</v>
      </c>
      <c r="AH71" s="305" t="b">
        <f>INT(AG71)=0</f>
        <v>0</v>
      </c>
      <c r="AI71" s="306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-164099848.72999996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7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2"/>
      <c r="AI81" s="4"/>
    </row>
    <row r="82" spans="1:35" ht="15.5" x14ac:dyDescent="0.35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2"/>
      <c r="AI82" s="4"/>
    </row>
    <row r="83" spans="1:35" ht="12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7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06" t="s">
        <v>7</v>
      </c>
      <c r="AC84" s="65" t="s">
        <v>168</v>
      </c>
      <c r="AD84" s="573" t="s">
        <v>105</v>
      </c>
      <c r="AE84" s="121" t="s">
        <v>104</v>
      </c>
      <c r="AF84" s="39" t="s">
        <v>23</v>
      </c>
      <c r="AG84" s="273"/>
      <c r="AI84" s="4"/>
    </row>
    <row r="85" spans="1:35" s="305" customFormat="1" x14ac:dyDescent="0.25">
      <c r="B85" s="303">
        <v>1</v>
      </c>
      <c r="C85" s="304" t="s">
        <v>10</v>
      </c>
      <c r="D85" s="291">
        <f>'AJUSTES - SF-T'!D47</f>
        <v>589006.92000000004</v>
      </c>
      <c r="E85" s="292">
        <f>'AJUSTES - SF-T'!E47</f>
        <v>31457.17</v>
      </c>
      <c r="F85" s="292">
        <f>'AJUSTES - SF-T'!F47</f>
        <v>17527.740000000002</v>
      </c>
      <c r="G85" s="292">
        <f>'AJUSTES - SF-T'!G47</f>
        <v>8747.16</v>
      </c>
      <c r="H85" s="292">
        <f>'AJUSTES - SF-T'!H47</f>
        <v>161245.56</v>
      </c>
      <c r="I85" s="292">
        <f>'AJUSTES - SF-T'!I47</f>
        <v>5296.18</v>
      </c>
      <c r="J85" s="288">
        <f>'AJUSTES - SF-T'!J47</f>
        <v>0</v>
      </c>
      <c r="K85" s="293">
        <f>D85-E85-F85-G85-H85-I85-J85</f>
        <v>364733.11</v>
      </c>
      <c r="L85" s="294">
        <v>0</v>
      </c>
      <c r="M85" s="293">
        <f>K85-L85</f>
        <v>364733.11</v>
      </c>
      <c r="N85" s="294">
        <f>'AJUSTES - SF-T'!N47</f>
        <v>0</v>
      </c>
      <c r="O85" s="293">
        <f>M85+N85</f>
        <v>364733.11</v>
      </c>
      <c r="Q85" s="306"/>
      <c r="S85" s="303">
        <v>1</v>
      </c>
      <c r="T85" s="304" t="s">
        <v>10</v>
      </c>
      <c r="U85" s="307">
        <f>'AJUSTES - SF-T'!U47</f>
        <v>49817.24</v>
      </c>
      <c r="V85" s="308">
        <f>'AJUSTES - SF-T'!V47</f>
        <v>43798.38</v>
      </c>
      <c r="W85" s="308">
        <f>'AJUSTES - SF-T'!W47</f>
        <v>198669.66</v>
      </c>
      <c r="X85" s="308">
        <f>'AJUSTES - SF-T'!X47</f>
        <v>85917.24</v>
      </c>
      <c r="Y85" s="309">
        <f>'AJUSTES - SF-T'!Y47</f>
        <v>7999.99</v>
      </c>
      <c r="Z85" s="310">
        <f>-L85</f>
        <v>0</v>
      </c>
      <c r="AA85" s="311">
        <f>'AJUSTES - SF-T'!AA47</f>
        <v>-1.69</v>
      </c>
      <c r="AB85" s="294">
        <f>N85</f>
        <v>0</v>
      </c>
      <c r="AC85" s="311">
        <v>0</v>
      </c>
      <c r="AD85" s="604">
        <f>-J85+AE85</f>
        <v>-21467.71</v>
      </c>
      <c r="AE85" s="291">
        <f>'AJUSTES - SF-T'!AD47</f>
        <v>-21467.71</v>
      </c>
      <c r="AF85" s="313">
        <f>SUM(U85:AD85)</f>
        <v>364733.11</v>
      </c>
      <c r="AG85" s="521">
        <f>AF85-O85</f>
        <v>0</v>
      </c>
      <c r="AH85" s="305" t="b">
        <f>INT(AG85)=0</f>
        <v>1</v>
      </c>
      <c r="AI85" s="306"/>
    </row>
    <row r="86" spans="1:35" s="305" customFormat="1" x14ac:dyDescent="0.25">
      <c r="B86" s="314">
        <v>2</v>
      </c>
      <c r="C86" s="315" t="s">
        <v>11</v>
      </c>
      <c r="D86" s="291">
        <f>'AJUSTES - SF-T'!D48</f>
        <v>1255716.79</v>
      </c>
      <c r="E86" s="292">
        <f>'AJUSTES - SF-T'!E48</f>
        <v>163409.31</v>
      </c>
      <c r="F86" s="292">
        <f>'AJUSTES - SF-T'!F48</f>
        <v>104244.84</v>
      </c>
      <c r="G86" s="292">
        <f>'AJUSTES - SF-T'!G48</f>
        <v>29379.21</v>
      </c>
      <c r="H86" s="292">
        <f>'AJUSTES - SF-T'!H48</f>
        <v>519166.91</v>
      </c>
      <c r="I86" s="292">
        <f>'AJUSTES - SF-T'!I48</f>
        <v>16772.32</v>
      </c>
      <c r="J86" s="288">
        <f>'AJUSTES - SF-T'!J48</f>
        <v>0</v>
      </c>
      <c r="K86" s="295">
        <f t="shared" ref="K86:K89" si="38">D86-E86-F86-G86-H86-I86-J86</f>
        <v>422744.20000000007</v>
      </c>
      <c r="L86" s="294">
        <v>0</v>
      </c>
      <c r="M86" s="295">
        <f>K86-L86</f>
        <v>422744.20000000007</v>
      </c>
      <c r="N86" s="294">
        <f>'AJUSTES - SF-T'!N48</f>
        <v>0</v>
      </c>
      <c r="O86" s="295">
        <f t="shared" ref="O86:O89" si="39">M86+N86</f>
        <v>422744.20000000007</v>
      </c>
      <c r="Q86" s="306"/>
      <c r="S86" s="314">
        <v>2</v>
      </c>
      <c r="T86" s="315" t="s">
        <v>11</v>
      </c>
      <c r="U86" s="316">
        <f>'AJUSTES - SF-T'!U48</f>
        <v>130175.43</v>
      </c>
      <c r="V86" s="317">
        <f>'AJUSTES - SF-T'!V48</f>
        <v>129243.72</v>
      </c>
      <c r="W86" s="317">
        <f>'AJUSTES - SF-T'!W48</f>
        <v>467899.25</v>
      </c>
      <c r="X86" s="317">
        <f>'AJUSTES - SF-T'!X48</f>
        <v>319723.92</v>
      </c>
      <c r="Y86" s="318">
        <f>'AJUSTES - SF-T'!Y48</f>
        <v>16107.05</v>
      </c>
      <c r="Z86" s="319">
        <f>-L86</f>
        <v>0</v>
      </c>
      <c r="AA86" s="320">
        <f>'AJUSTES - SF-T'!AA48</f>
        <v>-8.8800000000000008</v>
      </c>
      <c r="AB86" s="294">
        <f>N86</f>
        <v>0</v>
      </c>
      <c r="AC86" s="605">
        <v>0</v>
      </c>
      <c r="AD86" s="604">
        <f t="shared" ref="AD86:AD89" si="40">-J86+AE86</f>
        <v>-640396.29</v>
      </c>
      <c r="AE86" s="291">
        <f>'AJUSTES - SF-T'!AD48</f>
        <v>-640396.29</v>
      </c>
      <c r="AF86" s="322">
        <f>SUM(U86:AD86)</f>
        <v>422744.20000000019</v>
      </c>
      <c r="AG86" s="522">
        <f>AF86-O86</f>
        <v>0</v>
      </c>
      <c r="AH86" s="305" t="b">
        <f t="shared" ref="AH86:AH89" si="41">INT(AG86)=0</f>
        <v>1</v>
      </c>
      <c r="AI86" s="306"/>
    </row>
    <row r="87" spans="1:35" s="305" customFormat="1" x14ac:dyDescent="0.25">
      <c r="B87" s="314">
        <v>3</v>
      </c>
      <c r="C87" s="315" t="s">
        <v>12</v>
      </c>
      <c r="D87" s="291">
        <f>'AJUSTES - SF-T'!D49</f>
        <v>102335.71</v>
      </c>
      <c r="E87" s="292">
        <f>'AJUSTES - SF-T'!E49</f>
        <v>6267.13</v>
      </c>
      <c r="F87" s="292">
        <f>'AJUSTES - SF-T'!F49</f>
        <v>3492.01</v>
      </c>
      <c r="G87" s="292">
        <f>'AJUSTES - SF-T'!G49</f>
        <v>1857.22</v>
      </c>
      <c r="H87" s="292">
        <f>'AJUSTES - SF-T'!H49</f>
        <v>21047.14</v>
      </c>
      <c r="I87" s="292">
        <f>'AJUSTES - SF-T'!I49</f>
        <v>743.08</v>
      </c>
      <c r="J87" s="288">
        <f>'AJUSTES - SF-T'!J49</f>
        <v>0</v>
      </c>
      <c r="K87" s="295">
        <f t="shared" si="38"/>
        <v>68929.13</v>
      </c>
      <c r="L87" s="294">
        <v>0</v>
      </c>
      <c r="M87" s="295">
        <f>K87-L87</f>
        <v>68929.13</v>
      </c>
      <c r="N87" s="294">
        <f>'AJUSTES - SF-T'!N49</f>
        <v>0</v>
      </c>
      <c r="O87" s="295">
        <f t="shared" si="39"/>
        <v>68929.13</v>
      </c>
      <c r="Q87" s="306"/>
      <c r="S87" s="314">
        <v>3</v>
      </c>
      <c r="T87" s="315" t="s">
        <v>12</v>
      </c>
      <c r="U87" s="316">
        <f>'AJUSTES - SF-T'!U49</f>
        <v>6518.28</v>
      </c>
      <c r="V87" s="317">
        <f>'AJUSTES - SF-T'!V49</f>
        <v>6377.76</v>
      </c>
      <c r="W87" s="317">
        <f>'AJUSTES - SF-T'!W49</f>
        <v>29933.14</v>
      </c>
      <c r="X87" s="317">
        <f>'AJUSTES - SF-T'!X49</f>
        <v>14860.01</v>
      </c>
      <c r="Y87" s="318">
        <f>'AJUSTES - SF-T'!Y49</f>
        <v>1212.4000000000001</v>
      </c>
      <c r="Z87" s="319">
        <f>-L87</f>
        <v>0</v>
      </c>
      <c r="AA87" s="320">
        <f>'AJUSTES - SF-T'!AA49</f>
        <v>0</v>
      </c>
      <c r="AB87" s="294">
        <f>N87</f>
        <v>0</v>
      </c>
      <c r="AC87" s="323">
        <v>0</v>
      </c>
      <c r="AD87" s="604">
        <f t="shared" si="40"/>
        <v>10027.540000000001</v>
      </c>
      <c r="AE87" s="291">
        <f>'AJUSTES - SF-T'!AD49</f>
        <v>10027.540000000001</v>
      </c>
      <c r="AF87" s="322">
        <f t="shared" ref="AF87:AF89" si="42">SUM(U87:AD87)</f>
        <v>68929.13</v>
      </c>
      <c r="AG87" s="522">
        <f>AF87-O87</f>
        <v>0</v>
      </c>
      <c r="AH87" s="305" t="b">
        <f t="shared" si="41"/>
        <v>1</v>
      </c>
      <c r="AI87" s="306"/>
    </row>
    <row r="88" spans="1:35" s="305" customFormat="1" x14ac:dyDescent="0.25">
      <c r="B88" s="314">
        <v>4</v>
      </c>
      <c r="C88" s="315" t="s">
        <v>13</v>
      </c>
      <c r="D88" s="291">
        <f>'AJUSTES - SF-T'!D50</f>
        <v>339659.81</v>
      </c>
      <c r="E88" s="292">
        <f>'AJUSTES - SF-T'!E50</f>
        <v>35792.410000000003</v>
      </c>
      <c r="F88" s="292">
        <f>'AJUSTES - SF-T'!F50</f>
        <v>20194.46</v>
      </c>
      <c r="G88" s="292">
        <f>'AJUSTES - SF-T'!G50</f>
        <v>2067.44</v>
      </c>
      <c r="H88" s="292">
        <f>'AJUSTES - SF-T'!H50</f>
        <v>112556.14</v>
      </c>
      <c r="I88" s="292">
        <f>'AJUSTES - SF-T'!I50</f>
        <v>2826.23</v>
      </c>
      <c r="J88" s="288">
        <f>'AJUSTES - SF-T'!J50</f>
        <v>0</v>
      </c>
      <c r="K88" s="295">
        <f t="shared" si="38"/>
        <v>166223.12999999998</v>
      </c>
      <c r="L88" s="294">
        <v>0</v>
      </c>
      <c r="M88" s="295">
        <f>K88-L88</f>
        <v>166223.12999999998</v>
      </c>
      <c r="N88" s="294">
        <f>'AJUSTES - SF-T'!N50</f>
        <v>0</v>
      </c>
      <c r="O88" s="295">
        <f t="shared" si="39"/>
        <v>166223.12999999998</v>
      </c>
      <c r="Q88" s="306"/>
      <c r="S88" s="314">
        <v>4</v>
      </c>
      <c r="T88" s="315" t="s">
        <v>13</v>
      </c>
      <c r="U88" s="316">
        <f>'AJUSTES - SF-T'!U50</f>
        <v>27571.69</v>
      </c>
      <c r="V88" s="317">
        <f>'AJUSTES - SF-T'!V50</f>
        <v>34487.269999999997</v>
      </c>
      <c r="W88" s="317">
        <f>'AJUSTES - SF-T'!W50</f>
        <v>46924.4</v>
      </c>
      <c r="X88" s="317">
        <f>'AJUSTES - SF-T'!X50</f>
        <v>96285.04</v>
      </c>
      <c r="Y88" s="318">
        <f>'AJUSTES - SF-T'!Y50</f>
        <v>4611.2700000000004</v>
      </c>
      <c r="Z88" s="319">
        <f>-L88</f>
        <v>0</v>
      </c>
      <c r="AA88" s="320">
        <f>'AJUSTES - SF-T'!AA50</f>
        <v>-5.29</v>
      </c>
      <c r="AB88" s="294">
        <f>N88</f>
        <v>0</v>
      </c>
      <c r="AC88" s="320">
        <v>0</v>
      </c>
      <c r="AD88" s="604">
        <f t="shared" si="40"/>
        <v>-43651.25</v>
      </c>
      <c r="AE88" s="291">
        <f>'AJUSTES - SF-T'!AD50</f>
        <v>-43651.25</v>
      </c>
      <c r="AF88" s="322">
        <f t="shared" si="42"/>
        <v>166223.12999999995</v>
      </c>
      <c r="AG88" s="522">
        <f>AF88-O88</f>
        <v>0</v>
      </c>
      <c r="AH88" s="305" t="b">
        <f t="shared" si="41"/>
        <v>1</v>
      </c>
      <c r="AI88" s="306"/>
    </row>
    <row r="89" spans="1:35" s="305" customFormat="1" ht="12" thickBot="1" x14ac:dyDescent="0.3">
      <c r="B89" s="324">
        <v>5</v>
      </c>
      <c r="C89" s="325" t="s">
        <v>14</v>
      </c>
      <c r="D89" s="291">
        <f>'AJUSTES - SF-T'!D51</f>
        <v>0</v>
      </c>
      <c r="E89" s="292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89">
        <f>'AJUSTES - SF-T'!J51</f>
        <v>0</v>
      </c>
      <c r="K89" s="295">
        <f t="shared" si="38"/>
        <v>0</v>
      </c>
      <c r="L89" s="294">
        <v>0</v>
      </c>
      <c r="M89" s="298">
        <f>K89-L89</f>
        <v>0</v>
      </c>
      <c r="N89" s="299">
        <f>'AJUSTES - SF-T'!N51</f>
        <v>0</v>
      </c>
      <c r="O89" s="298">
        <f t="shared" si="39"/>
        <v>0</v>
      </c>
      <c r="Q89" s="306"/>
      <c r="S89" s="324">
        <v>5</v>
      </c>
      <c r="T89" s="325" t="s">
        <v>14</v>
      </c>
      <c r="U89" s="296">
        <f>'AJUSTES - SF-T'!U51</f>
        <v>0</v>
      </c>
      <c r="V89" s="297">
        <f>'AJUSTES - SF-T'!V51</f>
        <v>0</v>
      </c>
      <c r="W89" s="297">
        <f>'AJUSTES - SF-T'!W51</f>
        <v>0</v>
      </c>
      <c r="X89" s="297">
        <f>'AJUSTES - SF-T'!X51</f>
        <v>0</v>
      </c>
      <c r="Y89" s="289">
        <f>'AJUSTES - SF-T'!Y51</f>
        <v>0</v>
      </c>
      <c r="Z89" s="319">
        <f>-L89</f>
        <v>0</v>
      </c>
      <c r="AA89" s="320">
        <f>'AJUSTES - SF-T'!AA51</f>
        <v>0</v>
      </c>
      <c r="AB89" s="294">
        <f>N89</f>
        <v>0</v>
      </c>
      <c r="AC89" s="323">
        <v>0</v>
      </c>
      <c r="AD89" s="604">
        <f t="shared" si="40"/>
        <v>0</v>
      </c>
      <c r="AE89" s="291">
        <f>'AJUSTES - SF-T'!AD51</f>
        <v>0</v>
      </c>
      <c r="AF89" s="322">
        <f t="shared" si="42"/>
        <v>0</v>
      </c>
      <c r="AG89" s="523">
        <f>AF89-O89</f>
        <v>0</v>
      </c>
      <c r="AH89" s="305" t="b">
        <f t="shared" si="41"/>
        <v>1</v>
      </c>
      <c r="AI89" s="306"/>
    </row>
    <row r="90" spans="1:35" s="305" customFormat="1" ht="13.5" thickBot="1" x14ac:dyDescent="0.35">
      <c r="B90" s="327"/>
      <c r="C90" s="328" t="s">
        <v>2</v>
      </c>
      <c r="D90" s="290">
        <f>SUM(D85:D89)</f>
        <v>2286719.23</v>
      </c>
      <c r="E90" s="290">
        <f t="shared" ref="E90:O90" si="43">SUM(E85:E89)</f>
        <v>236926.02</v>
      </c>
      <c r="F90" s="290">
        <f t="shared" si="43"/>
        <v>145459.04999999999</v>
      </c>
      <c r="G90" s="290">
        <f t="shared" ref="G90" si="44">SUM(G85:G89)</f>
        <v>42051.03</v>
      </c>
      <c r="H90" s="290">
        <f t="shared" si="43"/>
        <v>814015.75</v>
      </c>
      <c r="I90" s="290">
        <f t="shared" si="43"/>
        <v>25637.81</v>
      </c>
      <c r="J90" s="290">
        <f t="shared" si="43"/>
        <v>0</v>
      </c>
      <c r="K90" s="300">
        <f t="shared" si="43"/>
        <v>1022629.5700000001</v>
      </c>
      <c r="L90" s="301">
        <f t="shared" si="43"/>
        <v>0</v>
      </c>
      <c r="M90" s="302">
        <f t="shared" si="43"/>
        <v>1022629.5700000001</v>
      </c>
      <c r="N90" s="301">
        <f t="shared" si="43"/>
        <v>0</v>
      </c>
      <c r="O90" s="302">
        <f t="shared" si="43"/>
        <v>1022629.5700000001</v>
      </c>
      <c r="P90" s="329"/>
      <c r="Q90" s="306"/>
      <c r="S90" s="327"/>
      <c r="T90" s="328" t="s">
        <v>2</v>
      </c>
      <c r="U90" s="330">
        <f>SUM(U85:U89)</f>
        <v>214082.63999999998</v>
      </c>
      <c r="V90" s="330">
        <f t="shared" ref="V90:AG90" si="45">SUM(V85:V89)</f>
        <v>213907.13</v>
      </c>
      <c r="W90" s="330">
        <f t="shared" si="45"/>
        <v>743426.45000000007</v>
      </c>
      <c r="X90" s="330">
        <f t="shared" si="45"/>
        <v>516786.20999999996</v>
      </c>
      <c r="Y90" s="330">
        <f t="shared" si="45"/>
        <v>29930.710000000003</v>
      </c>
      <c r="Z90" s="290">
        <f t="shared" si="45"/>
        <v>0</v>
      </c>
      <c r="AA90" s="290">
        <f t="shared" si="45"/>
        <v>-15.86</v>
      </c>
      <c r="AB90" s="470">
        <f t="shared" si="45"/>
        <v>0</v>
      </c>
      <c r="AC90" s="290">
        <f t="shared" ref="AC90" si="46">SUM(AC85:AC89)</f>
        <v>0</v>
      </c>
      <c r="AD90" s="607">
        <f t="shared" si="45"/>
        <v>-695487.71</v>
      </c>
      <c r="AE90" s="290">
        <f t="shared" si="45"/>
        <v>-695487.71</v>
      </c>
      <c r="AF90" s="331">
        <f t="shared" si="45"/>
        <v>1022629.5700000001</v>
      </c>
      <c r="AG90" s="524">
        <f t="shared" si="45"/>
        <v>0</v>
      </c>
      <c r="AH90" s="305" t="b">
        <f>INT(AG90)=0</f>
        <v>1</v>
      </c>
      <c r="AI90" s="306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1718133.1400000001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4"/>
      <c r="AH95" s="4"/>
      <c r="AI95" s="4"/>
    </row>
    <row r="96" spans="1:35" ht="12" thickBot="1" x14ac:dyDescent="0.3">
      <c r="Q96" s="4"/>
      <c r="AI96" s="4"/>
    </row>
    <row r="97" spans="2:39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2"/>
      <c r="AI97" s="4"/>
    </row>
    <row r="98" spans="2:39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72"/>
      <c r="AI98" s="4"/>
    </row>
    <row r="99" spans="2:39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2"/>
      <c r="AI99" s="4"/>
    </row>
    <row r="100" spans="2:39" ht="14" x14ac:dyDescent="0.3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2"/>
      <c r="AI100" s="4"/>
    </row>
    <row r="101" spans="2:39" ht="15.5" x14ac:dyDescent="0.35">
      <c r="B101" s="8"/>
      <c r="C101" s="598" t="s">
        <v>17</v>
      </c>
      <c r="D101" s="9">
        <f>D6</f>
        <v>46297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72"/>
      <c r="AI101" s="4"/>
    </row>
    <row r="102" spans="2:39" ht="1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72"/>
      <c r="AI102" s="4"/>
      <c r="AJ102" s="112" t="s">
        <v>1</v>
      </c>
    </row>
    <row r="103" spans="2:39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80" t="s">
        <v>40</v>
      </c>
      <c r="W103" s="580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273"/>
      <c r="AI103" s="4"/>
    </row>
    <row r="104" spans="2:39" s="305" customFormat="1" x14ac:dyDescent="0.25">
      <c r="B104" s="303">
        <v>1</v>
      </c>
      <c r="C104" s="304" t="s">
        <v>10</v>
      </c>
      <c r="D104" s="291">
        <f t="shared" ref="D104:F106" si="47">D9+D28+D47+D66+D85</f>
        <v>16057292250.040001</v>
      </c>
      <c r="E104" s="292">
        <f t="shared" si="47"/>
        <v>818779939.45000005</v>
      </c>
      <c r="F104" s="292">
        <f t="shared" si="47"/>
        <v>456179956.53000003</v>
      </c>
      <c r="G104" s="292">
        <f t="shared" ref="G104" si="48">G9+G28+G47+G66+G85</f>
        <v>241956320.33000001</v>
      </c>
      <c r="H104" s="292">
        <f t="shared" ref="H104:J108" si="49">H9+H28+H47+H66+H85</f>
        <v>3323333269.4299998</v>
      </c>
      <c r="I104" s="292">
        <f t="shared" si="49"/>
        <v>124464163.52000001</v>
      </c>
      <c r="J104" s="288">
        <f t="shared" si="49"/>
        <v>-4501501560.3499994</v>
      </c>
      <c r="K104" s="293">
        <f>D104-E104-F104-G104-H104-I104-J104</f>
        <v>15594080161.129997</v>
      </c>
      <c r="L104" s="294">
        <f>L9+L28+L47+L66+L85</f>
        <v>189185988</v>
      </c>
      <c r="M104" s="293">
        <f>K104-L104</f>
        <v>15404894173.129997</v>
      </c>
      <c r="N104" s="294">
        <f>N9+N28+N47+N66+N85</f>
        <v>29440960.199999999</v>
      </c>
      <c r="O104" s="293">
        <f>M104+N104</f>
        <v>15434335133.329998</v>
      </c>
      <c r="Q104" s="306"/>
      <c r="S104" s="303">
        <v>1</v>
      </c>
      <c r="T104" s="304" t="s">
        <v>10</v>
      </c>
      <c r="U104" s="307">
        <f t="shared" ref="U104:AB108" si="50">U9+U28+U47+U66+U85</f>
        <v>1095972718.5899999</v>
      </c>
      <c r="V104" s="308">
        <f t="shared" si="50"/>
        <v>1047708574.1999999</v>
      </c>
      <c r="W104" s="308">
        <f t="shared" si="50"/>
        <v>4922628703.1599998</v>
      </c>
      <c r="X104" s="308">
        <f t="shared" si="50"/>
        <v>2228456528.4900002</v>
      </c>
      <c r="Y104" s="309">
        <f t="shared" si="50"/>
        <v>202981010.05000001</v>
      </c>
      <c r="Z104" s="310">
        <f t="shared" si="50"/>
        <v>-189185988</v>
      </c>
      <c r="AA104" s="311">
        <f>AA9+AA28+AA47+AA66+AA85</f>
        <v>106508.73000000001</v>
      </c>
      <c r="AB104" s="294">
        <f t="shared" si="50"/>
        <v>29440960.199999999</v>
      </c>
      <c r="AC104" s="311">
        <f>AC9+AC28+AC47+AC66+AC85</f>
        <v>69.86</v>
      </c>
      <c r="AD104" s="291">
        <f>-J104+AE104</f>
        <v>6096226048.0499992</v>
      </c>
      <c r="AE104" s="291">
        <f>AE9+AE28+AE47+AE66+AE85</f>
        <v>1594724487.7</v>
      </c>
      <c r="AF104" s="313">
        <f>SUM(U104:AD104)</f>
        <v>15434335133.33</v>
      </c>
      <c r="AG104" s="521">
        <f>AF104-O104</f>
        <v>0</v>
      </c>
      <c r="AH104" s="305" t="b">
        <f>INT(AG104)=0</f>
        <v>1</v>
      </c>
      <c r="AI104" s="306"/>
      <c r="AM104" s="333"/>
    </row>
    <row r="105" spans="2:39" s="305" customFormat="1" x14ac:dyDescent="0.25">
      <c r="B105" s="314">
        <v>2</v>
      </c>
      <c r="C105" s="315" t="s">
        <v>11</v>
      </c>
      <c r="D105" s="291">
        <f>D10+D29+D48+D67+D86</f>
        <v>22321351878.560001</v>
      </c>
      <c r="E105" s="292">
        <f>E10+E29+E48+E67+E86</f>
        <v>1703762098.3000002</v>
      </c>
      <c r="F105" s="292">
        <f t="shared" si="47"/>
        <v>943493228.44000006</v>
      </c>
      <c r="G105" s="292">
        <f t="shared" ref="G105" si="51">G10+G29+G48+G67+G86</f>
        <v>498443224.56999999</v>
      </c>
      <c r="H105" s="292">
        <f t="shared" si="49"/>
        <v>6843469380.5999994</v>
      </c>
      <c r="I105" s="292">
        <f t="shared" si="49"/>
        <v>238621910.31000003</v>
      </c>
      <c r="J105" s="288">
        <f t="shared" si="49"/>
        <v>-3550307908.4800005</v>
      </c>
      <c r="K105" s="295">
        <f t="shared" ref="K105:K108" si="52">D105-E105-F105-G105-H105-I105-J105</f>
        <v>15643869944.820007</v>
      </c>
      <c r="L105" s="294">
        <f>L10+L29+L48+L67+L86</f>
        <v>266580256</v>
      </c>
      <c r="M105" s="295">
        <f>K105-L105</f>
        <v>15377289688.820007</v>
      </c>
      <c r="N105" s="294">
        <f>N10+N29+N48+N67+N86</f>
        <v>74146482.560000002</v>
      </c>
      <c r="O105" s="295">
        <f t="shared" ref="O105:O108" si="53">M105+N105</f>
        <v>15451436171.380007</v>
      </c>
      <c r="Q105" s="306"/>
      <c r="S105" s="314">
        <v>2</v>
      </c>
      <c r="T105" s="315" t="s">
        <v>11</v>
      </c>
      <c r="U105" s="316">
        <f t="shared" si="50"/>
        <v>2090954081.4100001</v>
      </c>
      <c r="V105" s="317">
        <f t="shared" si="50"/>
        <v>2076895429.78</v>
      </c>
      <c r="W105" s="317">
        <f t="shared" si="50"/>
        <v>9754298151.3600006</v>
      </c>
      <c r="X105" s="317">
        <f t="shared" si="50"/>
        <v>3352227531.5500002</v>
      </c>
      <c r="Y105" s="318">
        <f t="shared" si="50"/>
        <v>389637563.81999999</v>
      </c>
      <c r="Z105" s="319">
        <f t="shared" si="50"/>
        <v>-266580256</v>
      </c>
      <c r="AA105" s="320">
        <f>AA10+AA29+AA48+AA67+AA86</f>
        <v>157134.76999999999</v>
      </c>
      <c r="AB105" s="294">
        <f t="shared" si="50"/>
        <v>74146482.560000002</v>
      </c>
      <c r="AC105" s="320">
        <f>AC10+AC29+AC48+AC67+AC86</f>
        <v>255.03999999999996</v>
      </c>
      <c r="AD105" s="291">
        <f t="shared" ref="AD105:AD107" si="54">-J105+AE105</f>
        <v>-2020300202.9099989</v>
      </c>
      <c r="AE105" s="291">
        <f>AE10+AE29+AE48+AE67+AE86</f>
        <v>-5570608111.3899994</v>
      </c>
      <c r="AF105" s="322">
        <f>SUM(U105:AD105)</f>
        <v>15451436171.380005</v>
      </c>
      <c r="AG105" s="522">
        <f>AF105-O105</f>
        <v>0</v>
      </c>
      <c r="AH105" s="305" t="b">
        <f t="shared" ref="AH105:AH108" si="55">INT(AG105)=0</f>
        <v>1</v>
      </c>
      <c r="AI105" s="306"/>
      <c r="AM105" s="333"/>
    </row>
    <row r="106" spans="2:39" s="305" customFormat="1" x14ac:dyDescent="0.25">
      <c r="B106" s="314">
        <v>3</v>
      </c>
      <c r="C106" s="315" t="s">
        <v>12</v>
      </c>
      <c r="D106" s="291">
        <f t="shared" si="47"/>
        <v>15232768359.989996</v>
      </c>
      <c r="E106" s="292">
        <f t="shared" si="47"/>
        <v>1138837288.4100001</v>
      </c>
      <c r="F106" s="292">
        <f t="shared" si="47"/>
        <v>633894873.40999997</v>
      </c>
      <c r="G106" s="292">
        <f t="shared" ref="G106" si="56">G11+G30+G49+G68+G87</f>
        <v>336797543.44</v>
      </c>
      <c r="H106" s="292">
        <f t="shared" si="49"/>
        <v>3483395444.7499995</v>
      </c>
      <c r="I106" s="292">
        <f t="shared" si="49"/>
        <v>126710880.50999999</v>
      </c>
      <c r="J106" s="288">
        <f t="shared" si="49"/>
        <v>-750589759.5999999</v>
      </c>
      <c r="K106" s="295">
        <f t="shared" si="52"/>
        <v>10263722089.069996</v>
      </c>
      <c r="L106" s="294">
        <f>L11+L30+L49+L68+L87</f>
        <v>154788536</v>
      </c>
      <c r="M106" s="295">
        <f>K106-L106</f>
        <v>10108933553.069996</v>
      </c>
      <c r="N106" s="294">
        <f>N11+N30+N49+N68+N87</f>
        <v>37171034.849999994</v>
      </c>
      <c r="O106" s="295">
        <f t="shared" si="53"/>
        <v>10146104587.919996</v>
      </c>
      <c r="Q106" s="306"/>
      <c r="S106" s="314">
        <v>3</v>
      </c>
      <c r="T106" s="315" t="s">
        <v>12</v>
      </c>
      <c r="U106" s="316">
        <f t="shared" si="50"/>
        <v>1110313250.9599998</v>
      </c>
      <c r="V106" s="317">
        <f t="shared" si="50"/>
        <v>1085125225.04</v>
      </c>
      <c r="W106" s="317">
        <f t="shared" si="50"/>
        <v>5099431876.0100012</v>
      </c>
      <c r="X106" s="317">
        <f t="shared" si="50"/>
        <v>2698249103.4300003</v>
      </c>
      <c r="Y106" s="318">
        <f t="shared" si="50"/>
        <v>206658568.57000002</v>
      </c>
      <c r="Z106" s="319">
        <f t="shared" si="50"/>
        <v>-154788536</v>
      </c>
      <c r="AA106" s="320">
        <f>AA11+AA30+AA49+AA68+AA87</f>
        <v>-129890.69</v>
      </c>
      <c r="AB106" s="294">
        <f t="shared" si="50"/>
        <v>37171034.849999994</v>
      </c>
      <c r="AC106" s="320">
        <f>AC11+AC30+AC49+AC68+AC87</f>
        <v>1.45</v>
      </c>
      <c r="AD106" s="291">
        <f t="shared" si="54"/>
        <v>64073954.299999952</v>
      </c>
      <c r="AE106" s="291">
        <f>AE11+AE30+AE49+AE68+AE87</f>
        <v>-686515805.29999995</v>
      </c>
      <c r="AF106" s="322">
        <f>SUM(U106:AD106)</f>
        <v>10146104587.920002</v>
      </c>
      <c r="AG106" s="522">
        <f>AF106-O106</f>
        <v>0</v>
      </c>
      <c r="AH106" s="305" t="b">
        <f t="shared" si="55"/>
        <v>1</v>
      </c>
      <c r="AI106" s="306"/>
      <c r="AM106" s="333"/>
    </row>
    <row r="107" spans="2:39" s="305" customFormat="1" x14ac:dyDescent="0.25">
      <c r="B107" s="314">
        <v>4</v>
      </c>
      <c r="C107" s="315" t="s">
        <v>13</v>
      </c>
      <c r="D107" s="291">
        <f t="shared" ref="D107" si="57">D12+D31+D50+D69+D88</f>
        <v>7675362501.9600019</v>
      </c>
      <c r="E107" s="292">
        <f t="shared" ref="E107:F108" si="58">E12+E31+E50+E69+E88</f>
        <v>477094941.65000004</v>
      </c>
      <c r="F107" s="292">
        <f t="shared" si="58"/>
        <v>265060637.16</v>
      </c>
      <c r="G107" s="292">
        <f t="shared" ref="G107" si="59">G12+G31+G50+G69+G88</f>
        <v>140590573.67999995</v>
      </c>
      <c r="H107" s="292">
        <f t="shared" si="49"/>
        <v>1777041416.7</v>
      </c>
      <c r="I107" s="292">
        <f t="shared" si="49"/>
        <v>61139285.359999999</v>
      </c>
      <c r="J107" s="288">
        <f t="shared" si="49"/>
        <v>-714140939.3599999</v>
      </c>
      <c r="K107" s="295">
        <f t="shared" si="52"/>
        <v>5668576586.7700024</v>
      </c>
      <c r="L107" s="294">
        <f>L12+L31+L50+L69+L88</f>
        <v>120391083</v>
      </c>
      <c r="M107" s="295">
        <f>K107-L107</f>
        <v>5548185503.7700024</v>
      </c>
      <c r="N107" s="294">
        <f>N12+N31+N50+N69+N88</f>
        <v>10876689.639999999</v>
      </c>
      <c r="O107" s="295">
        <f>M107+N107</f>
        <v>5559062193.4100027</v>
      </c>
      <c r="Q107" s="306"/>
      <c r="S107" s="314">
        <v>4</v>
      </c>
      <c r="T107" s="315" t="s">
        <v>13</v>
      </c>
      <c r="U107" s="316">
        <f t="shared" si="50"/>
        <v>535029563.30999988</v>
      </c>
      <c r="V107" s="317">
        <f t="shared" si="50"/>
        <v>534230841.36000007</v>
      </c>
      <c r="W107" s="317">
        <f t="shared" si="50"/>
        <v>2732035013.1900001</v>
      </c>
      <c r="X107" s="317">
        <f t="shared" si="50"/>
        <v>1263034476.98</v>
      </c>
      <c r="Y107" s="318">
        <f t="shared" si="50"/>
        <v>99657425.799999982</v>
      </c>
      <c r="Z107" s="319">
        <f t="shared" si="50"/>
        <v>-120391083</v>
      </c>
      <c r="AA107" s="320">
        <f>AA12+AA31+AA50+AA69+AA88</f>
        <v>3063.98</v>
      </c>
      <c r="AB107" s="294">
        <f t="shared" si="50"/>
        <v>10876689.639999999</v>
      </c>
      <c r="AC107" s="320">
        <f>AC12+AC31+AC50+AC69+AC88</f>
        <v>264.25</v>
      </c>
      <c r="AD107" s="291">
        <f t="shared" si="54"/>
        <v>504585937.89999986</v>
      </c>
      <c r="AE107" s="291">
        <f>AE12+AE31+AE50+AE69+AE88</f>
        <v>-209555001.46000001</v>
      </c>
      <c r="AF107" s="322">
        <f>SUM(U107:AD107)</f>
        <v>5559062193.4099998</v>
      </c>
      <c r="AG107" s="522">
        <f>AF107-O107</f>
        <v>0</v>
      </c>
      <c r="AH107" s="305" t="b">
        <f t="shared" si="55"/>
        <v>1</v>
      </c>
      <c r="AI107" s="306"/>
      <c r="AM107" s="333"/>
    </row>
    <row r="108" spans="2:39" s="305" customFormat="1" ht="12" thickBot="1" x14ac:dyDescent="0.3">
      <c r="B108" s="324">
        <v>5</v>
      </c>
      <c r="C108" s="325" t="s">
        <v>14</v>
      </c>
      <c r="D108" s="296">
        <f>D13+D32+D51+D70+D89</f>
        <v>12354444479.679998</v>
      </c>
      <c r="E108" s="297">
        <f t="shared" si="58"/>
        <v>699550365.72000003</v>
      </c>
      <c r="F108" s="297">
        <f t="shared" si="58"/>
        <v>389426700.64999998</v>
      </c>
      <c r="G108" s="297">
        <f t="shared" ref="G108" si="60">G13+G32+G51+G70+G89</f>
        <v>207027249.27999997</v>
      </c>
      <c r="H108" s="297">
        <f t="shared" si="49"/>
        <v>3261769826.3800006</v>
      </c>
      <c r="I108" s="297">
        <f t="shared" si="49"/>
        <v>106226760.38000001</v>
      </c>
      <c r="J108" s="289">
        <f t="shared" si="49"/>
        <v>-98238891.940000057</v>
      </c>
      <c r="K108" s="295">
        <f t="shared" si="52"/>
        <v>7788682469.2099972</v>
      </c>
      <c r="L108" s="294">
        <f>L13+L32+L51+L70+L89</f>
        <v>128990446</v>
      </c>
      <c r="M108" s="298">
        <f>K108-L108</f>
        <v>7659692023.2099972</v>
      </c>
      <c r="N108" s="299">
        <f>N13+N32+N51+N70+N89</f>
        <v>12729250.720000001</v>
      </c>
      <c r="O108" s="298">
        <f t="shared" si="53"/>
        <v>7672421273.9299974</v>
      </c>
      <c r="Q108" s="306"/>
      <c r="S108" s="324">
        <v>5</v>
      </c>
      <c r="T108" s="325" t="s">
        <v>14</v>
      </c>
      <c r="U108" s="296">
        <f t="shared" si="50"/>
        <v>931465283.1400001</v>
      </c>
      <c r="V108" s="297">
        <f t="shared" si="50"/>
        <v>905059241.38000011</v>
      </c>
      <c r="W108" s="297">
        <f t="shared" si="50"/>
        <v>4616629112.7299995</v>
      </c>
      <c r="X108" s="297">
        <f t="shared" si="50"/>
        <v>2079120247.45</v>
      </c>
      <c r="Y108" s="289">
        <f t="shared" si="50"/>
        <v>173340674.33000001</v>
      </c>
      <c r="Z108" s="319">
        <f t="shared" si="50"/>
        <v>-128990446</v>
      </c>
      <c r="AA108" s="320">
        <f>AA13+AA32+AA51+AA70+AA89</f>
        <v>-177079.01</v>
      </c>
      <c r="AB108" s="294">
        <f t="shared" si="50"/>
        <v>12729250.720000001</v>
      </c>
      <c r="AC108" s="320">
        <f>AC13+AC32+AC51+AC70+AC89</f>
        <v>-23.61000000000001</v>
      </c>
      <c r="AD108" s="291">
        <f>-J108+AE108</f>
        <v>-916754987.19999993</v>
      </c>
      <c r="AE108" s="291">
        <f>AE13+AE32+AE51+AE70+AE89</f>
        <v>-1014993879.14</v>
      </c>
      <c r="AF108" s="322">
        <f>SUM(U108:AD108)</f>
        <v>7672421273.9300013</v>
      </c>
      <c r="AG108" s="523">
        <f>AF108-O108</f>
        <v>0</v>
      </c>
      <c r="AH108" s="305" t="b">
        <f t="shared" si="55"/>
        <v>1</v>
      </c>
      <c r="AI108" s="306"/>
      <c r="AM108" s="333"/>
    </row>
    <row r="109" spans="2:39" s="305" customFormat="1" ht="13.5" thickBot="1" x14ac:dyDescent="0.35">
      <c r="B109" s="327"/>
      <c r="C109" s="328" t="s">
        <v>2</v>
      </c>
      <c r="D109" s="290">
        <f t="shared" ref="D109:N109" si="61">SUM(D104:D108)</f>
        <v>73641219470.229996</v>
      </c>
      <c r="E109" s="290">
        <f t="shared" si="61"/>
        <v>4838024633.5299997</v>
      </c>
      <c r="F109" s="290">
        <f t="shared" si="61"/>
        <v>2688055396.1900001</v>
      </c>
      <c r="G109" s="290">
        <f t="shared" ref="G109" si="62">SUM(G104:G108)</f>
        <v>1424814911.3</v>
      </c>
      <c r="H109" s="290">
        <f t="shared" si="61"/>
        <v>18689009337.860001</v>
      </c>
      <c r="I109" s="290">
        <f t="shared" si="61"/>
        <v>657163000.08000004</v>
      </c>
      <c r="J109" s="290">
        <f t="shared" si="61"/>
        <v>-9614779059.7300014</v>
      </c>
      <c r="K109" s="300">
        <f t="shared" si="61"/>
        <v>54958931251.000008</v>
      </c>
      <c r="L109" s="301">
        <f t="shared" si="61"/>
        <v>859936309</v>
      </c>
      <c r="M109" s="302">
        <f t="shared" si="61"/>
        <v>54098994942.000008</v>
      </c>
      <c r="N109" s="301">
        <f t="shared" si="61"/>
        <v>164364417.97</v>
      </c>
      <c r="O109" s="302">
        <f>SUM(O104:O108)</f>
        <v>54263359359.970009</v>
      </c>
      <c r="P109" s="329"/>
      <c r="Q109" s="306"/>
      <c r="S109" s="327"/>
      <c r="T109" s="328" t="s">
        <v>2</v>
      </c>
      <c r="U109" s="330">
        <f>SUM(U104:U108)</f>
        <v>5763734897.4099998</v>
      </c>
      <c r="V109" s="330">
        <f t="shared" ref="V109:AF109" si="63">SUM(V104:V108)</f>
        <v>5649019311.7600002</v>
      </c>
      <c r="W109" s="330">
        <f t="shared" si="63"/>
        <v>27125022856.450001</v>
      </c>
      <c r="X109" s="330">
        <f t="shared" si="63"/>
        <v>11621087887.900002</v>
      </c>
      <c r="Y109" s="330">
        <f t="shared" si="63"/>
        <v>1072275242.5700001</v>
      </c>
      <c r="Z109" s="290">
        <f t="shared" si="63"/>
        <v>-859936309</v>
      </c>
      <c r="AA109" s="290">
        <f>SUM(AA104:AA108)</f>
        <v>-40262.22</v>
      </c>
      <c r="AB109" s="290">
        <f t="shared" si="63"/>
        <v>164364417.97</v>
      </c>
      <c r="AC109" s="290">
        <f>SUM(AC104:AC108)</f>
        <v>566.9899999999999</v>
      </c>
      <c r="AD109" s="290">
        <f t="shared" si="63"/>
        <v>3727830750.1400003</v>
      </c>
      <c r="AE109" s="290">
        <f>SUM(AE104:AE108)</f>
        <v>-5886948309.5900002</v>
      </c>
      <c r="AF109" s="331">
        <f t="shared" si="63"/>
        <v>54263359359.970009</v>
      </c>
      <c r="AG109" s="524">
        <f>SUM(AG104:AG108)</f>
        <v>0</v>
      </c>
      <c r="AH109" s="305" t="b">
        <f>INT(AG109)=0</f>
        <v>1</v>
      </c>
      <c r="AI109" s="306"/>
      <c r="AM109" s="333"/>
    </row>
    <row r="110" spans="2:39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91"/>
      <c r="W111" s="591"/>
      <c r="Y111" s="86">
        <f>SUM(U109:Y109)</f>
        <v>51231140196.090004</v>
      </c>
      <c r="AA111" s="1" t="s">
        <v>1</v>
      </c>
      <c r="AB111" s="1" t="s">
        <v>1</v>
      </c>
      <c r="AD111" s="305"/>
      <c r="AF111" s="305"/>
      <c r="AI111" s="4"/>
    </row>
    <row r="112" spans="2:39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5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5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8"/>
      <c r="W116" s="588"/>
      <c r="AA116" s="30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  <c r="AA117" s="305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  <c r="X118" s="305"/>
      <c r="Y118" s="305"/>
      <c r="AA118" s="305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  <c r="X119" s="305"/>
      <c r="Y119" s="305"/>
      <c r="AA119" s="305"/>
    </row>
    <row r="120" spans="1:35" x14ac:dyDescent="0.25">
      <c r="B120" s="8"/>
      <c r="I120" s="2"/>
      <c r="J120" s="2"/>
      <c r="O120" s="10"/>
      <c r="P120" s="2"/>
      <c r="Q120" s="4"/>
      <c r="X120" s="305"/>
      <c r="Y120" s="305"/>
      <c r="AA120" s="305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  <c r="X121" s="305"/>
      <c r="Y121" s="305"/>
    </row>
    <row r="122" spans="1:35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  <c r="X122" s="305"/>
      <c r="Y122" s="305"/>
    </row>
    <row r="123" spans="1:35" ht="12" thickBot="1" x14ac:dyDescent="0.3">
      <c r="B123" s="8"/>
      <c r="C123" s="2" t="s">
        <v>1</v>
      </c>
      <c r="D123" s="2" t="s">
        <v>1</v>
      </c>
      <c r="O123" s="44"/>
      <c r="P123" s="2"/>
      <c r="Q123" s="4"/>
      <c r="X123" s="305"/>
      <c r="Y123" s="305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x14ac:dyDescent="0.25">
      <c r="B125" s="334">
        <v>1</v>
      </c>
      <c r="C125" s="335" t="s">
        <v>10</v>
      </c>
      <c r="D125" s="385">
        <f>'ANTICIPOS USUARIOS'!C3</f>
        <v>65283382.700000003</v>
      </c>
      <c r="E125" s="309">
        <v>0</v>
      </c>
      <c r="G125" s="336">
        <f>D47+N47</f>
        <v>40070</v>
      </c>
      <c r="H125" s="310">
        <f>D28+N28</f>
        <v>68638657.019999996</v>
      </c>
      <c r="I125" s="309">
        <f>D85+N85</f>
        <v>589006.92000000004</v>
      </c>
      <c r="J125" s="309">
        <f>D66+N66</f>
        <v>-1285060</v>
      </c>
      <c r="K125" s="309">
        <f>'ANTICIPOS USUARIOS'!C12</f>
        <v>691640</v>
      </c>
      <c r="L125" s="309">
        <f>-'ANTICIPOS USUARIOS'!C21</f>
        <v>137440</v>
      </c>
      <c r="O125" s="337"/>
      <c r="Q125" s="306"/>
      <c r="AG125" s="333"/>
    </row>
    <row r="126" spans="1:35" s="305" customFormat="1" x14ac:dyDescent="0.25">
      <c r="B126" s="314">
        <v>2</v>
      </c>
      <c r="C126" s="338" t="s">
        <v>11</v>
      </c>
      <c r="D126" s="292">
        <f>'ANTICIPOS USUARIOS'!C4</f>
        <v>156846266.00999999</v>
      </c>
      <c r="E126" s="288">
        <v>0</v>
      </c>
      <c r="G126" s="339">
        <f>D48+N48</f>
        <v>18014168</v>
      </c>
      <c r="H126" s="340">
        <f>D29+N29</f>
        <v>155969155.34</v>
      </c>
      <c r="I126" s="288">
        <f>D86+N86</f>
        <v>1255716.79</v>
      </c>
      <c r="J126" s="288">
        <f>D67+N67</f>
        <v>-45230052</v>
      </c>
      <c r="K126" s="288">
        <f>'ANTICIPOS USUARIOS'!C13</f>
        <v>12142859</v>
      </c>
      <c r="L126" s="288">
        <f>-'ANTICIPOS USUARIOS'!C22</f>
        <v>139792</v>
      </c>
      <c r="O126" s="337"/>
      <c r="Q126" s="306"/>
      <c r="AG126" s="333"/>
    </row>
    <row r="127" spans="1:35" s="305" customFormat="1" x14ac:dyDescent="0.25">
      <c r="B127" s="314">
        <v>3</v>
      </c>
      <c r="C127" s="338" t="s">
        <v>12</v>
      </c>
      <c r="D127" s="292">
        <f>'ANTICIPOS USUARIOS'!C5</f>
        <v>200945155.15000001</v>
      </c>
      <c r="E127" s="288">
        <v>0</v>
      </c>
      <c r="G127" s="339">
        <f>D49+N49</f>
        <v>388550</v>
      </c>
      <c r="H127" s="340">
        <f>D30+N30</f>
        <v>113082589.28</v>
      </c>
      <c r="I127" s="288">
        <f>D87+N87</f>
        <v>102335.71</v>
      </c>
      <c r="J127" s="288">
        <f t="shared" ref="J127:J129" si="64">D68+N68</f>
        <v>-7715664</v>
      </c>
      <c r="K127" s="288">
        <f>'ANTICIPOS USUARIOS'!C14</f>
        <v>1272990</v>
      </c>
      <c r="L127" s="288">
        <f>-'ANTICIPOS USUARIOS'!C23</f>
        <v>541790</v>
      </c>
      <c r="O127" s="337"/>
      <c r="Q127" s="306"/>
      <c r="AG127" s="333"/>
    </row>
    <row r="128" spans="1:35" s="305" customFormat="1" x14ac:dyDescent="0.25">
      <c r="B128" s="314">
        <v>4</v>
      </c>
      <c r="C128" s="338" t="s">
        <v>13</v>
      </c>
      <c r="D128" s="292">
        <f>'ANTICIPOS USUARIOS'!C6</f>
        <v>74190303.989999995</v>
      </c>
      <c r="E128" s="288">
        <v>0</v>
      </c>
      <c r="G128" s="339">
        <f>D50+N50</f>
        <v>83364801.269999996</v>
      </c>
      <c r="H128" s="340">
        <f>D31+N31</f>
        <v>109104435.04000001</v>
      </c>
      <c r="I128" s="288">
        <f>D88+N88</f>
        <v>339659.81</v>
      </c>
      <c r="J128" s="288">
        <f t="shared" si="64"/>
        <v>-178619709.53</v>
      </c>
      <c r="K128" s="288">
        <f>'ANTICIPOS USUARIOS'!C15</f>
        <v>91642041.730000004</v>
      </c>
      <c r="L128" s="288">
        <f>-'ANTICIPOS USUARIOS'!C24</f>
        <v>780507.47</v>
      </c>
      <c r="O128" s="337"/>
      <c r="Q128" s="306"/>
      <c r="AG128" s="333"/>
    </row>
    <row r="129" spans="1:33" s="305" customFormat="1" x14ac:dyDescent="0.25">
      <c r="B129" s="341">
        <v>5</v>
      </c>
      <c r="C129" s="342" t="s">
        <v>14</v>
      </c>
      <c r="D129" s="343">
        <f>'ANTICIPOS USUARIOS'!C7</f>
        <v>26956968</v>
      </c>
      <c r="E129" s="344">
        <v>0</v>
      </c>
      <c r="G129" s="339">
        <f>D51+N51</f>
        <v>0</v>
      </c>
      <c r="H129" s="340">
        <f>D32+N32</f>
        <v>30004174.399999999</v>
      </c>
      <c r="I129" s="288">
        <f>D89+N89</f>
        <v>0</v>
      </c>
      <c r="J129" s="288">
        <f t="shared" si="64"/>
        <v>-4790099</v>
      </c>
      <c r="K129" s="288">
        <f>'ANTICIPOS USUARIOS'!C16</f>
        <v>0</v>
      </c>
      <c r="L129" s="288">
        <f>-'ANTICIPOS USUARIOS'!C25</f>
        <v>0</v>
      </c>
      <c r="O129" s="337"/>
      <c r="Q129" s="306"/>
      <c r="AG129" s="333"/>
    </row>
    <row r="130" spans="1:33" s="305" customFormat="1" ht="12" thickBot="1" x14ac:dyDescent="0.3">
      <c r="B130" s="324" t="s">
        <v>89</v>
      </c>
      <c r="C130" s="345" t="s">
        <v>113</v>
      </c>
      <c r="D130" s="297"/>
      <c r="E130" s="289">
        <f>'Recaudo Directa Occidente'!F26</f>
        <v>437900</v>
      </c>
      <c r="G130" s="346"/>
      <c r="H130" s="347"/>
      <c r="I130" s="289"/>
      <c r="J130" s="289"/>
      <c r="K130" s="289"/>
      <c r="L130" s="289"/>
      <c r="O130" s="337"/>
      <c r="Q130" s="306"/>
      <c r="AG130" s="333"/>
    </row>
    <row r="131" spans="1:33" s="305" customFormat="1" ht="12" thickBot="1" x14ac:dyDescent="0.3">
      <c r="B131" s="348"/>
      <c r="C131" s="349" t="s">
        <v>2</v>
      </c>
      <c r="D131" s="350">
        <f>SUM(D125:D130)</f>
        <v>524222075.85000002</v>
      </c>
      <c r="E131" s="350">
        <f>SUM(E125:E130)</f>
        <v>437900</v>
      </c>
      <c r="F131" s="351"/>
      <c r="G131" s="350">
        <f t="shared" ref="G131" si="65">SUM(G125:G129)</f>
        <v>101807589.27</v>
      </c>
      <c r="H131" s="350">
        <f>SUM(H125:H130)</f>
        <v>476799011.07999998</v>
      </c>
      <c r="I131" s="350">
        <f>SUM(I125:I130)</f>
        <v>2286719.23</v>
      </c>
      <c r="J131" s="350">
        <f>SUM(J125:J130)</f>
        <v>-237640584.53</v>
      </c>
      <c r="K131" s="350">
        <f>SUM(K125:K130)</f>
        <v>105749530.73</v>
      </c>
      <c r="L131" s="350">
        <f>SUM(L125:L130)</f>
        <v>1599529.47</v>
      </c>
      <c r="M131" s="351"/>
      <c r="N131" s="351"/>
      <c r="O131" s="352"/>
      <c r="P131" s="329"/>
      <c r="Q131" s="306"/>
      <c r="AG131" s="333"/>
    </row>
    <row r="132" spans="1:33" x14ac:dyDescent="0.25">
      <c r="B132" s="2"/>
      <c r="C132" s="2"/>
      <c r="D132" s="24"/>
      <c r="Q132" s="4"/>
    </row>
    <row r="133" spans="1:33" x14ac:dyDescent="0.25">
      <c r="B133" s="2"/>
      <c r="C133" s="2"/>
      <c r="D133" s="24"/>
      <c r="L133" s="1" t="s">
        <v>1</v>
      </c>
      <c r="Q133" s="4"/>
    </row>
    <row r="134" spans="1:33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x14ac:dyDescent="0.25">
      <c r="B142" s="108">
        <v>1</v>
      </c>
      <c r="C142" s="109" t="s">
        <v>10</v>
      </c>
      <c r="D142" s="110">
        <f>D104+N104+D125+E125</f>
        <v>16152016592.940002</v>
      </c>
      <c r="E142" s="110">
        <f>'Recaudo EAAB Reciprocidad'!F21+'Recaudo EAAB + Ciud Limp'!F21+'Recaudo Directa Occidente'!F21+'Recaudo ENEL'!F21+'Recaudo ENERBIT'!F21</f>
        <v>16084033919</v>
      </c>
      <c r="F142" s="110">
        <f>D28+N28</f>
        <v>68638657.019999996</v>
      </c>
      <c r="G142" s="110">
        <f>D66+N66</f>
        <v>-1285060</v>
      </c>
      <c r="H142" s="110">
        <f>D85+N85</f>
        <v>589006.92000000004</v>
      </c>
      <c r="I142" s="110">
        <f>('REPORTE RECAUDO x BANCO'!E62+'REPORTE RECAUDO x BANCO'!E63+'REPORTE RECAUDO x BANCO'!E75)</f>
        <v>0</v>
      </c>
      <c r="J142" s="110">
        <f t="shared" ref="J142:K146" si="66">G125</f>
        <v>40070</v>
      </c>
      <c r="K142" s="111">
        <f t="shared" si="66"/>
        <v>68638657.019999996</v>
      </c>
      <c r="L142" s="597">
        <f>D142-E142-F142-G142-J142-H142-I142</f>
        <v>2.4455366656184196E-6</v>
      </c>
      <c r="M142" s="1" t="b">
        <f t="shared" ref="M142:M147" si="67">INT(ABS(L142))=0</f>
        <v>1</v>
      </c>
      <c r="O142" s="55"/>
      <c r="P142" s="24"/>
      <c r="Q142" s="35"/>
      <c r="R142" s="24"/>
    </row>
    <row r="143" spans="1:33" x14ac:dyDescent="0.25">
      <c r="B143" s="16">
        <v>2</v>
      </c>
      <c r="C143" s="17" t="s">
        <v>11</v>
      </c>
      <c r="D143" s="18">
        <f>D105+N105+D126+E126</f>
        <v>22552344627.130001</v>
      </c>
      <c r="E143" s="18">
        <f>'Recaudo EAAB Reciprocidad'!F22+'Recaudo EAAB + Ciud Limp'!F22+'Recaudo Directa Occidente'!F22+'Recaudo ENEL'!F22+'Recaudo ENERBIT'!F22</f>
        <v>22419728549</v>
      </c>
      <c r="F143" s="18">
        <f>D29+N29</f>
        <v>155969155.34</v>
      </c>
      <c r="G143" s="18">
        <f>D67+N67</f>
        <v>-45230052</v>
      </c>
      <c r="H143" s="18">
        <f>D86+N86</f>
        <v>1255716.79</v>
      </c>
      <c r="I143" s="18">
        <f>('REPORTE RECAUDO x BANCO'!E64+'REPORTE RECAUDO x BANCO'!E65+'REPORTE RECAUDO x BANCO'!E66+'REPORTE RECAUDO x BANCO'!E76)</f>
        <v>2607090</v>
      </c>
      <c r="J143" s="18">
        <f>G126</f>
        <v>18014168</v>
      </c>
      <c r="K143" s="83">
        <f>H126</f>
        <v>155969155.34</v>
      </c>
      <c r="L143" s="597">
        <f>D143-E143-F143-G143-J143-H143-I143</f>
        <v>1.0645017027854919E-6</v>
      </c>
      <c r="M143" s="1" t="b">
        <f t="shared" si="67"/>
        <v>1</v>
      </c>
      <c r="O143" s="130"/>
      <c r="P143" s="24"/>
      <c r="Q143" s="35"/>
      <c r="R143" s="24"/>
    </row>
    <row r="144" spans="1:33" x14ac:dyDescent="0.25">
      <c r="B144" s="16">
        <v>3</v>
      </c>
      <c r="C144" s="17" t="s">
        <v>12</v>
      </c>
      <c r="D144" s="18">
        <f>D106+N106+D127+E127</f>
        <v>15470884549.989996</v>
      </c>
      <c r="E144" s="18">
        <f>'Recaudo EAAB Reciprocidad'!F23+'Recaudo EAAB + Ciud Limp'!F23+'Recaudo Directa Occidente'!F23+'Recaudo ENEL'!F23+'Recaudo ENERBIT'!F23</f>
        <v>15363489329</v>
      </c>
      <c r="F144" s="18">
        <f>D30+N30</f>
        <v>113082589.28</v>
      </c>
      <c r="G144" s="18">
        <f>D68+N68</f>
        <v>-7715664</v>
      </c>
      <c r="H144" s="18">
        <f>D87+N87</f>
        <v>102335.71</v>
      </c>
      <c r="I144" s="18">
        <f>('REPORTE RECAUDO x BANCO'!E67+'REPORTE RECAUDO x BANCO'!E68+'REPORTE RECAUDO x BANCO'!E77)</f>
        <v>1537410</v>
      </c>
      <c r="J144" s="18">
        <f>G127</f>
        <v>388550</v>
      </c>
      <c r="K144" s="83">
        <f t="shared" si="66"/>
        <v>113082589.28</v>
      </c>
      <c r="L144" s="597">
        <f>D144-E144-F144-G144-J144-H144-I144</f>
        <v>-4.0447339415550232E-6</v>
      </c>
      <c r="M144" s="1" t="b">
        <f t="shared" si="67"/>
        <v>1</v>
      </c>
      <c r="O144" s="55"/>
      <c r="P144" s="24"/>
      <c r="Q144" s="35"/>
      <c r="R144" s="24"/>
    </row>
    <row r="145" spans="1:20" x14ac:dyDescent="0.25">
      <c r="B145" s="16">
        <v>4</v>
      </c>
      <c r="C145" s="17" t="s">
        <v>13</v>
      </c>
      <c r="D145" s="18">
        <f>D107+N107+D128+E128</f>
        <v>7760429495.5900021</v>
      </c>
      <c r="E145" s="18">
        <f>'Recaudo EAAB Reciprocidad'!F24+'Recaudo EAAB + Ciud Limp'!F24+'Recaudo Directa Occidente'!F24+'Recaudo ENEL'!F24+'Recaudo ENERBIT'!F24</f>
        <v>7745607559</v>
      </c>
      <c r="F145" s="18">
        <f>D31+N31</f>
        <v>109104435.04000001</v>
      </c>
      <c r="G145" s="18">
        <f>D69+N69</f>
        <v>-178619709.53</v>
      </c>
      <c r="H145" s="18">
        <f>D88+N88</f>
        <v>339659.81</v>
      </c>
      <c r="I145" s="18">
        <f>('REPORTE RECAUDO x BANCO'!E69+'REPORTE RECAUDO x BANCO'!E70+'REPORTE RECAUDO x BANCO'!E71+'REPORTE RECAUDO x BANCO'!E78)</f>
        <v>632750</v>
      </c>
      <c r="J145" s="18">
        <f t="shared" si="66"/>
        <v>83364801.269999996</v>
      </c>
      <c r="K145" s="83">
        <f>H128</f>
        <v>109104435.04000001</v>
      </c>
      <c r="L145" s="597">
        <f t="shared" ref="L145:L147" si="68">D145-E145-F145-G145-J145-H145-I145</f>
        <v>2.0586885511875153E-6</v>
      </c>
      <c r="M145" s="1" t="b">
        <f t="shared" si="67"/>
        <v>1</v>
      </c>
      <c r="O145" s="96"/>
      <c r="P145" s="24"/>
      <c r="Q145" s="35"/>
      <c r="R145" s="24"/>
    </row>
    <row r="146" spans="1:20" ht="12" thickBot="1" x14ac:dyDescent="0.3">
      <c r="B146" s="133">
        <v>5</v>
      </c>
      <c r="C146" s="138" t="s">
        <v>14</v>
      </c>
      <c r="D146" s="134">
        <f>D108+N108+D129+E129</f>
        <v>12394130698.399998</v>
      </c>
      <c r="E146" s="18">
        <f>'Recaudo EAAB Reciprocidad'!F25+'Recaudo EAAB + Ciud Limp'!F25+'Recaudo Directa Occidente'!F25+'Recaudo ENEL'!F25+'Recaudo ENERBIT'!F25</f>
        <v>12368419343</v>
      </c>
      <c r="F146" s="134">
        <f>D32+N32</f>
        <v>30004174.399999999</v>
      </c>
      <c r="G146" s="134">
        <f>D70+N70</f>
        <v>-4790099</v>
      </c>
      <c r="H146" s="134">
        <f>D89+N89</f>
        <v>0</v>
      </c>
      <c r="I146" s="134">
        <f>('REPORTE RECAUDO x BANCO'!E72+'REPORTE RECAUDO x BANCO'!E73+'REPORTE RECAUDO x BANCO'!E79)</f>
        <v>497280</v>
      </c>
      <c r="J146" s="134">
        <f t="shared" si="66"/>
        <v>0</v>
      </c>
      <c r="K146" s="136">
        <f t="shared" si="66"/>
        <v>30004174.399999999</v>
      </c>
      <c r="L146" s="597">
        <f t="shared" si="68"/>
        <v>-2.2873282432556152E-6</v>
      </c>
      <c r="M146" s="1" t="b">
        <f t="shared" si="67"/>
        <v>1</v>
      </c>
      <c r="O146" s="55"/>
      <c r="P146" s="24"/>
      <c r="Q146" s="35"/>
      <c r="R146" s="24"/>
    </row>
    <row r="147" spans="1:20" ht="12" thickBot="1" x14ac:dyDescent="0.3">
      <c r="B147" s="21"/>
      <c r="C147" s="22" t="s">
        <v>2</v>
      </c>
      <c r="D147" s="47">
        <f>SUM(D142:D146)</f>
        <v>74329805964.050003</v>
      </c>
      <c r="E147" s="47">
        <f>SUM(E142:E146)</f>
        <v>73981278699</v>
      </c>
      <c r="F147" s="47">
        <f t="shared" ref="F147:K147" si="69">SUM(F142:F146)</f>
        <v>476799011.07999998</v>
      </c>
      <c r="G147" s="47">
        <f t="shared" si="69"/>
        <v>-237640584.53</v>
      </c>
      <c r="H147" s="47">
        <f>SUM(H142:H146)</f>
        <v>2286719.23</v>
      </c>
      <c r="I147" s="47">
        <f t="shared" si="69"/>
        <v>5274530</v>
      </c>
      <c r="J147" s="47">
        <f t="shared" si="69"/>
        <v>101807589.27</v>
      </c>
      <c r="K147" s="47">
        <f t="shared" si="69"/>
        <v>476799011.07999998</v>
      </c>
      <c r="L147" s="597">
        <f t="shared" si="68"/>
        <v>3.0733644962310791E-6</v>
      </c>
      <c r="M147" s="1" t="b">
        <f t="shared" si="67"/>
        <v>1</v>
      </c>
      <c r="P147" s="24"/>
      <c r="Q147" s="35"/>
      <c r="R147" s="24"/>
    </row>
    <row r="148" spans="1:20" x14ac:dyDescent="0.25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E152" s="55"/>
      <c r="N152" s="24"/>
      <c r="O152" s="24"/>
      <c r="Q152" s="24"/>
      <c r="T152" s="24"/>
    </row>
    <row r="153" spans="1:20" x14ac:dyDescent="0.25">
      <c r="N153" s="24"/>
      <c r="O153" s="24"/>
      <c r="Q153" s="24"/>
      <c r="T153" s="24"/>
    </row>
    <row r="154" spans="1:20" x14ac:dyDescent="0.25">
      <c r="D154" s="305"/>
      <c r="E154" s="96"/>
      <c r="F154" s="305"/>
      <c r="G154" s="305"/>
      <c r="H154" s="305"/>
      <c r="K154" s="588"/>
      <c r="N154" s="24"/>
      <c r="O154" s="24"/>
      <c r="Q154" s="24"/>
      <c r="T154" s="24"/>
    </row>
    <row r="155" spans="1:20" x14ac:dyDescent="0.25">
      <c r="D155" s="305"/>
      <c r="K155" s="589"/>
      <c r="N155" s="24"/>
      <c r="O155" s="24"/>
      <c r="Q155" s="24"/>
      <c r="T155" s="24"/>
    </row>
    <row r="156" spans="1:20" x14ac:dyDescent="0.25">
      <c r="D156" s="588"/>
      <c r="N156" s="24"/>
      <c r="O156" s="24"/>
      <c r="Q156" s="24"/>
      <c r="T156" s="24"/>
    </row>
    <row r="157" spans="1:20" x14ac:dyDescent="0.25">
      <c r="N157" s="24"/>
      <c r="O157" s="24"/>
      <c r="Q157" s="24"/>
      <c r="T157" s="24"/>
    </row>
    <row r="158" spans="1:20" x14ac:dyDescent="0.25">
      <c r="N158" s="24"/>
      <c r="O158" s="24"/>
      <c r="Q158" s="24"/>
      <c r="T158" s="24"/>
    </row>
    <row r="159" spans="1:20" x14ac:dyDescent="0.25">
      <c r="N159" s="24"/>
      <c r="O159" s="24"/>
      <c r="Q159" s="24"/>
      <c r="T159" s="24"/>
    </row>
    <row r="160" spans="1:20" x14ac:dyDescent="0.25">
      <c r="N160" s="24"/>
      <c r="O160" s="24"/>
      <c r="Q160" s="24"/>
      <c r="T160" s="24"/>
    </row>
    <row r="161" spans="14:20" x14ac:dyDescent="0.25">
      <c r="N161" s="24"/>
      <c r="O161" s="24"/>
      <c r="Q161" s="24"/>
      <c r="T161" s="24"/>
    </row>
    <row r="162" spans="14:20" x14ac:dyDescent="0.25">
      <c r="N162" s="24"/>
      <c r="O162" s="24"/>
      <c r="Q162" s="24"/>
      <c r="T162" s="24"/>
    </row>
    <row r="163" spans="14:20" x14ac:dyDescent="0.25">
      <c r="N163" s="24"/>
      <c r="O163" s="24"/>
      <c r="Q163" s="24"/>
      <c r="T163" s="24"/>
    </row>
    <row r="164" spans="14:20" x14ac:dyDescent="0.25">
      <c r="N164" s="24"/>
      <c r="O164" s="24"/>
      <c r="Q164" s="24"/>
      <c r="T164" s="24"/>
    </row>
    <row r="165" spans="14:20" x14ac:dyDescent="0.25">
      <c r="N165" s="24"/>
      <c r="O165" s="24"/>
      <c r="Q165" s="24"/>
      <c r="T165" s="24"/>
    </row>
    <row r="166" spans="14:20" x14ac:dyDescent="0.25">
      <c r="Q166" s="24"/>
      <c r="T166" s="24"/>
    </row>
    <row r="167" spans="14:20" x14ac:dyDescent="0.25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topLeftCell="A2" zoomScale="90" zoomScaleNormal="90" workbookViewId="0">
      <selection activeCell="F15" sqref="F15"/>
    </sheetView>
  </sheetViews>
  <sheetFormatPr baseColWidth="10" defaultRowHeight="12.5" x14ac:dyDescent="0.25"/>
  <cols>
    <col min="1" max="1" width="3" customWidth="1"/>
    <col min="2" max="2" width="4.1796875" bestFit="1" customWidth="1"/>
    <col min="3" max="4" width="16.81640625" customWidth="1"/>
    <col min="5" max="7" width="17.81640625" customWidth="1"/>
    <col min="8" max="8" width="18.1796875" customWidth="1"/>
    <col min="9" max="9" width="15.81640625" customWidth="1"/>
    <col min="10" max="10" width="16.453125" customWidth="1"/>
    <col min="11" max="11" width="15.81640625" customWidth="1"/>
    <col min="12" max="13" width="18.1796875" customWidth="1"/>
    <col min="14" max="14" width="15.81640625" customWidth="1"/>
    <col min="15" max="15" width="16" bestFit="1" customWidth="1"/>
    <col min="16" max="16" width="14.453125" customWidth="1"/>
    <col min="17" max="17" width="17.453125" bestFit="1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Reciprocidad'!F21+'Recaudo EAAB + Ciud Limp'!F21+'Recaudo Directa Occidente'!F21+'Recaudo ENEL'!F21+'Recaudo ENERBIT'!F21</f>
        <v>16084033919</v>
      </c>
      <c r="D3" s="292">
        <f>'CONSOLIDADO_TOTAL RECAUDO'!G125</f>
        <v>40070</v>
      </c>
      <c r="E3" s="292">
        <f>'CONSOLIDADO_TOTAL RECAUDO'!D28+'CONSOLIDADO_TOTAL RECAUDO'!N28</f>
        <v>68638657.019999996</v>
      </c>
      <c r="F3" s="292">
        <f>'CONSOLIDADO_TOTAL RECAUDO'!I142</f>
        <v>0</v>
      </c>
      <c r="G3" s="292">
        <f>'CONSOLIDADO_TOTAL RECAUDO'!H142</f>
        <v>589006.92000000004</v>
      </c>
      <c r="H3" s="340">
        <f>SUM(C3:G3)</f>
        <v>16153301652.940001</v>
      </c>
      <c r="I3" s="291">
        <f>'CONSOLIDADO_TOTAL RECAUDO'!D104</f>
        <v>16057292250.040001</v>
      </c>
      <c r="J3" s="292">
        <f>'CONSOLIDADO_TOTAL RECAUDO'!N104</f>
        <v>29440960.199999999</v>
      </c>
      <c r="K3" s="292">
        <f>'CONSOLIDADO_TOTAL RECAUDO'!D125</f>
        <v>65283382.700000003</v>
      </c>
      <c r="L3" s="353">
        <f>'CONSOLIDADO_TOTAL RECAUDO'!E125</f>
        <v>0</v>
      </c>
      <c r="M3" s="292">
        <f>-'CONSOLIDADO_TOTAL RECAUDO'!D66-'CONSOLIDADO_TOTAL RECAUDO'!N66</f>
        <v>1285060</v>
      </c>
      <c r="N3" s="288">
        <f>SUM(I3:M3)</f>
        <v>16153301652.940002</v>
      </c>
      <c r="O3" s="354">
        <f>H3-N3</f>
        <v>0</v>
      </c>
      <c r="P3" s="1" t="b">
        <f t="shared" ref="P3:P9" si="0">INT(O3)=0</f>
        <v>1</v>
      </c>
    </row>
    <row r="4" spans="2:16" s="355" customFormat="1" x14ac:dyDescent="0.25">
      <c r="B4" s="314">
        <v>2</v>
      </c>
      <c r="C4" s="292">
        <f>'Recaudo EAAB Reciprocidad'!F22+'Recaudo EAAB + Ciud Limp'!F22+'Recaudo Directa Occidente'!F22+'Recaudo ENEL'!F22+'Recaudo ENERBIT'!F22</f>
        <v>22419728549</v>
      </c>
      <c r="D4" s="292">
        <f>'CONSOLIDADO_TOTAL RECAUDO'!G126</f>
        <v>18014168</v>
      </c>
      <c r="E4" s="292">
        <f>'CONSOLIDADO_TOTAL RECAUDO'!D29+'CONSOLIDADO_TOTAL RECAUDO'!N29</f>
        <v>155969155.34</v>
      </c>
      <c r="F4" s="292">
        <f>'CONSOLIDADO_TOTAL RECAUDO'!I143</f>
        <v>2607090</v>
      </c>
      <c r="G4" s="292">
        <f>'CONSOLIDADO_TOTAL RECAUDO'!H143</f>
        <v>1255716.79</v>
      </c>
      <c r="H4" s="340">
        <f t="shared" ref="H4:H8" si="1">SUM(C4:G4)</f>
        <v>22597574679.130001</v>
      </c>
      <c r="I4" s="291">
        <f>'CONSOLIDADO_TOTAL RECAUDO'!D105</f>
        <v>22321351878.560001</v>
      </c>
      <c r="J4" s="292">
        <f>'CONSOLIDADO_TOTAL RECAUDO'!N105</f>
        <v>74146482.560000002</v>
      </c>
      <c r="K4" s="292">
        <f>'CONSOLIDADO_TOTAL RECAUDO'!D126</f>
        <v>156846266.00999999</v>
      </c>
      <c r="L4" s="353">
        <f>'CONSOLIDADO_TOTAL RECAUDO'!E126</f>
        <v>0</v>
      </c>
      <c r="M4" s="292">
        <f>-'CONSOLIDADO_TOTAL RECAUDO'!D67-'CONSOLIDADO_TOTAL RECAUDO'!N67</f>
        <v>45230052</v>
      </c>
      <c r="N4" s="318">
        <f>SUM(I4:M4)</f>
        <v>22597574679.130001</v>
      </c>
      <c r="O4" s="354">
        <f t="shared" ref="O4:O6" si="2">H4-N4</f>
        <v>0</v>
      </c>
      <c r="P4" s="1" t="b">
        <f t="shared" si="0"/>
        <v>1</v>
      </c>
    </row>
    <row r="5" spans="2:16" s="355" customFormat="1" x14ac:dyDescent="0.25">
      <c r="B5" s="314">
        <v>3</v>
      </c>
      <c r="C5" s="292">
        <f>'Recaudo EAAB Reciprocidad'!F23+'Recaudo EAAB + Ciud Limp'!F23+'Recaudo Directa Occidente'!F23+'Recaudo ENEL'!F23+'Recaudo ENERBIT'!F23</f>
        <v>15363489329</v>
      </c>
      <c r="D5" s="292">
        <f>'CONSOLIDADO_TOTAL RECAUDO'!G127</f>
        <v>388550</v>
      </c>
      <c r="E5" s="292">
        <f>'CONSOLIDADO_TOTAL RECAUDO'!D30+'CONSOLIDADO_TOTAL RECAUDO'!N30</f>
        <v>113082589.28</v>
      </c>
      <c r="F5" s="292">
        <f>'CONSOLIDADO_TOTAL RECAUDO'!I144</f>
        <v>1537410</v>
      </c>
      <c r="G5" s="292">
        <f>'CONSOLIDADO_TOTAL RECAUDO'!H144</f>
        <v>102335.71</v>
      </c>
      <c r="H5" s="340">
        <f t="shared" si="1"/>
        <v>15478600213.99</v>
      </c>
      <c r="I5" s="291">
        <f>'CONSOLIDADO_TOTAL RECAUDO'!D106</f>
        <v>15232768359.989996</v>
      </c>
      <c r="J5" s="292">
        <f>'CONSOLIDADO_TOTAL RECAUDO'!N106</f>
        <v>37171034.849999994</v>
      </c>
      <c r="K5" s="292">
        <f>'CONSOLIDADO_TOTAL RECAUDO'!D127</f>
        <v>200945155.15000001</v>
      </c>
      <c r="L5" s="353">
        <f>'CONSOLIDADO_TOTAL RECAUDO'!E127</f>
        <v>0</v>
      </c>
      <c r="M5" s="292">
        <f>-'CONSOLIDADO_TOTAL RECAUDO'!D68-'CONSOLIDADO_TOTAL RECAUDO'!N68</f>
        <v>7715664</v>
      </c>
      <c r="N5" s="318">
        <f>SUM(I5:M5)</f>
        <v>15478600213.989996</v>
      </c>
      <c r="O5" s="354">
        <f>H5-N5</f>
        <v>0</v>
      </c>
      <c r="P5" s="1" t="b">
        <f t="shared" si="0"/>
        <v>1</v>
      </c>
    </row>
    <row r="6" spans="2:16" s="355" customFormat="1" x14ac:dyDescent="0.25">
      <c r="B6" s="314">
        <v>4</v>
      </c>
      <c r="C6" s="292">
        <f>'Recaudo EAAB Reciprocidad'!F24+'Recaudo EAAB + Ciud Limp'!F24+'Recaudo Directa Occidente'!F24+'Recaudo ENEL'!F24+'Recaudo ENERBIT'!F24</f>
        <v>7745607559</v>
      </c>
      <c r="D6" s="292">
        <f>'CONSOLIDADO_TOTAL RECAUDO'!G128</f>
        <v>83364801.269999996</v>
      </c>
      <c r="E6" s="292">
        <f>'CONSOLIDADO_TOTAL RECAUDO'!D31+'CONSOLIDADO_TOTAL RECAUDO'!N31</f>
        <v>109104435.04000001</v>
      </c>
      <c r="F6" s="292">
        <f>'CONSOLIDADO_TOTAL RECAUDO'!I145</f>
        <v>632750</v>
      </c>
      <c r="G6" s="292">
        <f>'CONSOLIDADO_TOTAL RECAUDO'!H145</f>
        <v>339659.81</v>
      </c>
      <c r="H6" s="340">
        <f t="shared" si="1"/>
        <v>7939049205.1200008</v>
      </c>
      <c r="I6" s="291">
        <f>'CONSOLIDADO_TOTAL RECAUDO'!D107</f>
        <v>7675362501.9600019</v>
      </c>
      <c r="J6" s="292">
        <f>'CONSOLIDADO_TOTAL RECAUDO'!N107</f>
        <v>10876689.639999999</v>
      </c>
      <c r="K6" s="292">
        <f>'CONSOLIDADO_TOTAL RECAUDO'!D128</f>
        <v>74190303.989999995</v>
      </c>
      <c r="L6" s="353">
        <f>'CONSOLIDADO_TOTAL RECAUDO'!E128</f>
        <v>0</v>
      </c>
      <c r="M6" s="292">
        <f>-'CONSOLIDADO_TOTAL RECAUDO'!D69-'CONSOLIDADO_TOTAL RECAUDO'!N69</f>
        <v>178619709.53</v>
      </c>
      <c r="N6" s="318">
        <f t="shared" ref="N6:N7" si="3">SUM(I6:M6)</f>
        <v>7939049205.1200018</v>
      </c>
      <c r="O6" s="354">
        <f t="shared" si="2"/>
        <v>0</v>
      </c>
      <c r="P6" s="1" t="b">
        <f t="shared" si="0"/>
        <v>1</v>
      </c>
    </row>
    <row r="7" spans="2:16" s="355" customFormat="1" x14ac:dyDescent="0.25">
      <c r="B7" s="314">
        <v>5</v>
      </c>
      <c r="C7" s="292">
        <f>'Recaudo EAAB Reciprocidad'!F25+'Recaudo EAAB + Ciud Limp'!F25+'Recaudo Directa Occidente'!F25+'Recaudo ENEL'!F25+'Recaudo ENERBIT'!F25</f>
        <v>12368419343</v>
      </c>
      <c r="D7" s="292">
        <f>'CONSOLIDADO_TOTAL RECAUDO'!G129</f>
        <v>0</v>
      </c>
      <c r="E7" s="292">
        <f>'CONSOLIDADO_TOTAL RECAUDO'!D32+'CONSOLIDADO_TOTAL RECAUDO'!N32</f>
        <v>30004174.399999999</v>
      </c>
      <c r="F7" s="292">
        <f>'CONSOLIDADO_TOTAL RECAUDO'!I146</f>
        <v>497280</v>
      </c>
      <c r="G7" s="292">
        <f>'CONSOLIDADO_TOTAL RECAUDO'!H146</f>
        <v>0</v>
      </c>
      <c r="H7" s="340">
        <f>SUM(C7:G7)</f>
        <v>12398920797.4</v>
      </c>
      <c r="I7" s="291">
        <f>'CONSOLIDADO_TOTAL RECAUDO'!D108</f>
        <v>12354444479.679998</v>
      </c>
      <c r="J7" s="292">
        <f>'CONSOLIDADO_TOTAL RECAUDO'!N108</f>
        <v>12729250.720000001</v>
      </c>
      <c r="K7" s="292">
        <f>'CONSOLIDADO_TOTAL RECAUDO'!D129</f>
        <v>26956968</v>
      </c>
      <c r="L7" s="353">
        <f>'CONSOLIDADO_TOTAL RECAUDO'!E129</f>
        <v>0</v>
      </c>
      <c r="M7" s="292">
        <f>-'CONSOLIDADO_TOTAL RECAUDO'!D70-'CONSOLIDADO_TOTAL RECAUDO'!N70</f>
        <v>4790099</v>
      </c>
      <c r="N7" s="318">
        <f t="shared" si="3"/>
        <v>12398920797.399998</v>
      </c>
      <c r="O7" s="354">
        <f>H7-N7</f>
        <v>0</v>
      </c>
      <c r="P7" s="1" t="b">
        <f t="shared" si="0"/>
        <v>1</v>
      </c>
    </row>
    <row r="8" spans="2:16" s="355" customFormat="1" ht="13" thickBot="1" x14ac:dyDescent="0.3">
      <c r="B8" s="341" t="s">
        <v>89</v>
      </c>
      <c r="C8" s="356">
        <f>'Recaudo EAAB Reciprocidad'!F26+'Recaudo EAAB + Ciud Limp'!F26+'Recaudo Directa Occidente'!F26+'Recaudo ENEL'!F26+'Recaudo ENERBIT'!F26</f>
        <v>437900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437900</v>
      </c>
      <c r="I8" s="357">
        <v>0</v>
      </c>
      <c r="J8" s="343">
        <v>0</v>
      </c>
      <c r="K8" s="343">
        <v>0</v>
      </c>
      <c r="L8" s="353">
        <f>'CONSOLIDADO_TOTAL RECAUDO'!E130</f>
        <v>437900</v>
      </c>
      <c r="M8" s="356">
        <v>0</v>
      </c>
      <c r="N8" s="358">
        <f>SUM(I8:L8)-M8</f>
        <v>437900</v>
      </c>
      <c r="O8" s="354">
        <f>H8-N8</f>
        <v>0</v>
      </c>
      <c r="P8" s="1" t="b">
        <f t="shared" si="0"/>
        <v>1</v>
      </c>
    </row>
    <row r="9" spans="2:16" s="355" customFormat="1" ht="13" thickBot="1" x14ac:dyDescent="0.3">
      <c r="B9" s="327"/>
      <c r="C9" s="290">
        <f>SUM(C3:C8)</f>
        <v>73981716599</v>
      </c>
      <c r="D9" s="290">
        <f t="shared" ref="D9:L9" si="4">SUM(D3:D8)</f>
        <v>101807589.27</v>
      </c>
      <c r="E9" s="290">
        <f t="shared" si="4"/>
        <v>476799011.07999998</v>
      </c>
      <c r="F9" s="290">
        <f t="shared" si="4"/>
        <v>5274530</v>
      </c>
      <c r="G9" s="290">
        <f t="shared" si="4"/>
        <v>2286719.23</v>
      </c>
      <c r="H9" s="290">
        <f>SUM(H3:H8)</f>
        <v>74567884448.580002</v>
      </c>
      <c r="I9" s="290">
        <f t="shared" si="4"/>
        <v>73641219470.229996</v>
      </c>
      <c r="J9" s="290">
        <f t="shared" si="4"/>
        <v>164364417.97</v>
      </c>
      <c r="K9" s="290">
        <f t="shared" si="4"/>
        <v>524222075.85000002</v>
      </c>
      <c r="L9" s="290">
        <f t="shared" si="4"/>
        <v>437900</v>
      </c>
      <c r="M9" s="290">
        <f>SUM(M3:M8)</f>
        <v>237640584.53</v>
      </c>
      <c r="N9" s="290">
        <f>SUM(N3:N8)</f>
        <v>74567884448.580002</v>
      </c>
      <c r="O9" s="359">
        <f>SUM(O3:O8)</f>
        <v>0</v>
      </c>
      <c r="P9" s="1" t="b">
        <f t="shared" si="0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Recaudo'!F10</f>
        <v>73981716599</v>
      </c>
    </row>
    <row r="15" spans="2:16" x14ac:dyDescent="0.25">
      <c r="C15" s="249" t="b">
        <f>C14=C9</f>
        <v>1</v>
      </c>
    </row>
    <row r="16" spans="2:16" x14ac:dyDescent="0.25">
      <c r="C16" s="355"/>
    </row>
    <row r="18" spans="3:18" ht="13.5" thickBot="1" x14ac:dyDescent="0.35">
      <c r="D18" s="701" t="s">
        <v>269</v>
      </c>
      <c r="E18" s="701"/>
    </row>
    <row r="19" spans="3:18" ht="35" thickBot="1" x14ac:dyDescent="0.3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5">
      <c r="C20" t="s">
        <v>203</v>
      </c>
      <c r="D20" s="695">
        <f>VALIDACION_RECIP!C9</f>
        <v>6204091</v>
      </c>
      <c r="E20" s="695">
        <f>VALIDACION_RECIP!D9</f>
        <v>477309.99999999994</v>
      </c>
      <c r="F20" s="695">
        <f>VALIDACION_RECIP!E9</f>
        <v>21504783.789999999</v>
      </c>
      <c r="G20" s="695">
        <f>VALIDACION_RECIP!F9</f>
        <v>0</v>
      </c>
      <c r="H20" s="695">
        <f>VALIDACION_RECIP!G9</f>
        <v>1595376.6</v>
      </c>
      <c r="I20" s="695">
        <f>VALIDACION_RECIP!H9</f>
        <v>29781561.390000001</v>
      </c>
      <c r="J20" s="695">
        <f>VALIDACION_RECIP!I9</f>
        <v>24296930.390000001</v>
      </c>
      <c r="K20" s="695">
        <f>VALIDACION_RECIP!J9</f>
        <v>0</v>
      </c>
      <c r="L20" s="695">
        <f>VALIDACION_RECIP!K9</f>
        <v>3874341</v>
      </c>
      <c r="M20" s="695">
        <f>VALIDACION_RECIP!L9</f>
        <v>0</v>
      </c>
      <c r="N20" s="695">
        <f>VALIDACION_RECIP!M9</f>
        <v>1610290</v>
      </c>
      <c r="O20" s="695">
        <f>VALIDACION_RECIP!N9</f>
        <v>29781561.390000001</v>
      </c>
    </row>
    <row r="21" spans="3:18" x14ac:dyDescent="0.25">
      <c r="C21" s="167" t="s">
        <v>155</v>
      </c>
      <c r="D21" s="695">
        <f>VALIDACION_ENEL!C9</f>
        <v>68200068115</v>
      </c>
      <c r="E21" s="695">
        <f>VALIDACION_ENEL!D9</f>
        <v>95210377.269999996</v>
      </c>
      <c r="F21" s="695">
        <f>VALIDACION_ENEL!E9</f>
        <v>133967999.30000001</v>
      </c>
      <c r="G21" s="695">
        <f>VALIDACION_ENEL!F9</f>
        <v>5274530</v>
      </c>
      <c r="H21" s="695">
        <f>VALIDACION_ENEL!G9</f>
        <v>691342.63</v>
      </c>
      <c r="I21" s="695">
        <f>VALIDACION_ENEL!H9</f>
        <v>68435212364.199997</v>
      </c>
      <c r="J21" s="695">
        <f>VALIDACION_ENEL!I9</f>
        <v>68011579692.149994</v>
      </c>
      <c r="K21" s="695">
        <f>VALIDACION_ENEL!J9</f>
        <v>65619282.390000001</v>
      </c>
      <c r="L21" s="695">
        <f>VALIDACION_ENEL!K9</f>
        <v>135065158</v>
      </c>
      <c r="M21" s="695">
        <f>VALIDACION_ENEL!L9</f>
        <v>0</v>
      </c>
      <c r="N21" s="695">
        <f>VALIDACION_ENEL!M9</f>
        <v>222948231.66</v>
      </c>
      <c r="O21" s="695">
        <f>VALIDACION_ENEL!N9</f>
        <v>68435212364.199997</v>
      </c>
    </row>
    <row r="22" spans="3:18" x14ac:dyDescent="0.25">
      <c r="C22" s="759" t="s">
        <v>326</v>
      </c>
      <c r="D22" s="695">
        <f>VALIDACION_ENERBIT!C9</f>
        <v>38870386</v>
      </c>
      <c r="E22" s="695">
        <f>VALIDACION_ENERBIT!D9</f>
        <v>0</v>
      </c>
      <c r="F22" s="695">
        <f>VALIDACION_ENERBIT!E9</f>
        <v>3790847.24</v>
      </c>
      <c r="G22" s="695">
        <f>VALIDACION_ENERBIT!F9</f>
        <v>0</v>
      </c>
      <c r="H22" s="695">
        <f>VALIDACION_ENERBIT!G9</f>
        <v>0</v>
      </c>
      <c r="I22" s="695">
        <f>VALIDACION_ENERBIT!H9</f>
        <v>42661233.240000002</v>
      </c>
      <c r="J22" s="695">
        <f>VALIDACION_ENERBIT!I9</f>
        <v>38576017.920000002</v>
      </c>
      <c r="K22" s="695">
        <f>VALIDACION_ENERBIT!J9</f>
        <v>37.32</v>
      </c>
      <c r="L22" s="695">
        <f>VALIDACION_ENERBIT!K9</f>
        <v>4085178</v>
      </c>
      <c r="M22" s="695">
        <f>VALIDACION_ENERBIT!L9</f>
        <v>0</v>
      </c>
      <c r="N22" s="695">
        <f>VALIDACION_ENERBIT!M9</f>
        <v>0</v>
      </c>
      <c r="O22" s="695">
        <f>VALIDACION_ENERBIT!N9</f>
        <v>42661233.240000002</v>
      </c>
    </row>
    <row r="23" spans="3:18" x14ac:dyDescent="0.25">
      <c r="C23" s="212" t="s">
        <v>119</v>
      </c>
      <c r="D23" s="695">
        <f>VALIDACION_OCCIDENTE!C9</f>
        <v>5736574007</v>
      </c>
      <c r="E23" s="695">
        <f>VALIDACION_OCCIDENTE!D9</f>
        <v>6119902</v>
      </c>
      <c r="F23" s="695">
        <f>VALIDACION_OCCIDENTE!E9</f>
        <v>317535380.75</v>
      </c>
      <c r="G23" s="695">
        <f>VALIDACION_OCCIDENTE!F9</f>
        <v>0</v>
      </c>
      <c r="H23" s="695">
        <f>VALIDACION_OCCIDENTE!G9</f>
        <v>0</v>
      </c>
      <c r="I23" s="695">
        <f>VALIDACION_OCCIDENTE!H9</f>
        <v>6060229289.749999</v>
      </c>
      <c r="J23" s="695">
        <f>VALIDACION_OCCIDENTE!I9</f>
        <v>5566766829.7699995</v>
      </c>
      <c r="K23" s="695">
        <f>VALIDACION_OCCIDENTE!J9</f>
        <v>98745098.260000005</v>
      </c>
      <c r="L23" s="695">
        <f>VALIDACION_OCCIDENTE!K9</f>
        <v>381197398.85000002</v>
      </c>
      <c r="M23" s="695">
        <f>VALIDACION_OCCIDENTE!L9</f>
        <v>437900</v>
      </c>
      <c r="N23" s="695">
        <f>VALIDACION_OCCIDENTE!M9</f>
        <v>13082062.869999999</v>
      </c>
      <c r="O23" s="695">
        <f>VALIDACION_OCCIDENTE!N9</f>
        <v>6060229289.749999</v>
      </c>
    </row>
    <row r="24" spans="3:18" x14ac:dyDescent="0.25">
      <c r="D24" s="702">
        <f>SUM(D20:D23)</f>
        <v>73981716599</v>
      </c>
      <c r="E24" s="141">
        <f>SUM(E20:E23)</f>
        <v>101807589.27</v>
      </c>
      <c r="F24" s="141">
        <f>SUM(F20:F23)</f>
        <v>476799011.08000004</v>
      </c>
      <c r="G24" s="141">
        <f>SUM(G20:G23)</f>
        <v>5274530</v>
      </c>
      <c r="H24" s="141">
        <f t="shared" ref="H24:O24" si="5">SUM(H20:H23)</f>
        <v>2286719.23</v>
      </c>
      <c r="I24" s="141">
        <f t="shared" si="5"/>
        <v>74567884448.579987</v>
      </c>
      <c r="J24" s="141">
        <f t="shared" si="5"/>
        <v>73641219470.229996</v>
      </c>
      <c r="K24" s="141">
        <f t="shared" si="5"/>
        <v>164364417.97</v>
      </c>
      <c r="L24" s="141">
        <f t="shared" si="5"/>
        <v>524222075.85000002</v>
      </c>
      <c r="M24" s="141">
        <f t="shared" si="5"/>
        <v>437900</v>
      </c>
      <c r="N24" s="141">
        <f t="shared" si="5"/>
        <v>237640584.53</v>
      </c>
      <c r="O24" s="141">
        <f t="shared" si="5"/>
        <v>74567884448.579987</v>
      </c>
    </row>
    <row r="25" spans="3:18" x14ac:dyDescent="0.25">
      <c r="D25" t="b">
        <f>D24=C9</f>
        <v>1</v>
      </c>
      <c r="E25" s="141" t="b">
        <f>E24=D9</f>
        <v>1</v>
      </c>
      <c r="F25" s="141" t="b">
        <f>F24=E9</f>
        <v>1</v>
      </c>
      <c r="G25" t="b">
        <f t="shared" ref="G25:N25" si="6">G24=F9</f>
        <v>1</v>
      </c>
      <c r="H25" t="b">
        <f t="shared" si="6"/>
        <v>1</v>
      </c>
      <c r="I25" s="141" t="b">
        <f>I24=H9</f>
        <v>1</v>
      </c>
      <c r="J25" s="141" t="b">
        <f>J24=I9</f>
        <v>1</v>
      </c>
      <c r="K25" t="b">
        <f t="shared" si="6"/>
        <v>1</v>
      </c>
      <c r="L25" t="b">
        <f t="shared" si="6"/>
        <v>1</v>
      </c>
      <c r="M25" t="b">
        <f>M24=L9</f>
        <v>1</v>
      </c>
      <c r="N25" t="b">
        <f t="shared" si="6"/>
        <v>1</v>
      </c>
      <c r="O25" s="141" t="b">
        <f>O24=N9</f>
        <v>1</v>
      </c>
    </row>
    <row r="27" spans="3:18" ht="13.5" thickBot="1" x14ac:dyDescent="0.35">
      <c r="D27" s="701" t="s">
        <v>270</v>
      </c>
    </row>
    <row r="28" spans="3:18" ht="57" customHeight="1" thickBot="1" x14ac:dyDescent="0.3">
      <c r="D28" s="11" t="s">
        <v>4</v>
      </c>
      <c r="E28" s="12" t="s">
        <v>7</v>
      </c>
      <c r="F28" s="12" t="s">
        <v>274</v>
      </c>
      <c r="G28" s="12" t="s">
        <v>191</v>
      </c>
      <c r="I28" s="12" t="s">
        <v>38</v>
      </c>
      <c r="J28" s="85" t="s">
        <v>272</v>
      </c>
      <c r="K28" s="65" t="s">
        <v>47</v>
      </c>
      <c r="L28" s="370" t="s">
        <v>56</v>
      </c>
      <c r="M28" s="73" t="s">
        <v>273</v>
      </c>
      <c r="N28" s="73" t="s">
        <v>172</v>
      </c>
      <c r="O28" s="28" t="s">
        <v>129</v>
      </c>
      <c r="P28" s="12" t="s">
        <v>191</v>
      </c>
      <c r="Q28" s="12" t="s">
        <v>271</v>
      </c>
    </row>
    <row r="29" spans="3:18" x14ac:dyDescent="0.25">
      <c r="C29" t="s">
        <v>203</v>
      </c>
      <c r="D29" s="695">
        <f>'REMUNERACION Reciprocidad EAAB'!D109</f>
        <v>24296930.390000001</v>
      </c>
      <c r="E29" s="695">
        <f>'REMUNERACION Reciprocidad EAAB'!N109</f>
        <v>0</v>
      </c>
      <c r="F29" s="695">
        <f>D29+E29</f>
        <v>24296930.390000001</v>
      </c>
      <c r="G29" s="703">
        <f>D20-F29</f>
        <v>-18092839.390000001</v>
      </c>
      <c r="H29" s="695"/>
      <c r="I29" s="695">
        <f>'REMUNERACION Reciprocidad EAAB'!D131</f>
        <v>3874341</v>
      </c>
      <c r="J29" s="695"/>
      <c r="K29" s="695">
        <f>'REMUNERACION Reciprocidad EAAB'!G131</f>
        <v>477309.99999999994</v>
      </c>
      <c r="L29" s="695">
        <f>'REMUNERACION Reciprocidad EAAB'!H131</f>
        <v>21504783.789999999</v>
      </c>
      <c r="M29" s="695">
        <f>'REMUNERACION Reciprocidad EAAB'!I131</f>
        <v>1595376.6</v>
      </c>
      <c r="N29" s="695">
        <f>+'REMUNERACION Reciprocidad EAAB'!J131</f>
        <v>-1610290</v>
      </c>
      <c r="O29" s="695">
        <f>'REMUNERACION Reciprocidad EAAB'!I147</f>
        <v>0</v>
      </c>
      <c r="P29" s="703">
        <f>I29+J29-K29-L29-M29-N29-O29</f>
        <v>-18092839.390000001</v>
      </c>
      <c r="Q29" s="704">
        <f>G29-P29</f>
        <v>0</v>
      </c>
      <c r="R29" s="141"/>
    </row>
    <row r="30" spans="3:18" x14ac:dyDescent="0.25">
      <c r="C30" s="167" t="s">
        <v>155</v>
      </c>
      <c r="D30" s="695">
        <f>REMUNERACION_ENEL!D109</f>
        <v>68011579692.149994</v>
      </c>
      <c r="E30" s="695">
        <f>REMUNERACION_ENEL!N109</f>
        <v>65619282.390000001</v>
      </c>
      <c r="F30" s="695">
        <f>D30+E30</f>
        <v>68077198974.539993</v>
      </c>
      <c r="G30" s="705">
        <f>D21-F30</f>
        <v>122869140.46000671</v>
      </c>
      <c r="H30" s="695"/>
      <c r="I30" s="695">
        <f>REMUNERACION_ENEL!D131</f>
        <v>135065158</v>
      </c>
      <c r="J30" s="695"/>
      <c r="K30" s="695">
        <f>REMUNERACION_ENEL!G131</f>
        <v>95210377.269999996</v>
      </c>
      <c r="L30" s="695">
        <f>REMUNERACION_ENEL!H131</f>
        <v>133967999.30000001</v>
      </c>
      <c r="M30" s="695">
        <f>REMUNERACION_ENEL!I131</f>
        <v>691342.63</v>
      </c>
      <c r="N30" s="695">
        <f>REMUNERACION_ENEL!J131</f>
        <v>-222948231.66</v>
      </c>
      <c r="O30" s="695">
        <f>REMUNERACION_ENEL!I147</f>
        <v>5274530</v>
      </c>
      <c r="P30" s="703">
        <f>I30+J30-K30-L30-M30-N30-O30</f>
        <v>122869140.45999999</v>
      </c>
      <c r="Q30" s="704">
        <f>G30-P30</f>
        <v>6.720423698425293E-6</v>
      </c>
      <c r="R30" s="141"/>
    </row>
    <row r="31" spans="3:18" x14ac:dyDescent="0.25">
      <c r="C31" s="759" t="s">
        <v>326</v>
      </c>
      <c r="D31" s="695">
        <f>REMUNERACION_ENERBIT!D109</f>
        <v>38576017.920000002</v>
      </c>
      <c r="E31" s="695">
        <f>REMUNERACION_ENERBIT!N109</f>
        <v>37.32</v>
      </c>
      <c r="F31" s="695">
        <f>D31+E31</f>
        <v>38576055.240000002</v>
      </c>
      <c r="G31" s="705">
        <f>D22-F31</f>
        <v>294330.75999999791</v>
      </c>
      <c r="H31" s="695"/>
      <c r="I31" s="695">
        <f>REMUNERACION_ENERBIT!D131</f>
        <v>4085178</v>
      </c>
      <c r="J31" s="695"/>
      <c r="K31" s="695">
        <f>REMUNERACION_ENERBIT!G131</f>
        <v>0</v>
      </c>
      <c r="L31" s="695">
        <f>REMUNERACION_ENERBIT!H131</f>
        <v>3790847.24</v>
      </c>
      <c r="M31" s="695">
        <f>REMUNERACION_ENERBIT!I131</f>
        <v>0</v>
      </c>
      <c r="N31" s="695">
        <f>REMUNERACION_ENERBIT!J131</f>
        <v>0</v>
      </c>
      <c r="O31" s="695">
        <f>REMUNERACION_ENERBIT!K131</f>
        <v>0</v>
      </c>
      <c r="P31" s="703">
        <f t="shared" ref="P31" si="7">I31+J31-K31-L31-M31-N31-O31</f>
        <v>294330.75999999978</v>
      </c>
      <c r="Q31" s="704">
        <f t="shared" ref="Q31:Q32" si="8">G31-P31</f>
        <v>-1.862645149230957E-9</v>
      </c>
      <c r="R31" s="141"/>
    </row>
    <row r="32" spans="3:18" x14ac:dyDescent="0.25">
      <c r="C32" s="212" t="s">
        <v>119</v>
      </c>
      <c r="D32" s="695">
        <f>'REMUNERACION_OCCIDENTE_ Directa'!D109</f>
        <v>5566766829.7699995</v>
      </c>
      <c r="E32" s="695">
        <f>'REMUNERACION_OCCIDENTE_ Directa'!N109</f>
        <v>98745098.260000005</v>
      </c>
      <c r="F32" s="695">
        <f>D32+E32</f>
        <v>5665511928.0299997</v>
      </c>
      <c r="G32" s="705">
        <f>D23-F32</f>
        <v>71062078.970000267</v>
      </c>
      <c r="H32" s="695"/>
      <c r="I32" s="695">
        <f>'REMUNERACION_OCCIDENTE_ Directa'!D131</f>
        <v>381197398.85000002</v>
      </c>
      <c r="J32" s="695">
        <f>'CONSOLIDADO_TOTAL RECAUDO'!E131</f>
        <v>437900</v>
      </c>
      <c r="K32" s="695">
        <f>'REMUNERACION_OCCIDENTE_ Directa'!G131</f>
        <v>6119902</v>
      </c>
      <c r="L32" s="695">
        <f>'REMUNERACION_OCCIDENTE_ Directa'!H131</f>
        <v>317535380.75</v>
      </c>
      <c r="M32" s="695">
        <f>'REMUNERACION_OCCIDENTE_ Directa'!I131</f>
        <v>0</v>
      </c>
      <c r="N32" s="695">
        <f>'REMUNERACION_OCCIDENTE_ Directa'!J131</f>
        <v>-13082062.869999999</v>
      </c>
      <c r="O32" s="695">
        <f>'REMUNERACION_OCCIDENTE_ Directa'!I147</f>
        <v>0</v>
      </c>
      <c r="P32" s="703">
        <f t="shared" ref="P32" si="9">I32+J32-K32-L32-M32-N32-O32</f>
        <v>71062078.970000029</v>
      </c>
      <c r="Q32" s="704">
        <f t="shared" si="8"/>
        <v>2.384185791015625E-7</v>
      </c>
      <c r="R32" s="141"/>
    </row>
    <row r="33" spans="4:17" x14ac:dyDescent="0.25">
      <c r="D33" s="695">
        <f>SUM(D29:D32)</f>
        <v>73641219470.229996</v>
      </c>
      <c r="E33" s="695">
        <f>SUM(E29:E32)</f>
        <v>164364417.97</v>
      </c>
      <c r="F33" s="706">
        <f>SUM(F29:F32)</f>
        <v>73805583888.199997</v>
      </c>
      <c r="G33" s="707">
        <f>D24-F33</f>
        <v>176132710.80000305</v>
      </c>
      <c r="H33" s="695"/>
      <c r="I33" s="695">
        <f>SUM(I29:I32)</f>
        <v>524222075.85000002</v>
      </c>
      <c r="J33" s="695">
        <f>SUM(J29:J32)</f>
        <v>437900</v>
      </c>
      <c r="K33" s="695">
        <f>SUM(K29:K32)</f>
        <v>101807589.27</v>
      </c>
      <c r="L33" s="695">
        <f t="shared" ref="L33:N33" si="10">SUM(L29:L32)</f>
        <v>476799011.08000004</v>
      </c>
      <c r="M33" s="695">
        <f t="shared" si="10"/>
        <v>2286719.23</v>
      </c>
      <c r="N33" s="695">
        <f t="shared" si="10"/>
        <v>-237640584.53</v>
      </c>
      <c r="O33" s="695">
        <f>SUM(O29:O32)</f>
        <v>5274530</v>
      </c>
      <c r="P33" s="708">
        <f>SUM(P29:P32)</f>
        <v>176132710.80000001</v>
      </c>
      <c r="Q33" s="704">
        <f>SUM(Q29:Q32)</f>
        <v>6.9569796323776245E-6</v>
      </c>
    </row>
    <row r="34" spans="4:17" x14ac:dyDescent="0.25">
      <c r="D34" s="695" t="b">
        <f>D33='CONSOLIDADO_TOTAL RECAUDO'!D109</f>
        <v>1</v>
      </c>
      <c r="E34" s="695" t="b">
        <f>E33='CONSOLIDADO_TOTAL RECAUDO'!N109</f>
        <v>1</v>
      </c>
      <c r="F34" s="695" t="b">
        <f>F33='CONSOLIDADO_TOTAL RECAUDO'!D109+'CONSOLIDADO_TOTAL RECAUDO'!N109</f>
        <v>1</v>
      </c>
      <c r="G34" s="695"/>
      <c r="H34" s="695"/>
      <c r="I34" s="695"/>
      <c r="J34" s="695"/>
      <c r="K34" s="695"/>
      <c r="L34" s="695"/>
      <c r="M34" s="695"/>
      <c r="N34" s="695"/>
      <c r="O34" s="695"/>
    </row>
    <row r="35" spans="4:17" x14ac:dyDescent="0.25">
      <c r="K35" s="141"/>
      <c r="P35" s="270">
        <f>P33-G33</f>
        <v>-3.0398368835449219E-6</v>
      </c>
    </row>
    <row r="36" spans="4:17" x14ac:dyDescent="0.25">
      <c r="F36" s="141"/>
      <c r="L36" s="141"/>
      <c r="P36" s="141"/>
    </row>
    <row r="37" spans="4:17" x14ac:dyDescent="0.25">
      <c r="E37" s="141"/>
      <c r="P37" s="601"/>
    </row>
    <row r="38" spans="4:17" x14ac:dyDescent="0.25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zoomScaleNormal="100" workbookViewId="0">
      <selection activeCell="H26" sqref="H26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4.81640625" style="1" bestFit="1" customWidth="1"/>
    <col min="5" max="5" width="15.453125" style="1" bestFit="1" customWidth="1"/>
    <col min="6" max="7" width="14.81640625" style="1" customWidth="1"/>
    <col min="8" max="8" width="16.1796875" style="1" customWidth="1"/>
    <col min="9" max="9" width="20.179687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81640625" style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9.453125" style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1.1796875" style="1" customWidth="1"/>
    <col min="34" max="34" width="12" style="1" bestFit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99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8" t="s">
        <v>17</v>
      </c>
      <c r="D6" s="9">
        <f>'CONSOLIDADO_TOTAL RECAUDO'!D101</f>
        <v>46297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95"/>
      <c r="C7" s="600" t="s">
        <v>0</v>
      </c>
      <c r="D7" s="556">
        <f>'CONSOLIDADO_TOTAL RECAUDO'!D102</f>
        <v>0.58333333333333337</v>
      </c>
      <c r="E7" s="45"/>
      <c r="F7" s="555" t="s">
        <v>27</v>
      </c>
      <c r="G7" s="557">
        <f>'CONSOLIDADO_TOTAL RECAUDO'!G102</f>
        <v>46281</v>
      </c>
      <c r="H7" s="45"/>
      <c r="I7" s="45"/>
      <c r="J7" s="555" t="s">
        <v>28</v>
      </c>
      <c r="K7" s="557">
        <f>'CONSOLIDADO_TOTAL RECAUDO'!K102</f>
        <v>46295</v>
      </c>
      <c r="L7" s="45"/>
      <c r="M7" s="45"/>
      <c r="N7" s="45"/>
      <c r="O7" s="558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8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168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x14ac:dyDescent="0.25">
      <c r="B9" s="14">
        <v>1</v>
      </c>
      <c r="C9" s="61" t="s">
        <v>10</v>
      </c>
      <c r="D9" s="66">
        <f>'CONSOLIDADO_TOTAL RECAUDO'!D104</f>
        <v>16057292250.040001</v>
      </c>
      <c r="E9" s="66">
        <f>'CONSOLIDADO_TOTAL RECAUDO'!E104</f>
        <v>818779939.45000005</v>
      </c>
      <c r="F9" s="66">
        <f>'CONSOLIDADO_TOTAL RECAUDO'!F104</f>
        <v>456179956.53000003</v>
      </c>
      <c r="G9" s="66">
        <f>'CONSOLIDADO_TOTAL RECAUDO'!G104</f>
        <v>241956320.33000001</v>
      </c>
      <c r="H9" s="66">
        <f>'CONSOLIDADO_TOTAL RECAUDO'!H104</f>
        <v>3323333269.4299998</v>
      </c>
      <c r="I9" s="66">
        <f>'CONSOLIDADO_TOTAL RECAUDO'!I104</f>
        <v>124464163.52000001</v>
      </c>
      <c r="J9" s="66">
        <f>'CONSOLIDADO_TOTAL RECAUDO'!J104</f>
        <v>-4501501560.3499994</v>
      </c>
      <c r="K9" s="30">
        <f>D9-E9-F9-G9-H9-I9-J9</f>
        <v>15594080161.129997</v>
      </c>
      <c r="L9" s="66">
        <f>'CONSOLIDADO_TOTAL RECAUDO'!L104</f>
        <v>189185988</v>
      </c>
      <c r="M9" s="30">
        <f>K9-L9</f>
        <v>15404894173.129997</v>
      </c>
      <c r="N9" s="66">
        <f>'CONSOLIDADO_TOTAL RECAUDO'!N104</f>
        <v>29440960.199999999</v>
      </c>
      <c r="O9" s="30">
        <f>M9+N9</f>
        <v>15434335133.329998</v>
      </c>
      <c r="Q9" s="4"/>
      <c r="S9" s="14">
        <v>1</v>
      </c>
      <c r="T9" s="61" t="s">
        <v>10</v>
      </c>
      <c r="U9" s="66">
        <f>'CONSOLIDADO_TOTAL RECAUDO'!U104</f>
        <v>1095972718.5899999</v>
      </c>
      <c r="V9" s="66">
        <f>'CONSOLIDADO_TOTAL RECAUDO'!V104</f>
        <v>1047708574.1999999</v>
      </c>
      <c r="W9" s="66">
        <f>'CONSOLIDADO_TOTAL RECAUDO'!W104</f>
        <v>4922628703.1599998</v>
      </c>
      <c r="X9" s="66">
        <f>'CONSOLIDADO_TOTAL RECAUDO'!X104</f>
        <v>2228456528.4900002</v>
      </c>
      <c r="Y9" s="66">
        <f>'CONSOLIDADO_TOTAL RECAUDO'!Y104</f>
        <v>202981010.05000001</v>
      </c>
      <c r="Z9" s="66">
        <f>'CONSOLIDADO_TOTAL RECAUDO'!Z104</f>
        <v>-189185988</v>
      </c>
      <c r="AA9" s="66">
        <f>'CONSOLIDADO_TOTAL RECAUDO'!AA104</f>
        <v>106508.73000000001</v>
      </c>
      <c r="AB9" s="66">
        <f>'CONSOLIDADO_TOTAL RECAUDO'!AB104</f>
        <v>29440960.199999999</v>
      </c>
      <c r="AC9" s="66">
        <f>'CONSOLIDADO_TOTAL RECAUDO'!AC104</f>
        <v>69.86</v>
      </c>
      <c r="AD9" s="66">
        <f>'CONSOLIDADO_TOTAL RECAUDO'!AD104</f>
        <v>6096226048.0499992</v>
      </c>
      <c r="AE9" s="66">
        <f>'CONSOLIDADO_TOTAL RECAUDO'!AE104</f>
        <v>1594724487.7</v>
      </c>
      <c r="AF9" s="69">
        <f>SUM(U9:AD9)</f>
        <v>15434335133.33</v>
      </c>
      <c r="AG9" s="71">
        <f>AF9-O9</f>
        <v>0</v>
      </c>
      <c r="AH9" s="1" t="b">
        <f>INT(AG9)=0</f>
        <v>1</v>
      </c>
      <c r="AI9" s="4"/>
    </row>
    <row r="10" spans="2:35" x14ac:dyDescent="0.25">
      <c r="B10" s="16">
        <v>2</v>
      </c>
      <c r="C10" s="62" t="s">
        <v>11</v>
      </c>
      <c r="D10" s="66">
        <f>'CONSOLIDADO_TOTAL RECAUDO'!D105</f>
        <v>22321351878.560001</v>
      </c>
      <c r="E10" s="66">
        <f>'CONSOLIDADO_TOTAL RECAUDO'!E105</f>
        <v>1703762098.3000002</v>
      </c>
      <c r="F10" s="66">
        <f>'CONSOLIDADO_TOTAL RECAUDO'!F105</f>
        <v>943493228.44000006</v>
      </c>
      <c r="G10" s="66">
        <f>'CONSOLIDADO_TOTAL RECAUDO'!G105</f>
        <v>498443224.56999999</v>
      </c>
      <c r="H10" s="66">
        <f>'CONSOLIDADO_TOTAL RECAUDO'!H105</f>
        <v>6843469380.5999994</v>
      </c>
      <c r="I10" s="66">
        <f>'CONSOLIDADO_TOTAL RECAUDO'!I105</f>
        <v>238621910.31000003</v>
      </c>
      <c r="J10" s="66">
        <f>'CONSOLIDADO_TOTAL RECAUDO'!J105</f>
        <v>-3550307908.4800005</v>
      </c>
      <c r="K10" s="31">
        <f t="shared" ref="K10:K13" si="0">D10-E10-F10-G10-H10-I10-J10</f>
        <v>15643869944.820007</v>
      </c>
      <c r="L10" s="66">
        <f>'CONSOLIDADO_TOTAL RECAUDO'!L105</f>
        <v>266580256</v>
      </c>
      <c r="M10" s="31">
        <f>K10-L10</f>
        <v>15377289688.820007</v>
      </c>
      <c r="N10" s="66">
        <f>'CONSOLIDADO_TOTAL RECAUDO'!N105</f>
        <v>74146482.560000002</v>
      </c>
      <c r="O10" s="31">
        <f t="shared" ref="O10:O13" si="1">M10+N10</f>
        <v>15451436171.380007</v>
      </c>
      <c r="Q10" s="4"/>
      <c r="S10" s="16">
        <v>2</v>
      </c>
      <c r="T10" s="62" t="s">
        <v>11</v>
      </c>
      <c r="U10" s="66">
        <f>'CONSOLIDADO_TOTAL RECAUDO'!U105</f>
        <v>2090954081.4100001</v>
      </c>
      <c r="V10" s="66">
        <f>'CONSOLIDADO_TOTAL RECAUDO'!V105</f>
        <v>2076895429.78</v>
      </c>
      <c r="W10" s="66">
        <f>'CONSOLIDADO_TOTAL RECAUDO'!W105</f>
        <v>9754298151.3600006</v>
      </c>
      <c r="X10" s="66">
        <f>'CONSOLIDADO_TOTAL RECAUDO'!X105</f>
        <v>3352227531.5500002</v>
      </c>
      <c r="Y10" s="66">
        <f>'CONSOLIDADO_TOTAL RECAUDO'!Y105</f>
        <v>389637563.81999999</v>
      </c>
      <c r="Z10" s="66">
        <f>'CONSOLIDADO_TOTAL RECAUDO'!Z105</f>
        <v>-266580256</v>
      </c>
      <c r="AA10" s="66">
        <f>'CONSOLIDADO_TOTAL RECAUDO'!AA105</f>
        <v>157134.76999999999</v>
      </c>
      <c r="AB10" s="66">
        <f>'CONSOLIDADO_TOTAL RECAUDO'!AB105</f>
        <v>74146482.560000002</v>
      </c>
      <c r="AC10" s="66">
        <f>'CONSOLIDADO_TOTAL RECAUDO'!AC105</f>
        <v>255.03999999999996</v>
      </c>
      <c r="AD10" s="66">
        <f>'CONSOLIDADO_TOTAL RECAUDO'!AD105</f>
        <v>-2020300202.9099989</v>
      </c>
      <c r="AE10" s="66">
        <f>'CONSOLIDADO_TOTAL RECAUDO'!AE105</f>
        <v>-5570608111.3899994</v>
      </c>
      <c r="AF10" s="70">
        <f>SUM(U10:AD10)</f>
        <v>15451436171.380005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5">
      <c r="B11" s="16">
        <v>3</v>
      </c>
      <c r="C11" s="62" t="s">
        <v>12</v>
      </c>
      <c r="D11" s="66">
        <f>'CONSOLIDADO_TOTAL RECAUDO'!D106</f>
        <v>15232768359.989996</v>
      </c>
      <c r="E11" s="66">
        <f>'CONSOLIDADO_TOTAL RECAUDO'!E106</f>
        <v>1138837288.4100001</v>
      </c>
      <c r="F11" s="66">
        <f>'CONSOLIDADO_TOTAL RECAUDO'!F106</f>
        <v>633894873.40999997</v>
      </c>
      <c r="G11" s="66">
        <f>'CONSOLIDADO_TOTAL RECAUDO'!G106</f>
        <v>336797543.44</v>
      </c>
      <c r="H11" s="66">
        <f>'CONSOLIDADO_TOTAL RECAUDO'!H106</f>
        <v>3483395444.7499995</v>
      </c>
      <c r="I11" s="66">
        <f>'CONSOLIDADO_TOTAL RECAUDO'!I106</f>
        <v>126710880.50999999</v>
      </c>
      <c r="J11" s="66">
        <f>'CONSOLIDADO_TOTAL RECAUDO'!J106</f>
        <v>-750589759.5999999</v>
      </c>
      <c r="K11" s="31">
        <f t="shared" si="0"/>
        <v>10263722089.069996</v>
      </c>
      <c r="L11" s="66">
        <f>'CONSOLIDADO_TOTAL RECAUDO'!L106</f>
        <v>154788536</v>
      </c>
      <c r="M11" s="31">
        <f>K11-L11</f>
        <v>10108933553.069996</v>
      </c>
      <c r="N11" s="66">
        <f>'CONSOLIDADO_TOTAL RECAUDO'!N106</f>
        <v>37171034.849999994</v>
      </c>
      <c r="O11" s="31">
        <f t="shared" si="1"/>
        <v>10146104587.919996</v>
      </c>
      <c r="Q11" s="4"/>
      <c r="S11" s="16">
        <v>3</v>
      </c>
      <c r="T11" s="62" t="s">
        <v>12</v>
      </c>
      <c r="U11" s="66">
        <f>'CONSOLIDADO_TOTAL RECAUDO'!U106</f>
        <v>1110313250.9599998</v>
      </c>
      <c r="V11" s="66">
        <f>'CONSOLIDADO_TOTAL RECAUDO'!V106</f>
        <v>1085125225.04</v>
      </c>
      <c r="W11" s="66">
        <f>'CONSOLIDADO_TOTAL RECAUDO'!W106</f>
        <v>5099431876.0100012</v>
      </c>
      <c r="X11" s="66">
        <f>'CONSOLIDADO_TOTAL RECAUDO'!X106</f>
        <v>2698249103.4300003</v>
      </c>
      <c r="Y11" s="66">
        <f>'CONSOLIDADO_TOTAL RECAUDO'!Y106</f>
        <v>206658568.57000002</v>
      </c>
      <c r="Z11" s="66">
        <f>'CONSOLIDADO_TOTAL RECAUDO'!Z106</f>
        <v>-154788536</v>
      </c>
      <c r="AA11" s="66">
        <f>'CONSOLIDADO_TOTAL RECAUDO'!AA106</f>
        <v>-129890.69</v>
      </c>
      <c r="AB11" s="66">
        <f>'CONSOLIDADO_TOTAL RECAUDO'!AB106</f>
        <v>37171034.849999994</v>
      </c>
      <c r="AC11" s="66">
        <f>'CONSOLIDADO_TOTAL RECAUDO'!AC106</f>
        <v>1.45</v>
      </c>
      <c r="AD11" s="66">
        <f>'CONSOLIDADO_TOTAL RECAUDO'!AD106</f>
        <v>64073954.299999952</v>
      </c>
      <c r="AE11" s="66">
        <f>'CONSOLIDADO_TOTAL RECAUDO'!AE106</f>
        <v>-686515805.29999995</v>
      </c>
      <c r="AF11" s="70">
        <f>SUM(U11:AD11)</f>
        <v>10146104587.920002</v>
      </c>
      <c r="AG11" s="72">
        <f>AF11-O11</f>
        <v>0</v>
      </c>
      <c r="AH11" s="1" t="b">
        <f t="shared" si="2"/>
        <v>1</v>
      </c>
      <c r="AI11" s="4"/>
    </row>
    <row r="12" spans="2:35" x14ac:dyDescent="0.25">
      <c r="B12" s="16">
        <v>4</v>
      </c>
      <c r="C12" s="62" t="s">
        <v>13</v>
      </c>
      <c r="D12" s="66">
        <f>'CONSOLIDADO_TOTAL RECAUDO'!D107</f>
        <v>7675362501.9600019</v>
      </c>
      <c r="E12" s="66">
        <f>'CONSOLIDADO_TOTAL RECAUDO'!E107</f>
        <v>477094941.65000004</v>
      </c>
      <c r="F12" s="66">
        <f>'CONSOLIDADO_TOTAL RECAUDO'!F107</f>
        <v>265060637.16</v>
      </c>
      <c r="G12" s="66">
        <f>'CONSOLIDADO_TOTAL RECAUDO'!G107</f>
        <v>140590573.67999995</v>
      </c>
      <c r="H12" s="66">
        <f>'CONSOLIDADO_TOTAL RECAUDO'!H107</f>
        <v>1777041416.7</v>
      </c>
      <c r="I12" s="66">
        <f>'CONSOLIDADO_TOTAL RECAUDO'!I107</f>
        <v>61139285.359999999</v>
      </c>
      <c r="J12" s="66">
        <f>'CONSOLIDADO_TOTAL RECAUDO'!J107</f>
        <v>-714140939.3599999</v>
      </c>
      <c r="K12" s="31">
        <f t="shared" si="0"/>
        <v>5668576586.7700024</v>
      </c>
      <c r="L12" s="66">
        <f>'CONSOLIDADO_TOTAL RECAUDO'!L107</f>
        <v>120391083</v>
      </c>
      <c r="M12" s="31">
        <f>K12-L12</f>
        <v>5548185503.7700024</v>
      </c>
      <c r="N12" s="66">
        <f>'CONSOLIDADO_TOTAL RECAUDO'!N107</f>
        <v>10876689.639999999</v>
      </c>
      <c r="O12" s="31">
        <f t="shared" si="1"/>
        <v>5559062193.4100027</v>
      </c>
      <c r="Q12" s="4"/>
      <c r="S12" s="16">
        <v>4</v>
      </c>
      <c r="T12" s="62" t="s">
        <v>13</v>
      </c>
      <c r="U12" s="66">
        <f>'CONSOLIDADO_TOTAL RECAUDO'!U107</f>
        <v>535029563.30999988</v>
      </c>
      <c r="V12" s="66">
        <f>'CONSOLIDADO_TOTAL RECAUDO'!V107</f>
        <v>534230841.36000007</v>
      </c>
      <c r="W12" s="66">
        <f>'CONSOLIDADO_TOTAL RECAUDO'!W107</f>
        <v>2732035013.1900001</v>
      </c>
      <c r="X12" s="66">
        <f>'CONSOLIDADO_TOTAL RECAUDO'!X107</f>
        <v>1263034476.98</v>
      </c>
      <c r="Y12" s="66">
        <f>'CONSOLIDADO_TOTAL RECAUDO'!Y107</f>
        <v>99657425.799999982</v>
      </c>
      <c r="Z12" s="66">
        <f>'CONSOLIDADO_TOTAL RECAUDO'!Z107</f>
        <v>-120391083</v>
      </c>
      <c r="AA12" s="66">
        <f>'CONSOLIDADO_TOTAL RECAUDO'!AA107</f>
        <v>3063.98</v>
      </c>
      <c r="AB12" s="66">
        <f>'CONSOLIDADO_TOTAL RECAUDO'!AB107</f>
        <v>10876689.639999999</v>
      </c>
      <c r="AC12" s="66">
        <f>'CONSOLIDADO_TOTAL RECAUDO'!AC107</f>
        <v>264.25</v>
      </c>
      <c r="AD12" s="66">
        <f>'CONSOLIDADO_TOTAL RECAUDO'!AD107</f>
        <v>504585937.89999986</v>
      </c>
      <c r="AE12" s="66">
        <f>'CONSOLIDADO_TOTAL RECAUDO'!AE107</f>
        <v>-209555001.46000001</v>
      </c>
      <c r="AF12" s="70">
        <f>SUM(U12:AD12)</f>
        <v>5559062193.4099998</v>
      </c>
      <c r="AG12" s="72">
        <f>AF12-O12</f>
        <v>0</v>
      </c>
      <c r="AH12" s="1" t="b">
        <f t="shared" si="2"/>
        <v>1</v>
      </c>
      <c r="AI12" s="4"/>
    </row>
    <row r="13" spans="2:35" ht="12" thickBot="1" x14ac:dyDescent="0.3">
      <c r="B13" s="19">
        <v>5</v>
      </c>
      <c r="C13" s="63" t="s">
        <v>14</v>
      </c>
      <c r="D13" s="66">
        <f>'CONSOLIDADO_TOTAL RECAUDO'!D108</f>
        <v>12354444479.679998</v>
      </c>
      <c r="E13" s="66">
        <f>'CONSOLIDADO_TOTAL RECAUDO'!E108</f>
        <v>699550365.72000003</v>
      </c>
      <c r="F13" s="66">
        <f>'CONSOLIDADO_TOTAL RECAUDO'!F108</f>
        <v>389426700.64999998</v>
      </c>
      <c r="G13" s="66">
        <f>'CONSOLIDADO_TOTAL RECAUDO'!G108</f>
        <v>207027249.27999997</v>
      </c>
      <c r="H13" s="66">
        <f>'CONSOLIDADO_TOTAL RECAUDO'!H108</f>
        <v>3261769826.3800006</v>
      </c>
      <c r="I13" s="66">
        <f>'CONSOLIDADO_TOTAL RECAUDO'!I108</f>
        <v>106226760.38000001</v>
      </c>
      <c r="J13" s="66">
        <f>'CONSOLIDADO_TOTAL RECAUDO'!J108</f>
        <v>-98238891.940000057</v>
      </c>
      <c r="K13" s="31">
        <f t="shared" si="0"/>
        <v>7788682469.2099972</v>
      </c>
      <c r="L13" s="66">
        <f>'CONSOLIDADO_TOTAL RECAUDO'!L108</f>
        <v>128990446</v>
      </c>
      <c r="M13" s="40">
        <f>K13-L13</f>
        <v>7659692023.2099972</v>
      </c>
      <c r="N13" s="66">
        <f>'CONSOLIDADO_TOTAL RECAUDO'!N108</f>
        <v>12729250.720000001</v>
      </c>
      <c r="O13" s="40">
        <f t="shared" si="1"/>
        <v>7672421273.9299974</v>
      </c>
      <c r="Q13" s="4"/>
      <c r="S13" s="19">
        <v>5</v>
      </c>
      <c r="T13" s="63" t="s">
        <v>14</v>
      </c>
      <c r="U13" s="66">
        <f>'CONSOLIDADO_TOTAL RECAUDO'!U108</f>
        <v>931465283.1400001</v>
      </c>
      <c r="V13" s="66">
        <f>'CONSOLIDADO_TOTAL RECAUDO'!V108</f>
        <v>905059241.38000011</v>
      </c>
      <c r="W13" s="66">
        <f>'CONSOLIDADO_TOTAL RECAUDO'!W108</f>
        <v>4616629112.7299995</v>
      </c>
      <c r="X13" s="66">
        <f>'CONSOLIDADO_TOTAL RECAUDO'!X108</f>
        <v>2079120247.45</v>
      </c>
      <c r="Y13" s="66">
        <f>'CONSOLIDADO_TOTAL RECAUDO'!Y108</f>
        <v>173340674.33000001</v>
      </c>
      <c r="Z13" s="66">
        <f>'CONSOLIDADO_TOTAL RECAUDO'!Z108</f>
        <v>-128990446</v>
      </c>
      <c r="AA13" s="66">
        <f>'CONSOLIDADO_TOTAL RECAUDO'!AA108</f>
        <v>-177079.01</v>
      </c>
      <c r="AB13" s="66">
        <f>'CONSOLIDADO_TOTAL RECAUDO'!AB108</f>
        <v>12729250.720000001</v>
      </c>
      <c r="AC13" s="66">
        <f>'CONSOLIDADO_TOTAL RECAUDO'!AC108</f>
        <v>-23.61000000000001</v>
      </c>
      <c r="AD13" s="66">
        <f>'CONSOLIDADO_TOTAL RECAUDO'!AD108</f>
        <v>-916754987.19999993</v>
      </c>
      <c r="AE13" s="66">
        <f>'CONSOLIDADO_TOTAL RECAUDO'!AE108</f>
        <v>-1014993879.14</v>
      </c>
      <c r="AF13" s="70">
        <f>SUM(U13:AD13)</f>
        <v>7672421273.9300013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35">
      <c r="B14" s="21"/>
      <c r="C14" s="22" t="s">
        <v>2</v>
      </c>
      <c r="D14" s="43">
        <f t="shared" ref="D14:O14" si="3">SUM(D9:D13)</f>
        <v>73641219470.229996</v>
      </c>
      <c r="E14" s="43">
        <f t="shared" si="3"/>
        <v>4838024633.5299997</v>
      </c>
      <c r="F14" s="43">
        <f t="shared" si="3"/>
        <v>2688055396.1900001</v>
      </c>
      <c r="G14" s="43">
        <f t="shared" si="3"/>
        <v>1424814911.3</v>
      </c>
      <c r="H14" s="43">
        <f t="shared" si="3"/>
        <v>18689009337.860001</v>
      </c>
      <c r="I14" s="43">
        <f t="shared" si="3"/>
        <v>657163000.08000004</v>
      </c>
      <c r="J14" s="43">
        <f t="shared" si="3"/>
        <v>-9614779059.7300014</v>
      </c>
      <c r="K14" s="32">
        <f t="shared" si="3"/>
        <v>54958931251.000008</v>
      </c>
      <c r="L14" s="23">
        <f t="shared" si="3"/>
        <v>859936309</v>
      </c>
      <c r="M14" s="76">
        <f t="shared" si="3"/>
        <v>54098994942.000008</v>
      </c>
      <c r="N14" s="23">
        <f t="shared" si="3"/>
        <v>164364417.97</v>
      </c>
      <c r="O14" s="76">
        <f t="shared" si="3"/>
        <v>54263359359.970009</v>
      </c>
      <c r="P14" s="2"/>
      <c r="Q14" s="4"/>
      <c r="S14" s="21"/>
      <c r="T14" s="22" t="s">
        <v>2</v>
      </c>
      <c r="U14" s="43">
        <f>SUM(U9:U13)</f>
        <v>5763734897.4099998</v>
      </c>
      <c r="V14" s="43">
        <f t="shared" ref="V14:AG14" si="4">SUM(V9:V13)</f>
        <v>5649019311.7600002</v>
      </c>
      <c r="W14" s="43">
        <f t="shared" si="4"/>
        <v>27125022856.450001</v>
      </c>
      <c r="X14" s="43">
        <f t="shared" si="4"/>
        <v>11621087887.900002</v>
      </c>
      <c r="Y14" s="43">
        <f t="shared" si="4"/>
        <v>1072275242.5700001</v>
      </c>
      <c r="Z14" s="43">
        <f t="shared" si="4"/>
        <v>-859936309</v>
      </c>
      <c r="AA14" s="43">
        <f t="shared" si="4"/>
        <v>-40262.22</v>
      </c>
      <c r="AB14" s="43">
        <f t="shared" si="4"/>
        <v>164364417.97</v>
      </c>
      <c r="AC14" s="43">
        <f t="shared" si="4"/>
        <v>566.9899999999999</v>
      </c>
      <c r="AD14" s="43">
        <f t="shared" ref="AD14" si="5">SUM(AD9:AD13)</f>
        <v>3727830750.1400003</v>
      </c>
      <c r="AE14" s="43">
        <f>SUM(AE9:AE13)</f>
        <v>-5886948309.5900002</v>
      </c>
      <c r="AF14" s="68">
        <f t="shared" si="4"/>
        <v>54263359359.970009</v>
      </c>
      <c r="AG14" s="43">
        <f t="shared" si="4"/>
        <v>0</v>
      </c>
      <c r="AH14" s="1" t="b">
        <f t="shared" si="2"/>
        <v>1</v>
      </c>
      <c r="AI14" s="4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51231140196.090004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2026092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'CONSOLIDADO_TOTAL RECAUDO'!G122</f>
        <v>46281</v>
      </c>
      <c r="J27" s="2" t="s">
        <v>28</v>
      </c>
      <c r="K27" s="9">
        <f>'CONSOLIDADO_TOTAL RECAUDO'!K122</f>
        <v>46295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5">
      <c r="B30" s="108">
        <v>1</v>
      </c>
      <c r="C30" s="109" t="s">
        <v>10</v>
      </c>
      <c r="D30" s="110">
        <f>'CONSOLIDADO_TOTAL RECAUDO'!D125</f>
        <v>65283382.700000003</v>
      </c>
      <c r="E30" s="111">
        <f>'CONSOLIDADO_TOTAL RECAUDO'!E125</f>
        <v>0</v>
      </c>
      <c r="G30" s="140">
        <f>'CONSOLIDADO_TOTAL RECAUDO'!G125</f>
        <v>40070</v>
      </c>
      <c r="H30" s="110">
        <f>'CONSOLIDADO_TOTAL RECAUDO'!H125</f>
        <v>68638657.019999996</v>
      </c>
      <c r="I30" s="111">
        <f>'CONSOLIDADO_TOTAL RECAUDO'!I125</f>
        <v>589006.92000000004</v>
      </c>
      <c r="J30" s="111">
        <f>'CONSOLIDADO_TOTAL RECAUDO'!J125</f>
        <v>-1285060</v>
      </c>
      <c r="K30" s="111">
        <f>'CONSOLIDADO_TOTAL RECAUDO'!K125</f>
        <v>691640</v>
      </c>
      <c r="L30" s="111">
        <f>'CONSOLIDADO_TOTAL RECAUDO'!L125</f>
        <v>137440</v>
      </c>
      <c r="O30" s="44"/>
      <c r="Q30" s="4"/>
    </row>
    <row r="31" spans="1:35" x14ac:dyDescent="0.25">
      <c r="B31" s="16">
        <v>2</v>
      </c>
      <c r="C31" s="17" t="s">
        <v>11</v>
      </c>
      <c r="D31" s="15">
        <f>'CONSOLIDADO_TOTAL RECAUDO'!D126</f>
        <v>156846266.00999999</v>
      </c>
      <c r="E31" s="74">
        <f>'CONSOLIDADO_TOTAL RECAUDO'!E126</f>
        <v>0</v>
      </c>
      <c r="G31" s="82">
        <f>'CONSOLIDADO_TOTAL RECAUDO'!G126</f>
        <v>18014168</v>
      </c>
      <c r="H31" s="18">
        <f>'CONSOLIDADO_TOTAL RECAUDO'!H126</f>
        <v>155969155.34</v>
      </c>
      <c r="I31" s="83">
        <f>'CONSOLIDADO_TOTAL RECAUDO'!I126</f>
        <v>1255716.79</v>
      </c>
      <c r="J31" s="83">
        <f>'CONSOLIDADO_TOTAL RECAUDO'!J126</f>
        <v>-45230052</v>
      </c>
      <c r="K31" s="83">
        <f>'CONSOLIDADO_TOTAL RECAUDO'!K126</f>
        <v>12142859</v>
      </c>
      <c r="L31" s="83">
        <f>'CONSOLIDADO_TOTAL RECAUDO'!L126</f>
        <v>139792</v>
      </c>
      <c r="O31" s="44"/>
      <c r="Q31" s="4"/>
    </row>
    <row r="32" spans="1:35" x14ac:dyDescent="0.25">
      <c r="B32" s="16">
        <v>3</v>
      </c>
      <c r="C32" s="17" t="s">
        <v>12</v>
      </c>
      <c r="D32" s="15">
        <f>'CONSOLIDADO_TOTAL RECAUDO'!D127</f>
        <v>200945155.15000001</v>
      </c>
      <c r="E32" s="74">
        <f>'CONSOLIDADO_TOTAL RECAUDO'!E127</f>
        <v>0</v>
      </c>
      <c r="G32" s="82">
        <f>'CONSOLIDADO_TOTAL RECAUDO'!G127</f>
        <v>388550</v>
      </c>
      <c r="H32" s="18">
        <f>'CONSOLIDADO_TOTAL RECAUDO'!H127</f>
        <v>113082589.28</v>
      </c>
      <c r="I32" s="83">
        <f>'CONSOLIDADO_TOTAL RECAUDO'!I127</f>
        <v>102335.71</v>
      </c>
      <c r="J32" s="83">
        <f>'CONSOLIDADO_TOTAL RECAUDO'!J127</f>
        <v>-7715664</v>
      </c>
      <c r="K32" s="83">
        <f>'CONSOLIDADO_TOTAL RECAUDO'!K127</f>
        <v>1272990</v>
      </c>
      <c r="L32" s="83">
        <f>'CONSOLIDADO_TOTAL RECAUDO'!L127</f>
        <v>541790</v>
      </c>
      <c r="O32" s="44"/>
      <c r="Q32" s="4"/>
    </row>
    <row r="33" spans="1:20" x14ac:dyDescent="0.25">
      <c r="B33" s="16">
        <v>4</v>
      </c>
      <c r="C33" s="17" t="s">
        <v>13</v>
      </c>
      <c r="D33" s="15">
        <f>'CONSOLIDADO_TOTAL RECAUDO'!D128</f>
        <v>74190303.989999995</v>
      </c>
      <c r="E33" s="74">
        <f>'CONSOLIDADO_TOTAL RECAUDO'!E128</f>
        <v>0</v>
      </c>
      <c r="G33" s="82">
        <f>'CONSOLIDADO_TOTAL RECAUDO'!G128</f>
        <v>83364801.269999996</v>
      </c>
      <c r="H33" s="18">
        <f>'CONSOLIDADO_TOTAL RECAUDO'!H128</f>
        <v>109104435.04000001</v>
      </c>
      <c r="I33" s="83">
        <f>'CONSOLIDADO_TOTAL RECAUDO'!I128</f>
        <v>339659.81</v>
      </c>
      <c r="J33" s="83">
        <f>'CONSOLIDADO_TOTAL RECAUDO'!J128</f>
        <v>-178619709.53</v>
      </c>
      <c r="K33" s="83">
        <f>'CONSOLIDADO_TOTAL RECAUDO'!K128</f>
        <v>91642041.730000004</v>
      </c>
      <c r="L33" s="83">
        <f>'CONSOLIDADO_TOTAL RECAUDO'!L128</f>
        <v>780507.47</v>
      </c>
      <c r="O33" s="44"/>
      <c r="Q33" s="4"/>
    </row>
    <row r="34" spans="1:20" x14ac:dyDescent="0.25">
      <c r="B34" s="133">
        <v>5</v>
      </c>
      <c r="C34" s="138" t="s">
        <v>14</v>
      </c>
      <c r="D34" s="135">
        <f>'CONSOLIDADO_TOTAL RECAUDO'!D129</f>
        <v>26956968</v>
      </c>
      <c r="E34" s="139">
        <f>'CONSOLIDADO_TOTAL RECAUDO'!E129</f>
        <v>0</v>
      </c>
      <c r="G34" s="82">
        <f>'CONSOLIDADO_TOTAL RECAUDO'!G129</f>
        <v>0</v>
      </c>
      <c r="H34" s="18">
        <f>'CONSOLIDADO_TOTAL RECAUDO'!H129</f>
        <v>30004174.399999999</v>
      </c>
      <c r="I34" s="83">
        <f>'CONSOLIDADO_TOTAL RECAUDO'!I129</f>
        <v>0</v>
      </c>
      <c r="J34" s="83">
        <f>'CONSOLIDADO_TOTAL RECAUDO'!J129</f>
        <v>-4790099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" thickBot="1" x14ac:dyDescent="0.3">
      <c r="B35" s="19" t="s">
        <v>89</v>
      </c>
      <c r="C35" s="20" t="s">
        <v>113</v>
      </c>
      <c r="D35" s="78"/>
      <c r="E35" s="79">
        <f>'CONSOLIDADO_TOTAL RECAUDO'!E130</f>
        <v>437900</v>
      </c>
      <c r="G35" s="77"/>
      <c r="H35" s="78"/>
      <c r="I35" s="79"/>
      <c r="J35" s="79"/>
      <c r="K35" s="79"/>
      <c r="L35" s="79"/>
      <c r="O35" s="44"/>
      <c r="Q35" s="4"/>
    </row>
    <row r="36" spans="1:20" ht="12" thickBot="1" x14ac:dyDescent="0.3">
      <c r="B36" s="95"/>
      <c r="C36" s="106" t="s">
        <v>2</v>
      </c>
      <c r="D36" s="107">
        <f t="shared" ref="D36" si="6">SUM(D30:D34)</f>
        <v>524222075.85000002</v>
      </c>
      <c r="E36" s="107">
        <f>'CONSOLIDADO_TOTAL RECAUDO'!E131</f>
        <v>437900</v>
      </c>
      <c r="F36" s="45"/>
      <c r="G36" s="107">
        <f t="shared" ref="G36" si="7">SUM(G30:G34)</f>
        <v>101807589.27</v>
      </c>
      <c r="H36" s="107">
        <f t="shared" ref="H36:L36" si="8">SUM(H30:H34)</f>
        <v>476799011.07999998</v>
      </c>
      <c r="I36" s="107">
        <f t="shared" si="8"/>
        <v>2286719.23</v>
      </c>
      <c r="J36" s="107">
        <f t="shared" ref="J36" si="9">SUM(J30:J34)</f>
        <v>-237640584.53</v>
      </c>
      <c r="K36" s="107">
        <f t="shared" si="8"/>
        <v>105749530.73</v>
      </c>
      <c r="L36" s="107">
        <f t="shared" si="8"/>
        <v>1599529.47</v>
      </c>
      <c r="M36" s="45"/>
      <c r="N36" s="45"/>
      <c r="O36" s="46"/>
      <c r="P36" s="2"/>
      <c r="Q36" s="4"/>
    </row>
    <row r="37" spans="1:20" x14ac:dyDescent="0.25">
      <c r="B37" s="2"/>
      <c r="C37" s="2"/>
      <c r="D37" s="24"/>
      <c r="Q37" s="4"/>
    </row>
    <row r="38" spans="1:20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5">
      <c r="N42" s="24"/>
      <c r="O42" s="24"/>
      <c r="Q42" s="24"/>
      <c r="T42" s="24"/>
    </row>
    <row r="43" spans="1:20" x14ac:dyDescent="0.25">
      <c r="N43" s="24"/>
      <c r="O43" s="24"/>
      <c r="Q43" s="24"/>
      <c r="T43" s="24"/>
    </row>
    <row r="44" spans="1:20" x14ac:dyDescent="0.25">
      <c r="D44" s="267" t="b">
        <f>D14='CONSOLIDADO_TOTAL RECAUDO'!D109</f>
        <v>1</v>
      </c>
      <c r="E44" s="267" t="b">
        <f>E14='CONSOLIDADO_TOTAL RECAUDO'!E109</f>
        <v>1</v>
      </c>
      <c r="F44" s="267" t="b">
        <f>F14='CONSOLIDADO_TOTAL RECAUDO'!F109</f>
        <v>1</v>
      </c>
      <c r="G44" s="267" t="b">
        <f>G14='CONSOLIDADO_TOTAL RECAUDO'!G109</f>
        <v>1</v>
      </c>
      <c r="H44" s="267" t="b">
        <f>H14='CONSOLIDADO_TOTAL RECAUDO'!H109</f>
        <v>1</v>
      </c>
      <c r="I44" s="267" t="b">
        <f>I14='CONSOLIDADO_TOTAL RECAUDO'!I109</f>
        <v>1</v>
      </c>
      <c r="J44" s="267" t="b">
        <f>J14='CONSOLIDADO_TOTAL RECAUDO'!J109</f>
        <v>1</v>
      </c>
      <c r="K44" s="267" t="b">
        <f>K14='CONSOLIDADO_TOTAL RECAUDO'!K109</f>
        <v>1</v>
      </c>
      <c r="L44" s="267" t="b">
        <f>L14='CONSOLIDADO_TOTAL RECAUDO'!L109</f>
        <v>1</v>
      </c>
      <c r="M44" s="267" t="b">
        <f>M14='CONSOLIDADO_TOTAL RECAUDO'!M109</f>
        <v>1</v>
      </c>
      <c r="N44" s="267" t="b">
        <f>N14='CONSOLIDADO_TOTAL RECAUDO'!N109</f>
        <v>1</v>
      </c>
      <c r="O44" s="267" t="b">
        <f>O14='CONSOLIDADO_TOTAL RECAUDO'!O109</f>
        <v>1</v>
      </c>
      <c r="Q44" s="24"/>
      <c r="T44" s="24"/>
    </row>
    <row r="45" spans="1:20" x14ac:dyDescent="0.25">
      <c r="D45" s="267" t="b">
        <f>D36='CONSOLIDADO_TOTAL RECAUDO'!D131</f>
        <v>1</v>
      </c>
      <c r="E45" s="267" t="b">
        <f>E36='CONSOLIDADO_TOTAL RECAUDO'!E131</f>
        <v>1</v>
      </c>
      <c r="F45" s="267" t="b">
        <f>F36='CONSOLIDADO_TOTAL RECAUDO'!F131</f>
        <v>1</v>
      </c>
      <c r="G45" s="267" t="b">
        <f>G36='CONSOLIDADO_TOTAL RECAUDO'!G131</f>
        <v>1</v>
      </c>
      <c r="H45" s="267" t="b">
        <f>H36='CONSOLIDADO_TOTAL RECAUDO'!H131</f>
        <v>1</v>
      </c>
      <c r="I45" s="267" t="b">
        <f>I36='CONSOLIDADO_TOTAL RECAUDO'!I131</f>
        <v>1</v>
      </c>
      <c r="J45" s="267" t="b">
        <f>K36='CONSOLIDADO_TOTAL RECAUDO'!K131</f>
        <v>1</v>
      </c>
      <c r="K45" s="267" t="b">
        <f>K36='CONSOLIDADO_TOTAL RECAUDO'!K131</f>
        <v>1</v>
      </c>
      <c r="L45" s="267" t="b">
        <f>L36='CONSOLIDADO_TOTAL RECAUDO'!L131</f>
        <v>1</v>
      </c>
      <c r="M45" s="267" t="b">
        <f>M36='CONSOLIDADO_TOTAL RECAUDO'!M131</f>
        <v>1</v>
      </c>
      <c r="N45" s="267" t="b">
        <f>N36='CONSOLIDADO_TOTAL RECAUDO'!N131</f>
        <v>1</v>
      </c>
      <c r="O45" s="267" t="b">
        <f>O36='CONSOLIDADO_TOTAL RECAUDO'!O131</f>
        <v>1</v>
      </c>
      <c r="Q45" s="24"/>
      <c r="T45" s="24"/>
    </row>
    <row r="46" spans="1:20" x14ac:dyDescent="0.25">
      <c r="N46" s="24"/>
      <c r="O46" s="24"/>
      <c r="Q46" s="24"/>
      <c r="T46" s="24"/>
    </row>
    <row r="47" spans="1:20" x14ac:dyDescent="0.25">
      <c r="N47" s="24"/>
      <c r="O47" s="24"/>
      <c r="Q47" s="24"/>
      <c r="T47" s="24"/>
    </row>
    <row r="48" spans="1:20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A93" zoomScaleNormal="100" workbookViewId="0">
      <selection activeCell="A96" sqref="A96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17.81640625" style="1" customWidth="1"/>
    <col min="13" max="13" width="18.81640625" style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7.54296875" style="1" bestFit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36" width="13.81640625" style="1" bestFit="1" customWidth="1"/>
    <col min="37" max="16384" width="11.453125" style="1"/>
  </cols>
  <sheetData>
    <row r="1" spans="1:35" ht="12" thickBot="1" x14ac:dyDescent="0.3">
      <c r="A1" s="241"/>
      <c r="Q1" s="4"/>
      <c r="AI1" s="4"/>
    </row>
    <row r="2" spans="1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1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5" x14ac:dyDescent="0.35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1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x14ac:dyDescent="0.25">
      <c r="B9" s="303">
        <v>1</v>
      </c>
      <c r="C9" s="304" t="s">
        <v>10</v>
      </c>
      <c r="D9" s="291">
        <f>'Reporte Componentes R1'!F51</f>
        <v>0</v>
      </c>
      <c r="E9" s="292">
        <f>'Reporte Componentes R1'!G51</f>
        <v>0</v>
      </c>
      <c r="F9" s="292">
        <f>'Reporte Componentes R1'!H51</f>
        <v>0</v>
      </c>
      <c r="G9" s="292">
        <f>'Reporte Componentes R1'!I51</f>
        <v>0</v>
      </c>
      <c r="H9" s="292">
        <f>'Reporte Componentes R1'!J51</f>
        <v>0</v>
      </c>
      <c r="I9" s="292">
        <f>'Reporte Componentes R1'!K51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R1'!L51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R1'!M51</f>
        <v>0</v>
      </c>
      <c r="V9" s="308">
        <f>'Reporte Componentes R1'!N51</f>
        <v>0</v>
      </c>
      <c r="W9" s="308">
        <f>'Reporte Componentes R1'!O51</f>
        <v>0</v>
      </c>
      <c r="X9" s="308">
        <f>'Reporte Componentes R1'!P51</f>
        <v>0</v>
      </c>
      <c r="Y9" s="309">
        <f>'Reporte Componentes R1'!Q51</f>
        <v>0</v>
      </c>
      <c r="Z9" s="310">
        <f>L9*-1</f>
        <v>0</v>
      </c>
      <c r="AA9" s="311">
        <f>'Reporte Componentes R1'!R51+'Reporte Componentes R1'!V51+'Reporte Componentes R1'!U51</f>
        <v>0</v>
      </c>
      <c r="AB9" s="294">
        <f>N9</f>
        <v>0</v>
      </c>
      <c r="AC9" s="311">
        <f>'Reporte Componentes R1'!T51+'Reporte Componentes R1'!W51+'Reporte Componentes R1'!X51+'Reporte Componentes R1'!Y51+'Reporte Componentes R1'!Z51+'Reporte Componentes R1'!S51</f>
        <v>0</v>
      </c>
      <c r="AD9" s="291">
        <f>-J9+AE9</f>
        <v>0</v>
      </c>
      <c r="AE9" s="291">
        <f>'Reporte Componentes R1'!F52</f>
        <v>0</v>
      </c>
      <c r="AF9" s="313">
        <f>SUM(U9:AD9)</f>
        <v>0</v>
      </c>
      <c r="AG9" s="521">
        <f>(AF9-O9)</f>
        <v>0</v>
      </c>
      <c r="AH9" s="1" t="b">
        <f>INT(AG9)=0</f>
        <v>1</v>
      </c>
      <c r="AI9" s="306"/>
    </row>
    <row r="10" spans="1:35" s="305" customFormat="1" x14ac:dyDescent="0.25">
      <c r="B10" s="314">
        <v>2</v>
      </c>
      <c r="C10" s="315" t="s">
        <v>11</v>
      </c>
      <c r="D10" s="291">
        <f>'Reporte Componentes R1'!F205</f>
        <v>1778140.0000000002</v>
      </c>
      <c r="E10" s="292">
        <f>'Reporte Componentes R1'!G205</f>
        <v>133996.01999999999</v>
      </c>
      <c r="F10" s="292">
        <f>'Reporte Componentes R1'!H205</f>
        <v>74715.520000000004</v>
      </c>
      <c r="G10" s="292">
        <f>'Reporte Componentes R1'!I205</f>
        <v>39976.99</v>
      </c>
      <c r="H10" s="292">
        <f>'Reporte Componentes R1'!J205</f>
        <v>709926.42</v>
      </c>
      <c r="I10" s="292">
        <f>'Reporte Componentes R1'!K205</f>
        <v>25090.73</v>
      </c>
      <c r="J10" s="288">
        <v>0</v>
      </c>
      <c r="K10" s="295">
        <f t="shared" ref="K10:K13" si="0">D10-E10-F10-G10-H10-I10-J10</f>
        <v>794434.32000000018</v>
      </c>
      <c r="L10" s="294">
        <v>0</v>
      </c>
      <c r="M10" s="295">
        <f>K10-L10</f>
        <v>794434.32000000018</v>
      </c>
      <c r="N10" s="294">
        <f>'Reporte Componentes R1'!L205</f>
        <v>0</v>
      </c>
      <c r="O10" s="295">
        <f t="shared" ref="O10:O12" si="1">M10+N10</f>
        <v>794434.32000000018</v>
      </c>
      <c r="Q10" s="306"/>
      <c r="S10" s="314">
        <v>2</v>
      </c>
      <c r="T10" s="315" t="s">
        <v>11</v>
      </c>
      <c r="U10" s="316">
        <f>'Reporte Componentes R1'!M205</f>
        <v>211758.53</v>
      </c>
      <c r="V10" s="317">
        <f>'Reporte Componentes R1'!N205</f>
        <v>213619.08</v>
      </c>
      <c r="W10" s="317">
        <f>'Reporte Componentes R1'!O205</f>
        <v>1010492.54</v>
      </c>
      <c r="X10" s="317">
        <f>'Reporte Componentes R1'!P205</f>
        <v>263826.59000000003</v>
      </c>
      <c r="Y10" s="318">
        <f>'Reporte Componentes R1'!Q205</f>
        <v>39811.589999999997</v>
      </c>
      <c r="Z10" s="319">
        <f>L10*-1</f>
        <v>0</v>
      </c>
      <c r="AA10" s="320">
        <f>'Reporte Componentes R1'!R205+'Reporte Componentes R1'!V205+'Reporte Componentes R1'!U205</f>
        <v>21.48</v>
      </c>
      <c r="AB10" s="294">
        <f>N10</f>
        <v>0</v>
      </c>
      <c r="AC10" s="320">
        <f>'Reporte Componentes R1'!T205+'Reporte Componentes R1'!W205+'Reporte Componentes R1'!X205+'Reporte Componentes R1'!Y205+'Reporte Componentes R1'!Z205++'Reporte Componentes R1'!S205</f>
        <v>0</v>
      </c>
      <c r="AD10" s="291">
        <f t="shared" ref="AD10:AD13" si="2">-J10+AE10</f>
        <v>-945095.49</v>
      </c>
      <c r="AE10" s="291">
        <f>'Reporte Componentes R1'!F206</f>
        <v>-945095.49</v>
      </c>
      <c r="AF10" s="322">
        <f>SUM(U10:AD10)</f>
        <v>794434.32000000007</v>
      </c>
      <c r="AG10" s="522">
        <f>(AF10-O10)</f>
        <v>-1.1641532182693481E-10</v>
      </c>
      <c r="AH10" s="1" t="b">
        <f t="shared" ref="AH10:AH14" si="3">INT(AG10)=0</f>
        <v>0</v>
      </c>
      <c r="AI10" s="306"/>
    </row>
    <row r="11" spans="1:35" s="305" customFormat="1" x14ac:dyDescent="0.25">
      <c r="B11" s="314">
        <v>3</v>
      </c>
      <c r="C11" s="315" t="s">
        <v>12</v>
      </c>
      <c r="D11" s="291">
        <f>'Reporte Componentes R1'!F344</f>
        <v>0</v>
      </c>
      <c r="E11" s="292">
        <f>'Reporte Componentes R1'!G344</f>
        <v>0</v>
      </c>
      <c r="F11" s="292">
        <f>'Reporte Componentes R1'!H344</f>
        <v>0</v>
      </c>
      <c r="G11" s="292">
        <f>'Reporte Componentes R1'!I344</f>
        <v>0</v>
      </c>
      <c r="H11" s="292">
        <f>'Reporte Componentes R1'!J344</f>
        <v>0</v>
      </c>
      <c r="I11" s="292">
        <f>'Reporte Componentes R1'!K344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R1'!L344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R1'!M344</f>
        <v>0</v>
      </c>
      <c r="V11" s="317">
        <f>'Reporte Componentes R1'!N344</f>
        <v>0</v>
      </c>
      <c r="W11" s="317">
        <f>'Reporte Componentes R1'!O344</f>
        <v>0</v>
      </c>
      <c r="X11" s="317">
        <f>'Reporte Componentes R1'!P344</f>
        <v>0</v>
      </c>
      <c r="Y11" s="318">
        <f>'Reporte Componentes R1'!Q344</f>
        <v>0</v>
      </c>
      <c r="Z11" s="319">
        <f>L11*-1</f>
        <v>0</v>
      </c>
      <c r="AA11" s="320">
        <f>'Reporte Componentes R1'!R344+'Reporte Componentes R1'!V344+'Reporte Componentes R1'!U344</f>
        <v>0</v>
      </c>
      <c r="AB11" s="294">
        <f>N11</f>
        <v>0</v>
      </c>
      <c r="AC11" s="320">
        <f>'Reporte Componentes R1'!T344+'Reporte Componentes R1'!W344+'Reporte Componentes R1'!X344+'Reporte Componentes R1'!Y344+'Reporte Componentes R1'!Z344++'Reporte Componentes R1'!S344</f>
        <v>0</v>
      </c>
      <c r="AD11" s="291">
        <f t="shared" si="2"/>
        <v>0</v>
      </c>
      <c r="AE11" s="291">
        <f>'Reporte Componentes R1'!F345</f>
        <v>0</v>
      </c>
      <c r="AF11" s="322">
        <f t="shared" ref="AF11:AF13" si="4">SUM(U11:AD11)</f>
        <v>0</v>
      </c>
      <c r="AG11" s="522">
        <f>(AF11-O11)</f>
        <v>0</v>
      </c>
      <c r="AH11" s="1" t="b">
        <f t="shared" si="3"/>
        <v>1</v>
      </c>
      <c r="AI11" s="306"/>
    </row>
    <row r="12" spans="1:35" s="305" customFormat="1" x14ac:dyDescent="0.25">
      <c r="B12" s="314">
        <v>4</v>
      </c>
      <c r="C12" s="315" t="s">
        <v>13</v>
      </c>
      <c r="D12" s="291">
        <f>'Reporte Componentes R1'!F477</f>
        <v>551610</v>
      </c>
      <c r="E12" s="292">
        <f>'Reporte Componentes R1'!G477</f>
        <v>37405.68</v>
      </c>
      <c r="F12" s="292">
        <f>'Reporte Componentes R1'!H477</f>
        <v>19581.560000000001</v>
      </c>
      <c r="G12" s="292">
        <f>'Reporte Componentes R1'!I477</f>
        <v>10503.39</v>
      </c>
      <c r="H12" s="292">
        <f>'Reporte Componentes R1'!J477</f>
        <v>140798.29</v>
      </c>
      <c r="I12" s="292">
        <f>'Reporte Componentes R1'!K477</f>
        <v>4647.76</v>
      </c>
      <c r="J12" s="288">
        <v>0</v>
      </c>
      <c r="K12" s="295">
        <f t="shared" si="0"/>
        <v>338673.31999999995</v>
      </c>
      <c r="L12" s="294">
        <v>0</v>
      </c>
      <c r="M12" s="295">
        <f>K12-L12</f>
        <v>338673.31999999995</v>
      </c>
      <c r="N12" s="294">
        <f>'Reporte Componentes R1'!L477</f>
        <v>0</v>
      </c>
      <c r="O12" s="295">
        <f t="shared" si="1"/>
        <v>338673.31999999995</v>
      </c>
      <c r="Q12" s="306"/>
      <c r="S12" s="314">
        <v>4</v>
      </c>
      <c r="T12" s="315" t="s">
        <v>13</v>
      </c>
      <c r="U12" s="316">
        <f>'Reporte Componentes R1'!M477</f>
        <v>40769.82</v>
      </c>
      <c r="V12" s="317">
        <f>'Reporte Componentes R1'!N477</f>
        <v>40682.68</v>
      </c>
      <c r="W12" s="317">
        <f>'Reporte Componentes R1'!O477</f>
        <v>208309.45</v>
      </c>
      <c r="X12" s="317">
        <f>'Reporte Componentes R1'!P477</f>
        <v>99807.52</v>
      </c>
      <c r="Y12" s="318">
        <f>'Reporte Componentes R1'!Q477</f>
        <v>7583.14</v>
      </c>
      <c r="Z12" s="319">
        <f>L12*-1</f>
        <v>0</v>
      </c>
      <c r="AA12" s="320">
        <f>'Reporte Componentes R1'!R477+'Reporte Componentes R1'!V477+'Reporte Componentes R1'!U477</f>
        <v>2.72</v>
      </c>
      <c r="AB12" s="294">
        <f>N12</f>
        <v>0</v>
      </c>
      <c r="AC12" s="320">
        <f>'Reporte Componentes R1'!T477+'Reporte Componentes R1'!W477+'Reporte Componentes R1'!X477+'Reporte Componentes R1'!Y477+'Reporte Componentes R1'!Z477++'Reporte Componentes R1'!S477</f>
        <v>0</v>
      </c>
      <c r="AD12" s="291">
        <f t="shared" si="2"/>
        <v>-58482.01</v>
      </c>
      <c r="AE12" s="291">
        <f>'Reporte Componentes R1'!F478</f>
        <v>-58482.01</v>
      </c>
      <c r="AF12" s="322">
        <f t="shared" si="4"/>
        <v>338673.32</v>
      </c>
      <c r="AG12" s="522">
        <f>(AF12-O12)</f>
        <v>5.8207660913467407E-11</v>
      </c>
      <c r="AH12" s="1" t="b">
        <f t="shared" si="3"/>
        <v>1</v>
      </c>
      <c r="AI12" s="306"/>
    </row>
    <row r="13" spans="1:35" s="305" customFormat="1" ht="12" thickBot="1" x14ac:dyDescent="0.3">
      <c r="B13" s="324">
        <v>5</v>
      </c>
      <c r="C13" s="325" t="s">
        <v>14</v>
      </c>
      <c r="D13" s="296">
        <f>'Reporte Componentes R1'!F556</f>
        <v>0</v>
      </c>
      <c r="E13" s="297">
        <f>'Reporte Componentes R1'!G556</f>
        <v>0</v>
      </c>
      <c r="F13" s="297">
        <f>'Reporte Componentes R1'!H556</f>
        <v>0</v>
      </c>
      <c r="G13" s="297">
        <f>'Reporte Componentes R1'!I556</f>
        <v>0</v>
      </c>
      <c r="H13" s="297">
        <f>'Reporte Componentes R1'!J556</f>
        <v>0</v>
      </c>
      <c r="I13" s="297">
        <f>'Reporte Componentes R1'!K556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R1'!L556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R1'!M556</f>
        <v>0</v>
      </c>
      <c r="V13" s="297">
        <f>'Reporte Componentes R1'!N556</f>
        <v>0</v>
      </c>
      <c r="W13" s="297">
        <f>'Reporte Componentes R1'!O556</f>
        <v>0</v>
      </c>
      <c r="X13" s="297">
        <f>'Reporte Componentes R1'!P556</f>
        <v>0</v>
      </c>
      <c r="Y13" s="289">
        <f>'Reporte Componentes R1'!Q556</f>
        <v>0</v>
      </c>
      <c r="Z13" s="319">
        <f>L13*-1</f>
        <v>0</v>
      </c>
      <c r="AA13" s="320">
        <f>'Reporte Componentes R1'!R556+'Reporte Componentes R1'!V556+'Reporte Componentes R1'!U556</f>
        <v>0</v>
      </c>
      <c r="AB13" s="294">
        <f>N13</f>
        <v>0</v>
      </c>
      <c r="AC13" s="320">
        <f>'Reporte Componentes R1'!T556+'Reporte Componentes R1'!W556+'Reporte Componentes R1'!X556+'Reporte Componentes R1'!Y556+'Reporte Componentes R1'!Z556+'Reporte Componentes R1'!S556</f>
        <v>0</v>
      </c>
      <c r="AD13" s="291">
        <f t="shared" si="2"/>
        <v>0</v>
      </c>
      <c r="AE13" s="291">
        <f>'Reporte Componentes R1'!F557</f>
        <v>0</v>
      </c>
      <c r="AF13" s="322">
        <f t="shared" si="4"/>
        <v>0</v>
      </c>
      <c r="AG13" s="523">
        <f>(AF13-O13)</f>
        <v>0</v>
      </c>
      <c r="AH13" s="1" t="b">
        <f t="shared" si="3"/>
        <v>1</v>
      </c>
      <c r="AI13" s="306"/>
    </row>
    <row r="14" spans="1:35" s="305" customFormat="1" ht="13.5" thickBot="1" x14ac:dyDescent="0.35">
      <c r="B14" s="327"/>
      <c r="C14" s="328" t="s">
        <v>2</v>
      </c>
      <c r="D14" s="290">
        <f>SUM(D9:D13)</f>
        <v>2329750</v>
      </c>
      <c r="E14" s="290">
        <f t="shared" ref="E14:O14" si="5">SUM(E9:E13)</f>
        <v>171401.69999999998</v>
      </c>
      <c r="F14" s="290">
        <f t="shared" si="5"/>
        <v>94297.08</v>
      </c>
      <c r="G14" s="290">
        <f t="shared" si="5"/>
        <v>50480.38</v>
      </c>
      <c r="H14" s="290">
        <f t="shared" si="5"/>
        <v>850724.71000000008</v>
      </c>
      <c r="I14" s="290">
        <f t="shared" si="5"/>
        <v>29738.489999999998</v>
      </c>
      <c r="J14" s="290">
        <f t="shared" si="5"/>
        <v>0</v>
      </c>
      <c r="K14" s="300">
        <f t="shared" si="5"/>
        <v>1133107.6400000001</v>
      </c>
      <c r="L14" s="301">
        <f>SUM(L9:L13)</f>
        <v>0</v>
      </c>
      <c r="M14" s="302">
        <f t="shared" si="5"/>
        <v>1133107.6400000001</v>
      </c>
      <c r="N14" s="301">
        <f t="shared" si="5"/>
        <v>0</v>
      </c>
      <c r="O14" s="302">
        <f t="shared" si="5"/>
        <v>1133107.6400000001</v>
      </c>
      <c r="P14" s="329"/>
      <c r="Q14" s="306"/>
      <c r="S14" s="327"/>
      <c r="T14" s="328" t="s">
        <v>2</v>
      </c>
      <c r="U14" s="330">
        <f>SUM(U9:U13)</f>
        <v>252528.35</v>
      </c>
      <c r="V14" s="330">
        <f t="shared" ref="V14:AF14" si="6">SUM(V9:V13)</f>
        <v>254301.75999999998</v>
      </c>
      <c r="W14" s="330">
        <f t="shared" si="6"/>
        <v>1218801.99</v>
      </c>
      <c r="X14" s="330">
        <f t="shared" si="6"/>
        <v>363634.11000000004</v>
      </c>
      <c r="Y14" s="330">
        <f t="shared" si="6"/>
        <v>47394.729999999996</v>
      </c>
      <c r="Z14" s="290">
        <f t="shared" si="6"/>
        <v>0</v>
      </c>
      <c r="AA14" s="290">
        <f t="shared" si="6"/>
        <v>24.2</v>
      </c>
      <c r="AB14" s="290">
        <f t="shared" si="6"/>
        <v>0</v>
      </c>
      <c r="AC14" s="290">
        <f t="shared" si="6"/>
        <v>0</v>
      </c>
      <c r="AD14" s="290">
        <f>SUM(AD9:AD13)</f>
        <v>-1003577.5</v>
      </c>
      <c r="AE14" s="290">
        <f>SUM(AE9:AE13)</f>
        <v>-1003577.5</v>
      </c>
      <c r="AF14" s="331">
        <f t="shared" si="6"/>
        <v>1133107.6400000001</v>
      </c>
      <c r="AG14" s="524">
        <f>SUM(AG9:AG13)</f>
        <v>-5.8207660913467407E-11</v>
      </c>
      <c r="AH14" s="1" t="b">
        <f t="shared" si="3"/>
        <v>0</v>
      </c>
      <c r="AI14" s="306"/>
    </row>
    <row r="15" spans="1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2136660.9400000004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5" x14ac:dyDescent="0.35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68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x14ac:dyDescent="0.25">
      <c r="B28" s="303">
        <v>1</v>
      </c>
      <c r="C28" s="304" t="s">
        <v>10</v>
      </c>
      <c r="D28" s="291">
        <f>'Rem. Anticipos R2'!E46</f>
        <v>0</v>
      </c>
      <c r="E28" s="292">
        <f>'Rem. Anticipos R2'!F46</f>
        <v>0</v>
      </c>
      <c r="F28" s="292">
        <f>'Rem. Anticipos R2'!G46</f>
        <v>0</v>
      </c>
      <c r="G28" s="292">
        <f>'Rem. Anticipos R2'!H46</f>
        <v>0</v>
      </c>
      <c r="H28" s="292">
        <f>'Rem. Anticipos R2'!I46</f>
        <v>0</v>
      </c>
      <c r="I28" s="292">
        <f>'Rem. Anticipos R2'!J46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R2'!K46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R2'!L46</f>
        <v>0</v>
      </c>
      <c r="V28" s="308">
        <f>'Rem. Anticipos R2'!M46</f>
        <v>0</v>
      </c>
      <c r="W28" s="308">
        <f>'Rem. Anticipos R2'!N46</f>
        <v>0</v>
      </c>
      <c r="X28" s="308">
        <f>'Rem. Anticipos R2'!O46</f>
        <v>0</v>
      </c>
      <c r="Y28" s="309">
        <f>'Rem. Anticipos R2'!P46</f>
        <v>0</v>
      </c>
      <c r="Z28" s="310">
        <f>L28*-1</f>
        <v>0</v>
      </c>
      <c r="AA28" s="311">
        <f>'Rem. Anticipos R2'!Q46</f>
        <v>0</v>
      </c>
      <c r="AB28" s="294">
        <f>N28</f>
        <v>0</v>
      </c>
      <c r="AC28" s="311">
        <f>'Rem. Anticipos R2'!R46</f>
        <v>0</v>
      </c>
      <c r="AD28" s="291">
        <f>-J28+AE28</f>
        <v>0</v>
      </c>
      <c r="AE28" s="291">
        <f>'Rem. Anticipos R2'!E47</f>
        <v>0</v>
      </c>
      <c r="AF28" s="313">
        <f>SUM(U28:AD28)</f>
        <v>0</v>
      </c>
      <c r="AG28" s="521">
        <f>(AF28-O28)</f>
        <v>0</v>
      </c>
      <c r="AH28" s="1" t="b">
        <f>INT(AG28)=0</f>
        <v>1</v>
      </c>
      <c r="AI28" s="306"/>
    </row>
    <row r="29" spans="1:35" s="305" customFormat="1" x14ac:dyDescent="0.25">
      <c r="B29" s="314">
        <v>2</v>
      </c>
      <c r="C29" s="315" t="s">
        <v>11</v>
      </c>
      <c r="D29" s="291">
        <f>'Rem. Anticipos R2'!E139</f>
        <v>11655946.43</v>
      </c>
      <c r="E29" s="292">
        <f>'Rem. Anticipos R2'!F139</f>
        <v>1119003.19</v>
      </c>
      <c r="F29" s="292">
        <f>'Rem. Anticipos R2'!G139</f>
        <v>607204.31000000006</v>
      </c>
      <c r="G29" s="292">
        <f>'Rem. Anticipos R2'!H139</f>
        <v>223146.16</v>
      </c>
      <c r="H29" s="292">
        <f>'Rem. Anticipos R2'!I139</f>
        <v>5052245.5599999996</v>
      </c>
      <c r="I29" s="292">
        <f>'Rem. Anticipos R2'!J139</f>
        <v>169795</v>
      </c>
      <c r="J29" s="288">
        <v>0</v>
      </c>
      <c r="K29" s="295">
        <f t="shared" ref="K29:K31" si="7">D29-E29-F29-G29-H29-I29-J29</f>
        <v>4484552.21</v>
      </c>
      <c r="L29" s="294">
        <v>0</v>
      </c>
      <c r="M29" s="295">
        <f>K29-L29</f>
        <v>4484552.21</v>
      </c>
      <c r="N29" s="294">
        <f>'Rem. Anticipos R2'!K139</f>
        <v>0</v>
      </c>
      <c r="O29" s="295">
        <f t="shared" ref="O29:O32" si="8">M29+N29</f>
        <v>4484552.21</v>
      </c>
      <c r="Q29" s="306"/>
      <c r="S29" s="314">
        <v>2</v>
      </c>
      <c r="T29" s="315" t="s">
        <v>11</v>
      </c>
      <c r="U29" s="316">
        <f>'Rem. Anticipos R2'!L139</f>
        <v>1498462.82</v>
      </c>
      <c r="V29" s="317">
        <f>'Rem. Anticipos R2'!M139</f>
        <v>1463337.99</v>
      </c>
      <c r="W29" s="317">
        <f>'Rem. Anticipos R2'!N139</f>
        <v>5954184.21</v>
      </c>
      <c r="X29" s="317">
        <f>'Rem. Anticipos R2'!O139</f>
        <v>2182113.17</v>
      </c>
      <c r="Y29" s="318">
        <f>'Rem. Anticipos R2'!P139</f>
        <v>228161.47</v>
      </c>
      <c r="Z29" s="319">
        <f>L29*-1</f>
        <v>0</v>
      </c>
      <c r="AA29" s="320">
        <f>'Rem. Anticipos R2'!Q139</f>
        <v>-14.74</v>
      </c>
      <c r="AB29" s="294">
        <f>N29</f>
        <v>0</v>
      </c>
      <c r="AC29" s="320">
        <f>'Rem. Anticipos R2'!R139</f>
        <v>0</v>
      </c>
      <c r="AD29" s="291">
        <f>-J29+AE29</f>
        <v>-6841692.71</v>
      </c>
      <c r="AE29" s="291">
        <f>'Rem. Anticipos R2'!E140</f>
        <v>-6841692.71</v>
      </c>
      <c r="AF29" s="322">
        <f>SUM(U29:AD29)</f>
        <v>4484552.21</v>
      </c>
      <c r="AG29" s="522">
        <f>(AF29-O29)</f>
        <v>0</v>
      </c>
      <c r="AH29" s="1" t="b">
        <f t="shared" ref="AH29:AH33" si="9">INT(AG29)=0</f>
        <v>1</v>
      </c>
      <c r="AI29" s="306"/>
    </row>
    <row r="30" spans="1:35" s="305" customFormat="1" x14ac:dyDescent="0.25">
      <c r="B30" s="314">
        <v>3</v>
      </c>
      <c r="C30" s="315" t="s">
        <v>12</v>
      </c>
      <c r="D30" s="291">
        <f>'Rem. Anticipos R2'!E256</f>
        <v>0</v>
      </c>
      <c r="E30" s="292">
        <f>'Rem. Anticipos R2'!F256</f>
        <v>0</v>
      </c>
      <c r="F30" s="292">
        <f>'Rem. Anticipos R2'!G256</f>
        <v>0</v>
      </c>
      <c r="G30" s="292">
        <f>'Rem. Anticipos R2'!H256</f>
        <v>0</v>
      </c>
      <c r="H30" s="292">
        <f>'Rem. Anticipos R2'!I256</f>
        <v>0</v>
      </c>
      <c r="I30" s="292">
        <f>'Rem. Anticipos R2'!J256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R2'!K256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R2'!L256</f>
        <v>0</v>
      </c>
      <c r="V30" s="317">
        <f>'Rem. Anticipos R2'!M256</f>
        <v>0</v>
      </c>
      <c r="W30" s="317">
        <f>'Rem. Anticipos R2'!N256</f>
        <v>0</v>
      </c>
      <c r="X30" s="317">
        <f>'Rem. Anticipos R2'!O256</f>
        <v>0</v>
      </c>
      <c r="Y30" s="318">
        <f>'Rem. Anticipos R2'!P256</f>
        <v>0</v>
      </c>
      <c r="Z30" s="319">
        <f>L30*-1</f>
        <v>0</v>
      </c>
      <c r="AA30" s="320">
        <f>'Rem. Anticipos R2'!Q256</f>
        <v>0</v>
      </c>
      <c r="AB30" s="294">
        <f>N30</f>
        <v>0</v>
      </c>
      <c r="AC30" s="320">
        <f>'Rem. Anticipos R2'!R256</f>
        <v>0</v>
      </c>
      <c r="AD30" s="291">
        <f t="shared" ref="AD30:AD32" si="10">-J30+AE30</f>
        <v>0</v>
      </c>
      <c r="AE30" s="291">
        <f>'Rem. Anticipos R2'!E257</f>
        <v>0</v>
      </c>
      <c r="AF30" s="322">
        <f>SUM(U30:AD30)</f>
        <v>0</v>
      </c>
      <c r="AG30" s="522">
        <f t="shared" ref="AG30:AG31" si="11">(AF30-O30)</f>
        <v>0</v>
      </c>
      <c r="AH30" s="1" t="b">
        <f t="shared" si="9"/>
        <v>1</v>
      </c>
      <c r="AI30" s="306"/>
    </row>
    <row r="31" spans="1:35" s="305" customFormat="1" x14ac:dyDescent="0.25">
      <c r="B31" s="314">
        <v>4</v>
      </c>
      <c r="C31" s="315" t="s">
        <v>13</v>
      </c>
      <c r="D31" s="291">
        <f>'Rem. Anticipos R2'!E355</f>
        <v>9848837.3600000013</v>
      </c>
      <c r="E31" s="292">
        <f>'Rem. Anticipos R2'!F355</f>
        <v>626712.13</v>
      </c>
      <c r="F31" s="292">
        <f>'Rem. Anticipos R2'!G355</f>
        <v>346454.94</v>
      </c>
      <c r="G31" s="292">
        <f>'Rem. Anticipos R2'!H355</f>
        <v>136290.98000000001</v>
      </c>
      <c r="H31" s="292">
        <f>'Rem. Anticipos R2'!I355</f>
        <v>2447072.0299999998</v>
      </c>
      <c r="I31" s="292">
        <f>'Rem. Anticipos R2'!J355</f>
        <v>82771.77</v>
      </c>
      <c r="J31" s="288">
        <v>0</v>
      </c>
      <c r="K31" s="295">
        <f t="shared" si="7"/>
        <v>6209535.5100000016</v>
      </c>
      <c r="L31" s="294">
        <v>0</v>
      </c>
      <c r="M31" s="295">
        <f>K31-L31</f>
        <v>6209535.5100000016</v>
      </c>
      <c r="N31" s="294">
        <f>'Rem. Anticipos R2'!K355</f>
        <v>0</v>
      </c>
      <c r="O31" s="295">
        <f t="shared" si="8"/>
        <v>6209535.5100000016</v>
      </c>
      <c r="Q31" s="306"/>
      <c r="S31" s="314">
        <v>4</v>
      </c>
      <c r="T31" s="315" t="s">
        <v>13</v>
      </c>
      <c r="U31" s="316">
        <f>'Rem. Anticipos R2'!L355</f>
        <v>773954.17999999993</v>
      </c>
      <c r="V31" s="317">
        <f>'Rem. Anticipos R2'!M355</f>
        <v>748202.75</v>
      </c>
      <c r="W31" s="317">
        <f>'Rem. Anticipos R2'!N355</f>
        <v>3421823.1</v>
      </c>
      <c r="X31" s="317">
        <f>'Rem. Anticipos R2'!O355</f>
        <v>1767599.14</v>
      </c>
      <c r="Y31" s="318">
        <f>'Rem. Anticipos R2'!P355</f>
        <v>104210.13</v>
      </c>
      <c r="Z31" s="319">
        <f>L31*-1</f>
        <v>0</v>
      </c>
      <c r="AA31" s="320">
        <f>'Rem. Anticipos R2'!Q355</f>
        <v>11.07</v>
      </c>
      <c r="AB31" s="294">
        <f>N31</f>
        <v>0</v>
      </c>
      <c r="AC31" s="320">
        <f>'Rem. Anticipos R2'!R355</f>
        <v>0</v>
      </c>
      <c r="AD31" s="291">
        <f t="shared" si="10"/>
        <v>-606264.86</v>
      </c>
      <c r="AE31" s="291">
        <f>'Rem. Anticipos R2'!E356</f>
        <v>-606264.86</v>
      </c>
      <c r="AF31" s="322">
        <f>SUM(U31:AD31)</f>
        <v>6209535.5099999998</v>
      </c>
      <c r="AG31" s="522">
        <f t="shared" si="11"/>
        <v>-1.862645149230957E-9</v>
      </c>
      <c r="AH31" s="1" t="b">
        <f t="shared" si="9"/>
        <v>0</v>
      </c>
      <c r="AI31" s="306"/>
    </row>
    <row r="32" spans="1:35" s="305" customFormat="1" ht="12" thickBot="1" x14ac:dyDescent="0.3">
      <c r="B32" s="324">
        <v>5</v>
      </c>
      <c r="C32" s="325" t="s">
        <v>14</v>
      </c>
      <c r="D32" s="296">
        <f>'Rem. Anticipos R2'!E435</f>
        <v>0</v>
      </c>
      <c r="E32" s="297">
        <f>'Rem. Anticipos R2'!F435</f>
        <v>0</v>
      </c>
      <c r="F32" s="297">
        <f>'Rem. Anticipos R2'!G435</f>
        <v>0</v>
      </c>
      <c r="G32" s="297">
        <f>'Rem. Anticipos R2'!H435</f>
        <v>0</v>
      </c>
      <c r="H32" s="297">
        <f>'Rem. Anticipos R2'!I435</f>
        <v>0</v>
      </c>
      <c r="I32" s="297">
        <f>'Rem. Anticipos R2'!J435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R2'!K435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R2'!L435</f>
        <v>0</v>
      </c>
      <c r="V32" s="297">
        <f>'Rem. Anticipos R2'!M435</f>
        <v>0</v>
      </c>
      <c r="W32" s="297">
        <f>'Rem. Anticipos R2'!N435</f>
        <v>0</v>
      </c>
      <c r="X32" s="297">
        <f>'Rem. Anticipos R2'!O435</f>
        <v>0</v>
      </c>
      <c r="Y32" s="289">
        <f>'Rem. Anticipos R2'!P435</f>
        <v>0</v>
      </c>
      <c r="Z32" s="319">
        <f>L32*-1</f>
        <v>0</v>
      </c>
      <c r="AA32" s="320">
        <f>'Rem. Anticipos R2'!Q435</f>
        <v>0</v>
      </c>
      <c r="AB32" s="294">
        <f>N32</f>
        <v>0</v>
      </c>
      <c r="AC32" s="320">
        <f>'Rem. Anticipos R2'!R435</f>
        <v>0</v>
      </c>
      <c r="AD32" s="291">
        <f t="shared" si="10"/>
        <v>0</v>
      </c>
      <c r="AE32" s="291">
        <f>'Rem. Anticipos R2'!E436</f>
        <v>0</v>
      </c>
      <c r="AF32" s="322">
        <f>SUM(U32:AD32)</f>
        <v>0</v>
      </c>
      <c r="AG32" s="523">
        <f>(AF32-O32)</f>
        <v>0</v>
      </c>
      <c r="AH32" s="1" t="b">
        <f t="shared" si="9"/>
        <v>1</v>
      </c>
      <c r="AI32" s="306"/>
    </row>
    <row r="33" spans="1:35" s="305" customFormat="1" ht="13.5" thickBot="1" x14ac:dyDescent="0.35">
      <c r="B33" s="327"/>
      <c r="C33" s="328" t="s">
        <v>2</v>
      </c>
      <c r="D33" s="290">
        <f>SUM(D28:D32)</f>
        <v>21504783.789999999</v>
      </c>
      <c r="E33" s="290">
        <f>SUM(E28:E32)</f>
        <v>1745715.3199999998</v>
      </c>
      <c r="F33" s="290">
        <f t="shared" ref="F33:O33" si="12">SUM(F28:F32)</f>
        <v>953659.25</v>
      </c>
      <c r="G33" s="290">
        <f t="shared" si="12"/>
        <v>359437.14</v>
      </c>
      <c r="H33" s="290">
        <f t="shared" si="12"/>
        <v>7499317.5899999999</v>
      </c>
      <c r="I33" s="290">
        <f t="shared" si="12"/>
        <v>252566.77000000002</v>
      </c>
      <c r="J33" s="290">
        <f t="shared" si="12"/>
        <v>0</v>
      </c>
      <c r="K33" s="300">
        <f t="shared" si="12"/>
        <v>10694087.720000003</v>
      </c>
      <c r="L33" s="301">
        <f t="shared" si="12"/>
        <v>0</v>
      </c>
      <c r="M33" s="302">
        <f t="shared" si="12"/>
        <v>10694087.720000003</v>
      </c>
      <c r="N33" s="301">
        <f t="shared" si="12"/>
        <v>0</v>
      </c>
      <c r="O33" s="302">
        <f t="shared" si="12"/>
        <v>10694087.720000003</v>
      </c>
      <c r="P33" s="329"/>
      <c r="Q33" s="306"/>
      <c r="S33" s="327"/>
      <c r="T33" s="328" t="s">
        <v>2</v>
      </c>
      <c r="U33" s="330">
        <f>SUM(U28:U32)</f>
        <v>2272417</v>
      </c>
      <c r="V33" s="330">
        <f t="shared" ref="V33:AG33" si="13">SUM(V28:V32)</f>
        <v>2211540.7400000002</v>
      </c>
      <c r="W33" s="330">
        <f t="shared" si="13"/>
        <v>9376007.3100000005</v>
      </c>
      <c r="X33" s="330">
        <f t="shared" si="13"/>
        <v>3949712.3099999996</v>
      </c>
      <c r="Y33" s="330">
        <f t="shared" si="13"/>
        <v>332371.59999999998</v>
      </c>
      <c r="Z33" s="290">
        <f t="shared" si="13"/>
        <v>0</v>
      </c>
      <c r="AA33" s="290">
        <f t="shared" si="13"/>
        <v>-3.67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-7447957.5700000003</v>
      </c>
      <c r="AE33" s="290">
        <f>SUM(AE28:AE32)</f>
        <v>-7447957.5700000003</v>
      </c>
      <c r="AF33" s="331">
        <f t="shared" si="13"/>
        <v>10694087.719999999</v>
      </c>
      <c r="AG33" s="524">
        <f t="shared" si="13"/>
        <v>-1.862645149230957E-9</v>
      </c>
      <c r="AH33" s="1" t="b">
        <f t="shared" si="9"/>
        <v>0</v>
      </c>
      <c r="AI33" s="306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18142048.960000001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5" x14ac:dyDescent="0.35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68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x14ac:dyDescent="0.25">
      <c r="B47" s="303">
        <v>1</v>
      </c>
      <c r="C47" s="304" t="s">
        <v>10</v>
      </c>
      <c r="D47" s="291">
        <f>'Reporte Componentes R1'!F53</f>
        <v>0</v>
      </c>
      <c r="E47" s="292">
        <f>'Reporte Componentes R1'!G53</f>
        <v>0</v>
      </c>
      <c r="F47" s="292">
        <f>'Reporte Componentes R1'!H53</f>
        <v>0</v>
      </c>
      <c r="G47" s="292">
        <f>'Reporte Componentes R1'!I53</f>
        <v>0</v>
      </c>
      <c r="H47" s="292">
        <f>'Reporte Componentes R1'!J53</f>
        <v>0</v>
      </c>
      <c r="I47" s="292">
        <f>'Reporte Componentes R1'!K53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R1'!L53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R1'!M53</f>
        <v>0</v>
      </c>
      <c r="V47" s="308">
        <f>'Reporte Componentes R1'!N53</f>
        <v>0</v>
      </c>
      <c r="W47" s="308">
        <f>'Reporte Componentes R1'!O53</f>
        <v>0</v>
      </c>
      <c r="X47" s="308">
        <f>'Reporte Componentes R1'!P53</f>
        <v>0</v>
      </c>
      <c r="Y47" s="309">
        <f>'Reporte Componentes R1'!Q53</f>
        <v>0</v>
      </c>
      <c r="Z47" s="310">
        <f>-L47</f>
        <v>0</v>
      </c>
      <c r="AA47" s="311">
        <f>'Reporte Componentes R1'!R53+'Reporte Componentes R1'!V53+'Reporte Componentes R1'!U53</f>
        <v>0</v>
      </c>
      <c r="AB47" s="294">
        <f>N47</f>
        <v>0</v>
      </c>
      <c r="AC47" s="311">
        <f>'Reporte Componentes R1'!T53+'Reporte Componentes R1'!W53+'Reporte Componentes R1'!X53+'Reporte Componentes R1'!Y53+'Reporte Componentes R1'!Z53+'Reporte Componentes R1'!S53</f>
        <v>0</v>
      </c>
      <c r="AD47" s="291">
        <f>-J47+AE47</f>
        <v>0</v>
      </c>
      <c r="AE47" s="291">
        <f>'Reporte Componentes R1'!F54</f>
        <v>0</v>
      </c>
      <c r="AF47" s="313">
        <f>SUM(U47:AD47)</f>
        <v>0</v>
      </c>
      <c r="AG47" s="521">
        <f>(AF47-O47)</f>
        <v>0</v>
      </c>
      <c r="AH47" s="1" t="b">
        <f t="shared" ref="AH47:AH52" si="15">INT(AG47)=0</f>
        <v>1</v>
      </c>
      <c r="AI47" s="306"/>
    </row>
    <row r="48" spans="1:35" s="305" customFormat="1" x14ac:dyDescent="0.25">
      <c r="B48" s="314">
        <v>2</v>
      </c>
      <c r="C48" s="315" t="s">
        <v>11</v>
      </c>
      <c r="D48" s="291">
        <f>'Reporte Componentes R1'!F207</f>
        <v>0</v>
      </c>
      <c r="E48" s="292">
        <f>'Reporte Componentes R1'!G207</f>
        <v>0</v>
      </c>
      <c r="F48" s="292">
        <f>'Reporte Componentes R1'!H207</f>
        <v>0</v>
      </c>
      <c r="G48" s="292">
        <f>'Reporte Componentes R1'!I207</f>
        <v>0</v>
      </c>
      <c r="H48" s="292">
        <f>'Reporte Componentes R1'!J207</f>
        <v>0</v>
      </c>
      <c r="I48" s="292">
        <f>'Reporte Componentes R1'!K207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R1'!L207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R1'!M207</f>
        <v>0</v>
      </c>
      <c r="V48" s="317">
        <f>'Reporte Componentes R1'!N207</f>
        <v>0</v>
      </c>
      <c r="W48" s="317">
        <f>'Reporte Componentes R1'!O207</f>
        <v>0</v>
      </c>
      <c r="X48" s="317">
        <f>'Reporte Componentes R1'!P207</f>
        <v>0</v>
      </c>
      <c r="Y48" s="318">
        <f>'Reporte Componentes R1'!Q207</f>
        <v>0</v>
      </c>
      <c r="Z48" s="319">
        <f>-L48</f>
        <v>0</v>
      </c>
      <c r="AA48" s="320">
        <f>'Reporte Componentes R1'!R207+'Reporte Componentes R1'!V207+'Reporte Componentes R1'!U207</f>
        <v>0</v>
      </c>
      <c r="AB48" s="294">
        <f>N48</f>
        <v>0</v>
      </c>
      <c r="AC48" s="320">
        <f>'Reporte Componentes R1'!T207+'Reporte Componentes R1'!W207+'Reporte Componentes R1'!X207+'Reporte Componentes R1'!Y207+'Reporte Componentes R1'!Z207+'Reporte Componentes R1'!S207</f>
        <v>0</v>
      </c>
      <c r="AD48" s="291">
        <f t="shared" ref="AD48:AD51" si="18">-J48+AE48</f>
        <v>0</v>
      </c>
      <c r="AE48" s="291">
        <f>'Reporte Componentes R1'!F208</f>
        <v>0</v>
      </c>
      <c r="AF48" s="322">
        <f>SUM(U48:AD48)</f>
        <v>0</v>
      </c>
      <c r="AG48" s="522">
        <f>(AF48-O48)</f>
        <v>0</v>
      </c>
      <c r="AH48" s="1" t="b">
        <f t="shared" si="15"/>
        <v>1</v>
      </c>
      <c r="AI48" s="306"/>
    </row>
    <row r="49" spans="1:35" s="305" customFormat="1" x14ac:dyDescent="0.25">
      <c r="B49" s="314">
        <v>3</v>
      </c>
      <c r="C49" s="315" t="s">
        <v>12</v>
      </c>
      <c r="D49" s="291">
        <f>'Reporte Componentes R1'!F346</f>
        <v>0</v>
      </c>
      <c r="E49" s="292">
        <f>'Reporte Componentes R1'!G346</f>
        <v>0</v>
      </c>
      <c r="F49" s="292">
        <f>'Reporte Componentes R1'!H346</f>
        <v>0</v>
      </c>
      <c r="G49" s="292">
        <f>'Reporte Componentes R1'!I346</f>
        <v>0</v>
      </c>
      <c r="H49" s="292">
        <f>'Reporte Componentes R1'!J346</f>
        <v>0</v>
      </c>
      <c r="I49" s="292">
        <f>'Reporte Componentes R1'!K346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R1'!L346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R1'!M346</f>
        <v>0</v>
      </c>
      <c r="V49" s="317">
        <f>'Reporte Componentes R1'!N346</f>
        <v>0</v>
      </c>
      <c r="W49" s="317">
        <f>'Reporte Componentes R1'!O346</f>
        <v>0</v>
      </c>
      <c r="X49" s="317">
        <f>'Reporte Componentes R1'!P346</f>
        <v>0</v>
      </c>
      <c r="Y49" s="318">
        <f>'Reporte Componentes R1'!Q346</f>
        <v>0</v>
      </c>
      <c r="Z49" s="319">
        <f>-L49</f>
        <v>0</v>
      </c>
      <c r="AA49" s="320">
        <f>'Reporte Componentes R1'!R346+'Reporte Componentes R1'!V346+'Reporte Componentes R1'!U346</f>
        <v>0</v>
      </c>
      <c r="AB49" s="294">
        <f>N49</f>
        <v>0</v>
      </c>
      <c r="AC49" s="320">
        <f>'Reporte Componentes R1'!T346+'Reporte Componentes R1'!W346+'Reporte Componentes R1'!X346+'Reporte Componentes R1'!Y346+'Reporte Componentes R1'!Z346+'Reporte Componentes R1'!S346</f>
        <v>0</v>
      </c>
      <c r="AD49" s="291">
        <f t="shared" si="18"/>
        <v>0</v>
      </c>
      <c r="AE49" s="291">
        <f>'Reporte Componentes R1'!F347</f>
        <v>0</v>
      </c>
      <c r="AF49" s="322">
        <f t="shared" ref="AF49:AF51" si="19">SUM(U49:AD49)</f>
        <v>0</v>
      </c>
      <c r="AG49" s="522">
        <f t="shared" ref="AG49:AG51" si="20">(AF49-O49)</f>
        <v>0</v>
      </c>
      <c r="AH49" s="1" t="b">
        <f t="shared" si="15"/>
        <v>1</v>
      </c>
      <c r="AI49" s="306"/>
    </row>
    <row r="50" spans="1:35" s="305" customFormat="1" x14ac:dyDescent="0.25">
      <c r="B50" s="314">
        <v>4</v>
      </c>
      <c r="C50" s="315" t="s">
        <v>13</v>
      </c>
      <c r="D50" s="291">
        <f>'Reporte Componentes R1'!F479</f>
        <v>477309.99999999994</v>
      </c>
      <c r="E50" s="292">
        <f>'Reporte Componentes R1'!G479</f>
        <v>38110.6</v>
      </c>
      <c r="F50" s="292">
        <f>'Reporte Componentes R1'!H479</f>
        <v>21563.85</v>
      </c>
      <c r="G50" s="292">
        <f>'Reporte Componentes R1'!I479</f>
        <v>11358.44</v>
      </c>
      <c r="H50" s="292">
        <f>'Reporte Componentes R1'!J479</f>
        <v>115713.43</v>
      </c>
      <c r="I50" s="292">
        <f>'Reporte Componentes R1'!K479</f>
        <v>4097.95</v>
      </c>
      <c r="J50" s="288">
        <v>0</v>
      </c>
      <c r="K50" s="295">
        <f t="shared" si="16"/>
        <v>286465.73</v>
      </c>
      <c r="L50" s="294">
        <v>0</v>
      </c>
      <c r="M50" s="295">
        <f>K50-L50</f>
        <v>286465.73</v>
      </c>
      <c r="N50" s="294">
        <f>'Reporte Componentes R1'!L479</f>
        <v>0</v>
      </c>
      <c r="O50" s="295">
        <f t="shared" si="17"/>
        <v>286465.73</v>
      </c>
      <c r="Q50" s="306"/>
      <c r="S50" s="314">
        <v>4</v>
      </c>
      <c r="T50" s="315" t="s">
        <v>13</v>
      </c>
      <c r="U50" s="316">
        <f>'Reporte Componentes R1'!M479</f>
        <v>35947.1</v>
      </c>
      <c r="V50" s="317">
        <f>'Reporte Componentes R1'!N479</f>
        <v>36518.79</v>
      </c>
      <c r="W50" s="317">
        <f>'Reporte Componentes R1'!O479</f>
        <v>186444.24</v>
      </c>
      <c r="X50" s="317">
        <f>'Reporte Componentes R1'!P479</f>
        <v>101419.31</v>
      </c>
      <c r="Y50" s="318">
        <f>'Reporte Componentes R1'!Q479</f>
        <v>6686.12</v>
      </c>
      <c r="Z50" s="319">
        <f>-L50</f>
        <v>0</v>
      </c>
      <c r="AA50" s="320">
        <f>'Reporte Componentes R1'!R479+'Reporte Componentes R1'!V479+'Reporte Componentes R1'!U479</f>
        <v>9.6199999999999992</v>
      </c>
      <c r="AB50" s="294">
        <f>N50</f>
        <v>0</v>
      </c>
      <c r="AC50" s="320">
        <f>'Reporte Componentes R1'!T479+'Reporte Componentes R1'!W479+'Reporte Componentes R1'!X479+'Reporte Componentes R1'!Y479+'Reporte Componentes R1'!Z479+'Reporte Componentes R1'!S479</f>
        <v>0</v>
      </c>
      <c r="AD50" s="291">
        <f t="shared" si="18"/>
        <v>-80559.45</v>
      </c>
      <c r="AE50" s="291">
        <f>'Reporte Componentes R1'!F480</f>
        <v>-80559.45</v>
      </c>
      <c r="AF50" s="322">
        <f t="shared" si="19"/>
        <v>286465.73</v>
      </c>
      <c r="AG50" s="522">
        <f t="shared" si="20"/>
        <v>0</v>
      </c>
      <c r="AH50" s="1" t="b">
        <f t="shared" si="15"/>
        <v>1</v>
      </c>
      <c r="AI50" s="306"/>
    </row>
    <row r="51" spans="1:35" s="305" customFormat="1" ht="12" thickBot="1" x14ac:dyDescent="0.3">
      <c r="B51" s="324">
        <v>5</v>
      </c>
      <c r="C51" s="325" t="s">
        <v>14</v>
      </c>
      <c r="D51" s="296">
        <f>'Reporte Componentes R1'!F558</f>
        <v>0</v>
      </c>
      <c r="E51" s="297">
        <f>'Reporte Componentes R1'!G558</f>
        <v>0</v>
      </c>
      <c r="F51" s="297">
        <f>'Reporte Componentes R1'!H558</f>
        <v>0</v>
      </c>
      <c r="G51" s="297">
        <f>'Reporte Componentes R1'!I558</f>
        <v>0</v>
      </c>
      <c r="H51" s="297">
        <f>'Reporte Componentes R1'!J558</f>
        <v>0</v>
      </c>
      <c r="I51" s="297">
        <f>'Reporte Componentes R1'!K558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R1'!L558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R1'!M558</f>
        <v>0</v>
      </c>
      <c r="V51" s="297">
        <f>'Reporte Componentes R1'!N558</f>
        <v>0</v>
      </c>
      <c r="W51" s="297">
        <f>'Reporte Componentes R1'!O558</f>
        <v>0</v>
      </c>
      <c r="X51" s="297">
        <f>'Reporte Componentes R1'!P558</f>
        <v>0</v>
      </c>
      <c r="Y51" s="289">
        <f>'Reporte Componentes R1'!Q558</f>
        <v>0</v>
      </c>
      <c r="Z51" s="319">
        <f>-L51</f>
        <v>0</v>
      </c>
      <c r="AA51" s="320">
        <f>'Reporte Componentes R1'!R558+'Reporte Componentes R1'!V558+'Reporte Componentes R1'!U558</f>
        <v>0</v>
      </c>
      <c r="AB51" s="294">
        <f>N51</f>
        <v>0</v>
      </c>
      <c r="AC51" s="320">
        <f>'Reporte Componentes R1'!T558+'Reporte Componentes R1'!W558+'Reporte Componentes R1'!X558+'Reporte Componentes R1'!Y558+'Reporte Componentes R1'!Z558+'Reporte Componentes R1'!S558</f>
        <v>0</v>
      </c>
      <c r="AD51" s="291">
        <f t="shared" si="18"/>
        <v>0</v>
      </c>
      <c r="AE51" s="291">
        <f>'Reporte Componentes R1'!F559</f>
        <v>0</v>
      </c>
      <c r="AF51" s="322">
        <f t="shared" si="19"/>
        <v>0</v>
      </c>
      <c r="AG51" s="523">
        <f t="shared" si="20"/>
        <v>0</v>
      </c>
      <c r="AH51" s="1" t="b">
        <f t="shared" si="15"/>
        <v>1</v>
      </c>
      <c r="AI51" s="306"/>
    </row>
    <row r="52" spans="1:35" s="305" customFormat="1" ht="13.5" thickBot="1" x14ac:dyDescent="0.35">
      <c r="B52" s="327"/>
      <c r="C52" s="328" t="s">
        <v>2</v>
      </c>
      <c r="D52" s="290">
        <f t="shared" ref="D52:O52" si="21">SUM(D47:D51)</f>
        <v>477309.99999999994</v>
      </c>
      <c r="E52" s="290">
        <f t="shared" si="21"/>
        <v>38110.6</v>
      </c>
      <c r="F52" s="290">
        <f t="shared" si="21"/>
        <v>21563.85</v>
      </c>
      <c r="G52" s="290">
        <f t="shared" ref="G52" si="22">SUM(G47:G51)</f>
        <v>11358.44</v>
      </c>
      <c r="H52" s="290">
        <f t="shared" si="21"/>
        <v>115713.43</v>
      </c>
      <c r="I52" s="290">
        <f t="shared" si="21"/>
        <v>4097.95</v>
      </c>
      <c r="J52" s="290">
        <f t="shared" si="21"/>
        <v>0</v>
      </c>
      <c r="K52" s="300">
        <f t="shared" si="21"/>
        <v>286465.73</v>
      </c>
      <c r="L52" s="301">
        <f t="shared" si="21"/>
        <v>0</v>
      </c>
      <c r="M52" s="302">
        <f t="shared" si="21"/>
        <v>286465.73</v>
      </c>
      <c r="N52" s="301">
        <f t="shared" si="21"/>
        <v>0</v>
      </c>
      <c r="O52" s="302">
        <f t="shared" si="21"/>
        <v>286465.73</v>
      </c>
      <c r="P52" s="329"/>
      <c r="Q52" s="306"/>
      <c r="S52" s="327"/>
      <c r="T52" s="328" t="s">
        <v>2</v>
      </c>
      <c r="U52" s="330">
        <f>SUM(U47:U51)</f>
        <v>35947.1</v>
      </c>
      <c r="V52" s="330">
        <f t="shared" ref="V52:AG52" si="23">SUM(V47:V51)</f>
        <v>36518.79</v>
      </c>
      <c r="W52" s="330">
        <f t="shared" si="23"/>
        <v>186444.24</v>
      </c>
      <c r="X52" s="330">
        <f t="shared" si="23"/>
        <v>101419.31</v>
      </c>
      <c r="Y52" s="330">
        <f t="shared" si="23"/>
        <v>6686.12</v>
      </c>
      <c r="Z52" s="290">
        <f t="shared" si="23"/>
        <v>0</v>
      </c>
      <c r="AA52" s="290">
        <f t="shared" si="23"/>
        <v>9.6199999999999992</v>
      </c>
      <c r="AB52" s="290">
        <f t="shared" si="23"/>
        <v>0</v>
      </c>
      <c r="AC52" s="290">
        <f t="shared" si="23"/>
        <v>0</v>
      </c>
      <c r="AD52" s="290">
        <f>SUM(AD47:AD51)</f>
        <v>-80559.45</v>
      </c>
      <c r="AE52" s="290">
        <f>SUM(AE47:AE51)</f>
        <v>-80559.45</v>
      </c>
      <c r="AF52" s="331">
        <f t="shared" si="23"/>
        <v>286465.73</v>
      </c>
      <c r="AG52" s="524">
        <f t="shared" si="23"/>
        <v>0</v>
      </c>
      <c r="AH52" s="1" t="b">
        <f t="shared" si="15"/>
        <v>1</v>
      </c>
      <c r="AI52" s="306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367015.56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5" x14ac:dyDescent="0.35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68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x14ac:dyDescent="0.25">
      <c r="B66" s="303">
        <v>1</v>
      </c>
      <c r="C66" s="304" t="s">
        <v>10</v>
      </c>
      <c r="D66" s="291">
        <f>'Reversion Pagos R4'!D73</f>
        <v>0</v>
      </c>
      <c r="E66" s="292">
        <f>'Reversion Pagos R4'!E73</f>
        <v>0</v>
      </c>
      <c r="F66" s="292">
        <f>'Reversion Pagos R4'!F73</f>
        <v>0</v>
      </c>
      <c r="G66" s="292">
        <f>'Reversion Pagos R4'!G73</f>
        <v>0</v>
      </c>
      <c r="H66" s="292">
        <f>'Reversion Pagos R4'!H73</f>
        <v>0</v>
      </c>
      <c r="I66" s="292">
        <f>'Reversion Pagos R4'!I73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R4'!P73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R4'!J73</f>
        <v>0</v>
      </c>
      <c r="V66" s="308">
        <f>'Reversion Pagos R4'!K73</f>
        <v>0</v>
      </c>
      <c r="W66" s="308">
        <f>'Reversion Pagos R4'!L73</f>
        <v>0</v>
      </c>
      <c r="X66" s="308">
        <f>'Reversion Pagos R4'!M73</f>
        <v>0</v>
      </c>
      <c r="Y66" s="309">
        <f>'Reversion Pagos R4'!N73</f>
        <v>0</v>
      </c>
      <c r="Z66" s="310">
        <f>-L66</f>
        <v>0</v>
      </c>
      <c r="AA66" s="320">
        <f>'Reversion Pagos R4'!O73</f>
        <v>0</v>
      </c>
      <c r="AB66" s="294">
        <f>N66</f>
        <v>0</v>
      </c>
      <c r="AC66" s="320">
        <f>+'Reversion Pagos R4'!Q73+'Reversion Pagos R4'!R73</f>
        <v>0</v>
      </c>
      <c r="AD66" s="291">
        <f>-J66+AE66</f>
        <v>0</v>
      </c>
      <c r="AE66" s="291">
        <f>'Reversion Pagos R4'!D74</f>
        <v>0</v>
      </c>
      <c r="AF66" s="313">
        <f>SUM(U66:AD66)</f>
        <v>0</v>
      </c>
      <c r="AG66" s="521">
        <f>(AF66-O66)</f>
        <v>0</v>
      </c>
      <c r="AH66" s="1" t="b">
        <f t="shared" ref="AH66:AH71" si="24">INT(AG66)=0</f>
        <v>1</v>
      </c>
      <c r="AI66" s="306"/>
    </row>
    <row r="67" spans="1:35" s="305" customFormat="1" x14ac:dyDescent="0.25">
      <c r="B67" s="314">
        <v>2</v>
      </c>
      <c r="C67" s="315" t="s">
        <v>11</v>
      </c>
      <c r="D67" s="291">
        <f>'Reversion Pagos R4'!D173</f>
        <v>-46130</v>
      </c>
      <c r="E67" s="292">
        <f>'Reversion Pagos R4'!E173</f>
        <v>-3878.52</v>
      </c>
      <c r="F67" s="292">
        <f>'Reversion Pagos R4'!F173</f>
        <v>-2172.7800000000002</v>
      </c>
      <c r="G67" s="292">
        <f>'Reversion Pagos R4'!G173</f>
        <v>-1192.6199999999999</v>
      </c>
      <c r="H67" s="292">
        <f>'Reversion Pagos R4'!H173</f>
        <v>-20529.3</v>
      </c>
      <c r="I67" s="292">
        <f>'Reversion Pagos R4'!I173</f>
        <v>-491.85</v>
      </c>
      <c r="J67" s="288">
        <v>0</v>
      </c>
      <c r="K67" s="295">
        <f t="shared" ref="K67:K70" si="25">D67-E67-F67-G67-H67-I67-J67</f>
        <v>-17864.930000000004</v>
      </c>
      <c r="L67" s="294">
        <v>0</v>
      </c>
      <c r="M67" s="295">
        <f>K67-L67</f>
        <v>-17864.930000000004</v>
      </c>
      <c r="N67" s="294">
        <f>'Reversion Pagos R4'!P173</f>
        <v>0</v>
      </c>
      <c r="O67" s="295">
        <f t="shared" ref="O67:O70" si="26">M67+N67</f>
        <v>-17864.930000000004</v>
      </c>
      <c r="Q67" s="306"/>
      <c r="S67" s="314">
        <v>2</v>
      </c>
      <c r="T67" s="315" t="s">
        <v>11</v>
      </c>
      <c r="U67" s="316">
        <f>'Reversion Pagos R4'!J173</f>
        <v>-4314.5</v>
      </c>
      <c r="V67" s="317">
        <f>'Reversion Pagos R4'!K173</f>
        <v>-6347.49</v>
      </c>
      <c r="W67" s="317">
        <f>'Reversion Pagos R4'!L173</f>
        <v>-29323.18</v>
      </c>
      <c r="X67" s="317">
        <f>'Reversion Pagos R4'!M173</f>
        <v>-7837.65</v>
      </c>
      <c r="Y67" s="318">
        <f>'Reversion Pagos R4'!N173</f>
        <v>-802.5</v>
      </c>
      <c r="Z67" s="319">
        <f t="shared" ref="Z67:Z70" si="27">-L67</f>
        <v>0</v>
      </c>
      <c r="AA67" s="320">
        <f>'Reversion Pagos R4'!O173</f>
        <v>4.2300000000000004</v>
      </c>
      <c r="AB67" s="294">
        <f t="shared" ref="AB67:AB70" si="28">N67</f>
        <v>0</v>
      </c>
      <c r="AC67" s="320">
        <f>+'Reversion Pagos R4'!Q173+'Reversion Pagos R4'!R173</f>
        <v>0</v>
      </c>
      <c r="AD67" s="291">
        <f t="shared" ref="AD67:AD70" si="29">-J67+AE67</f>
        <v>30756.16</v>
      </c>
      <c r="AE67" s="291">
        <f>'Reversion Pagos R4'!D174</f>
        <v>30756.16</v>
      </c>
      <c r="AF67" s="322">
        <f>SUM(U67:AD67)</f>
        <v>-17864.929999999997</v>
      </c>
      <c r="AG67" s="522">
        <f>(AF67-O67)</f>
        <v>7.2759576141834259E-12</v>
      </c>
      <c r="AH67" s="1" t="b">
        <f t="shared" si="24"/>
        <v>1</v>
      </c>
      <c r="AI67" s="306"/>
    </row>
    <row r="68" spans="1:35" s="305" customFormat="1" x14ac:dyDescent="0.25">
      <c r="B68" s="314">
        <v>3</v>
      </c>
      <c r="C68" s="315" t="s">
        <v>12</v>
      </c>
      <c r="D68" s="291">
        <f>'Reversion Pagos R4'!D204</f>
        <v>0</v>
      </c>
      <c r="E68" s="292">
        <f>'Reversion Pagos R4'!E204</f>
        <v>0</v>
      </c>
      <c r="F68" s="292">
        <f>'Reversion Pagos R4'!F204</f>
        <v>0</v>
      </c>
      <c r="G68" s="292">
        <f>'Reversion Pagos R4'!G204</f>
        <v>0</v>
      </c>
      <c r="H68" s="292">
        <f>'Reversion Pagos R4'!H204</f>
        <v>0</v>
      </c>
      <c r="I68" s="292">
        <f>'Reversion Pagos R4'!I204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R4'!P204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R4'!J204</f>
        <v>0</v>
      </c>
      <c r="V68" s="317">
        <f>'Reversion Pagos R4'!K204</f>
        <v>0</v>
      </c>
      <c r="W68" s="317">
        <f>'Reversion Pagos R4'!L204</f>
        <v>0</v>
      </c>
      <c r="X68" s="317">
        <f>'Reversion Pagos R4'!M204</f>
        <v>0</v>
      </c>
      <c r="Y68" s="318">
        <f>'Reversion Pagos R4'!N204</f>
        <v>0</v>
      </c>
      <c r="Z68" s="319">
        <f t="shared" si="27"/>
        <v>0</v>
      </c>
      <c r="AA68" s="320">
        <f>'Reversion Pagos R4'!O204</f>
        <v>0</v>
      </c>
      <c r="AB68" s="294">
        <f t="shared" si="28"/>
        <v>0</v>
      </c>
      <c r="AC68" s="320">
        <f>+'Reversion Pagos R4'!Q204+'Reversion Pagos R4'!R204</f>
        <v>0</v>
      </c>
      <c r="AD68" s="291">
        <f t="shared" si="29"/>
        <v>0</v>
      </c>
      <c r="AE68" s="291">
        <f>'Reversion Pagos R4'!D205</f>
        <v>0</v>
      </c>
      <c r="AF68" s="322">
        <f t="shared" ref="AF68:AF70" si="30">SUM(U68:AD68)</f>
        <v>0</v>
      </c>
      <c r="AG68" s="522">
        <f t="shared" ref="AG68:AG70" si="31">(AF68-O68)</f>
        <v>0</v>
      </c>
      <c r="AH68" s="1" t="b">
        <f t="shared" si="24"/>
        <v>1</v>
      </c>
      <c r="AI68" s="306"/>
    </row>
    <row r="69" spans="1:35" s="305" customFormat="1" x14ac:dyDescent="0.25">
      <c r="B69" s="314">
        <v>4</v>
      </c>
      <c r="C69" s="315" t="s">
        <v>13</v>
      </c>
      <c r="D69" s="291">
        <f>'Reversion Pagos R4'!D319</f>
        <v>-1564160</v>
      </c>
      <c r="E69" s="292">
        <f>'Reversion Pagos R4'!E319</f>
        <v>-91274.76</v>
      </c>
      <c r="F69" s="292">
        <f>'Reversion Pagos R4'!F319</f>
        <v>-48442.23</v>
      </c>
      <c r="G69" s="292">
        <f>'Reversion Pagos R4'!G319</f>
        <v>-27913.62</v>
      </c>
      <c r="H69" s="292">
        <f>'Reversion Pagos R4'!H319</f>
        <v>-408483.96</v>
      </c>
      <c r="I69" s="292">
        <f>'Reversion Pagos R4'!I319</f>
        <v>-10432.31</v>
      </c>
      <c r="J69" s="288">
        <v>0</v>
      </c>
      <c r="K69" s="295">
        <f t="shared" si="25"/>
        <v>-977613.11999999988</v>
      </c>
      <c r="L69" s="294">
        <v>0</v>
      </c>
      <c r="M69" s="295">
        <f>K69-L69</f>
        <v>-977613.11999999988</v>
      </c>
      <c r="N69" s="294">
        <f>'Reversion Pagos R4'!P319</f>
        <v>0</v>
      </c>
      <c r="O69" s="295">
        <f t="shared" si="26"/>
        <v>-977613.11999999988</v>
      </c>
      <c r="Q69" s="306"/>
      <c r="S69" s="314">
        <v>4</v>
      </c>
      <c r="T69" s="315" t="s">
        <v>13</v>
      </c>
      <c r="U69" s="316">
        <f>'Reversion Pagos R4'!J319</f>
        <v>-91512.76</v>
      </c>
      <c r="V69" s="317">
        <f>'Reversion Pagos R4'!K319</f>
        <v>-129328.6</v>
      </c>
      <c r="W69" s="317">
        <f>'Reversion Pagos R4'!L319</f>
        <v>-658084.91</v>
      </c>
      <c r="X69" s="317">
        <f>'Reversion Pagos R4'!M319</f>
        <v>-242793.58</v>
      </c>
      <c r="Y69" s="318">
        <f>'Reversion Pagos R4'!N319</f>
        <v>-17021.29</v>
      </c>
      <c r="Z69" s="319">
        <f t="shared" si="27"/>
        <v>0</v>
      </c>
      <c r="AA69" s="320">
        <f>'Reversion Pagos R4'!O319</f>
        <v>-9.1300000000000008</v>
      </c>
      <c r="AB69" s="294">
        <f t="shared" si="28"/>
        <v>0</v>
      </c>
      <c r="AC69" s="320">
        <f>+'Reversion Pagos R4'!Q319+'Reversion Pagos R4'!R319</f>
        <v>0</v>
      </c>
      <c r="AD69" s="291">
        <f t="shared" si="29"/>
        <v>161137.15</v>
      </c>
      <c r="AE69" s="291">
        <f>'Reversion Pagos R4'!D320</f>
        <v>161137.15</v>
      </c>
      <c r="AF69" s="322">
        <f>SUM(U69:AD69)</f>
        <v>-977613.12</v>
      </c>
      <c r="AG69" s="522">
        <f>(AF69-O69)</f>
        <v>-1.1641532182693481E-10</v>
      </c>
      <c r="AH69" s="1" t="b">
        <f t="shared" si="24"/>
        <v>0</v>
      </c>
      <c r="AI69" s="306"/>
    </row>
    <row r="70" spans="1:35" s="305" customFormat="1" ht="12" thickBot="1" x14ac:dyDescent="0.3">
      <c r="B70" s="324">
        <v>5</v>
      </c>
      <c r="C70" s="325" t="s">
        <v>14</v>
      </c>
      <c r="D70" s="296">
        <f>'Reversion Pagos R4'!D348</f>
        <v>0</v>
      </c>
      <c r="E70" s="297">
        <f>'Reversion Pagos R4'!E348</f>
        <v>0</v>
      </c>
      <c r="F70" s="297">
        <f>'Reversion Pagos R4'!F348</f>
        <v>0</v>
      </c>
      <c r="G70" s="297">
        <f>'Reversion Pagos R4'!G348</f>
        <v>0</v>
      </c>
      <c r="H70" s="297">
        <f>'Reversion Pagos R4'!H348</f>
        <v>0</v>
      </c>
      <c r="I70" s="297">
        <f>'Reversion Pagos R4'!I348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R4'!P348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R4'!J348</f>
        <v>0</v>
      </c>
      <c r="V70" s="297">
        <f>'Reversion Pagos R4'!K348</f>
        <v>0</v>
      </c>
      <c r="W70" s="297">
        <f>'Reversion Pagos R4'!L348</f>
        <v>0</v>
      </c>
      <c r="X70" s="297">
        <f>'Reversion Pagos R4'!M348</f>
        <v>0</v>
      </c>
      <c r="Y70" s="289">
        <f>'Reversion Pagos R4'!N348</f>
        <v>0</v>
      </c>
      <c r="Z70" s="319">
        <f t="shared" si="27"/>
        <v>0</v>
      </c>
      <c r="AA70" s="320">
        <f>'Reversion Pagos R4'!O348</f>
        <v>0</v>
      </c>
      <c r="AB70" s="294">
        <f t="shared" si="28"/>
        <v>0</v>
      </c>
      <c r="AC70" s="320">
        <f>+'Reversion Pagos R4'!Q348+'Reversion Pagos R4'!R348</f>
        <v>0</v>
      </c>
      <c r="AD70" s="291">
        <f t="shared" si="29"/>
        <v>0</v>
      </c>
      <c r="AE70" s="291">
        <f>'Reversion Pagos R4'!D349</f>
        <v>0</v>
      </c>
      <c r="AF70" s="322">
        <f t="shared" si="30"/>
        <v>0</v>
      </c>
      <c r="AG70" s="523">
        <f t="shared" si="31"/>
        <v>0</v>
      </c>
      <c r="AH70" s="1" t="b">
        <f t="shared" si="24"/>
        <v>1</v>
      </c>
      <c r="AI70" s="306"/>
    </row>
    <row r="71" spans="1:35" s="305" customFormat="1" ht="13.5" thickBot="1" x14ac:dyDescent="0.35">
      <c r="B71" s="327"/>
      <c r="C71" s="328" t="s">
        <v>2</v>
      </c>
      <c r="D71" s="290">
        <f t="shared" ref="D71:O71" si="32">SUM(D66:D70)</f>
        <v>-1610290</v>
      </c>
      <c r="E71" s="290">
        <f t="shared" si="32"/>
        <v>-95153.279999999999</v>
      </c>
      <c r="F71" s="290">
        <f t="shared" si="32"/>
        <v>-50615.01</v>
      </c>
      <c r="G71" s="290">
        <f t="shared" si="32"/>
        <v>-29106.239999999998</v>
      </c>
      <c r="H71" s="290">
        <f t="shared" si="32"/>
        <v>-429013.26</v>
      </c>
      <c r="I71" s="290">
        <f t="shared" si="32"/>
        <v>-10924.16</v>
      </c>
      <c r="J71" s="290">
        <f t="shared" si="32"/>
        <v>0</v>
      </c>
      <c r="K71" s="300">
        <f t="shared" si="32"/>
        <v>-995478.04999999993</v>
      </c>
      <c r="L71" s="301">
        <f t="shared" si="32"/>
        <v>0</v>
      </c>
      <c r="M71" s="302">
        <f t="shared" si="32"/>
        <v>-995478.04999999993</v>
      </c>
      <c r="N71" s="301">
        <f t="shared" si="32"/>
        <v>0</v>
      </c>
      <c r="O71" s="302">
        <f t="shared" si="32"/>
        <v>-995478.04999999993</v>
      </c>
      <c r="P71" s="329"/>
      <c r="Q71" s="306"/>
      <c r="S71" s="327"/>
      <c r="T71" s="328" t="s">
        <v>2</v>
      </c>
      <c r="U71" s="330">
        <f>SUM(U66:U70)</f>
        <v>-95827.26</v>
      </c>
      <c r="V71" s="330">
        <f t="shared" ref="V71:AG71" si="33">SUM(V66:V70)</f>
        <v>-135676.09</v>
      </c>
      <c r="W71" s="330">
        <f t="shared" si="33"/>
        <v>-687408.09000000008</v>
      </c>
      <c r="X71" s="330">
        <f t="shared" si="33"/>
        <v>-250631.22999999998</v>
      </c>
      <c r="Y71" s="330">
        <f t="shared" si="33"/>
        <v>-17823.79</v>
      </c>
      <c r="Z71" s="290">
        <f t="shared" si="33"/>
        <v>0</v>
      </c>
      <c r="AA71" s="290">
        <f>SUM(AA66:AA70)</f>
        <v>-4.9000000000000004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191893.31</v>
      </c>
      <c r="AE71" s="290">
        <f>SUM(AE66:AE70)</f>
        <v>191893.31</v>
      </c>
      <c r="AF71" s="331">
        <f t="shared" si="33"/>
        <v>-995478.05</v>
      </c>
      <c r="AG71" s="524">
        <f t="shared" si="33"/>
        <v>-1.0913936421275139E-10</v>
      </c>
      <c r="AH71" s="1" t="b">
        <f t="shared" si="24"/>
        <v>0</v>
      </c>
      <c r="AI71" s="306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-1187366.46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5" x14ac:dyDescent="0.35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68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521">
        <f>AF85-O85</f>
        <v>0</v>
      </c>
      <c r="AH85" s="1" t="b">
        <f t="shared" ref="AH85:AH90" si="35">INT(AG85)=0</f>
        <v>1</v>
      </c>
      <c r="AI85" s="306"/>
    </row>
    <row r="86" spans="1:35" s="305" customFormat="1" x14ac:dyDescent="0.25">
      <c r="B86" s="314">
        <v>2</v>
      </c>
      <c r="C86" s="315" t="s">
        <v>11</v>
      </c>
      <c r="D86" s="291">
        <f>'AJUSTES - SF-T'!D48</f>
        <v>1255716.79</v>
      </c>
      <c r="E86" s="292">
        <f>'AJUSTES - SF-T'!E48</f>
        <v>163409.31</v>
      </c>
      <c r="F86" s="292">
        <f>'AJUSTES - SF-T'!F48</f>
        <v>104244.84</v>
      </c>
      <c r="G86" s="292">
        <f>'AJUSTES - SF-T'!G48</f>
        <v>29379.21</v>
      </c>
      <c r="H86" s="292">
        <f>'AJUSTES - SF-T'!H48</f>
        <v>519166.91</v>
      </c>
      <c r="I86" s="292">
        <f>'AJUSTES - SF-T'!I48</f>
        <v>16772.32</v>
      </c>
      <c r="J86" s="288">
        <f>'AJUSTES - SF-T'!J48</f>
        <v>0</v>
      </c>
      <c r="K86" s="295">
        <f t="shared" ref="K86:K89" si="36">D86-E86-F86-G86-H86-I86-J86</f>
        <v>422744.20000000007</v>
      </c>
      <c r="L86" s="294">
        <v>0</v>
      </c>
      <c r="M86" s="295">
        <f>K86-L86</f>
        <v>422744.20000000007</v>
      </c>
      <c r="N86" s="294">
        <f>'AJUSTES - SF-T'!N48</f>
        <v>0</v>
      </c>
      <c r="O86" s="295">
        <f t="shared" ref="O86:O89" si="37">M86+N86</f>
        <v>422744.20000000007</v>
      </c>
      <c r="Q86" s="306"/>
      <c r="S86" s="314">
        <v>2</v>
      </c>
      <c r="T86" s="315" t="s">
        <v>11</v>
      </c>
      <c r="U86" s="316">
        <f>'AJUSTES - SF-T'!U48</f>
        <v>130175.43</v>
      </c>
      <c r="V86" s="317">
        <f>'AJUSTES - SF-T'!V48</f>
        <v>129243.72</v>
      </c>
      <c r="W86" s="317">
        <f>'AJUSTES - SF-T'!W48</f>
        <v>467899.25</v>
      </c>
      <c r="X86" s="317">
        <f>'AJUSTES - SF-T'!X48</f>
        <v>319723.92</v>
      </c>
      <c r="Y86" s="318">
        <f>'AJUSTES - SF-T'!Y48</f>
        <v>16107.05</v>
      </c>
      <c r="Z86" s="319">
        <f>-L86</f>
        <v>0</v>
      </c>
      <c r="AA86" s="320">
        <f>'AJUSTES - SF-T'!AA48</f>
        <v>-8.8800000000000008</v>
      </c>
      <c r="AB86" s="294">
        <f>N86</f>
        <v>0</v>
      </c>
      <c r="AC86" s="320">
        <v>0</v>
      </c>
      <c r="AD86" s="291">
        <f t="shared" ref="AD86:AD88" si="38">-J86+AE86</f>
        <v>-640396.29</v>
      </c>
      <c r="AE86" s="291">
        <f>'AJUSTES - SF-T'!AD48</f>
        <v>-640396.29</v>
      </c>
      <c r="AF86" s="322">
        <f>SUM(U86:AD86)</f>
        <v>422744.20000000019</v>
      </c>
      <c r="AG86" s="522">
        <f>AF86-O86</f>
        <v>0</v>
      </c>
      <c r="AH86" s="1" t="b">
        <f t="shared" si="35"/>
        <v>1</v>
      </c>
      <c r="AI86" s="306"/>
    </row>
    <row r="87" spans="1:35" s="305" customFormat="1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6"/>
        <v>0</v>
      </c>
      <c r="L87" s="294">
        <v>0</v>
      </c>
      <c r="M87" s="295">
        <f>K87-L87</f>
        <v>0</v>
      </c>
      <c r="N87" s="294">
        <v>0</v>
      </c>
      <c r="O87" s="295">
        <f t="shared" si="37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20">
        <v>0</v>
      </c>
      <c r="AB87" s="294">
        <v>0</v>
      </c>
      <c r="AC87" s="320">
        <v>0</v>
      </c>
      <c r="AD87" s="291">
        <f t="shared" si="38"/>
        <v>0</v>
      </c>
      <c r="AE87" s="291">
        <v>0</v>
      </c>
      <c r="AF87" s="322">
        <f t="shared" ref="AF87:AF89" si="39">SUM(U87:AD87)</f>
        <v>0</v>
      </c>
      <c r="AG87" s="522">
        <f>AF87-O87</f>
        <v>0</v>
      </c>
      <c r="AH87" s="1" t="b">
        <f t="shared" si="35"/>
        <v>1</v>
      </c>
      <c r="AI87" s="306"/>
    </row>
    <row r="88" spans="1:35" s="305" customFormat="1" x14ac:dyDescent="0.25">
      <c r="B88" s="314">
        <v>4</v>
      </c>
      <c r="C88" s="315" t="s">
        <v>13</v>
      </c>
      <c r="D88" s="291">
        <f>'AJUSTES - SF-T'!D50</f>
        <v>339659.81</v>
      </c>
      <c r="E88" s="292">
        <f>'AJUSTES - SF-T'!E50</f>
        <v>35792.410000000003</v>
      </c>
      <c r="F88" s="292">
        <f>'AJUSTES - SF-T'!F50</f>
        <v>20194.46</v>
      </c>
      <c r="G88" s="292">
        <f>'AJUSTES - SF-T'!G50</f>
        <v>2067.44</v>
      </c>
      <c r="H88" s="292">
        <f>'AJUSTES - SF-T'!H50</f>
        <v>112556.14</v>
      </c>
      <c r="I88" s="292">
        <f>'AJUSTES - SF-T'!I50</f>
        <v>2826.23</v>
      </c>
      <c r="J88" s="288">
        <f>'AJUSTES - SF-T'!J50</f>
        <v>0</v>
      </c>
      <c r="K88" s="295">
        <f t="shared" si="36"/>
        <v>166223.12999999998</v>
      </c>
      <c r="L88" s="294">
        <v>0</v>
      </c>
      <c r="M88" s="295">
        <f>K88-L88</f>
        <v>166223.12999999998</v>
      </c>
      <c r="N88" s="294">
        <f>'AJUSTES - SF-T'!N50</f>
        <v>0</v>
      </c>
      <c r="O88" s="295">
        <f t="shared" si="37"/>
        <v>166223.12999999998</v>
      </c>
      <c r="Q88" s="306"/>
      <c r="S88" s="314">
        <v>4</v>
      </c>
      <c r="T88" s="315" t="s">
        <v>13</v>
      </c>
      <c r="U88" s="316">
        <f>'AJUSTES - SF-T'!U50</f>
        <v>27571.69</v>
      </c>
      <c r="V88" s="317">
        <f>'AJUSTES - SF-T'!V50</f>
        <v>34487.269999999997</v>
      </c>
      <c r="W88" s="317">
        <f>'AJUSTES - SF-T'!W50</f>
        <v>46924.4</v>
      </c>
      <c r="X88" s="317">
        <f>'AJUSTES - SF-T'!X50</f>
        <v>96285.04</v>
      </c>
      <c r="Y88" s="318">
        <f>'AJUSTES - SF-T'!Y50</f>
        <v>4611.2700000000004</v>
      </c>
      <c r="Z88" s="319">
        <f>-L88</f>
        <v>0</v>
      </c>
      <c r="AA88" s="320">
        <f>'AJUSTES - SF-T'!AA50</f>
        <v>-5.29</v>
      </c>
      <c r="AB88" s="294">
        <f>N88</f>
        <v>0</v>
      </c>
      <c r="AC88" s="320">
        <v>0</v>
      </c>
      <c r="AD88" s="291">
        <f t="shared" si="38"/>
        <v>-43651.25</v>
      </c>
      <c r="AE88" s="291">
        <f>'AJUSTES - SF-T'!AD50</f>
        <v>-43651.25</v>
      </c>
      <c r="AF88" s="322">
        <f t="shared" si="39"/>
        <v>166223.12999999995</v>
      </c>
      <c r="AG88" s="522">
        <f>AF88-O88</f>
        <v>0</v>
      </c>
      <c r="AH88" s="1" t="b">
        <f t="shared" si="35"/>
        <v>1</v>
      </c>
      <c r="AI88" s="306"/>
    </row>
    <row r="89" spans="1:35" s="305" customFormat="1" ht="12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6"/>
        <v>0</v>
      </c>
      <c r="L89" s="294">
        <v>0</v>
      </c>
      <c r="M89" s="298">
        <f>K89-L89</f>
        <v>0</v>
      </c>
      <c r="N89" s="299">
        <v>0</v>
      </c>
      <c r="O89" s="298">
        <f t="shared" si="37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20">
        <v>0</v>
      </c>
      <c r="AB89" s="294">
        <v>0</v>
      </c>
      <c r="AC89" s="320">
        <v>0</v>
      </c>
      <c r="AD89" s="291">
        <v>0</v>
      </c>
      <c r="AE89" s="291">
        <v>0</v>
      </c>
      <c r="AF89" s="322">
        <f t="shared" si="39"/>
        <v>0</v>
      </c>
      <c r="AG89" s="523">
        <f>AF89-O89</f>
        <v>0</v>
      </c>
      <c r="AH89" s="1" t="b">
        <f t="shared" si="35"/>
        <v>1</v>
      </c>
      <c r="AI89" s="306"/>
    </row>
    <row r="90" spans="1:35" s="305" customFormat="1" ht="13.5" thickBot="1" x14ac:dyDescent="0.35">
      <c r="B90" s="327"/>
      <c r="C90" s="328" t="s">
        <v>2</v>
      </c>
      <c r="D90" s="290">
        <f t="shared" ref="D90:O90" si="40">SUM(D85:D89)</f>
        <v>1595376.6</v>
      </c>
      <c r="E90" s="290">
        <f t="shared" si="40"/>
        <v>199201.72</v>
      </c>
      <c r="F90" s="290">
        <f t="shared" si="40"/>
        <v>124439.29999999999</v>
      </c>
      <c r="G90" s="290">
        <f t="shared" si="40"/>
        <v>31446.649999999998</v>
      </c>
      <c r="H90" s="290">
        <f t="shared" si="40"/>
        <v>631723.04999999993</v>
      </c>
      <c r="I90" s="290">
        <f t="shared" si="40"/>
        <v>19598.55</v>
      </c>
      <c r="J90" s="290">
        <f t="shared" si="40"/>
        <v>0</v>
      </c>
      <c r="K90" s="300">
        <f t="shared" si="40"/>
        <v>588967.33000000007</v>
      </c>
      <c r="L90" s="301">
        <f t="shared" si="40"/>
        <v>0</v>
      </c>
      <c r="M90" s="302">
        <f t="shared" si="40"/>
        <v>588967.33000000007</v>
      </c>
      <c r="N90" s="301">
        <f t="shared" si="40"/>
        <v>0</v>
      </c>
      <c r="O90" s="302">
        <f t="shared" si="40"/>
        <v>588967.33000000007</v>
      </c>
      <c r="P90" s="329"/>
      <c r="Q90" s="306"/>
      <c r="S90" s="327"/>
      <c r="T90" s="328" t="s">
        <v>2</v>
      </c>
      <c r="U90" s="330">
        <f>SUM(U85:U89)</f>
        <v>157747.12</v>
      </c>
      <c r="V90" s="330">
        <f t="shared" ref="V90:AG90" si="41">SUM(V85:V89)</f>
        <v>163730.99</v>
      </c>
      <c r="W90" s="330">
        <f t="shared" si="41"/>
        <v>514823.65</v>
      </c>
      <c r="X90" s="330">
        <f t="shared" si="41"/>
        <v>416008.95999999996</v>
      </c>
      <c r="Y90" s="330">
        <f t="shared" si="41"/>
        <v>20718.32</v>
      </c>
      <c r="Z90" s="290">
        <f t="shared" si="41"/>
        <v>0</v>
      </c>
      <c r="AA90" s="290">
        <f t="shared" si="41"/>
        <v>-14.170000000000002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-684047.54</v>
      </c>
      <c r="AE90" s="290">
        <f t="shared" si="41"/>
        <v>-684047.54</v>
      </c>
      <c r="AF90" s="331">
        <f t="shared" si="41"/>
        <v>588967.33000000007</v>
      </c>
      <c r="AG90" s="524">
        <f t="shared" si="41"/>
        <v>0</v>
      </c>
      <c r="AH90" s="1" t="b">
        <f t="shared" si="35"/>
        <v>1</v>
      </c>
      <c r="AI90" s="306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1273029.04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3">
      <c r="Q96" s="4"/>
      <c r="AI96" s="4"/>
    </row>
    <row r="97" spans="2:36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"/>
      <c r="AI98" s="4"/>
    </row>
    <row r="99" spans="2:36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4" x14ac:dyDescent="0.3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5" x14ac:dyDescent="0.35">
      <c r="B101" s="8"/>
      <c r="C101" s="598" t="s">
        <v>17</v>
      </c>
      <c r="D101" s="9">
        <f>D6</f>
        <v>46297</v>
      </c>
      <c r="F101" s="58" t="s">
        <v>214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5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88">
        <f t="shared" si="43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0</v>
      </c>
      <c r="AA104" s="311">
        <f t="shared" si="44"/>
        <v>0</v>
      </c>
      <c r="AB104" s="294">
        <f t="shared" si="44"/>
        <v>0</v>
      </c>
      <c r="AC104" s="311">
        <f t="shared" si="44"/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521">
        <f>AF104-O104</f>
        <v>0</v>
      </c>
      <c r="AH104" s="1" t="b">
        <f t="shared" ref="AH104:AH109" si="45">INT(AG104)=0</f>
        <v>1</v>
      </c>
      <c r="AI104" s="306"/>
    </row>
    <row r="105" spans="2:36" s="305" customFormat="1" x14ac:dyDescent="0.25">
      <c r="B105" s="314">
        <v>2</v>
      </c>
      <c r="C105" s="315" t="s">
        <v>11</v>
      </c>
      <c r="D105" s="291">
        <f t="shared" si="43"/>
        <v>14643673.219999999</v>
      </c>
      <c r="E105" s="292">
        <f t="shared" si="43"/>
        <v>1412530</v>
      </c>
      <c r="F105" s="292">
        <f t="shared" si="43"/>
        <v>783991.89</v>
      </c>
      <c r="G105" s="292">
        <f t="shared" si="43"/>
        <v>291309.74000000005</v>
      </c>
      <c r="H105" s="292">
        <f t="shared" si="43"/>
        <v>6260809.5899999999</v>
      </c>
      <c r="I105" s="292">
        <f t="shared" si="43"/>
        <v>211166.2</v>
      </c>
      <c r="J105" s="288">
        <f t="shared" si="43"/>
        <v>0</v>
      </c>
      <c r="K105" s="295">
        <f t="shared" ref="K105:K108" si="46">D105-E105-F105-G105-H105-I105-J105</f>
        <v>5683865.799999998</v>
      </c>
      <c r="L105" s="294">
        <f>L10+L29+L48+L67+L86</f>
        <v>0</v>
      </c>
      <c r="M105" s="295">
        <f>K105-L105</f>
        <v>5683865.799999998</v>
      </c>
      <c r="N105" s="294">
        <f>N10+N29+N48+N67+N86</f>
        <v>0</v>
      </c>
      <c r="O105" s="295">
        <f t="shared" ref="O105:O108" si="47">M105+N105</f>
        <v>5683865.799999998</v>
      </c>
      <c r="Q105" s="306"/>
      <c r="S105" s="314">
        <v>2</v>
      </c>
      <c r="T105" s="315" t="s">
        <v>11</v>
      </c>
      <c r="U105" s="316">
        <f t="shared" si="44"/>
        <v>1836082.28</v>
      </c>
      <c r="V105" s="317">
        <f t="shared" si="44"/>
        <v>1799853.3</v>
      </c>
      <c r="W105" s="317">
        <f t="shared" si="44"/>
        <v>7403252.8200000003</v>
      </c>
      <c r="X105" s="317">
        <f t="shared" si="44"/>
        <v>2757826.03</v>
      </c>
      <c r="Y105" s="318">
        <f t="shared" si="44"/>
        <v>283277.61</v>
      </c>
      <c r="Z105" s="319">
        <f t="shared" si="44"/>
        <v>0</v>
      </c>
      <c r="AA105" s="320">
        <f t="shared" si="44"/>
        <v>2.09</v>
      </c>
      <c r="AB105" s="294">
        <f t="shared" si="44"/>
        <v>0</v>
      </c>
      <c r="AC105" s="320">
        <f t="shared" si="44"/>
        <v>0</v>
      </c>
      <c r="AD105" s="291">
        <f t="shared" ref="AD105:AD107" si="48">-J105+AE105</f>
        <v>-8396428.3300000001</v>
      </c>
      <c r="AE105" s="291">
        <f>AE10+AE29+AE48+AE67+AE86</f>
        <v>-8396428.3300000001</v>
      </c>
      <c r="AF105" s="322">
        <f>SUM(U105:AD105)</f>
        <v>5683865.7999999989</v>
      </c>
      <c r="AG105" s="522">
        <f>AF105-O105</f>
        <v>0</v>
      </c>
      <c r="AH105" s="1" t="b">
        <f t="shared" si="45"/>
        <v>1</v>
      </c>
      <c r="AI105" s="306"/>
    </row>
    <row r="106" spans="2:36" s="305" customFormat="1" x14ac:dyDescent="0.25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88">
        <f t="shared" si="43"/>
        <v>0</v>
      </c>
      <c r="K106" s="295">
        <f t="shared" si="46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7"/>
        <v>0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0</v>
      </c>
      <c r="AA106" s="320">
        <f t="shared" si="44"/>
        <v>0</v>
      </c>
      <c r="AB106" s="294">
        <f t="shared" si="44"/>
        <v>0</v>
      </c>
      <c r="AC106" s="320">
        <f t="shared" si="44"/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522">
        <f>AF106-O106</f>
        <v>0</v>
      </c>
      <c r="AH106" s="1" t="b">
        <f t="shared" si="45"/>
        <v>1</v>
      </c>
      <c r="AI106" s="306"/>
    </row>
    <row r="107" spans="2:36" s="305" customFormat="1" x14ac:dyDescent="0.25">
      <c r="B107" s="314">
        <v>4</v>
      </c>
      <c r="C107" s="315" t="s">
        <v>13</v>
      </c>
      <c r="D107" s="291">
        <f t="shared" si="43"/>
        <v>9653257.1700000018</v>
      </c>
      <c r="E107" s="292">
        <f t="shared" si="43"/>
        <v>646746.06000000006</v>
      </c>
      <c r="F107" s="292">
        <f t="shared" si="43"/>
        <v>359352.58</v>
      </c>
      <c r="G107" s="292">
        <f t="shared" si="43"/>
        <v>132306.63</v>
      </c>
      <c r="H107" s="292">
        <f t="shared" si="43"/>
        <v>2407655.9300000002</v>
      </c>
      <c r="I107" s="292">
        <f t="shared" si="43"/>
        <v>83911.4</v>
      </c>
      <c r="J107" s="288">
        <f t="shared" si="43"/>
        <v>0</v>
      </c>
      <c r="K107" s="295">
        <f t="shared" si="46"/>
        <v>6023284.5700000003</v>
      </c>
      <c r="L107" s="294">
        <f>L12+L31+L50+L69+L88</f>
        <v>0</v>
      </c>
      <c r="M107" s="295">
        <f>K107-L107</f>
        <v>6023284.5700000003</v>
      </c>
      <c r="N107" s="294">
        <f>N12+N31+N50+N69+N88</f>
        <v>0</v>
      </c>
      <c r="O107" s="295">
        <f t="shared" si="47"/>
        <v>6023284.5700000003</v>
      </c>
      <c r="Q107" s="306"/>
      <c r="S107" s="314">
        <v>4</v>
      </c>
      <c r="T107" s="315" t="s">
        <v>13</v>
      </c>
      <c r="U107" s="316">
        <f t="shared" si="44"/>
        <v>786730.0299999998</v>
      </c>
      <c r="V107" s="317">
        <f t="shared" si="44"/>
        <v>730562.89000000013</v>
      </c>
      <c r="W107" s="317">
        <f t="shared" si="44"/>
        <v>3205416.28</v>
      </c>
      <c r="X107" s="317">
        <f t="shared" si="44"/>
        <v>1822317.43</v>
      </c>
      <c r="Y107" s="318">
        <f t="shared" si="44"/>
        <v>106069.37000000001</v>
      </c>
      <c r="Z107" s="319">
        <f t="shared" si="44"/>
        <v>0</v>
      </c>
      <c r="AA107" s="320">
        <f t="shared" si="44"/>
        <v>8.9899999999999984</v>
      </c>
      <c r="AB107" s="294">
        <f t="shared" si="44"/>
        <v>0</v>
      </c>
      <c r="AC107" s="320">
        <f t="shared" si="44"/>
        <v>0</v>
      </c>
      <c r="AD107" s="291">
        <f t="shared" si="48"/>
        <v>-627820.41999999993</v>
      </c>
      <c r="AE107" s="291">
        <f>AE12+AE31+AE50+AE69+AE88</f>
        <v>-627820.41999999993</v>
      </c>
      <c r="AF107" s="322">
        <f>SUM(U107:AD107)</f>
        <v>6023284.5699999994</v>
      </c>
      <c r="AG107" s="522">
        <f>AF107-O107</f>
        <v>0</v>
      </c>
      <c r="AH107" s="1" t="b">
        <f t="shared" si="45"/>
        <v>1</v>
      </c>
      <c r="AI107" s="306"/>
    </row>
    <row r="108" spans="2:36" s="305" customFormat="1" ht="12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89">
        <f t="shared" si="43"/>
        <v>0</v>
      </c>
      <c r="K108" s="295">
        <f t="shared" si="46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7"/>
        <v>0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0</v>
      </c>
      <c r="AA108" s="320">
        <f t="shared" si="44"/>
        <v>0</v>
      </c>
      <c r="AB108" s="294">
        <f t="shared" si="44"/>
        <v>0</v>
      </c>
      <c r="AC108" s="320">
        <f t="shared" si="44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523">
        <f>AF108-O108</f>
        <v>0</v>
      </c>
      <c r="AH108" s="1" t="b">
        <f t="shared" si="45"/>
        <v>1</v>
      </c>
      <c r="AI108" s="306"/>
    </row>
    <row r="109" spans="2:36" s="305" customFormat="1" ht="13.5" thickBot="1" x14ac:dyDescent="0.35">
      <c r="B109" s="327"/>
      <c r="C109" s="328" t="s">
        <v>2</v>
      </c>
      <c r="D109" s="290">
        <f t="shared" ref="D109:O109" si="49">SUM(D104:D108)</f>
        <v>24296930.390000001</v>
      </c>
      <c r="E109" s="290">
        <f t="shared" si="49"/>
        <v>2059276.06</v>
      </c>
      <c r="F109" s="290">
        <f t="shared" si="49"/>
        <v>1143344.47</v>
      </c>
      <c r="G109" s="290">
        <f t="shared" si="49"/>
        <v>423616.37000000005</v>
      </c>
      <c r="H109" s="290">
        <f t="shared" si="49"/>
        <v>8668465.5199999996</v>
      </c>
      <c r="I109" s="290">
        <f t="shared" si="49"/>
        <v>295077.59999999998</v>
      </c>
      <c r="J109" s="290">
        <f t="shared" si="49"/>
        <v>0</v>
      </c>
      <c r="K109" s="300">
        <f t="shared" si="49"/>
        <v>11707150.369999997</v>
      </c>
      <c r="L109" s="301">
        <f t="shared" si="49"/>
        <v>0</v>
      </c>
      <c r="M109" s="302">
        <f t="shared" si="49"/>
        <v>11707150.369999997</v>
      </c>
      <c r="N109" s="301">
        <f t="shared" si="49"/>
        <v>0</v>
      </c>
      <c r="O109" s="302">
        <f t="shared" si="49"/>
        <v>11707150.369999997</v>
      </c>
      <c r="P109" s="329"/>
      <c r="Q109" s="306"/>
      <c r="S109" s="327"/>
      <c r="T109" s="328" t="s">
        <v>2</v>
      </c>
      <c r="U109" s="330">
        <f>SUM(U104:U108)</f>
        <v>2622812.3099999996</v>
      </c>
      <c r="V109" s="330">
        <f t="shared" ref="V109:AF109" si="50">SUM(V104:V108)</f>
        <v>2530416.1900000004</v>
      </c>
      <c r="W109" s="330">
        <f t="shared" si="50"/>
        <v>10608669.1</v>
      </c>
      <c r="X109" s="330">
        <f t="shared" si="50"/>
        <v>4580143.46</v>
      </c>
      <c r="Y109" s="330">
        <f t="shared" si="50"/>
        <v>389346.98</v>
      </c>
      <c r="Z109" s="290">
        <f t="shared" si="50"/>
        <v>0</v>
      </c>
      <c r="AA109" s="290">
        <f t="shared" si="50"/>
        <v>11.079999999999998</v>
      </c>
      <c r="AB109" s="290">
        <f t="shared" si="50"/>
        <v>0</v>
      </c>
      <c r="AC109" s="290">
        <f t="shared" si="50"/>
        <v>0</v>
      </c>
      <c r="AD109" s="290">
        <f t="shared" si="50"/>
        <v>-9024248.75</v>
      </c>
      <c r="AE109" s="290">
        <f>SUM(AE104:AE108)</f>
        <v>-9024248.75</v>
      </c>
      <c r="AF109" s="331">
        <f t="shared" si="50"/>
        <v>11707150.369999997</v>
      </c>
      <c r="AG109" s="524">
        <f>SUM(AG104:AG108)</f>
        <v>0</v>
      </c>
      <c r="AH109" s="1" t="b">
        <f t="shared" si="45"/>
        <v>1</v>
      </c>
      <c r="AI109" s="306"/>
    </row>
    <row r="110" spans="2:36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20731388.039999999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5">
      <c r="B120" s="8"/>
      <c r="I120" s="2"/>
      <c r="J120" s="2"/>
      <c r="O120" s="10"/>
      <c r="P120" s="2"/>
      <c r="Q120" s="4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0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5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USUARIOS'!F12</f>
        <v>0</v>
      </c>
      <c r="L125" s="309">
        <f>-'ANTICIPOS USUARIOS'!F21</f>
        <v>0</v>
      </c>
      <c r="O125" s="44"/>
      <c r="Q125" s="4"/>
    </row>
    <row r="126" spans="1:35" x14ac:dyDescent="0.25">
      <c r="B126" s="16">
        <v>2</v>
      </c>
      <c r="C126" s="17" t="s">
        <v>11</v>
      </c>
      <c r="D126" s="15">
        <f>'ANTICIPOS USUARIOS'!F4</f>
        <v>2611951</v>
      </c>
      <c r="E126" s="74">
        <v>0</v>
      </c>
      <c r="G126" s="339">
        <f>D48+N48</f>
        <v>0</v>
      </c>
      <c r="H126" s="340">
        <f>D29+N29</f>
        <v>11655946.43</v>
      </c>
      <c r="I126" s="288">
        <f>D86+N86</f>
        <v>1255716.79</v>
      </c>
      <c r="J126" s="288">
        <f t="shared" ref="J126:J129" si="51">D67+N67</f>
        <v>-46130</v>
      </c>
      <c r="K126" s="288">
        <f>'ANTICIPOS USUARIOS'!F13</f>
        <v>46130</v>
      </c>
      <c r="L126" s="288">
        <f>-'ANTICIPOS USUARIOS'!F22</f>
        <v>0</v>
      </c>
      <c r="O126" s="44"/>
      <c r="Q126" s="4"/>
    </row>
    <row r="127" spans="1:35" x14ac:dyDescent="0.25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1"/>
        <v>0</v>
      </c>
      <c r="K127" s="288">
        <f>'ANTICIPOS USUARIOS'!F14</f>
        <v>0</v>
      </c>
      <c r="L127" s="288">
        <f>-'ANTICIPOS USUARIOS'!F23</f>
        <v>0</v>
      </c>
      <c r="O127" s="44"/>
      <c r="Q127" s="4"/>
    </row>
    <row r="128" spans="1:35" x14ac:dyDescent="0.25">
      <c r="B128" s="16">
        <v>4</v>
      </c>
      <c r="C128" s="17" t="s">
        <v>13</v>
      </c>
      <c r="D128" s="15">
        <f>'ANTICIPOS USUARIOS'!F6</f>
        <v>1262390</v>
      </c>
      <c r="E128" s="74">
        <v>0</v>
      </c>
      <c r="G128" s="339">
        <f>D50+N50</f>
        <v>477309.99999999994</v>
      </c>
      <c r="H128" s="340">
        <f>D31+N31</f>
        <v>9848837.3600000013</v>
      </c>
      <c r="I128" s="288">
        <f>D88+N88</f>
        <v>339659.81</v>
      </c>
      <c r="J128" s="288">
        <f t="shared" si="51"/>
        <v>-1564160</v>
      </c>
      <c r="K128" s="288">
        <f>'ANTICIPOS USUARIOS'!F15</f>
        <v>1086850</v>
      </c>
      <c r="L128" s="288">
        <f>-'ANTICIPOS USUARIOS'!F24</f>
        <v>0</v>
      </c>
      <c r="O128" s="44"/>
      <c r="Q128" s="4"/>
    </row>
    <row r="129" spans="1:18" x14ac:dyDescent="0.25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1"/>
        <v>0</v>
      </c>
      <c r="K129" s="288">
        <f>'ANTICIPOS USUARIOS'!F16</f>
        <v>0</v>
      </c>
      <c r="L129" s="288">
        <f>-'ANTICIPOS USUARIOS'!F25</f>
        <v>0</v>
      </c>
      <c r="O129" s="44"/>
      <c r="Q129" s="4"/>
    </row>
    <row r="130" spans="1:18" ht="12" thickBot="1" x14ac:dyDescent="0.3">
      <c r="B130" s="19" t="s">
        <v>89</v>
      </c>
      <c r="C130" s="20" t="s">
        <v>113</v>
      </c>
      <c r="D130" s="78"/>
      <c r="E130" s="79">
        <f>'Recaudo EAAB Reciprocidad'!F26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" thickBot="1" x14ac:dyDescent="0.3">
      <c r="B131" s="95"/>
      <c r="C131" s="106" t="s">
        <v>2</v>
      </c>
      <c r="D131" s="107">
        <f>SUM(D125:D130)</f>
        <v>3874341</v>
      </c>
      <c r="E131" s="107">
        <f>SUM(E125:E130)</f>
        <v>0</v>
      </c>
      <c r="F131" s="45"/>
      <c r="G131" s="350">
        <f t="shared" ref="G131" si="52">SUM(G125:G129)</f>
        <v>477309.99999999994</v>
      </c>
      <c r="H131" s="350">
        <f>SUM(H125:H130)</f>
        <v>21504783.789999999</v>
      </c>
      <c r="I131" s="350">
        <f>SUM(I125:I130)</f>
        <v>1595376.6</v>
      </c>
      <c r="J131" s="350">
        <f>SUM(J125:J130)</f>
        <v>-1610290</v>
      </c>
      <c r="K131" s="350">
        <f>SUM(K125:K130)</f>
        <v>1132980</v>
      </c>
      <c r="L131" s="350">
        <f>SUM(L125:L130)</f>
        <v>0</v>
      </c>
      <c r="M131" s="45"/>
      <c r="N131" s="45"/>
      <c r="O131" s="46"/>
      <c r="P131" s="2"/>
      <c r="Q131" s="4"/>
    </row>
    <row r="132" spans="1:18" x14ac:dyDescent="0.25">
      <c r="B132" s="2"/>
      <c r="C132" s="2"/>
      <c r="D132" s="24"/>
      <c r="Q132" s="4"/>
    </row>
    <row r="133" spans="1:18" x14ac:dyDescent="0.25">
      <c r="B133" s="2"/>
      <c r="C133" s="2"/>
      <c r="D133" s="24"/>
      <c r="L133" s="1" t="s">
        <v>1</v>
      </c>
      <c r="Q133" s="4"/>
    </row>
    <row r="134" spans="1:18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97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5">
      <c r="B143" s="16">
        <v>2</v>
      </c>
      <c r="C143" s="17" t="s">
        <v>11</v>
      </c>
      <c r="D143" s="18">
        <f>D105+N105+D126+E126</f>
        <v>17255624.219999999</v>
      </c>
      <c r="E143" s="18">
        <f>'Recaudo EAAB Reciprocidad'!F22</f>
        <v>4390091</v>
      </c>
      <c r="F143" s="18">
        <f>D29+N29</f>
        <v>11655946.43</v>
      </c>
      <c r="G143" s="18">
        <f>D67+N67</f>
        <v>-46130</v>
      </c>
      <c r="H143" s="18">
        <f>D86+N86</f>
        <v>1255716.79</v>
      </c>
      <c r="I143" s="18">
        <f>('REPORTE RECAUDO x BANCO'!E64)</f>
        <v>0</v>
      </c>
      <c r="J143" s="18">
        <f t="shared" si="53"/>
        <v>0</v>
      </c>
      <c r="K143" s="83">
        <f t="shared" si="53"/>
        <v>11655946.43</v>
      </c>
      <c r="L143" s="597">
        <f>D143-E143-F143-G143-J143-H143-I143</f>
        <v>-9.3132257461547852E-10</v>
      </c>
      <c r="M143" s="1" t="b">
        <f>INT(L143)=0</f>
        <v>0</v>
      </c>
      <c r="O143" s="130"/>
      <c r="P143" s="24"/>
      <c r="Q143" s="35"/>
      <c r="R143" s="24"/>
    </row>
    <row r="144" spans="1:18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97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x14ac:dyDescent="0.25">
      <c r="B145" s="16">
        <v>4</v>
      </c>
      <c r="C145" s="17" t="s">
        <v>13</v>
      </c>
      <c r="D145" s="18">
        <f>D107+N107+D128+E128</f>
        <v>10915647.170000002</v>
      </c>
      <c r="E145" s="18">
        <f>'Recaudo EAAB Reciprocidad'!F24</f>
        <v>1814000</v>
      </c>
      <c r="F145" s="18">
        <f>D31+N31</f>
        <v>9848837.3600000013</v>
      </c>
      <c r="G145" s="18">
        <f>D69+N69</f>
        <v>-1564160</v>
      </c>
      <c r="H145" s="18">
        <f>D88+N88</f>
        <v>339659.81</v>
      </c>
      <c r="I145" s="18">
        <f>('REPORTE RECAUDO x BANCO'!E69)</f>
        <v>0</v>
      </c>
      <c r="J145" s="18">
        <f t="shared" si="53"/>
        <v>477309.99999999994</v>
      </c>
      <c r="K145" s="83">
        <f t="shared" si="53"/>
        <v>9848837.3600000013</v>
      </c>
      <c r="L145" s="597">
        <f>D145-E145-F145-G145-J145-H145-I145</f>
        <v>5.8207660913467407E-10</v>
      </c>
      <c r="M145" s="1" t="b">
        <f t="shared" si="54"/>
        <v>1</v>
      </c>
      <c r="O145" s="96"/>
      <c r="P145" s="24"/>
      <c r="Q145" s="35"/>
      <c r="R145" s="24"/>
    </row>
    <row r="146" spans="1:20" ht="12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97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" thickBot="1" x14ac:dyDescent="0.3">
      <c r="B147" s="21"/>
      <c r="C147" s="22" t="s">
        <v>2</v>
      </c>
      <c r="D147" s="47">
        <f>SUM(D142:D146)</f>
        <v>28171271.390000001</v>
      </c>
      <c r="E147" s="47">
        <f>SUM(E142:E146)</f>
        <v>6204091</v>
      </c>
      <c r="F147" s="47">
        <f t="shared" ref="F147:K147" si="55">SUM(F142:F146)</f>
        <v>21504783.789999999</v>
      </c>
      <c r="G147" s="47">
        <f t="shared" si="55"/>
        <v>-1610290</v>
      </c>
      <c r="H147" s="47">
        <f t="shared" si="55"/>
        <v>1595376.6</v>
      </c>
      <c r="I147" s="47">
        <f t="shared" si="55"/>
        <v>0</v>
      </c>
      <c r="J147" s="47">
        <f t="shared" si="55"/>
        <v>477309.99999999994</v>
      </c>
      <c r="K147" s="47">
        <f t="shared" si="55"/>
        <v>21504783.789999999</v>
      </c>
      <c r="L147" s="597">
        <f>SUM(L142:L146)</f>
        <v>-3.4924596548080444E-10</v>
      </c>
      <c r="M147" s="1" t="b">
        <f t="shared" si="54"/>
        <v>0</v>
      </c>
      <c r="P147" s="24"/>
      <c r="Q147" s="35"/>
      <c r="R147" s="24"/>
    </row>
    <row r="148" spans="1:20" x14ac:dyDescent="0.25">
      <c r="B148" s="2"/>
      <c r="H148" s="55"/>
      <c r="L148" s="548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N152" s="24"/>
      <c r="O152" s="24"/>
      <c r="Q152" s="24"/>
      <c r="T152" s="24"/>
    </row>
    <row r="153" spans="1:20" x14ac:dyDescent="0.25">
      <c r="N153" s="24"/>
      <c r="O153" s="24"/>
      <c r="Q153" s="24"/>
      <c r="T153" s="24"/>
    </row>
    <row r="154" spans="1:20" x14ac:dyDescent="0.25">
      <c r="N154" s="24"/>
      <c r="O154" s="24"/>
      <c r="Q154" s="24"/>
      <c r="T154" s="24"/>
    </row>
    <row r="155" spans="1:20" x14ac:dyDescent="0.25">
      <c r="N155" s="24"/>
      <c r="O155" s="24"/>
      <c r="Q155" s="24"/>
      <c r="T155" s="24"/>
    </row>
    <row r="156" spans="1:20" x14ac:dyDescent="0.25">
      <c r="N156" s="24"/>
      <c r="O156" s="24"/>
      <c r="Q156" s="24"/>
      <c r="T156" s="24"/>
    </row>
    <row r="157" spans="1:20" x14ac:dyDescent="0.25">
      <c r="N157" s="24"/>
      <c r="O157" s="24"/>
      <c r="Q157" s="24"/>
      <c r="T157" s="24"/>
    </row>
    <row r="158" spans="1:20" x14ac:dyDescent="0.25">
      <c r="N158" s="24"/>
      <c r="O158" s="24"/>
      <c r="Q158" s="24"/>
      <c r="T158" s="24"/>
    </row>
    <row r="159" spans="1:20" x14ac:dyDescent="0.25">
      <c r="N159" s="24"/>
      <c r="O159" s="24"/>
      <c r="Q159" s="24"/>
      <c r="T159" s="24"/>
    </row>
    <row r="160" spans="1:20" x14ac:dyDescent="0.25">
      <c r="N160" s="24"/>
      <c r="O160" s="24"/>
      <c r="Q160" s="24"/>
      <c r="T160" s="24"/>
    </row>
    <row r="161" spans="14:20" x14ac:dyDescent="0.25">
      <c r="N161" s="24"/>
      <c r="O161" s="24"/>
      <c r="Q161" s="24"/>
      <c r="T161" s="24"/>
    </row>
    <row r="162" spans="14:20" x14ac:dyDescent="0.25">
      <c r="N162" s="24"/>
      <c r="O162" s="24"/>
      <c r="Q162" s="24"/>
      <c r="T162" s="24"/>
    </row>
    <row r="163" spans="14:20" x14ac:dyDescent="0.25">
      <c r="N163" s="24"/>
      <c r="O163" s="24"/>
      <c r="Q163" s="24"/>
      <c r="T163" s="24"/>
    </row>
    <row r="164" spans="14:20" x14ac:dyDescent="0.25">
      <c r="N164" s="24"/>
      <c r="O164" s="24"/>
      <c r="Q164" s="24"/>
      <c r="T164" s="24"/>
    </row>
    <row r="165" spans="14:20" x14ac:dyDescent="0.25">
      <c r="Q165" s="24"/>
      <c r="T165" s="24"/>
    </row>
    <row r="166" spans="14:20" x14ac:dyDescent="0.25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D9" sqref="D9"/>
    </sheetView>
  </sheetViews>
  <sheetFormatPr baseColWidth="10" defaultRowHeight="12.5" x14ac:dyDescent="0.25"/>
  <cols>
    <col min="1" max="1" width="3" customWidth="1"/>
    <col min="2" max="2" width="4.1796875" bestFit="1" customWidth="1"/>
    <col min="3" max="3" width="16.81640625" customWidth="1"/>
    <col min="4" max="4" width="14.1796875" customWidth="1"/>
    <col min="5" max="7" width="17.81640625" customWidth="1"/>
    <col min="8" max="8" width="18.1796875" customWidth="1"/>
    <col min="9" max="9" width="15.81640625" customWidth="1"/>
    <col min="10" max="10" width="16.453125" customWidth="1"/>
    <col min="11" max="11" width="15.81640625" customWidth="1"/>
    <col min="12" max="13" width="18.1796875" customWidth="1"/>
    <col min="14" max="14" width="15.81640625" customWidth="1"/>
    <col min="15" max="15" width="14.1796875" customWidth="1"/>
    <col min="16" max="16" width="14.453125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Reciprocidad'!F21</f>
        <v>0</v>
      </c>
      <c r="D3" s="292">
        <f>'REMUNERACION Reciprocidad EAAB'!G125</f>
        <v>0</v>
      </c>
      <c r="E3" s="292">
        <f>'REMUNERACION Reciprocidad EAAB'!D28+'REMUNERACION Reciprocidad EAAB'!N28</f>
        <v>0</v>
      </c>
      <c r="F3" s="292">
        <f>'REMUNERACION Reciprocidad EAAB'!I142</f>
        <v>0</v>
      </c>
      <c r="G3" s="292">
        <f>'REMUNERACION Reciprocidad EAAB'!H142</f>
        <v>0</v>
      </c>
      <c r="H3" s="340">
        <f>SUM(C3:G3)</f>
        <v>0</v>
      </c>
      <c r="I3" s="291">
        <f>'REMUNERACION Reciprocidad EAAB'!D104</f>
        <v>0</v>
      </c>
      <c r="J3" s="292">
        <f>'REMUNERACION Reciprocidad EAAB'!N104</f>
        <v>0</v>
      </c>
      <c r="K3" s="292">
        <f>'REMUNERACION Reciprocidad EAAB'!D125</f>
        <v>0</v>
      </c>
      <c r="L3" s="353">
        <f>'REMUNERACION Reciprocidad EAAB'!E125</f>
        <v>0</v>
      </c>
      <c r="M3" s="292">
        <f>-'REMUNERACION Reciprocidad EAAB'!D66-'REMUNERACION Reciprocidad EAAB'!N66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Reciprocidad'!F22</f>
        <v>4390091</v>
      </c>
      <c r="D4" s="292">
        <f>'REMUNERACION Reciprocidad EAAB'!G126</f>
        <v>0</v>
      </c>
      <c r="E4" s="292">
        <f>'REMUNERACION Reciprocidad EAAB'!D29+'REMUNERACION Reciprocidad EAAB'!N29</f>
        <v>11655946.43</v>
      </c>
      <c r="F4" s="292">
        <f>'REMUNERACION Reciprocidad EAAB'!I143</f>
        <v>0</v>
      </c>
      <c r="G4" s="292">
        <f>'REMUNERACION Reciprocidad EAAB'!H143</f>
        <v>1255716.79</v>
      </c>
      <c r="H4" s="340">
        <f t="shared" ref="H4:H8" si="1">SUM(C4:G4)</f>
        <v>17301754.219999999</v>
      </c>
      <c r="I4" s="291">
        <f>'REMUNERACION Reciprocidad EAAB'!D105</f>
        <v>14643673.219999999</v>
      </c>
      <c r="J4" s="292">
        <f>'REMUNERACION Reciprocidad EAAB'!N105</f>
        <v>0</v>
      </c>
      <c r="K4" s="292">
        <f>'REMUNERACION Reciprocidad EAAB'!D126</f>
        <v>2611951</v>
      </c>
      <c r="L4" s="353">
        <f>'REMUNERACION Reciprocidad EAAB'!E126</f>
        <v>0</v>
      </c>
      <c r="M4" s="292">
        <f>-'REMUNERACION Reciprocidad EAAB'!D67-'REMUNERACION Reciprocidad EAAB'!N67</f>
        <v>46130</v>
      </c>
      <c r="N4" s="318">
        <f>SUM(I4:M4)</f>
        <v>17301754.219999999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Reciprocidad'!D23</f>
        <v>0</v>
      </c>
      <c r="D5" s="292">
        <f>'REMUNERACION Reciprocidad EAAB'!G127</f>
        <v>0</v>
      </c>
      <c r="E5" s="292">
        <f>'REMUNERACION Reciprocidad EAAB'!D30+'REMUNERACION Reciprocidad EAAB'!N30</f>
        <v>0</v>
      </c>
      <c r="F5" s="292">
        <f>'REMUNERACION Reciprocidad EAAB'!I144</f>
        <v>0</v>
      </c>
      <c r="G5" s="292">
        <f>'REMUNERACION Reciprocidad EAAB'!H144</f>
        <v>0</v>
      </c>
      <c r="H5" s="340">
        <f t="shared" si="1"/>
        <v>0</v>
      </c>
      <c r="I5" s="291">
        <f>'REMUNERACION Reciprocidad EAAB'!D106</f>
        <v>0</v>
      </c>
      <c r="J5" s="292">
        <f>'REMUNERACION Reciprocidad EAAB'!N106</f>
        <v>0</v>
      </c>
      <c r="K5" s="292">
        <f>'REMUNERACION Reciprocidad EAAB'!D127</f>
        <v>0</v>
      </c>
      <c r="L5" s="353">
        <f>'REMUNERACION Reciprocidad EAAB'!E127</f>
        <v>0</v>
      </c>
      <c r="M5" s="292">
        <f>-'REMUNERACION Reciprocidad EAAB'!D68-'REMUNERACION Reciprocidad EAAB'!N68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Reciprocidad'!F24</f>
        <v>1814000</v>
      </c>
      <c r="D6" s="292">
        <f>'REMUNERACION Reciprocidad EAAB'!G128</f>
        <v>477309.99999999994</v>
      </c>
      <c r="E6" s="292">
        <f>'REMUNERACION Reciprocidad EAAB'!D31+'REMUNERACION Reciprocidad EAAB'!N31</f>
        <v>9848837.3600000013</v>
      </c>
      <c r="F6" s="292">
        <f>'REMUNERACION Reciprocidad EAAB'!I145</f>
        <v>0</v>
      </c>
      <c r="G6" s="292">
        <f>'REMUNERACION Reciprocidad EAAB'!H145</f>
        <v>339659.81</v>
      </c>
      <c r="H6" s="340">
        <f t="shared" si="1"/>
        <v>12479807.170000002</v>
      </c>
      <c r="I6" s="291">
        <f>'REMUNERACION Reciprocidad EAAB'!D107</f>
        <v>9653257.1700000018</v>
      </c>
      <c r="J6" s="292">
        <f>'REMUNERACION Reciprocidad EAAB'!N107</f>
        <v>0</v>
      </c>
      <c r="K6" s="292">
        <f>'REMUNERACION Reciprocidad EAAB'!D128</f>
        <v>1262390</v>
      </c>
      <c r="L6" s="353">
        <f>'REMUNERACION Reciprocidad EAAB'!E128</f>
        <v>0</v>
      </c>
      <c r="M6" s="292">
        <f>-'REMUNERACION Reciprocidad EAAB'!D69-'REMUNERACION Reciprocidad EAAB'!N69</f>
        <v>1564160</v>
      </c>
      <c r="N6" s="318">
        <f t="shared" ref="N6:N7" si="3">SUM(I6:M6)</f>
        <v>12479807.170000002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Reciprocidad'!D25</f>
        <v>0</v>
      </c>
      <c r="D7" s="292">
        <f>'REMUNERACION Reciprocidad EAAB'!G129</f>
        <v>0</v>
      </c>
      <c r="E7" s="292">
        <f>'REMUNERACION Reciprocidad EAAB'!D32+'REMUNERACION Reciprocidad EAAB'!N32</f>
        <v>0</v>
      </c>
      <c r="F7" s="292">
        <f>'REMUNERACION Reciprocidad EAAB'!I146</f>
        <v>0</v>
      </c>
      <c r="G7" s="292">
        <f>'REMUNERACION Reciprocidad EAAB'!H146</f>
        <v>0</v>
      </c>
      <c r="H7" s="340">
        <f t="shared" si="1"/>
        <v>0</v>
      </c>
      <c r="I7" s="291">
        <f>'REMUNERACION Reciprocidad EAAB'!D108</f>
        <v>0</v>
      </c>
      <c r="J7" s="292">
        <f>'REMUNERACION Reciprocidad EAAB'!N108</f>
        <v>0</v>
      </c>
      <c r="K7" s="292">
        <f>'REMUNERACION Reciprocidad EAAB'!D129</f>
        <v>0</v>
      </c>
      <c r="L7" s="353">
        <f>'REMUNERACION Reciprocidad EAAB'!E129</f>
        <v>0</v>
      </c>
      <c r="M7" s="292">
        <f>-'REMUNERACION Reciprocidad EAAB'!D70-'REMUNERACION Reciprocidad EAAB'!N70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" thickBot="1" x14ac:dyDescent="0.3">
      <c r="B8" s="341" t="s">
        <v>89</v>
      </c>
      <c r="C8" s="317">
        <f>'Recaudo EAAB Reciprocidad'!F26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 Reciprocidad EAAB'!E130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" thickBot="1" x14ac:dyDescent="0.3">
      <c r="B9" s="327"/>
      <c r="C9" s="290">
        <f>SUM(C3:C8)</f>
        <v>6204091</v>
      </c>
      <c r="D9" s="290">
        <f t="shared" ref="D9:M9" si="4">SUM(D3:D8)</f>
        <v>477309.99999999994</v>
      </c>
      <c r="E9" s="290">
        <f>SUM(E3:E8)</f>
        <v>21504783.789999999</v>
      </c>
      <c r="F9" s="290">
        <f t="shared" si="4"/>
        <v>0</v>
      </c>
      <c r="G9" s="290">
        <f t="shared" si="4"/>
        <v>1595376.6</v>
      </c>
      <c r="H9" s="290">
        <f t="shared" si="4"/>
        <v>29781561.390000001</v>
      </c>
      <c r="I9" s="290">
        <f t="shared" si="4"/>
        <v>24296930.390000001</v>
      </c>
      <c r="J9" s="290">
        <f t="shared" si="4"/>
        <v>0</v>
      </c>
      <c r="K9" s="290">
        <f t="shared" si="4"/>
        <v>3874341</v>
      </c>
      <c r="L9" s="290">
        <f t="shared" si="4"/>
        <v>0</v>
      </c>
      <c r="M9" s="290">
        <f t="shared" si="4"/>
        <v>1610290</v>
      </c>
      <c r="N9" s="290">
        <f>SUM(N3:N8)</f>
        <v>29781561.390000001</v>
      </c>
      <c r="O9" s="359">
        <f>SUM(O3:O8)</f>
        <v>0</v>
      </c>
      <c r="P9" s="1" t="b">
        <f t="shared" si="2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Recaudo'!D9</f>
        <v>6204091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8" width="16.1796875" style="1" customWidth="1"/>
    <col min="9" max="9" width="20.179687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81640625" style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9.453125" style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9.81640625" style="1" customWidth="1"/>
    <col min="34" max="34" width="13.81640625" style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8" t="s">
        <v>17</v>
      </c>
      <c r="D6" s="9">
        <f>'REMUNERACION Reciprocidad EAAB'!D101</f>
        <v>46297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8"/>
      <c r="C7" s="598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46281</v>
      </c>
      <c r="J7" s="2" t="s">
        <v>28</v>
      </c>
      <c r="K7" s="9">
        <f>'REMUNERACION Reciprocidad EAAB'!K102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5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5">
      <c r="B10" s="16">
        <v>2</v>
      </c>
      <c r="C10" s="62" t="s">
        <v>11</v>
      </c>
      <c r="D10" s="66">
        <f>'REMUNERACION Reciprocidad EAAB'!D105</f>
        <v>14643673.219999999</v>
      </c>
      <c r="E10" s="66">
        <f>'REMUNERACION Reciprocidad EAAB'!E105</f>
        <v>1412530</v>
      </c>
      <c r="F10" s="66">
        <f>'REMUNERACION Reciprocidad EAAB'!F105</f>
        <v>783991.89</v>
      </c>
      <c r="G10" s="66">
        <f>'REMUNERACION Reciprocidad EAAB'!G105</f>
        <v>291309.74000000005</v>
      </c>
      <c r="H10" s="66">
        <f>'REMUNERACION Reciprocidad EAAB'!H105</f>
        <v>6260809.5899999999</v>
      </c>
      <c r="I10" s="66">
        <f>'REMUNERACION Reciprocidad EAAB'!I105</f>
        <v>211166.2</v>
      </c>
      <c r="J10" s="66">
        <f>'REMUNERACION Reciprocidad EAAB'!J105</f>
        <v>0</v>
      </c>
      <c r="K10" s="31">
        <f t="shared" ref="K10:K13" si="0">D10-E10-F10-G10-H10-I10-J10</f>
        <v>5683865.799999998</v>
      </c>
      <c r="L10" s="66">
        <f>'REMUNERACION Reciprocidad EAAB'!L105</f>
        <v>0</v>
      </c>
      <c r="M10" s="31">
        <f>K10-L10</f>
        <v>5683865.799999998</v>
      </c>
      <c r="N10" s="66">
        <f>'REMUNERACION Reciprocidad EAAB'!N105</f>
        <v>0</v>
      </c>
      <c r="O10" s="31">
        <f t="shared" ref="O10:O13" si="1">M10+N10</f>
        <v>5683865.799999998</v>
      </c>
      <c r="Q10" s="4"/>
      <c r="S10" s="16">
        <v>2</v>
      </c>
      <c r="T10" s="62" t="s">
        <v>11</v>
      </c>
      <c r="U10" s="66">
        <f>'REMUNERACION Reciprocidad EAAB'!U105</f>
        <v>1836082.28</v>
      </c>
      <c r="V10" s="66">
        <f>'REMUNERACION Reciprocidad EAAB'!V105</f>
        <v>1799853.3</v>
      </c>
      <c r="W10" s="66">
        <f>'REMUNERACION Reciprocidad EAAB'!W105</f>
        <v>7403252.8200000003</v>
      </c>
      <c r="X10" s="66">
        <f>'REMUNERACION Reciprocidad EAAB'!X105</f>
        <v>2757826.03</v>
      </c>
      <c r="Y10" s="66">
        <f>'REMUNERACION Reciprocidad EAAB'!Y105</f>
        <v>283277.61</v>
      </c>
      <c r="Z10" s="66">
        <f>'REMUNERACION Reciprocidad EAAB'!Z105</f>
        <v>0</v>
      </c>
      <c r="AA10" s="66">
        <f>'REMUNERACION Reciprocidad EAAB'!AA105</f>
        <v>2.09</v>
      </c>
      <c r="AB10" s="66">
        <f>'REMUNERACION Reciprocidad EAAB'!AB105</f>
        <v>0</v>
      </c>
      <c r="AC10" s="66">
        <f>'REMUNERACION Reciprocidad EAAB'!AC105</f>
        <v>0</v>
      </c>
      <c r="AD10" s="66">
        <f>'REMUNERACION Reciprocidad EAAB'!AD105</f>
        <v>-8396428.3300000001</v>
      </c>
      <c r="AE10" s="66">
        <f>'REMUNERACION Reciprocidad EAAB'!AE105</f>
        <v>-8396428.3300000001</v>
      </c>
      <c r="AF10" s="70">
        <f>SUM(U10:AD10)</f>
        <v>5683865.7999999989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5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5">
      <c r="B12" s="16">
        <v>4</v>
      </c>
      <c r="C12" s="62" t="s">
        <v>13</v>
      </c>
      <c r="D12" s="66">
        <f>'REMUNERACION Reciprocidad EAAB'!D107</f>
        <v>9653257.1700000018</v>
      </c>
      <c r="E12" s="66">
        <f>'REMUNERACION Reciprocidad EAAB'!E107</f>
        <v>646746.06000000006</v>
      </c>
      <c r="F12" s="66">
        <f>'REMUNERACION Reciprocidad EAAB'!F107</f>
        <v>359352.58</v>
      </c>
      <c r="G12" s="66">
        <f>'REMUNERACION Reciprocidad EAAB'!G107</f>
        <v>132306.63</v>
      </c>
      <c r="H12" s="66">
        <f>'REMUNERACION Reciprocidad EAAB'!H107</f>
        <v>2407655.9300000002</v>
      </c>
      <c r="I12" s="66">
        <f>'REMUNERACION Reciprocidad EAAB'!I107</f>
        <v>83911.4</v>
      </c>
      <c r="J12" s="66">
        <f>'REMUNERACION Reciprocidad EAAB'!J107</f>
        <v>0</v>
      </c>
      <c r="K12" s="31">
        <f t="shared" si="0"/>
        <v>6023284.5700000003</v>
      </c>
      <c r="L12" s="66">
        <f>'REMUNERACION Reciprocidad EAAB'!L107</f>
        <v>0</v>
      </c>
      <c r="M12" s="31">
        <f>K12-L12</f>
        <v>6023284.5700000003</v>
      </c>
      <c r="N12" s="66">
        <f>'REMUNERACION Reciprocidad EAAB'!N107</f>
        <v>0</v>
      </c>
      <c r="O12" s="31">
        <f t="shared" si="1"/>
        <v>6023284.5700000003</v>
      </c>
      <c r="Q12" s="4"/>
      <c r="S12" s="16">
        <v>4</v>
      </c>
      <c r="T12" s="62" t="s">
        <v>13</v>
      </c>
      <c r="U12" s="66">
        <f>'REMUNERACION Reciprocidad EAAB'!U107</f>
        <v>786730.0299999998</v>
      </c>
      <c r="V12" s="66">
        <f>'REMUNERACION Reciprocidad EAAB'!V107</f>
        <v>730562.89000000013</v>
      </c>
      <c r="W12" s="66">
        <f>'REMUNERACION Reciprocidad EAAB'!W107</f>
        <v>3205416.28</v>
      </c>
      <c r="X12" s="66">
        <f>'REMUNERACION Reciprocidad EAAB'!X107</f>
        <v>1822317.43</v>
      </c>
      <c r="Y12" s="66">
        <f>'REMUNERACION Reciprocidad EAAB'!Y107</f>
        <v>106069.37000000001</v>
      </c>
      <c r="Z12" s="66">
        <f>'REMUNERACION Reciprocidad EAAB'!Z107</f>
        <v>0</v>
      </c>
      <c r="AA12" s="66">
        <f>'REMUNERACION Reciprocidad EAAB'!AA107</f>
        <v>8.9899999999999984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-627820.41999999993</v>
      </c>
      <c r="AE12" s="66">
        <f>'REMUNERACION Reciprocidad EAAB'!AE107</f>
        <v>-627820.41999999993</v>
      </c>
      <c r="AF12" s="70">
        <f>SUM(U12:AD12)</f>
        <v>6023284.5699999994</v>
      </c>
      <c r="AG12" s="72">
        <f>AF12-O12</f>
        <v>0</v>
      </c>
      <c r="AH12" s="1" t="b">
        <f t="shared" si="2"/>
        <v>1</v>
      </c>
      <c r="AI12" s="4"/>
    </row>
    <row r="13" spans="2:35" ht="12" thickBot="1" x14ac:dyDescent="0.3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35">
      <c r="B14" s="21"/>
      <c r="C14" s="22" t="s">
        <v>2</v>
      </c>
      <c r="D14" s="43">
        <f t="shared" ref="D14:O14" si="3">SUM(D9:D13)</f>
        <v>24296930.390000001</v>
      </c>
      <c r="E14" s="43">
        <f t="shared" si="3"/>
        <v>2059276.06</v>
      </c>
      <c r="F14" s="43">
        <f t="shared" si="3"/>
        <v>1143344.47</v>
      </c>
      <c r="G14" s="43">
        <f t="shared" si="3"/>
        <v>423616.37000000005</v>
      </c>
      <c r="H14" s="43">
        <f t="shared" si="3"/>
        <v>8668465.5199999996</v>
      </c>
      <c r="I14" s="43">
        <f t="shared" si="3"/>
        <v>295077.59999999998</v>
      </c>
      <c r="J14" s="43">
        <f t="shared" si="3"/>
        <v>0</v>
      </c>
      <c r="K14" s="32">
        <f t="shared" si="3"/>
        <v>11707150.369999997</v>
      </c>
      <c r="L14" s="23">
        <f t="shared" si="3"/>
        <v>0</v>
      </c>
      <c r="M14" s="76">
        <f t="shared" si="3"/>
        <v>11707150.369999997</v>
      </c>
      <c r="N14" s="23">
        <f t="shared" si="3"/>
        <v>0</v>
      </c>
      <c r="O14" s="76">
        <f t="shared" si="3"/>
        <v>11707150.369999997</v>
      </c>
      <c r="P14" s="2"/>
      <c r="Q14" s="4"/>
      <c r="S14" s="21"/>
      <c r="T14" s="22" t="s">
        <v>2</v>
      </c>
      <c r="U14" s="43">
        <f>SUM(U9:U13)</f>
        <v>2622812.3099999996</v>
      </c>
      <c r="V14" s="43">
        <f t="shared" ref="V14:AG14" si="4">SUM(V9:V13)</f>
        <v>2530416.1900000004</v>
      </c>
      <c r="W14" s="43">
        <f t="shared" si="4"/>
        <v>10608669.1</v>
      </c>
      <c r="X14" s="43">
        <f t="shared" si="4"/>
        <v>4580143.46</v>
      </c>
      <c r="Y14" s="43">
        <f t="shared" si="4"/>
        <v>389346.98</v>
      </c>
      <c r="Z14" s="43">
        <f t="shared" si="4"/>
        <v>0</v>
      </c>
      <c r="AA14" s="43">
        <f t="shared" si="4"/>
        <v>11.079999999999998</v>
      </c>
      <c r="AB14" s="43">
        <f t="shared" si="4"/>
        <v>0</v>
      </c>
      <c r="AC14" s="43">
        <f t="shared" si="4"/>
        <v>0</v>
      </c>
      <c r="AD14" s="43">
        <f t="shared" si="4"/>
        <v>-9024248.75</v>
      </c>
      <c r="AE14" s="43">
        <f>SUM(AE9:AE13)</f>
        <v>-9024248.75</v>
      </c>
      <c r="AF14" s="68">
        <f t="shared" si="4"/>
        <v>11707150.369999997</v>
      </c>
      <c r="AG14" s="43">
        <f t="shared" si="4"/>
        <v>0</v>
      </c>
      <c r="AH14" s="1" t="b">
        <f t="shared" si="2"/>
        <v>1</v>
      </c>
      <c r="AI14" s="4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20731388.039999999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2026092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'REMUNERACION Reciprocidad EAAB'!G122</f>
        <v>46281</v>
      </c>
      <c r="J27" s="2" t="s">
        <v>28</v>
      </c>
      <c r="K27" s="9">
        <f>'REMUNERACION Reciprocidad EAAB'!K122</f>
        <v>46295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0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5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6">
        <f>'REMUNERACION Reciprocidad EAAB'!G125</f>
        <v>0</v>
      </c>
      <c r="H30" s="310">
        <f>'REMUNERACION Reciprocidad EAAB'!H125</f>
        <v>0</v>
      </c>
      <c r="I30" s="309">
        <f>'REMUNERACION Reciprocidad EAAB'!I125</f>
        <v>0</v>
      </c>
      <c r="J30" s="309">
        <f>'REMUNERACION Reciprocidad EAAB'!J125</f>
        <v>0</v>
      </c>
      <c r="K30" s="309">
        <f>'REMUNERACION Reciprocidad EAAB'!K125</f>
        <v>0</v>
      </c>
      <c r="L30" s="309">
        <f>'REMUNERACION Reciprocidad EAAB'!L125</f>
        <v>0</v>
      </c>
      <c r="O30" s="44"/>
      <c r="Q30" s="4"/>
    </row>
    <row r="31" spans="1:35" x14ac:dyDescent="0.25">
      <c r="B31" s="16">
        <v>2</v>
      </c>
      <c r="C31" s="17" t="s">
        <v>11</v>
      </c>
      <c r="D31" s="15">
        <f>'REMUNERACION Reciprocidad EAAB'!D126</f>
        <v>2611951</v>
      </c>
      <c r="E31" s="74">
        <f>'REMUNERACION Reciprocidad EAAB'!E126</f>
        <v>0</v>
      </c>
      <c r="G31" s="339">
        <f>'REMUNERACION Reciprocidad EAAB'!G126</f>
        <v>0</v>
      </c>
      <c r="H31" s="340">
        <f>'REMUNERACION Reciprocidad EAAB'!H126</f>
        <v>11655946.43</v>
      </c>
      <c r="I31" s="288">
        <f>'REMUNERACION Reciprocidad EAAB'!I126</f>
        <v>1255716.79</v>
      </c>
      <c r="J31" s="288">
        <f>'REMUNERACION Reciprocidad EAAB'!J126</f>
        <v>-46130</v>
      </c>
      <c r="K31" s="288">
        <f>'REMUNERACION Reciprocidad EAAB'!K126</f>
        <v>46130</v>
      </c>
      <c r="L31" s="288">
        <f>'REMUNERACION Reciprocidad EAAB'!L126</f>
        <v>0</v>
      </c>
      <c r="O31" s="44"/>
      <c r="Q31" s="4"/>
    </row>
    <row r="32" spans="1:35" x14ac:dyDescent="0.25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39">
        <f>'REMUNERACION Reciprocidad EAAB'!G127</f>
        <v>0</v>
      </c>
      <c r="H32" s="340">
        <f>'REMUNERACION Reciprocidad EAAB'!H127</f>
        <v>0</v>
      </c>
      <c r="I32" s="288">
        <f>'REMUNERACION Reciprocidad EAAB'!I127</f>
        <v>0</v>
      </c>
      <c r="J32" s="288">
        <f>'REMUNERACION Reciprocidad EAAB'!J127</f>
        <v>0</v>
      </c>
      <c r="K32" s="288">
        <f>'REMUNERACION Reciprocidad EAAB'!K127</f>
        <v>0</v>
      </c>
      <c r="L32" s="288">
        <f>'REMUNERACION Reciprocidad EAAB'!L127</f>
        <v>0</v>
      </c>
      <c r="O32" s="44"/>
      <c r="Q32" s="4"/>
    </row>
    <row r="33" spans="1:20" x14ac:dyDescent="0.25">
      <c r="B33" s="16">
        <v>4</v>
      </c>
      <c r="C33" s="17" t="s">
        <v>13</v>
      </c>
      <c r="D33" s="15">
        <f>'REMUNERACION Reciprocidad EAAB'!D128</f>
        <v>1262390</v>
      </c>
      <c r="E33" s="74">
        <f>'REMUNERACION Reciprocidad EAAB'!E128</f>
        <v>0</v>
      </c>
      <c r="G33" s="339">
        <f>'REMUNERACION Reciprocidad EAAB'!G128</f>
        <v>477309.99999999994</v>
      </c>
      <c r="H33" s="340">
        <f>'REMUNERACION Reciprocidad EAAB'!H128</f>
        <v>9848837.3600000013</v>
      </c>
      <c r="I33" s="288">
        <f>'REMUNERACION Reciprocidad EAAB'!I128</f>
        <v>339659.81</v>
      </c>
      <c r="J33" s="288">
        <f>'REMUNERACION Reciprocidad EAAB'!J128</f>
        <v>-1564160</v>
      </c>
      <c r="K33" s="288">
        <f>'REMUNERACION Reciprocidad EAAB'!K128</f>
        <v>1086850</v>
      </c>
      <c r="L33" s="288">
        <f>'REMUNERACION Reciprocidad EAAB'!L128</f>
        <v>0</v>
      </c>
      <c r="O33" s="44"/>
      <c r="Q33" s="4"/>
    </row>
    <row r="34" spans="1:20" x14ac:dyDescent="0.25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39">
        <f>'REMUNERACION Reciprocidad EAAB'!G129</f>
        <v>0</v>
      </c>
      <c r="H34" s="340">
        <f>'REMUNERACION Reciprocidad EAAB'!H129</f>
        <v>0</v>
      </c>
      <c r="I34" s="288">
        <f>'REMUNERACION Reciprocidad EAAB'!I129</f>
        <v>0</v>
      </c>
      <c r="J34" s="288">
        <f>'REMUNERACION Reciprocidad EAAB'!J129</f>
        <v>0</v>
      </c>
      <c r="K34" s="288">
        <f>'REMUNERACION Reciprocidad EAAB'!K129</f>
        <v>0</v>
      </c>
      <c r="L34" s="288">
        <f>'REMUNERACION Reciprocidad EAAB'!L129</f>
        <v>0</v>
      </c>
      <c r="O34" s="44"/>
      <c r="Q34" s="4"/>
    </row>
    <row r="35" spans="1:20" ht="12" thickBot="1" x14ac:dyDescent="0.3">
      <c r="B35" s="19" t="s">
        <v>89</v>
      </c>
      <c r="C35" s="20" t="s">
        <v>113</v>
      </c>
      <c r="D35" s="78"/>
      <c r="E35" s="79">
        <f>'REMUNERACION Reciprocidad EAAB'!E130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" thickBot="1" x14ac:dyDescent="0.3">
      <c r="B36" s="95"/>
      <c r="C36" s="106" t="s">
        <v>2</v>
      </c>
      <c r="D36" s="107">
        <f>SUM(D30:D34)</f>
        <v>3874341</v>
      </c>
      <c r="E36" s="107">
        <f>'REMUNERACION Reciprocidad EAAB'!E131</f>
        <v>0</v>
      </c>
      <c r="F36" s="45"/>
      <c r="G36" s="350">
        <f t="shared" ref="G36:L36" si="5">SUM(G30:G34)</f>
        <v>477309.99999999994</v>
      </c>
      <c r="H36" s="350">
        <f t="shared" si="5"/>
        <v>21504783.789999999</v>
      </c>
      <c r="I36" s="350">
        <f t="shared" si="5"/>
        <v>1595376.6</v>
      </c>
      <c r="J36" s="350">
        <f t="shared" si="5"/>
        <v>-1610290</v>
      </c>
      <c r="K36" s="350">
        <f t="shared" si="5"/>
        <v>1132980</v>
      </c>
      <c r="L36" s="350">
        <f t="shared" si="5"/>
        <v>0</v>
      </c>
      <c r="M36" s="45"/>
      <c r="N36" s="45"/>
      <c r="O36" s="46"/>
      <c r="P36" s="2"/>
      <c r="Q36" s="4"/>
    </row>
    <row r="37" spans="1:20" x14ac:dyDescent="0.25">
      <c r="B37" s="2"/>
      <c r="C37" s="2"/>
      <c r="D37" s="24"/>
      <c r="Q37" s="4"/>
    </row>
    <row r="38" spans="1:20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5">
      <c r="N42" s="24"/>
      <c r="O42" s="24"/>
      <c r="Q42" s="24"/>
      <c r="T42" s="24"/>
    </row>
    <row r="43" spans="1:20" x14ac:dyDescent="0.25">
      <c r="N43" s="24"/>
      <c r="O43" s="24"/>
      <c r="Q43" s="24"/>
      <c r="T43" s="24"/>
    </row>
    <row r="44" spans="1:20" x14ac:dyDescent="0.25">
      <c r="D44" s="267" t="b">
        <f>D14='REMUNERACION Reciprocidad EAAB'!D109</f>
        <v>1</v>
      </c>
      <c r="E44" s="267" t="b">
        <f>E14='REMUNERACION Reciprocidad EAAB'!E109</f>
        <v>1</v>
      </c>
      <c r="F44" s="267" t="b">
        <f>F14='REMUNERACION Reciprocidad EAAB'!F109</f>
        <v>1</v>
      </c>
      <c r="G44" s="267" t="b">
        <f>G14='REMUNERACION Reciprocidad EAAB'!G109</f>
        <v>1</v>
      </c>
      <c r="H44" s="267" t="b">
        <f>H14='REMUNERACION Reciprocidad EAAB'!H109</f>
        <v>1</v>
      </c>
      <c r="I44" s="267" t="b">
        <f>I14='REMUNERACION Reciprocidad EAAB'!I109</f>
        <v>1</v>
      </c>
      <c r="J44" s="267" t="b">
        <f>J14='REMUNERACION Reciprocidad EAAB'!J109</f>
        <v>1</v>
      </c>
      <c r="K44" s="267" t="b">
        <f>K14='REMUNERACION Reciprocidad EAAB'!K109</f>
        <v>1</v>
      </c>
      <c r="L44" s="267" t="b">
        <f>L14='REMUNERACION Reciprocidad EAAB'!L109</f>
        <v>1</v>
      </c>
      <c r="M44" s="267" t="b">
        <f>M14='REMUNERACION Reciprocidad EAAB'!M109</f>
        <v>1</v>
      </c>
      <c r="N44" s="267" t="b">
        <f>N14='REMUNERACION Reciprocidad EAAB'!N109</f>
        <v>1</v>
      </c>
      <c r="O44" s="267" t="b">
        <f>O14='REMUNERACION Reciprocidad EAAB'!O109</f>
        <v>1</v>
      </c>
      <c r="Q44" s="24"/>
      <c r="T44" s="24"/>
    </row>
    <row r="45" spans="1:20" x14ac:dyDescent="0.25">
      <c r="D45" s="267" t="b">
        <f>D36='REMUNERACION Reciprocidad EAAB'!D131</f>
        <v>1</v>
      </c>
      <c r="E45" s="267" t="b">
        <f>E36='REMUNERACION Reciprocidad EAAB'!E131</f>
        <v>1</v>
      </c>
      <c r="F45" s="267" t="b">
        <f>F36='REMUNERACION Reciprocidad EAAB'!F131</f>
        <v>1</v>
      </c>
      <c r="G45" s="267" t="b">
        <f>G36='REMUNERACION Reciprocidad EAAB'!G131</f>
        <v>1</v>
      </c>
      <c r="H45" s="267" t="b">
        <f>H36='REMUNERACION Reciprocidad EAAB'!H131</f>
        <v>1</v>
      </c>
      <c r="I45" s="267" t="b">
        <f>I36='REMUNERACION Reciprocidad EAAB'!I131</f>
        <v>1</v>
      </c>
      <c r="J45" s="267" t="b">
        <f>J36='REMUNERACION Reciprocidad EAAB'!J131</f>
        <v>1</v>
      </c>
      <c r="K45" s="267" t="b">
        <f>K36='REMUNERACION Reciprocidad EAAB'!K131</f>
        <v>1</v>
      </c>
      <c r="L45" s="267" t="b">
        <f>L36='REMUNERACION Reciprocidad EAAB'!L131</f>
        <v>1</v>
      </c>
      <c r="M45" s="267" t="b">
        <f>M36='REMUNERACION Reciprocidad EAAB'!M131</f>
        <v>1</v>
      </c>
      <c r="N45" s="267" t="b">
        <f>N36='REMUNERACION Reciprocidad EAAB'!N131</f>
        <v>1</v>
      </c>
      <c r="O45" s="267" t="b">
        <f>O36='REMUNERACION Reciprocidad EAAB'!O131</f>
        <v>1</v>
      </c>
      <c r="Q45" s="24"/>
      <c r="T45" s="24"/>
    </row>
    <row r="46" spans="1:20" x14ac:dyDescent="0.25">
      <c r="N46" s="24"/>
      <c r="O46" s="24"/>
      <c r="Q46" s="24"/>
      <c r="T46" s="24"/>
    </row>
    <row r="47" spans="1:20" x14ac:dyDescent="0.25">
      <c r="N47" s="24"/>
      <c r="O47" s="24"/>
      <c r="Q47" s="24"/>
      <c r="T47" s="24"/>
    </row>
    <row r="48" spans="1:20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A96" zoomScaleNormal="100" workbookViewId="0">
      <selection activeCell="A124" sqref="A124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19.81640625" style="1" bestFit="1" customWidth="1"/>
    <col min="13" max="13" width="21" style="1" bestFit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7.54296875" style="1" bestFit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36" width="13.81640625" style="1" bestFit="1" customWidth="1"/>
    <col min="37" max="16384" width="11.453125" style="1"/>
  </cols>
  <sheetData>
    <row r="1" spans="1:35" ht="12" thickBot="1" x14ac:dyDescent="0.3">
      <c r="A1" s="241"/>
      <c r="Q1" s="4"/>
      <c r="AI1" s="4"/>
    </row>
    <row r="2" spans="1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1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5" x14ac:dyDescent="0.35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1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x14ac:dyDescent="0.25">
      <c r="B9" s="303">
        <v>1</v>
      </c>
      <c r="C9" s="304" t="s">
        <v>10</v>
      </c>
      <c r="D9" s="291">
        <f>'Reporte Componentes R1'!F56</f>
        <v>15266951415.18</v>
      </c>
      <c r="E9" s="292">
        <f>'Reporte Componentes R1'!G56</f>
        <v>726263971.83000004</v>
      </c>
      <c r="F9" s="292">
        <f>'Reporte Componentes R1'!H56</f>
        <v>404707620.56999999</v>
      </c>
      <c r="G9" s="292">
        <f>'Reporte Componentes R1'!I56</f>
        <v>215122613.43000001</v>
      </c>
      <c r="H9" s="292">
        <f>'Reporte Componentes R1'!J56</f>
        <v>3252262138.8499999</v>
      </c>
      <c r="I9" s="292">
        <f>'Reporte Componentes R1'!K56</f>
        <v>122230401.73999999</v>
      </c>
      <c r="J9" s="292">
        <f>'CONSOLIDADO_TOTAL RECAUDO'!J9</f>
        <v>-4501501560.3499994</v>
      </c>
      <c r="K9" s="293">
        <f>D9-E9-F9-G9-H9-I9-J9</f>
        <v>15047866229.110001</v>
      </c>
      <c r="L9" s="294">
        <f>'CONSOLIDADO_TOTAL RECAUDO'!L9</f>
        <v>189185988</v>
      </c>
      <c r="M9" s="293">
        <f>K9-L9</f>
        <v>14858680241.110001</v>
      </c>
      <c r="N9" s="294">
        <f>'Reporte Componentes R1'!L56</f>
        <v>8900921.8200000003</v>
      </c>
      <c r="O9" s="293">
        <f>M9+N9</f>
        <v>14867581162.93</v>
      </c>
      <c r="Q9" s="306"/>
      <c r="S9" s="303">
        <v>1</v>
      </c>
      <c r="T9" s="304" t="s">
        <v>10</v>
      </c>
      <c r="U9" s="307">
        <f>'Reporte Componentes R1'!M56</f>
        <v>1075530767.1199999</v>
      </c>
      <c r="V9" s="308">
        <f>'Reporte Componentes R1'!N56</f>
        <v>1024663180.22</v>
      </c>
      <c r="W9" s="308">
        <f>'Reporte Componentes R1'!O56</f>
        <v>4818496264.8900003</v>
      </c>
      <c r="X9" s="308">
        <f>'Reporte Componentes R1'!P56</f>
        <v>1975646460.53</v>
      </c>
      <c r="Y9" s="309">
        <f>'Reporte Componentes R1'!Q56</f>
        <v>199450672.65000001</v>
      </c>
      <c r="Z9" s="310">
        <f>L9*-1</f>
        <v>-189185988</v>
      </c>
      <c r="AA9" s="311">
        <f>'Reporte Componentes R1'!R56+'Reporte Componentes R1'!V56+'Reporte Componentes R1'!U56</f>
        <v>108620.04</v>
      </c>
      <c r="AB9" s="294">
        <f>N9</f>
        <v>8900921.8200000003</v>
      </c>
      <c r="AC9" s="311">
        <f>'Reporte Componentes R1'!T56+'Reporte Componentes R1'!W56+'Reporte Componentes R1'!X56+'Reporte Componentes R1'!Y56+'Reporte Componentes R1'!Z56+'Reporte Componentes R1'!S56</f>
        <v>69.569999999999993</v>
      </c>
      <c r="AD9" s="291">
        <f>-J9+AE9</f>
        <v>5953970194.0899992</v>
      </c>
      <c r="AE9" s="291">
        <f>'Reporte Componentes R1'!F57</f>
        <v>1452468633.74</v>
      </c>
      <c r="AF9" s="313">
        <f>SUM(U9:AD9)</f>
        <v>14867581162.93</v>
      </c>
      <c r="AG9" s="311">
        <f>(AF9-O9)</f>
        <v>0</v>
      </c>
      <c r="AH9" s="1" t="b">
        <f>INT(AG9)=0</f>
        <v>1</v>
      </c>
      <c r="AI9" s="306"/>
    </row>
    <row r="10" spans="1:35" s="305" customFormat="1" x14ac:dyDescent="0.25">
      <c r="B10" s="314">
        <v>2</v>
      </c>
      <c r="C10" s="315" t="s">
        <v>11</v>
      </c>
      <c r="D10" s="291">
        <f>'Reporte Componentes R1'!F210</f>
        <v>20182770970.93</v>
      </c>
      <c r="E10" s="292">
        <f>'Reporte Componentes R1'!G210</f>
        <v>1448630125.21</v>
      </c>
      <c r="F10" s="292">
        <f>'Reporte Componentes R1'!H210</f>
        <v>800998390.01000011</v>
      </c>
      <c r="G10" s="292">
        <f>'Reporte Componentes R1'!I210</f>
        <v>423869854.65999997</v>
      </c>
      <c r="H10" s="292">
        <f>'Reporte Componentes R1'!J210</f>
        <v>6517325669.6700001</v>
      </c>
      <c r="I10" s="292">
        <f>'Reporte Componentes R1'!K210</f>
        <v>230326944.45999998</v>
      </c>
      <c r="J10" s="292">
        <f>'CONSOLIDADO_TOTAL RECAUDO'!J10</f>
        <v>-3550307908.4800005</v>
      </c>
      <c r="K10" s="295">
        <f>D10-E10-F10-G10-H10-I10-J10</f>
        <v>14311927895.400005</v>
      </c>
      <c r="L10" s="294">
        <f>'CONSOLIDADO_TOTAL RECAUDO'!L10</f>
        <v>266580256</v>
      </c>
      <c r="M10" s="295">
        <f>K10-L10</f>
        <v>14045347639.400005</v>
      </c>
      <c r="N10" s="294">
        <f>'Reporte Componentes R1'!L210</f>
        <v>23583660.07</v>
      </c>
      <c r="O10" s="295">
        <f t="shared" ref="O10:O12" si="0">M10+N10</f>
        <v>14068931299.470005</v>
      </c>
      <c r="Q10" s="306"/>
      <c r="S10" s="314">
        <v>2</v>
      </c>
      <c r="T10" s="315" t="s">
        <v>11</v>
      </c>
      <c r="U10" s="316">
        <f>'Reporte Componentes R1'!M210</f>
        <v>2018361953.05</v>
      </c>
      <c r="V10" s="317">
        <f>'Reporte Componentes R1'!N210</f>
        <v>1978161610.3500001</v>
      </c>
      <c r="W10" s="317">
        <f>'Reporte Componentes R1'!O210</f>
        <v>9282361172.9099998</v>
      </c>
      <c r="X10" s="317">
        <f>'Reporte Componentes R1'!P210</f>
        <v>2850150289.6999998</v>
      </c>
      <c r="Y10" s="318">
        <f>'Reporte Componentes R1'!Q210</f>
        <v>376169094.80000001</v>
      </c>
      <c r="Z10" s="319">
        <f>L10*-1</f>
        <v>-266580256</v>
      </c>
      <c r="AA10" s="320">
        <f>'Reporte Componentes R1'!R210+'Reporte Componentes R1'!V210+'Reporte Componentes R1'!U210</f>
        <v>159627.70000000001</v>
      </c>
      <c r="AB10" s="294">
        <f>N10</f>
        <v>23583660.07</v>
      </c>
      <c r="AC10" s="320">
        <f>'Reporte Componentes R1'!T210+'Reporte Componentes R1'!W210+'Reporte Componentes R1'!X210+'Reporte Componentes R1'!Y210+'Reporte Componentes R1'!Z210+'Reporte Componentes R1'!S210</f>
        <v>-41.949999999999996</v>
      </c>
      <c r="AD10" s="291">
        <f t="shared" ref="AD10:AD13" si="1">-J10+AE10</f>
        <v>-2193435811.1599998</v>
      </c>
      <c r="AE10" s="291">
        <f>'Reporte Componentes R1'!F211</f>
        <v>-5743743719.6400003</v>
      </c>
      <c r="AF10" s="322">
        <f>SUM(U10:AD10)</f>
        <v>14068931299.469997</v>
      </c>
      <c r="AG10" s="323">
        <f>(AF10-O10)</f>
        <v>-7.62939453125E-6</v>
      </c>
      <c r="AH10" s="1" t="b">
        <f t="shared" ref="AH10:AH14" si="2">INT(AG10)=0</f>
        <v>0</v>
      </c>
      <c r="AI10" s="306"/>
    </row>
    <row r="11" spans="1:35" s="305" customFormat="1" x14ac:dyDescent="0.25">
      <c r="B11" s="314">
        <v>3</v>
      </c>
      <c r="C11" s="315" t="s">
        <v>12</v>
      </c>
      <c r="D11" s="291">
        <f>'Reporte Componentes R1'!F349</f>
        <v>13864067607.68</v>
      </c>
      <c r="E11" s="292">
        <f>'Reporte Componentes R1'!G349</f>
        <v>957505646.90999997</v>
      </c>
      <c r="F11" s="292">
        <f>'Reporte Componentes R1'!H349</f>
        <v>533329075.66000003</v>
      </c>
      <c r="G11" s="292">
        <f>'Reporte Componentes R1'!I349</f>
        <v>283706851.68000001</v>
      </c>
      <c r="H11" s="292">
        <f>'Reporte Componentes R1'!J349</f>
        <v>3442331314.1399999</v>
      </c>
      <c r="I11" s="292">
        <f>'Reporte Componentes R1'!K349</f>
        <v>125405736.76000001</v>
      </c>
      <c r="J11" s="292">
        <f>'CONSOLIDADO_TOTAL RECAUDO'!J11</f>
        <v>-750589759.5999999</v>
      </c>
      <c r="K11" s="295">
        <f t="shared" ref="K11:K13" si="3">D11-E11-F11-G11-H11-I11-J11</f>
        <v>9272378742.1300011</v>
      </c>
      <c r="L11" s="294">
        <f>'CONSOLIDADO_TOTAL RECAUDO'!L11</f>
        <v>154788536</v>
      </c>
      <c r="M11" s="295">
        <f>K11-L11</f>
        <v>9117590206.1300011</v>
      </c>
      <c r="N11" s="294">
        <f>'Reporte Componentes R1'!L349</f>
        <v>18959701.32</v>
      </c>
      <c r="O11" s="295">
        <f t="shared" si="0"/>
        <v>9136549907.4500008</v>
      </c>
      <c r="Q11" s="306"/>
      <c r="S11" s="314">
        <v>3</v>
      </c>
      <c r="T11" s="315" t="s">
        <v>12</v>
      </c>
      <c r="U11" s="316">
        <f>'Reporte Componentes R1'!M349</f>
        <v>1099824389.1300001</v>
      </c>
      <c r="V11" s="317">
        <f>'Reporte Componentes R1'!N349</f>
        <v>1071554920.8099999</v>
      </c>
      <c r="W11" s="317">
        <f>'Reporte Componentes R1'!O349</f>
        <v>5037520003</v>
      </c>
      <c r="X11" s="317">
        <f>'Reporte Componentes R1'!P349</f>
        <v>2268004225.6799998</v>
      </c>
      <c r="Y11" s="318">
        <f>'Reporte Componentes R1'!Q349</f>
        <v>204675214.26999998</v>
      </c>
      <c r="Z11" s="319">
        <f>L11*-1</f>
        <v>-154788536</v>
      </c>
      <c r="AA11" s="320">
        <f>'Reporte Componentes R1'!R349+'Reporte Componentes R1'!V349+'Reporte Componentes R1'!U349</f>
        <v>-127034.03</v>
      </c>
      <c r="AB11" s="294">
        <f>N11</f>
        <v>18959701.32</v>
      </c>
      <c r="AC11" s="320">
        <f>'Reporte Componentes R1'!T349+'Reporte Componentes R1'!W349+'Reporte Componentes R1'!X349+'Reporte Componentes R1'!Y349+'Reporte Componentes R1'!Z349+'Reporte Componentes R1'!S349</f>
        <v>3.9999999999999925E-2</v>
      </c>
      <c r="AD11" s="291">
        <f t="shared" si="1"/>
        <v>-409072976.76999998</v>
      </c>
      <c r="AE11" s="291">
        <f>'Reporte Componentes R1'!F350</f>
        <v>-1159662736.3699999</v>
      </c>
      <c r="AF11" s="322">
        <f t="shared" ref="AF11:AF13" si="4">SUM(U11:AD11)</f>
        <v>9136549907.4500008</v>
      </c>
      <c r="AG11" s="323">
        <f>(AF11-O11)</f>
        <v>0</v>
      </c>
      <c r="AH11" s="1" t="b">
        <f t="shared" si="2"/>
        <v>1</v>
      </c>
      <c r="AI11" s="306"/>
    </row>
    <row r="12" spans="1:35" s="305" customFormat="1" x14ac:dyDescent="0.25">
      <c r="B12" s="314">
        <v>4</v>
      </c>
      <c r="C12" s="315" t="s">
        <v>13</v>
      </c>
      <c r="D12" s="291">
        <f>'Reporte Componentes R1'!F482</f>
        <v>6660040973.6199999</v>
      </c>
      <c r="E12" s="292">
        <f>'Reporte Componentes R1'!G482</f>
        <v>375987449.31</v>
      </c>
      <c r="F12" s="292">
        <f>'Reporte Componentes R1'!H482</f>
        <v>208589134.28</v>
      </c>
      <c r="G12" s="292">
        <f>'Reporte Componentes R1'!I482</f>
        <v>110981887.31</v>
      </c>
      <c r="H12" s="292">
        <f>'Reporte Componentes R1'!J482</f>
        <v>1647895615.3200002</v>
      </c>
      <c r="I12" s="292">
        <f>'Reporte Componentes R1'!K482</f>
        <v>57745546.990000002</v>
      </c>
      <c r="J12" s="292">
        <f>'CONSOLIDADO_TOTAL RECAUDO'!J12</f>
        <v>-714140939.3599999</v>
      </c>
      <c r="K12" s="295">
        <f>D12-E12-F12-G12-H12-I12-J12</f>
        <v>4972982279.7699995</v>
      </c>
      <c r="L12" s="294">
        <f>'CONSOLIDADO_TOTAL RECAUDO'!L12</f>
        <v>120391083</v>
      </c>
      <c r="M12" s="295">
        <f>K12-L12</f>
        <v>4852591196.7699995</v>
      </c>
      <c r="N12" s="294">
        <f>'Reporte Componentes R1'!L482</f>
        <v>3973622.38</v>
      </c>
      <c r="O12" s="295">
        <f t="shared" si="0"/>
        <v>4856564819.1499996</v>
      </c>
      <c r="Q12" s="306"/>
      <c r="S12" s="314">
        <v>4</v>
      </c>
      <c r="T12" s="315" t="s">
        <v>13</v>
      </c>
      <c r="U12" s="316">
        <f>'Reporte Componentes R1'!M482</f>
        <v>505214935.59999996</v>
      </c>
      <c r="V12" s="317">
        <f>'Reporte Componentes R1'!N482</f>
        <v>491977110.61000001</v>
      </c>
      <c r="W12" s="317">
        <f>'Reporte Componentes R1'!O482</f>
        <v>2522398790.4400001</v>
      </c>
      <c r="X12" s="317">
        <f>'Reporte Componentes R1'!P482</f>
        <v>994824924.16999996</v>
      </c>
      <c r="Y12" s="318">
        <f>'Reporte Componentes R1'!Q482</f>
        <v>94347384.979999989</v>
      </c>
      <c r="Z12" s="319">
        <f>L12*-1</f>
        <v>-120391083</v>
      </c>
      <c r="AA12" s="320">
        <f>'Reporte Componentes R1'!R482+'Reporte Componentes R1'!V482+'Reporte Componentes R1'!U482</f>
        <v>3658.64</v>
      </c>
      <c r="AB12" s="294">
        <f>N12</f>
        <v>3973622.38</v>
      </c>
      <c r="AC12" s="320">
        <f>'Reporte Componentes R1'!T482+'Reporte Componentes R1'!W482+'Reporte Componentes R1'!X482+'Reporte Componentes R1'!Y482+'Reporte Componentes R1'!Z482+'Reporte Componentes R1'!S482</f>
        <v>70.39</v>
      </c>
      <c r="AD12" s="291">
        <f t="shared" si="1"/>
        <v>364215404.93999988</v>
      </c>
      <c r="AE12" s="291">
        <f>'Reporte Componentes R1'!F483</f>
        <v>-349925534.42000002</v>
      </c>
      <c r="AF12" s="322">
        <f t="shared" si="4"/>
        <v>4856564819.1499996</v>
      </c>
      <c r="AG12" s="323">
        <f>(AF12-O12)</f>
        <v>0</v>
      </c>
      <c r="AH12" s="1" t="b">
        <f t="shared" si="2"/>
        <v>1</v>
      </c>
      <c r="AI12" s="306"/>
    </row>
    <row r="13" spans="1:35" s="305" customFormat="1" ht="12" thickBot="1" x14ac:dyDescent="0.3">
      <c r="B13" s="324">
        <v>5</v>
      </c>
      <c r="C13" s="325" t="s">
        <v>14</v>
      </c>
      <c r="D13" s="296">
        <f>'Reporte Componentes R1'!F561</f>
        <v>12030785891.049999</v>
      </c>
      <c r="E13" s="297">
        <f>'Reporte Componentes R1'!G561</f>
        <v>670471320.50999999</v>
      </c>
      <c r="F13" s="297">
        <f>'Reporte Componentes R1'!H561</f>
        <v>373440856.73000002</v>
      </c>
      <c r="G13" s="297">
        <f>'Reporte Componentes R1'!I561</f>
        <v>198603665.40000001</v>
      </c>
      <c r="H13" s="297">
        <f>'Reporte Componentes R1'!J561</f>
        <v>3228157527.7399998</v>
      </c>
      <c r="I13" s="297">
        <f>'Reporte Componentes R1'!K561</f>
        <v>104841584.04000001</v>
      </c>
      <c r="J13" s="292">
        <f>'CONSOLIDADO_TOTAL RECAUDO'!J13</f>
        <v>-98238891.940000057</v>
      </c>
      <c r="K13" s="295">
        <f t="shared" si="3"/>
        <v>7553509828.5699997</v>
      </c>
      <c r="L13" s="294">
        <f>'CONSOLIDADO_TOTAL RECAUDO'!L13</f>
        <v>128990446</v>
      </c>
      <c r="M13" s="298">
        <f>K13-L13</f>
        <v>7424519382.5699997</v>
      </c>
      <c r="N13" s="299">
        <f>'Reporte Componentes R1'!L561</f>
        <v>10242722.949999999</v>
      </c>
      <c r="O13" s="298">
        <f>M13+N13</f>
        <v>7434762105.5199995</v>
      </c>
      <c r="Q13" s="306"/>
      <c r="S13" s="324">
        <v>5</v>
      </c>
      <c r="T13" s="325" t="s">
        <v>14</v>
      </c>
      <c r="U13" s="296">
        <f>'Reporte Componentes R1'!M561</f>
        <v>919577210.07000005</v>
      </c>
      <c r="V13" s="297">
        <f>'Reporte Componentes R1'!N561</f>
        <v>891656776.39999998</v>
      </c>
      <c r="W13" s="297">
        <f>'Reporte Componentes R1'!O561</f>
        <v>4549984624.7799997</v>
      </c>
      <c r="X13" s="297">
        <f>'Reporte Componentes R1'!P561</f>
        <v>1992148901.0999999</v>
      </c>
      <c r="Y13" s="289">
        <f>'Reporte Componentes R1'!Q561</f>
        <v>171069649.47999999</v>
      </c>
      <c r="Z13" s="319">
        <f>L13*-1</f>
        <v>-128990446</v>
      </c>
      <c r="AA13" s="320">
        <f>'Reporte Componentes R1'!R561+'Reporte Componentes R1'!V561+'Reporte Componentes R1'!U561</f>
        <v>-174618.09</v>
      </c>
      <c r="AB13" s="294">
        <f>N13</f>
        <v>10242722.949999999</v>
      </c>
      <c r="AC13" s="320">
        <f>'Reporte Componentes R1'!T561+'Reporte Componentes R1'!W561+'Reporte Componentes R1'!X561+'Reporte Componentes R1'!Y561+'Reporte Componentes R1'!Z561+'Reporte Componentes R1'!S561</f>
        <v>12.31</v>
      </c>
      <c r="AD13" s="291">
        <f t="shared" si="1"/>
        <v>-970752727.4799999</v>
      </c>
      <c r="AE13" s="291">
        <f>'Reporte Componentes R1'!F562</f>
        <v>-1068991619.42</v>
      </c>
      <c r="AF13" s="322">
        <f t="shared" si="4"/>
        <v>7434762105.5200005</v>
      </c>
      <c r="AG13" s="326">
        <f>(AF13-O13)</f>
        <v>9.5367431640625E-7</v>
      </c>
      <c r="AH13" s="1" t="b">
        <f t="shared" si="2"/>
        <v>1</v>
      </c>
      <c r="AI13" s="306"/>
    </row>
    <row r="14" spans="1:35" s="305" customFormat="1" ht="13.5" thickBot="1" x14ac:dyDescent="0.35">
      <c r="B14" s="327"/>
      <c r="C14" s="328" t="s">
        <v>2</v>
      </c>
      <c r="D14" s="290">
        <f>SUM(D9:D13)</f>
        <v>68004616858.460007</v>
      </c>
      <c r="E14" s="290">
        <f t="shared" ref="E14:O14" si="5">SUM(E9:E13)</f>
        <v>4178858513.7699995</v>
      </c>
      <c r="F14" s="290">
        <f t="shared" si="5"/>
        <v>2321065077.25</v>
      </c>
      <c r="G14" s="290">
        <f t="shared" si="5"/>
        <v>1232284872.48</v>
      </c>
      <c r="H14" s="290">
        <f t="shared" si="5"/>
        <v>18087972265.720001</v>
      </c>
      <c r="I14" s="290">
        <f t="shared" si="5"/>
        <v>640550213.99000001</v>
      </c>
      <c r="J14" s="290">
        <f t="shared" si="5"/>
        <v>-9614779059.7300014</v>
      </c>
      <c r="K14" s="300">
        <f t="shared" si="5"/>
        <v>51158664974.980003</v>
      </c>
      <c r="L14" s="301">
        <f>SUM(L9:L13)</f>
        <v>859936309</v>
      </c>
      <c r="M14" s="302">
        <f t="shared" si="5"/>
        <v>50298728665.980003</v>
      </c>
      <c r="N14" s="301">
        <f t="shared" si="5"/>
        <v>65660628.540000007</v>
      </c>
      <c r="O14" s="302">
        <f t="shared" si="5"/>
        <v>50364389294.520004</v>
      </c>
      <c r="P14" s="329"/>
      <c r="Q14" s="306"/>
      <c r="S14" s="327"/>
      <c r="T14" s="328" t="s">
        <v>2</v>
      </c>
      <c r="U14" s="330">
        <f>SUM(U9:U13)</f>
        <v>5618509254.9700003</v>
      </c>
      <c r="V14" s="330">
        <f t="shared" ref="V14:AF14" si="6">SUM(V9:V13)</f>
        <v>5458013598.3899994</v>
      </c>
      <c r="W14" s="330">
        <f t="shared" si="6"/>
        <v>26210760856.019997</v>
      </c>
      <c r="X14" s="330">
        <f t="shared" si="6"/>
        <v>10080774801.18</v>
      </c>
      <c r="Y14" s="330">
        <f t="shared" si="6"/>
        <v>1045712016.1800001</v>
      </c>
      <c r="Z14" s="290">
        <f t="shared" si="6"/>
        <v>-859936309</v>
      </c>
      <c r="AA14" s="290">
        <f t="shared" si="6"/>
        <v>-29745.739999999991</v>
      </c>
      <c r="AB14" s="290">
        <f t="shared" si="6"/>
        <v>65660628.540000007</v>
      </c>
      <c r="AC14" s="290">
        <f t="shared" si="6"/>
        <v>110.36</v>
      </c>
      <c r="AD14" s="290">
        <f>SUM(AD9:AD13)</f>
        <v>2744924083.6199994</v>
      </c>
      <c r="AE14" s="290">
        <f>SUM(AE9:AE13)</f>
        <v>-6869854976.1100006</v>
      </c>
      <c r="AF14" s="331">
        <f t="shared" si="6"/>
        <v>50364389294.520004</v>
      </c>
      <c r="AG14" s="332">
        <f>SUM(AG9:AG13)</f>
        <v>-6.67572021484375E-6</v>
      </c>
      <c r="AH14" s="1" t="b">
        <f t="shared" si="2"/>
        <v>0</v>
      </c>
      <c r="AI14" s="306"/>
    </row>
    <row r="15" spans="1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48413770526.739998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5" x14ac:dyDescent="0.35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thickBot="1" x14ac:dyDescent="0.3">
      <c r="B28" s="303">
        <v>1</v>
      </c>
      <c r="C28" s="304" t="s">
        <v>10</v>
      </c>
      <c r="D28" s="291">
        <f>'Rem. Anticipos R2'!E49</f>
        <v>36630928.670000002</v>
      </c>
      <c r="E28" s="292">
        <f>'Rem. Anticipos R2'!F49</f>
        <v>3094803.85</v>
      </c>
      <c r="F28" s="292">
        <f>'Rem. Anticipos R2'!G49</f>
        <v>1682852.22</v>
      </c>
      <c r="G28" s="292">
        <f>'Rem. Anticipos R2'!H49</f>
        <v>530709.35</v>
      </c>
      <c r="H28" s="292">
        <f>'Rem. Anticipos R2'!I49</f>
        <v>14660842.85</v>
      </c>
      <c r="I28" s="292">
        <f>'Rem. Anticipos R2'!J49</f>
        <v>506523.82</v>
      </c>
      <c r="J28" s="289">
        <v>0</v>
      </c>
      <c r="K28" s="293">
        <f>D28-E28-F28-G28-H28-I28-J28</f>
        <v>16155196.58</v>
      </c>
      <c r="L28" s="294">
        <v>0</v>
      </c>
      <c r="M28" s="293">
        <f>K28-L28</f>
        <v>16155196.58</v>
      </c>
      <c r="N28" s="294">
        <f>'Rem. Anticipos R2'!K49</f>
        <v>0</v>
      </c>
      <c r="O28" s="293">
        <f>M28+N28</f>
        <v>16155196.58</v>
      </c>
      <c r="Q28" s="306"/>
      <c r="S28" s="303">
        <v>1</v>
      </c>
      <c r="T28" s="304" t="s">
        <v>10</v>
      </c>
      <c r="U28" s="307">
        <f>'Rem. Anticipos R2'!L49</f>
        <v>5082003.93</v>
      </c>
      <c r="V28" s="308">
        <f>'Rem. Anticipos R2'!M49</f>
        <v>4157997.24</v>
      </c>
      <c r="W28" s="308">
        <f>'Rem. Anticipos R2'!N49</f>
        <v>16970202.82</v>
      </c>
      <c r="X28" s="308">
        <f>'Rem. Anticipos R2'!O49</f>
        <v>8431297.9900000002</v>
      </c>
      <c r="Y28" s="309">
        <f>'Rem. Anticipos R2'!P49</f>
        <v>720745.13</v>
      </c>
      <c r="Z28" s="310">
        <f>L28*-1</f>
        <v>0</v>
      </c>
      <c r="AA28" s="311">
        <f>'Rem. Anticipos R2'!Q49</f>
        <v>-37.01</v>
      </c>
      <c r="AB28" s="294">
        <f>N28</f>
        <v>0</v>
      </c>
      <c r="AC28" s="311">
        <f>'Rem. Anticipos R2'!R49</f>
        <v>0</v>
      </c>
      <c r="AD28" s="291">
        <f>-J28+AE28</f>
        <v>-19207013.52</v>
      </c>
      <c r="AE28" s="291">
        <f>'Rem. Anticipos R2'!E50</f>
        <v>-19207013.52</v>
      </c>
      <c r="AF28" s="313">
        <f>SUM(U28:AD28)</f>
        <v>16155196.580000009</v>
      </c>
      <c r="AG28" s="311">
        <f>(AF28-O28)</f>
        <v>9.3132257461547852E-9</v>
      </c>
      <c r="AH28" s="1" t="b">
        <f>INT(AG28)=0</f>
        <v>1</v>
      </c>
      <c r="AI28" s="306"/>
    </row>
    <row r="29" spans="1:35" s="305" customFormat="1" x14ac:dyDescent="0.25">
      <c r="B29" s="314">
        <v>2</v>
      </c>
      <c r="C29" s="315" t="s">
        <v>11</v>
      </c>
      <c r="D29" s="291">
        <f>'Rem. Anticipos R2'!E142</f>
        <v>20537080.509999998</v>
      </c>
      <c r="E29" s="292">
        <f>'Rem. Anticipos R2'!F142</f>
        <v>1525482.4</v>
      </c>
      <c r="F29" s="292">
        <f>'Rem. Anticipos R2'!G142</f>
        <v>858026.05</v>
      </c>
      <c r="G29" s="292">
        <f>'Rem. Anticipos R2'!H142</f>
        <v>369403.28</v>
      </c>
      <c r="H29" s="292">
        <f>'Rem. Anticipos R2'!I142</f>
        <v>7405724.71</v>
      </c>
      <c r="I29" s="292">
        <f>'Rem. Anticipos R2'!J142</f>
        <v>281562.36</v>
      </c>
      <c r="J29" s="288">
        <v>0</v>
      </c>
      <c r="K29" s="295">
        <f t="shared" ref="K29:K31" si="7">D29-E29-F29-G29-H29-I29-J29</f>
        <v>10096881.709999997</v>
      </c>
      <c r="L29" s="294">
        <v>0</v>
      </c>
      <c r="M29" s="295">
        <f>K29-L29</f>
        <v>10096881.709999997</v>
      </c>
      <c r="N29" s="294">
        <f>'Rem. Anticipos R2'!K142</f>
        <v>0</v>
      </c>
      <c r="O29" s="295">
        <f t="shared" ref="O29:O32" si="8">M29+N29</f>
        <v>10096881.709999997</v>
      </c>
      <c r="Q29" s="306"/>
      <c r="S29" s="314">
        <v>2</v>
      </c>
      <c r="T29" s="315" t="s">
        <v>11</v>
      </c>
      <c r="U29" s="316">
        <f>'Rem. Anticipos R2'!L142</f>
        <v>2448971.81</v>
      </c>
      <c r="V29" s="317">
        <f>'Rem. Anticipos R2'!M142</f>
        <v>2237040.73</v>
      </c>
      <c r="W29" s="317">
        <f>'Rem. Anticipos R2'!N142</f>
        <v>9496316.5399999991</v>
      </c>
      <c r="X29" s="317">
        <f>'Rem. Anticipos R2'!O142</f>
        <v>3228863.98</v>
      </c>
      <c r="Y29" s="318">
        <f>'Rem. Anticipos R2'!P142</f>
        <v>403534.5</v>
      </c>
      <c r="Z29" s="319">
        <f>L29*-1</f>
        <v>0</v>
      </c>
      <c r="AA29" s="320">
        <f>'Rem. Anticipos R2'!Q142</f>
        <v>-5.2</v>
      </c>
      <c r="AB29" s="294">
        <f>N29</f>
        <v>0</v>
      </c>
      <c r="AC29" s="320">
        <f>'Rem. Anticipos R2'!R142</f>
        <v>0</v>
      </c>
      <c r="AD29" s="291">
        <f>-J29+AE29</f>
        <v>-7717840.6500000004</v>
      </c>
      <c r="AE29" s="291">
        <f>'Rem. Anticipos R2'!E143</f>
        <v>-7717840.6500000004</v>
      </c>
      <c r="AF29" s="322">
        <f>SUM(U29:AD29)</f>
        <v>10096881.709999999</v>
      </c>
      <c r="AG29" s="323">
        <f>(AF29-O29)</f>
        <v>1.862645149230957E-9</v>
      </c>
      <c r="AH29" s="1" t="b">
        <f t="shared" ref="AH29:AH33" si="9">INT(AG29)=0</f>
        <v>1</v>
      </c>
      <c r="AI29" s="306"/>
    </row>
    <row r="30" spans="1:35" s="305" customFormat="1" x14ac:dyDescent="0.25">
      <c r="B30" s="314">
        <v>3</v>
      </c>
      <c r="C30" s="315" t="s">
        <v>12</v>
      </c>
      <c r="D30" s="291">
        <f>'Rem. Anticipos R2'!E259</f>
        <v>7725480.2100000009</v>
      </c>
      <c r="E30" s="292">
        <f>'Rem. Anticipos R2'!F259</f>
        <v>601921.69999999995</v>
      </c>
      <c r="F30" s="292">
        <f>'Rem. Anticipos R2'!G259</f>
        <v>374356.35</v>
      </c>
      <c r="G30" s="292">
        <f>'Rem. Anticipos R2'!H259</f>
        <v>174610.69</v>
      </c>
      <c r="H30" s="292">
        <f>'Rem. Anticipos R2'!I259</f>
        <v>3702319.03</v>
      </c>
      <c r="I30" s="292">
        <f>'Rem. Anticipos R2'!J259</f>
        <v>176426.36</v>
      </c>
      <c r="J30" s="288">
        <v>0</v>
      </c>
      <c r="K30" s="295">
        <f t="shared" si="7"/>
        <v>2695846.080000001</v>
      </c>
      <c r="L30" s="294">
        <v>0</v>
      </c>
      <c r="M30" s="295">
        <f>K30-L30</f>
        <v>2695846.080000001</v>
      </c>
      <c r="N30" s="294">
        <f>'Rem. Anticipos R2'!K259</f>
        <v>0</v>
      </c>
      <c r="O30" s="295">
        <f t="shared" si="8"/>
        <v>2695846.080000001</v>
      </c>
      <c r="Q30" s="306"/>
      <c r="S30" s="314">
        <v>3</v>
      </c>
      <c r="T30" s="315" t="s">
        <v>12</v>
      </c>
      <c r="U30" s="316">
        <f>'Rem. Anticipos R2'!L259</f>
        <v>675750.16</v>
      </c>
      <c r="V30" s="317">
        <f>'Rem. Anticipos R2'!M259</f>
        <v>647317.25</v>
      </c>
      <c r="W30" s="317">
        <f>'Rem. Anticipos R2'!N259</f>
        <v>3654107.28</v>
      </c>
      <c r="X30" s="317">
        <f>'Rem. Anticipos R2'!O259</f>
        <v>1352461.4300000002</v>
      </c>
      <c r="Y30" s="318">
        <f>'Rem. Anticipos R2'!P259</f>
        <v>167278.56</v>
      </c>
      <c r="Z30" s="319">
        <f>L30*-1</f>
        <v>0</v>
      </c>
      <c r="AA30" s="320">
        <f>'Rem. Anticipos R2'!Q259</f>
        <v>-228.86</v>
      </c>
      <c r="AB30" s="294">
        <f>N30</f>
        <v>0</v>
      </c>
      <c r="AC30" s="320">
        <f>'Rem. Anticipos R2'!R259</f>
        <v>0</v>
      </c>
      <c r="AD30" s="291">
        <f t="shared" ref="AD30:AD32" si="10">-J30+AE30</f>
        <v>-3800839.74</v>
      </c>
      <c r="AE30" s="291">
        <f>'Rem. Anticipos R2'!E260</f>
        <v>-3800839.74</v>
      </c>
      <c r="AF30" s="322">
        <f>SUM(U30:AD30)</f>
        <v>2695846.0799999982</v>
      </c>
      <c r="AG30" s="323">
        <f t="shared" ref="AG30:AG31" si="11">(AF30-O30)</f>
        <v>-2.7939677238464355E-9</v>
      </c>
      <c r="AH30" s="1" t="b">
        <f t="shared" si="9"/>
        <v>0</v>
      </c>
      <c r="AI30" s="306"/>
    </row>
    <row r="31" spans="1:35" s="305" customFormat="1" x14ac:dyDescent="0.25">
      <c r="B31" s="314">
        <v>4</v>
      </c>
      <c r="C31" s="315" t="s">
        <v>13</v>
      </c>
      <c r="D31" s="291">
        <f>'Rem. Anticipos R2'!E358</f>
        <v>59921576.570000008</v>
      </c>
      <c r="E31" s="292">
        <f>'Rem. Anticipos R2'!F358</f>
        <v>4904313.08</v>
      </c>
      <c r="F31" s="292">
        <f>'Rem. Anticipos R2'!G358</f>
        <v>2740065.24</v>
      </c>
      <c r="G31" s="292">
        <f>'Rem. Anticipos R2'!H358</f>
        <v>1316166.3899999999</v>
      </c>
      <c r="H31" s="292">
        <f>'Rem. Anticipos R2'!I358</f>
        <v>13568871.48</v>
      </c>
      <c r="I31" s="292">
        <f>'Rem. Anticipos R2'!J358</f>
        <v>563903</v>
      </c>
      <c r="J31" s="288">
        <v>0</v>
      </c>
      <c r="K31" s="295">
        <f t="shared" si="7"/>
        <v>36828257.38000001</v>
      </c>
      <c r="L31" s="294">
        <v>0</v>
      </c>
      <c r="M31" s="295">
        <f>K31-L31</f>
        <v>36828257.38000001</v>
      </c>
      <c r="N31" s="294">
        <f>'Rem. Anticipos R2'!K358</f>
        <v>0</v>
      </c>
      <c r="O31" s="295">
        <f t="shared" si="8"/>
        <v>36828257.38000001</v>
      </c>
      <c r="Q31" s="306"/>
      <c r="S31" s="314">
        <v>4</v>
      </c>
      <c r="T31" s="315" t="s">
        <v>13</v>
      </c>
      <c r="U31" s="316">
        <f>'Rem. Anticipos R2'!L358</f>
        <v>4879419.6900000004</v>
      </c>
      <c r="V31" s="317">
        <f>'Rem. Anticipos R2'!M358</f>
        <v>4932583.84</v>
      </c>
      <c r="W31" s="317">
        <f>'Rem. Anticipos R2'!N358</f>
        <v>21714847.489999998</v>
      </c>
      <c r="X31" s="317">
        <f>'Rem. Anticipos R2'!O358</f>
        <v>13453448.91</v>
      </c>
      <c r="Y31" s="318">
        <f>'Rem. Anticipos R2'!P358</f>
        <v>741094.83</v>
      </c>
      <c r="Z31" s="319">
        <f>L31*-1</f>
        <v>0</v>
      </c>
      <c r="AA31" s="320">
        <f>'Rem. Anticipos R2'!Q358</f>
        <v>235.98</v>
      </c>
      <c r="AB31" s="294">
        <f>N31</f>
        <v>0</v>
      </c>
      <c r="AC31" s="320">
        <f>'Rem. Anticipos R2'!R358</f>
        <v>0</v>
      </c>
      <c r="AD31" s="291">
        <f t="shared" si="10"/>
        <v>-8893373.3599999994</v>
      </c>
      <c r="AE31" s="291">
        <f>'Rem. Anticipos R2'!E359</f>
        <v>-8893373.3599999994</v>
      </c>
      <c r="AF31" s="322">
        <f>SUM(U31:AD31)</f>
        <v>36828257.379999995</v>
      </c>
      <c r="AG31" s="323">
        <f t="shared" si="11"/>
        <v>-1.4901161193847656E-8</v>
      </c>
      <c r="AH31" s="1" t="b">
        <f t="shared" si="9"/>
        <v>0</v>
      </c>
      <c r="AI31" s="306"/>
    </row>
    <row r="32" spans="1:35" s="305" customFormat="1" ht="12" thickBot="1" x14ac:dyDescent="0.3">
      <c r="B32" s="324">
        <v>5</v>
      </c>
      <c r="C32" s="325" t="s">
        <v>14</v>
      </c>
      <c r="D32" s="296">
        <f>'Rem. Anticipos R2'!E438</f>
        <v>9152933.3399999999</v>
      </c>
      <c r="E32" s="297">
        <f>'Rem. Anticipos R2'!F438</f>
        <v>510460.99</v>
      </c>
      <c r="F32" s="297">
        <f>'Rem. Anticipos R2'!G438</f>
        <v>296956.78000000003</v>
      </c>
      <c r="G32" s="297">
        <f>'Rem. Anticipos R2'!H438</f>
        <v>135271.29</v>
      </c>
      <c r="H32" s="297">
        <f>'Rem. Anticipos R2'!I438</f>
        <v>2106207.48</v>
      </c>
      <c r="I32" s="297">
        <f>'Rem. Anticipos R2'!J438</f>
        <v>75257.22</v>
      </c>
      <c r="J32" s="289">
        <v>0</v>
      </c>
      <c r="K32" s="295">
        <f>D32-E32-F32-G32-H32-I32-J32</f>
        <v>6028779.5799999991</v>
      </c>
      <c r="L32" s="294">
        <v>0</v>
      </c>
      <c r="M32" s="298">
        <f>K32-L32</f>
        <v>6028779.5799999991</v>
      </c>
      <c r="N32" s="299">
        <f>'Rem. Anticipos R2'!K438</f>
        <v>0</v>
      </c>
      <c r="O32" s="298">
        <f t="shared" si="8"/>
        <v>6028779.5799999991</v>
      </c>
      <c r="Q32" s="306"/>
      <c r="S32" s="324">
        <v>5</v>
      </c>
      <c r="T32" s="325" t="s">
        <v>14</v>
      </c>
      <c r="U32" s="296">
        <f>'Rem. Anticipos R2'!L438</f>
        <v>632302</v>
      </c>
      <c r="V32" s="297">
        <f>'Rem. Anticipos R2'!M438</f>
        <v>626116.92000000004</v>
      </c>
      <c r="W32" s="297">
        <f>'Rem. Anticipos R2'!N438</f>
        <v>2502126.23</v>
      </c>
      <c r="X32" s="297">
        <f>'Rem. Anticipos R2'!O438</f>
        <v>1662442.11</v>
      </c>
      <c r="Y32" s="289">
        <f>'Rem. Anticipos R2'!P438</f>
        <v>117211.45</v>
      </c>
      <c r="Z32" s="319">
        <f>L32*-1</f>
        <v>0</v>
      </c>
      <c r="AA32" s="320">
        <f>'Rem. Anticipos R2'!Q438</f>
        <v>1.73</v>
      </c>
      <c r="AB32" s="294">
        <f>N32</f>
        <v>0</v>
      </c>
      <c r="AC32" s="320">
        <f>'Rem. Anticipos R2'!R438</f>
        <v>0</v>
      </c>
      <c r="AD32" s="291">
        <f t="shared" si="10"/>
        <v>488579.14</v>
      </c>
      <c r="AE32" s="291">
        <f>'Rem. Anticipos R2'!E439</f>
        <v>488579.14</v>
      </c>
      <c r="AF32" s="322">
        <f>SUM(U32:AD32)</f>
        <v>6028779.5800000001</v>
      </c>
      <c r="AG32" s="326">
        <f>(AF32-O32)</f>
        <v>9.3132257461547852E-10</v>
      </c>
      <c r="AH32" s="1" t="b">
        <f t="shared" si="9"/>
        <v>1</v>
      </c>
      <c r="AI32" s="306"/>
    </row>
    <row r="33" spans="1:35" s="305" customFormat="1" ht="13.5" thickBot="1" x14ac:dyDescent="0.35">
      <c r="B33" s="327"/>
      <c r="C33" s="328" t="s">
        <v>2</v>
      </c>
      <c r="D33" s="290">
        <f>SUM(D28:D32)</f>
        <v>133967999.30000001</v>
      </c>
      <c r="E33" s="290">
        <f>SUM(E28:E32)</f>
        <v>10636982.020000001</v>
      </c>
      <c r="F33" s="290">
        <f t="shared" ref="F33:O33" si="12">SUM(F28:F32)</f>
        <v>5952256.6400000006</v>
      </c>
      <c r="G33" s="290">
        <f t="shared" si="12"/>
        <v>2526161</v>
      </c>
      <c r="H33" s="290">
        <f t="shared" si="12"/>
        <v>41443965.549999997</v>
      </c>
      <c r="I33" s="290">
        <f t="shared" si="12"/>
        <v>1603672.76</v>
      </c>
      <c r="J33" s="290">
        <f t="shared" si="12"/>
        <v>0</v>
      </c>
      <c r="K33" s="300">
        <f t="shared" si="12"/>
        <v>71804961.330000013</v>
      </c>
      <c r="L33" s="301">
        <f t="shared" si="12"/>
        <v>0</v>
      </c>
      <c r="M33" s="302">
        <f t="shared" si="12"/>
        <v>71804961.330000013</v>
      </c>
      <c r="N33" s="301">
        <f t="shared" si="12"/>
        <v>0</v>
      </c>
      <c r="O33" s="302">
        <f t="shared" si="12"/>
        <v>71804961.330000013</v>
      </c>
      <c r="P33" s="329"/>
      <c r="Q33" s="306"/>
      <c r="S33" s="327"/>
      <c r="T33" s="328" t="s">
        <v>2</v>
      </c>
      <c r="U33" s="330">
        <f>SUM(U28:U32)</f>
        <v>13718447.59</v>
      </c>
      <c r="V33" s="330">
        <f t="shared" ref="V33:AG33" si="13">SUM(V28:V32)</f>
        <v>12601055.98</v>
      </c>
      <c r="W33" s="330">
        <f t="shared" si="13"/>
        <v>54337600.359999992</v>
      </c>
      <c r="X33" s="330">
        <f t="shared" si="13"/>
        <v>28128514.420000002</v>
      </c>
      <c r="Y33" s="330">
        <f t="shared" si="13"/>
        <v>2149864.4700000002</v>
      </c>
      <c r="Z33" s="290">
        <f t="shared" si="13"/>
        <v>0</v>
      </c>
      <c r="AA33" s="290">
        <f t="shared" si="13"/>
        <v>-33.360000000000007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-39130488.130000003</v>
      </c>
      <c r="AE33" s="290">
        <f>SUM(AE28:AE32)</f>
        <v>-39130488.130000003</v>
      </c>
      <c r="AF33" s="331">
        <f t="shared" si="13"/>
        <v>71804961.329999998</v>
      </c>
      <c r="AG33" s="332">
        <f t="shared" si="13"/>
        <v>-5.5879354476928711E-9</v>
      </c>
      <c r="AH33" s="1" t="b">
        <f t="shared" si="9"/>
        <v>0</v>
      </c>
      <c r="AI33" s="306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110935482.81999999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5" x14ac:dyDescent="0.35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thickBot="1" x14ac:dyDescent="0.3">
      <c r="B47" s="303">
        <v>1</v>
      </c>
      <c r="C47" s="304" t="s">
        <v>10</v>
      </c>
      <c r="D47" s="291">
        <f>'Reporte Componentes R1'!F58</f>
        <v>0</v>
      </c>
      <c r="E47" s="292">
        <f>'Reporte Componentes R1'!G58</f>
        <v>0</v>
      </c>
      <c r="F47" s="292">
        <f>'Reporte Componentes R1'!H58</f>
        <v>0</v>
      </c>
      <c r="G47" s="292">
        <f>'Reporte Componentes R1'!I58</f>
        <v>0</v>
      </c>
      <c r="H47" s="292">
        <f>'Reporte Componentes R1'!J58</f>
        <v>0</v>
      </c>
      <c r="I47" s="292">
        <f>'Reporte Componentes R1'!K58</f>
        <v>0</v>
      </c>
      <c r="J47" s="289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R1'!L58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R1'!M58</f>
        <v>0</v>
      </c>
      <c r="V47" s="308">
        <f>'Reporte Componentes R1'!N58</f>
        <v>0</v>
      </c>
      <c r="W47" s="308">
        <f>'Reporte Componentes R1'!O58</f>
        <v>0</v>
      </c>
      <c r="X47" s="308">
        <f>'Reporte Componentes R1'!P58</f>
        <v>0</v>
      </c>
      <c r="Y47" s="309">
        <f>'Reporte Componentes R1'!Q58</f>
        <v>0</v>
      </c>
      <c r="Z47" s="310">
        <f>-L47</f>
        <v>0</v>
      </c>
      <c r="AA47" s="320">
        <f>'Reporte Componentes R1'!R58+'Reporte Componentes R1'!V58+'Reporte Componentes R1'!U58</f>
        <v>0</v>
      </c>
      <c r="AB47" s="294">
        <f>N47</f>
        <v>0</v>
      </c>
      <c r="AC47" s="311">
        <f>'Reporte Componentes R1'!T58+'Reporte Componentes R1'!W58+'Reporte Componentes R1'!X58+'Reporte Componentes R1'!Y58+'Reporte Componentes R1'!Z58+'Reporte Componentes R1'!S58</f>
        <v>0</v>
      </c>
      <c r="AD47" s="291">
        <f>-J47+AE47</f>
        <v>0</v>
      </c>
      <c r="AE47" s="291">
        <f>'Reporte Componentes R1'!F59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x14ac:dyDescent="0.25">
      <c r="B48" s="314">
        <v>2</v>
      </c>
      <c r="C48" s="315" t="s">
        <v>11</v>
      </c>
      <c r="D48" s="291">
        <f>'Reporte Componentes R1'!F212</f>
        <v>17010202</v>
      </c>
      <c r="E48" s="292">
        <f>'Reporte Componentes R1'!G212</f>
        <v>1157343.19</v>
      </c>
      <c r="F48" s="292">
        <f>'Reporte Componentes R1'!H212</f>
        <v>648953.87</v>
      </c>
      <c r="G48" s="292">
        <f>'Reporte Componentes R1'!I212</f>
        <v>344675.33</v>
      </c>
      <c r="H48" s="292">
        <f>'Reporte Componentes R1'!J212</f>
        <v>5344332.8899999997</v>
      </c>
      <c r="I48" s="292">
        <f>'Reporte Componentes R1'!K212</f>
        <v>139661.51</v>
      </c>
      <c r="J48" s="288">
        <v>0</v>
      </c>
      <c r="K48" s="295">
        <f t="shared" ref="K48:K51" si="15">D48-E48-F48-G48-H48-I48-J48</f>
        <v>9375235.2100000028</v>
      </c>
      <c r="L48" s="294">
        <v>0</v>
      </c>
      <c r="M48" s="295">
        <f>K48-L48</f>
        <v>9375235.2100000028</v>
      </c>
      <c r="N48" s="294">
        <f>'Reporte Componentes R1'!L212</f>
        <v>0</v>
      </c>
      <c r="O48" s="295">
        <f t="shared" ref="O48:O51" si="16">M48+N48</f>
        <v>9375235.2100000028</v>
      </c>
      <c r="Q48" s="306"/>
      <c r="S48" s="314">
        <v>2</v>
      </c>
      <c r="T48" s="315" t="s">
        <v>11</v>
      </c>
      <c r="U48" s="316">
        <f>'Reporte Componentes R1'!M212</f>
        <v>1226198.94</v>
      </c>
      <c r="V48" s="317">
        <f>'Reporte Componentes R1'!N212</f>
        <v>1635804.43</v>
      </c>
      <c r="W48" s="317">
        <f>'Reporte Componentes R1'!O212</f>
        <v>7804686.4400000004</v>
      </c>
      <c r="X48" s="317">
        <f>'Reporte Componentes R1'!P212</f>
        <v>2280148.1800000002</v>
      </c>
      <c r="Y48" s="318">
        <f>'Reporte Componentes R1'!Q212</f>
        <v>228075.87</v>
      </c>
      <c r="Z48" s="319">
        <f>-L48</f>
        <v>0</v>
      </c>
      <c r="AA48" s="320">
        <f>'Reporte Componentes R1'!R212+'Reporte Componentes R1'!V212+'Reporte Componentes R1'!U212</f>
        <v>-123.38</v>
      </c>
      <c r="AB48" s="294">
        <f>N48</f>
        <v>0</v>
      </c>
      <c r="AC48" s="320">
        <f>'Reporte Componentes R1'!T212+'Reporte Componentes R1'!W212+'Reporte Componentes R1'!X212+'Reporte Componentes R1'!Y212+'Reporte Componentes R1'!Z212+'Reporte Componentes R1'!S212</f>
        <v>0</v>
      </c>
      <c r="AD48" s="291">
        <f t="shared" ref="AD48:AD51" si="17">-J48+AE48</f>
        <v>-3799555.27</v>
      </c>
      <c r="AE48" s="291">
        <f>'Reporte Componentes R1'!F213</f>
        <v>-3799555.27</v>
      </c>
      <c r="AF48" s="322">
        <f>SUM(U48:AD48)</f>
        <v>9375235.209999999</v>
      </c>
      <c r="AG48" s="323">
        <f>(AF48-O48)</f>
        <v>-3.7252902984619141E-9</v>
      </c>
      <c r="AH48" s="1" t="b">
        <f t="shared" ref="AH48:AH52" si="18">INT(AG48)=0</f>
        <v>0</v>
      </c>
      <c r="AI48" s="306"/>
    </row>
    <row r="49" spans="1:35" s="305" customFormat="1" x14ac:dyDescent="0.25">
      <c r="B49" s="314">
        <v>3</v>
      </c>
      <c r="C49" s="315" t="s">
        <v>12</v>
      </c>
      <c r="D49" s="291">
        <f>'Reporte Componentes R1'!F351</f>
        <v>388550</v>
      </c>
      <c r="E49" s="292">
        <f>'Reporte Componentes R1'!G351</f>
        <v>40467.760000000002</v>
      </c>
      <c r="F49" s="292">
        <f>'Reporte Componentes R1'!H351</f>
        <v>22548.38</v>
      </c>
      <c r="G49" s="292">
        <f>'Reporte Componentes R1'!I351</f>
        <v>11992.34</v>
      </c>
      <c r="H49" s="292">
        <f>'Reporte Componentes R1'!J351</f>
        <v>10672.75</v>
      </c>
      <c r="I49" s="292">
        <f>'Reporte Componentes R1'!K351</f>
        <v>385.44</v>
      </c>
      <c r="J49" s="288">
        <v>0</v>
      </c>
      <c r="K49" s="295">
        <f t="shared" si="15"/>
        <v>302483.32999999996</v>
      </c>
      <c r="L49" s="294">
        <v>0</v>
      </c>
      <c r="M49" s="295">
        <f>K49-L49</f>
        <v>302483.32999999996</v>
      </c>
      <c r="N49" s="294">
        <f>'Reporte Componentes R1'!L351</f>
        <v>0</v>
      </c>
      <c r="O49" s="295">
        <f t="shared" si="16"/>
        <v>302483.32999999996</v>
      </c>
      <c r="Q49" s="306"/>
      <c r="S49" s="314">
        <v>3</v>
      </c>
      <c r="T49" s="315" t="s">
        <v>12</v>
      </c>
      <c r="U49" s="316">
        <f>'Reporte Componentes R1'!M351</f>
        <v>3380.99</v>
      </c>
      <c r="V49" s="317">
        <f>'Reporte Componentes R1'!N351</f>
        <v>3214.74</v>
      </c>
      <c r="W49" s="317">
        <f>'Reporte Componentes R1'!O351</f>
        <v>15256.24</v>
      </c>
      <c r="X49" s="317">
        <f>'Reporte Componentes R1'!P351</f>
        <v>95953.3</v>
      </c>
      <c r="Y49" s="318">
        <f>'Reporte Componentes R1'!Q351</f>
        <v>628.86</v>
      </c>
      <c r="Z49" s="319">
        <f>-L49</f>
        <v>0</v>
      </c>
      <c r="AA49" s="320">
        <f>'Reporte Componentes R1'!R351+'Reporte Componentes R1'!V351+'Reporte Componentes R1'!U351</f>
        <v>-1.51</v>
      </c>
      <c r="AB49" s="294">
        <f>N49</f>
        <v>0</v>
      </c>
      <c r="AC49" s="320">
        <f>'Reporte Componentes R1'!T351+'Reporte Componentes R1'!W351+'Reporte Componentes R1'!X351+'Reporte Componentes R1'!Y351+'Reporte Componentes R1'!Z351+'Reporte Componentes R1'!S351</f>
        <v>0</v>
      </c>
      <c r="AD49" s="291">
        <f t="shared" si="17"/>
        <v>184050.71</v>
      </c>
      <c r="AE49" s="291">
        <f>'Reporte Componentes R1'!F352</f>
        <v>184050.71</v>
      </c>
      <c r="AF49" s="322">
        <f t="shared" ref="AF49:AF51" si="19">SUM(U49:AD49)</f>
        <v>302483.33</v>
      </c>
      <c r="AG49" s="323">
        <f t="shared" ref="AG49:AG51" si="20">(AF49-O49)</f>
        <v>5.8207660913467407E-11</v>
      </c>
      <c r="AH49" s="1" t="b">
        <f t="shared" si="18"/>
        <v>1</v>
      </c>
      <c r="AI49" s="306"/>
    </row>
    <row r="50" spans="1:35" s="305" customFormat="1" x14ac:dyDescent="0.25">
      <c r="B50" s="314">
        <v>4</v>
      </c>
      <c r="C50" s="315" t="s">
        <v>13</v>
      </c>
      <c r="D50" s="291">
        <f>'Reporte Componentes R1'!F484</f>
        <v>77806471.420000002</v>
      </c>
      <c r="E50" s="292">
        <f>'Reporte Componentes R1'!G484</f>
        <v>5741981.5899999999</v>
      </c>
      <c r="F50" s="292">
        <f>'Reporte Componentes R1'!H484</f>
        <v>3203087.72</v>
      </c>
      <c r="G50" s="292">
        <f>'Reporte Componentes R1'!I484</f>
        <v>1688492.39</v>
      </c>
      <c r="H50" s="292">
        <f>'Reporte Componentes R1'!J484</f>
        <v>15296853.960000001</v>
      </c>
      <c r="I50" s="292">
        <f>'Reporte Componentes R1'!K484</f>
        <v>470743.41</v>
      </c>
      <c r="J50" s="288">
        <v>0</v>
      </c>
      <c r="K50" s="295">
        <f t="shared" si="15"/>
        <v>51405312.350000001</v>
      </c>
      <c r="L50" s="294">
        <v>0</v>
      </c>
      <c r="M50" s="295">
        <f>K50-L50</f>
        <v>51405312.350000001</v>
      </c>
      <c r="N50" s="294">
        <f>'Reporte Componentes R1'!L484</f>
        <v>5153.8500000000004</v>
      </c>
      <c r="O50" s="295">
        <f t="shared" si="16"/>
        <v>51410466.200000003</v>
      </c>
      <c r="Q50" s="306"/>
      <c r="S50" s="314">
        <v>4</v>
      </c>
      <c r="T50" s="315" t="s">
        <v>13</v>
      </c>
      <c r="U50" s="316">
        <f>'Reporte Componentes R1'!M484</f>
        <v>4085614.37</v>
      </c>
      <c r="V50" s="317">
        <f>'Reporte Componentes R1'!N484</f>
        <v>4949377.6500000004</v>
      </c>
      <c r="W50" s="317">
        <f>'Reporte Componentes R1'!O484</f>
        <v>25212211.550000001</v>
      </c>
      <c r="X50" s="317">
        <f>'Reporte Componentes R1'!P484</f>
        <v>15207780.9</v>
      </c>
      <c r="Y50" s="318">
        <f>'Reporte Componentes R1'!Q484</f>
        <v>771008.94</v>
      </c>
      <c r="Z50" s="319">
        <f>-L50</f>
        <v>0</v>
      </c>
      <c r="AA50" s="320">
        <f>'Reporte Componentes R1'!R484+'Reporte Componentes R1'!V484+'Reporte Componentes R1'!U484</f>
        <v>-76.27</v>
      </c>
      <c r="AB50" s="294">
        <f>N50</f>
        <v>5153.8500000000004</v>
      </c>
      <c r="AC50" s="320">
        <f>'Reporte Componentes R1'!T484+'Reporte Componentes R1'!W484+'Reporte Componentes R1'!X484+'Reporte Componentes R1'!Y484+'Reporte Componentes R1'!Z484+'Reporte Componentes R1'!S484</f>
        <v>0.93</v>
      </c>
      <c r="AD50" s="291">
        <f t="shared" si="17"/>
        <v>1179394.28</v>
      </c>
      <c r="AE50" s="291">
        <f>'Reporte Componentes R1'!F485</f>
        <v>1179394.28</v>
      </c>
      <c r="AF50" s="322">
        <f t="shared" si="19"/>
        <v>51410466.199999996</v>
      </c>
      <c r="AG50" s="323">
        <f t="shared" si="20"/>
        <v>-7.4505805969238281E-9</v>
      </c>
      <c r="AH50" s="1" t="b">
        <f t="shared" si="18"/>
        <v>0</v>
      </c>
      <c r="AI50" s="306"/>
    </row>
    <row r="51" spans="1:35" s="305" customFormat="1" ht="12" thickBot="1" x14ac:dyDescent="0.3">
      <c r="B51" s="324">
        <v>5</v>
      </c>
      <c r="C51" s="325" t="s">
        <v>14</v>
      </c>
      <c r="D51" s="296">
        <f>'Reporte Componentes R1'!F563</f>
        <v>0</v>
      </c>
      <c r="E51" s="297">
        <f>'Reporte Componentes R1'!G563</f>
        <v>0</v>
      </c>
      <c r="F51" s="297">
        <f>'Reporte Componentes R1'!H563</f>
        <v>0</v>
      </c>
      <c r="G51" s="297">
        <f>'Reporte Componentes R1'!I563</f>
        <v>0</v>
      </c>
      <c r="H51" s="297">
        <f>'Reporte Componentes R1'!J563</f>
        <v>0</v>
      </c>
      <c r="I51" s="297">
        <f>'Reporte Componentes R1'!K563</f>
        <v>0</v>
      </c>
      <c r="J51" s="289">
        <v>0</v>
      </c>
      <c r="K51" s="295">
        <f t="shared" si="15"/>
        <v>0</v>
      </c>
      <c r="L51" s="294">
        <v>0</v>
      </c>
      <c r="M51" s="298">
        <f>K51-L51</f>
        <v>0</v>
      </c>
      <c r="N51" s="299">
        <f>'Reporte Componentes R1'!L563</f>
        <v>0</v>
      </c>
      <c r="O51" s="298">
        <f t="shared" si="16"/>
        <v>0</v>
      </c>
      <c r="Q51" s="306"/>
      <c r="S51" s="324">
        <v>5</v>
      </c>
      <c r="T51" s="325" t="s">
        <v>14</v>
      </c>
      <c r="U51" s="296">
        <f>'Reporte Componentes R1'!M563</f>
        <v>0</v>
      </c>
      <c r="V51" s="297">
        <f>'Reporte Componentes R1'!N563</f>
        <v>0</v>
      </c>
      <c r="W51" s="297">
        <f>'Reporte Componentes R1'!O563</f>
        <v>0</v>
      </c>
      <c r="X51" s="297">
        <f>'Reporte Componentes R1'!P563</f>
        <v>0</v>
      </c>
      <c r="Y51" s="289">
        <f>'Reporte Componentes R1'!Q563</f>
        <v>0</v>
      </c>
      <c r="Z51" s="319">
        <f>-L51</f>
        <v>0</v>
      </c>
      <c r="AA51" s="320">
        <f>'Reporte Componentes R1'!R563+'Reporte Componentes R1'!V563+'Reporte Componentes R1'!U563</f>
        <v>0</v>
      </c>
      <c r="AB51" s="294">
        <f>N51</f>
        <v>0</v>
      </c>
      <c r="AC51" s="320">
        <f>'Reporte Componentes R1'!T563+'Reporte Componentes R1'!W563+'Reporte Componentes R1'!X563+'Reporte Componentes R1'!Y563+'Reporte Componentes R1'!Z563+'Reporte Componentes R1'!S563</f>
        <v>0</v>
      </c>
      <c r="AD51" s="291">
        <f t="shared" si="17"/>
        <v>0</v>
      </c>
      <c r="AE51" s="291">
        <f>'Reporte Componentes R1'!F564</f>
        <v>0</v>
      </c>
      <c r="AF51" s="322">
        <f t="shared" si="19"/>
        <v>0</v>
      </c>
      <c r="AG51" s="326">
        <f t="shared" si="20"/>
        <v>0</v>
      </c>
      <c r="AH51" s="1" t="b">
        <f t="shared" si="18"/>
        <v>1</v>
      </c>
      <c r="AI51" s="306"/>
    </row>
    <row r="52" spans="1:35" s="305" customFormat="1" ht="13.5" thickBot="1" x14ac:dyDescent="0.35">
      <c r="B52" s="327"/>
      <c r="C52" s="328" t="s">
        <v>2</v>
      </c>
      <c r="D52" s="290">
        <f t="shared" ref="D52:O52" si="21">SUM(D47:D51)</f>
        <v>95205223.420000002</v>
      </c>
      <c r="E52" s="290">
        <f t="shared" si="21"/>
        <v>6939792.54</v>
      </c>
      <c r="F52" s="290">
        <f t="shared" si="21"/>
        <v>3874589.97</v>
      </c>
      <c r="G52" s="290">
        <f t="shared" ref="G52" si="22">SUM(G47:G51)</f>
        <v>2045160.06</v>
      </c>
      <c r="H52" s="290">
        <f t="shared" si="21"/>
        <v>20651859.600000001</v>
      </c>
      <c r="I52" s="290">
        <f t="shared" si="21"/>
        <v>610790.36</v>
      </c>
      <c r="J52" s="290">
        <f t="shared" si="21"/>
        <v>0</v>
      </c>
      <c r="K52" s="300">
        <f t="shared" si="21"/>
        <v>61083030.890000001</v>
      </c>
      <c r="L52" s="301">
        <f t="shared" si="21"/>
        <v>0</v>
      </c>
      <c r="M52" s="302">
        <f t="shared" si="21"/>
        <v>61083030.890000001</v>
      </c>
      <c r="N52" s="301">
        <f t="shared" si="21"/>
        <v>5153.8500000000004</v>
      </c>
      <c r="O52" s="302">
        <f t="shared" si="21"/>
        <v>61088184.74000001</v>
      </c>
      <c r="P52" s="329"/>
      <c r="Q52" s="306"/>
      <c r="S52" s="327"/>
      <c r="T52" s="328" t="s">
        <v>2</v>
      </c>
      <c r="U52" s="330">
        <f>SUM(U47:U51)</f>
        <v>5315194.3</v>
      </c>
      <c r="V52" s="330">
        <f t="shared" ref="V52:AG52" si="23">SUM(V47:V51)</f>
        <v>6588396.8200000003</v>
      </c>
      <c r="W52" s="330">
        <f t="shared" si="23"/>
        <v>33032154.23</v>
      </c>
      <c r="X52" s="330">
        <f t="shared" si="23"/>
        <v>17583882.379999999</v>
      </c>
      <c r="Y52" s="330">
        <f t="shared" si="23"/>
        <v>999713.66999999993</v>
      </c>
      <c r="Z52" s="290">
        <f t="shared" si="23"/>
        <v>0</v>
      </c>
      <c r="AA52" s="290">
        <f t="shared" si="23"/>
        <v>-201.16</v>
      </c>
      <c r="AB52" s="290">
        <f t="shared" si="23"/>
        <v>5153.8500000000004</v>
      </c>
      <c r="AC52" s="290">
        <f t="shared" si="23"/>
        <v>0.93</v>
      </c>
      <c r="AD52" s="290">
        <f>SUM(AD47:AD51)</f>
        <v>-2436110.2800000003</v>
      </c>
      <c r="AE52" s="290">
        <f>SUM(AE47:AE51)</f>
        <v>-2436110.2800000003</v>
      </c>
      <c r="AF52" s="331">
        <f t="shared" si="23"/>
        <v>61088184.739999995</v>
      </c>
      <c r="AG52" s="332">
        <f t="shared" si="23"/>
        <v>-1.1117663234472275E-8</v>
      </c>
      <c r="AH52" s="1" t="b">
        <f t="shared" si="18"/>
        <v>0</v>
      </c>
      <c r="AI52" s="306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63519341.400000006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5" x14ac:dyDescent="0.35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x14ac:dyDescent="0.25">
      <c r="B66" s="303">
        <v>1</v>
      </c>
      <c r="C66" s="304" t="s">
        <v>10</v>
      </c>
      <c r="D66" s="291">
        <f>'Reversion Pagos R4'!D76</f>
        <v>-1244990</v>
      </c>
      <c r="E66" s="292">
        <f>'Reversion Pagos R4'!E76</f>
        <v>-50790.75</v>
      </c>
      <c r="F66" s="292">
        <f>'Reversion Pagos R4'!F76</f>
        <v>-28690.47</v>
      </c>
      <c r="G66" s="292">
        <f>'Reversion Pagos R4'!G76</f>
        <v>-15114.06</v>
      </c>
      <c r="H66" s="292">
        <f>'Reversion Pagos R4'!H76</f>
        <v>-214849.75</v>
      </c>
      <c r="I66" s="292">
        <f>'Reversion Pagos R4'!I76</f>
        <v>-7567.83</v>
      </c>
      <c r="J66" s="309">
        <v>0</v>
      </c>
      <c r="K66" s="293">
        <f>D66-E66-F66-G66-H66-I66-J66</f>
        <v>-927977.14</v>
      </c>
      <c r="L66" s="294">
        <v>0</v>
      </c>
      <c r="M66" s="293">
        <f>K66-L66</f>
        <v>-927977.14</v>
      </c>
      <c r="N66" s="294">
        <f>'Reversion Pagos R4'!P76</f>
        <v>0</v>
      </c>
      <c r="O66" s="293">
        <f>M66+N66</f>
        <v>-927977.14</v>
      </c>
      <c r="Q66" s="306"/>
      <c r="S66" s="303">
        <v>1</v>
      </c>
      <c r="T66" s="304" t="s">
        <v>10</v>
      </c>
      <c r="U66" s="307">
        <f>'Reversion Pagos R4'!J76</f>
        <v>-66384.08</v>
      </c>
      <c r="V66" s="308">
        <f>'Reversion Pagos R4'!K76</f>
        <v>-64597.599999999999</v>
      </c>
      <c r="W66" s="308">
        <f>'Reversion Pagos R4'!L76</f>
        <v>-303479.03000000003</v>
      </c>
      <c r="X66" s="308">
        <f>'Reversion Pagos R4'!M76</f>
        <v>-138910.09</v>
      </c>
      <c r="Y66" s="309">
        <f>'Reversion Pagos R4'!N76</f>
        <v>-12347.31</v>
      </c>
      <c r="Z66" s="310">
        <f>-L66</f>
        <v>0</v>
      </c>
      <c r="AA66" s="311">
        <f>+'Reversion Pagos R4'!O76</f>
        <v>-9.8000000000000007</v>
      </c>
      <c r="AB66" s="294">
        <f>N66</f>
        <v>0</v>
      </c>
      <c r="AC66" s="311">
        <f>+'Reversion Pagos R4'!Q76+'Reversion Pagos R4'!R76</f>
        <v>0</v>
      </c>
      <c r="AD66" s="291">
        <f>-J66+AE66</f>
        <v>-342249.23</v>
      </c>
      <c r="AE66" s="291">
        <f>'Reversion Pagos R4'!D77</f>
        <v>-342249.23</v>
      </c>
      <c r="AF66" s="313">
        <f>SUM(U66:AD66)</f>
        <v>-927977.14000000013</v>
      </c>
      <c r="AG66" s="311">
        <f>(AF66-O66)</f>
        <v>-1.1641532182693481E-10</v>
      </c>
      <c r="AH66" s="1" t="b">
        <f>INT(AG66)=0</f>
        <v>0</v>
      </c>
      <c r="AI66" s="306"/>
    </row>
    <row r="67" spans="1:35" s="305" customFormat="1" x14ac:dyDescent="0.25">
      <c r="B67" s="314">
        <v>2</v>
      </c>
      <c r="C67" s="315" t="s">
        <v>11</v>
      </c>
      <c r="D67" s="291">
        <f>'Reversion Pagos R4'!D176</f>
        <v>-41540866</v>
      </c>
      <c r="E67" s="292">
        <f>'Reversion Pagos R4'!E176</f>
        <v>-3107250.53</v>
      </c>
      <c r="F67" s="292">
        <f>'Reversion Pagos R4'!F176</f>
        <v>-1670342.89</v>
      </c>
      <c r="G67" s="292">
        <f>'Reversion Pagos R4'!G176</f>
        <v>-871100.93</v>
      </c>
      <c r="H67" s="292">
        <f>'Reversion Pagos R4'!H176</f>
        <v>-12526155.23</v>
      </c>
      <c r="I67" s="292">
        <f>'Reversion Pagos R4'!I176</f>
        <v>-441842.96</v>
      </c>
      <c r="J67" s="288">
        <v>0</v>
      </c>
      <c r="K67" s="295">
        <f t="shared" ref="K67:K70" si="24">D67-E67-F67-G67-H67-I67-J67</f>
        <v>-22924173.459999997</v>
      </c>
      <c r="L67" s="294">
        <v>0</v>
      </c>
      <c r="M67" s="295">
        <f>K67-L67</f>
        <v>-22924173.459999997</v>
      </c>
      <c r="N67" s="294">
        <f>'Reversion Pagos R4'!P176</f>
        <v>0</v>
      </c>
      <c r="O67" s="295">
        <f t="shared" ref="O67:O70" si="25">M67+N67</f>
        <v>-22924173.459999997</v>
      </c>
      <c r="Q67" s="306"/>
      <c r="S67" s="314">
        <v>2</v>
      </c>
      <c r="T67" s="315" t="s">
        <v>11</v>
      </c>
      <c r="U67" s="316">
        <f>'Reversion Pagos R4'!J176</f>
        <v>-3903148.8</v>
      </c>
      <c r="V67" s="317">
        <f>'Reversion Pagos R4'!K176</f>
        <v>-3939943.55</v>
      </c>
      <c r="W67" s="317">
        <f>'Reversion Pagos R4'!L176</f>
        <v>-18083278.280000001</v>
      </c>
      <c r="X67" s="317">
        <f>'Reversion Pagos R4'!M176</f>
        <v>-6193581.0800000001</v>
      </c>
      <c r="Y67" s="318">
        <f>'Reversion Pagos R4'!N176</f>
        <v>-725082.83</v>
      </c>
      <c r="Z67" s="319">
        <f t="shared" ref="Z67:Z70" si="26">-L67</f>
        <v>0</v>
      </c>
      <c r="AA67" s="320">
        <f>'Reversion Pagos R4'!O176</f>
        <v>-14.17</v>
      </c>
      <c r="AB67" s="294">
        <f t="shared" ref="AB67:AB70" si="27">N67</f>
        <v>0</v>
      </c>
      <c r="AC67" s="320">
        <f>'Reversion Pagos R4'!Q176+'Reversion Pagos R4'!R176</f>
        <v>0.26</v>
      </c>
      <c r="AD67" s="291">
        <f t="shared" ref="AD67:AD70" si="28">-J67+AE67</f>
        <v>9920874.9900000002</v>
      </c>
      <c r="AE67" s="291">
        <f>'Reversion Pagos R4'!D177</f>
        <v>9920874.9900000002</v>
      </c>
      <c r="AF67" s="322">
        <f>SUM(U67:AD67)</f>
        <v>-22924173.460000001</v>
      </c>
      <c r="AG67" s="323">
        <f>(AF67-O67)</f>
        <v>-3.7252902984619141E-9</v>
      </c>
      <c r="AH67" s="1" t="b">
        <f t="shared" ref="AH67:AH71" si="29">INT(AG67)=0</f>
        <v>0</v>
      </c>
      <c r="AI67" s="306"/>
    </row>
    <row r="68" spans="1:35" s="305" customFormat="1" x14ac:dyDescent="0.25">
      <c r="B68" s="314">
        <v>3</v>
      </c>
      <c r="C68" s="315" t="s">
        <v>12</v>
      </c>
      <c r="D68" s="291">
        <f>'Reversion Pagos R4'!D207</f>
        <v>-7715664</v>
      </c>
      <c r="E68" s="292">
        <f>'Reversion Pagos R4'!E207</f>
        <v>-515652.37</v>
      </c>
      <c r="F68" s="292">
        <f>'Reversion Pagos R4'!F207</f>
        <v>-290186.96000000002</v>
      </c>
      <c r="G68" s="292">
        <f>'Reversion Pagos R4'!G207</f>
        <v>-152964.71</v>
      </c>
      <c r="H68" s="292">
        <f>'Reversion Pagos R4'!H207</f>
        <v>-1792017.57</v>
      </c>
      <c r="I68" s="292">
        <f>'Reversion Pagos R4'!I207</f>
        <v>-54908.17</v>
      </c>
      <c r="J68" s="288">
        <v>0</v>
      </c>
      <c r="K68" s="295">
        <f t="shared" si="24"/>
        <v>-4909934.22</v>
      </c>
      <c r="L68" s="294">
        <v>0</v>
      </c>
      <c r="M68" s="295">
        <f>K68-L68</f>
        <v>-4909934.22</v>
      </c>
      <c r="N68" s="294">
        <f>'Reversion Pagos R4'!P207</f>
        <v>0</v>
      </c>
      <c r="O68" s="295">
        <f t="shared" si="25"/>
        <v>-4909934.22</v>
      </c>
      <c r="Q68" s="306"/>
      <c r="S68" s="314">
        <v>3</v>
      </c>
      <c r="T68" s="315" t="s">
        <v>12</v>
      </c>
      <c r="U68" s="316">
        <f>'Reversion Pagos R4'!J207</f>
        <v>-481653.2</v>
      </c>
      <c r="V68" s="317">
        <f>'Reversion Pagos R4'!K207</f>
        <v>-469447.01</v>
      </c>
      <c r="W68" s="317">
        <f>'Reversion Pagos R4'!L207</f>
        <v>-2214598.7799999998</v>
      </c>
      <c r="X68" s="317">
        <f>'Reversion Pagos R4'!M207</f>
        <v>-1215498.77</v>
      </c>
      <c r="Y68" s="318">
        <f>'Reversion Pagos R4'!N207</f>
        <v>-89587.5</v>
      </c>
      <c r="Z68" s="319">
        <f t="shared" si="26"/>
        <v>0</v>
      </c>
      <c r="AA68" s="320">
        <f>'Reversion Pagos R4'!O207</f>
        <v>-132.41999999999999</v>
      </c>
      <c r="AB68" s="294">
        <f t="shared" si="27"/>
        <v>0</v>
      </c>
      <c r="AC68" s="320">
        <f>'Reversion Pagos R4'!Q207+'Reversion Pagos R4'!R207</f>
        <v>0</v>
      </c>
      <c r="AD68" s="291">
        <f t="shared" si="28"/>
        <v>-439016.54</v>
      </c>
      <c r="AE68" s="291">
        <f>'Reversion Pagos R4'!D208</f>
        <v>-439016.54</v>
      </c>
      <c r="AF68" s="322">
        <f t="shared" ref="AF68:AF70" si="30">SUM(U68:AD68)</f>
        <v>-4909934.22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x14ac:dyDescent="0.25">
      <c r="B69" s="314">
        <v>4</v>
      </c>
      <c r="C69" s="315" t="s">
        <v>13</v>
      </c>
      <c r="D69" s="291">
        <f>'Reversion Pagos R4'!D322</f>
        <v>-167610112.66</v>
      </c>
      <c r="E69" s="292">
        <f>'Reversion Pagos R4'!E322</f>
        <v>-10382321.17</v>
      </c>
      <c r="F69" s="292">
        <f>'Reversion Pagos R4'!F322</f>
        <v>-5652491.7800000003</v>
      </c>
      <c r="G69" s="292">
        <f>'Reversion Pagos R4'!G322</f>
        <v>-2921177.32</v>
      </c>
      <c r="H69" s="292">
        <f>'Reversion Pagos R4'!H322</f>
        <v>-36006555.340000004</v>
      </c>
      <c r="I69" s="292">
        <f>'Reversion Pagos R4'!I322</f>
        <v>-1300147.1399999999</v>
      </c>
      <c r="J69" s="288">
        <v>0</v>
      </c>
      <c r="K69" s="295">
        <f t="shared" si="24"/>
        <v>-111347419.91000001</v>
      </c>
      <c r="L69" s="294">
        <v>0</v>
      </c>
      <c r="M69" s="295">
        <f>K69-L69</f>
        <v>-111347419.91000001</v>
      </c>
      <c r="N69" s="294">
        <f>'Reversion Pagos R4'!P322</f>
        <v>-46500</v>
      </c>
      <c r="O69" s="295">
        <f t="shared" si="25"/>
        <v>-111393919.91000001</v>
      </c>
      <c r="Q69" s="306"/>
      <c r="S69" s="314">
        <v>4</v>
      </c>
      <c r="T69" s="315" t="s">
        <v>13</v>
      </c>
      <c r="U69" s="316">
        <f>'Reversion Pagos R4'!J322</f>
        <v>-11311482.279999999</v>
      </c>
      <c r="V69" s="317">
        <f>'Reversion Pagos R4'!K322</f>
        <v>-11321460.300000001</v>
      </c>
      <c r="W69" s="317">
        <f>'Reversion Pagos R4'!L322</f>
        <v>-56578025.969999999</v>
      </c>
      <c r="X69" s="317">
        <f>'Reversion Pagos R4'!M322</f>
        <v>-27834002.489999998</v>
      </c>
      <c r="Y69" s="318">
        <f>'Reversion Pagos R4'!N322</f>
        <v>-2118364.2999999998</v>
      </c>
      <c r="Z69" s="319">
        <f t="shared" si="26"/>
        <v>0</v>
      </c>
      <c r="AA69" s="320">
        <f>'Reversion Pagos R4'!O322</f>
        <v>67.290000000000006</v>
      </c>
      <c r="AB69" s="294">
        <f t="shared" si="27"/>
        <v>-46500</v>
      </c>
      <c r="AC69" s="320">
        <f>'Reversion Pagos R4'!Q322+'Reversion Pagos R4'!R322</f>
        <v>192.99</v>
      </c>
      <c r="AD69" s="291">
        <f t="shared" si="28"/>
        <v>-2184344.85</v>
      </c>
      <c r="AE69" s="291">
        <f>'Reversion Pagos R4'!D323</f>
        <v>-2184344.85</v>
      </c>
      <c r="AF69" s="322">
        <f>SUM(U69:AD69)</f>
        <v>-111393919.90999998</v>
      </c>
      <c r="AG69" s="323">
        <f>(AF69-O69)</f>
        <v>2.9802322387695313E-8</v>
      </c>
      <c r="AH69" s="1" t="b">
        <f t="shared" si="29"/>
        <v>1</v>
      </c>
      <c r="AI69" s="306"/>
    </row>
    <row r="70" spans="1:35" s="305" customFormat="1" ht="12" thickBot="1" x14ac:dyDescent="0.3">
      <c r="B70" s="324">
        <v>5</v>
      </c>
      <c r="C70" s="325" t="s">
        <v>14</v>
      </c>
      <c r="D70" s="296">
        <f>'Reversion Pagos R4'!D351</f>
        <v>-4790099</v>
      </c>
      <c r="E70" s="297">
        <f>'Reversion Pagos R4'!E351</f>
        <v>-288872.46999999997</v>
      </c>
      <c r="F70" s="297">
        <f>'Reversion Pagos R4'!F351</f>
        <v>-159348.35</v>
      </c>
      <c r="G70" s="297">
        <f>'Reversion Pagos R4'!G351</f>
        <v>-81360.210000000006</v>
      </c>
      <c r="H70" s="297">
        <f>'Reversion Pagos R4'!H351</f>
        <v>-1166766.31</v>
      </c>
      <c r="I70" s="297">
        <f>'Reversion Pagos R4'!I351</f>
        <v>-56965.58</v>
      </c>
      <c r="J70" s="289">
        <v>0</v>
      </c>
      <c r="K70" s="295">
        <f t="shared" si="24"/>
        <v>-3036786.0800000005</v>
      </c>
      <c r="L70" s="294">
        <v>0</v>
      </c>
      <c r="M70" s="298">
        <f>K70-L70</f>
        <v>-3036786.0800000005</v>
      </c>
      <c r="N70" s="294">
        <f>'Reversion Pagos R4'!P351</f>
        <v>0</v>
      </c>
      <c r="O70" s="298">
        <f t="shared" si="25"/>
        <v>-3036786.0800000005</v>
      </c>
      <c r="Q70" s="306"/>
      <c r="S70" s="324">
        <v>5</v>
      </c>
      <c r="T70" s="325" t="s">
        <v>14</v>
      </c>
      <c r="U70" s="296">
        <f>'Reversion Pagos R4'!J351</f>
        <v>-498401.42</v>
      </c>
      <c r="V70" s="297">
        <f>'Reversion Pagos R4'!K351</f>
        <v>-466788.11</v>
      </c>
      <c r="W70" s="297">
        <f>'Reversion Pagos R4'!L351</f>
        <v>-2254795.06</v>
      </c>
      <c r="X70" s="297">
        <f>'Reversion Pagos R4'!M351</f>
        <v>-858640.26</v>
      </c>
      <c r="Y70" s="289">
        <f>'Reversion Pagos R4'!N351</f>
        <v>-92941.78</v>
      </c>
      <c r="Z70" s="319">
        <f t="shared" si="26"/>
        <v>0</v>
      </c>
      <c r="AA70" s="320">
        <f>'Reversion Pagos R4'!O351</f>
        <v>41.97</v>
      </c>
      <c r="AB70" s="294">
        <f t="shared" si="27"/>
        <v>0</v>
      </c>
      <c r="AC70" s="320">
        <f>'Reversion Pagos R4'!Q351+'Reversion Pagos R4'!R351</f>
        <v>-0.09</v>
      </c>
      <c r="AD70" s="291">
        <f t="shared" si="28"/>
        <v>1134738.67</v>
      </c>
      <c r="AE70" s="291">
        <f>'Reversion Pagos R4'!D352</f>
        <v>1134738.67</v>
      </c>
      <c r="AF70" s="322">
        <f t="shared" si="30"/>
        <v>-3036786.0799999991</v>
      </c>
      <c r="AG70" s="326">
        <f t="shared" si="31"/>
        <v>1.3969838619232178E-9</v>
      </c>
      <c r="AH70" s="1" t="b">
        <f t="shared" si="29"/>
        <v>1</v>
      </c>
      <c r="AI70" s="306"/>
    </row>
    <row r="71" spans="1:35" s="305" customFormat="1" ht="13.5" thickBot="1" x14ac:dyDescent="0.35">
      <c r="B71" s="327"/>
      <c r="C71" s="328" t="s">
        <v>2</v>
      </c>
      <c r="D71" s="290">
        <f t="shared" ref="D71:O71" si="32">SUM(D66:D70)</f>
        <v>-222901731.66</v>
      </c>
      <c r="E71" s="290">
        <f t="shared" si="32"/>
        <v>-14344887.290000001</v>
      </c>
      <c r="F71" s="290">
        <f t="shared" si="32"/>
        <v>-7801060.4499999993</v>
      </c>
      <c r="G71" s="290">
        <f t="shared" si="32"/>
        <v>-4041717.23</v>
      </c>
      <c r="H71" s="290">
        <f t="shared" si="32"/>
        <v>-51706344.200000003</v>
      </c>
      <c r="I71" s="290">
        <f t="shared" si="32"/>
        <v>-1861431.68</v>
      </c>
      <c r="J71" s="290">
        <f t="shared" si="32"/>
        <v>0</v>
      </c>
      <c r="K71" s="300">
        <f t="shared" si="32"/>
        <v>-143146290.81000003</v>
      </c>
      <c r="L71" s="301">
        <f t="shared" si="32"/>
        <v>0</v>
      </c>
      <c r="M71" s="302">
        <f t="shared" si="32"/>
        <v>-143146290.81000003</v>
      </c>
      <c r="N71" s="301">
        <f t="shared" si="32"/>
        <v>-46500</v>
      </c>
      <c r="O71" s="302">
        <f t="shared" si="32"/>
        <v>-143192790.81000003</v>
      </c>
      <c r="P71" s="329"/>
      <c r="Q71" s="306"/>
      <c r="S71" s="327"/>
      <c r="T71" s="328" t="s">
        <v>2</v>
      </c>
      <c r="U71" s="330">
        <f>SUM(U66:U70)</f>
        <v>-16261069.779999999</v>
      </c>
      <c r="V71" s="330">
        <f t="shared" ref="V71:AG71" si="33">SUM(V66:V70)</f>
        <v>-16262236.57</v>
      </c>
      <c r="W71" s="330">
        <f t="shared" si="33"/>
        <v>-79434177.120000005</v>
      </c>
      <c r="X71" s="330">
        <f t="shared" si="33"/>
        <v>-36240632.689999998</v>
      </c>
      <c r="Y71" s="330">
        <f t="shared" si="33"/>
        <v>-3038323.7199999997</v>
      </c>
      <c r="Z71" s="290">
        <f t="shared" si="33"/>
        <v>0</v>
      </c>
      <c r="AA71" s="290">
        <f>SUM(AA66:AA70)</f>
        <v>-47.129999999999981</v>
      </c>
      <c r="AB71" s="290">
        <f t="shared" si="33"/>
        <v>-46500</v>
      </c>
      <c r="AC71" s="290">
        <f t="shared" ref="AC71" si="34">SUM(AC66:AC70)</f>
        <v>193.16</v>
      </c>
      <c r="AD71" s="290">
        <f>SUM(AD66:AD70)</f>
        <v>8090003.040000001</v>
      </c>
      <c r="AE71" s="290">
        <f>SUM(AE66:AE70)</f>
        <v>8090003.040000001</v>
      </c>
      <c r="AF71" s="331">
        <f t="shared" si="33"/>
        <v>-143192790.81</v>
      </c>
      <c r="AG71" s="332">
        <f t="shared" si="33"/>
        <v>2.7357600629329681E-8</v>
      </c>
      <c r="AH71" s="1" t="b">
        <f t="shared" si="29"/>
        <v>1</v>
      </c>
      <c r="AI71" s="306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-151236439.88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5" x14ac:dyDescent="0.35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x14ac:dyDescent="0.25">
      <c r="B85" s="303">
        <v>1</v>
      </c>
      <c r="C85" s="304" t="s">
        <v>10</v>
      </c>
      <c r="D85" s="291">
        <f>'AJUSTES - SF-T'!D47</f>
        <v>589006.92000000004</v>
      </c>
      <c r="E85" s="292">
        <f>'AJUSTES - SF-T'!E47</f>
        <v>31457.17</v>
      </c>
      <c r="F85" s="292">
        <f>'AJUSTES - SF-T'!F47</f>
        <v>17527.740000000002</v>
      </c>
      <c r="G85" s="292">
        <f>'AJUSTES - SF-T'!G47</f>
        <v>8747.16</v>
      </c>
      <c r="H85" s="292">
        <f>'AJUSTES - SF-T'!H47</f>
        <v>161245.56</v>
      </c>
      <c r="I85" s="292">
        <f>'AJUSTES - SF-T'!I47</f>
        <v>5296.18</v>
      </c>
      <c r="J85" s="292">
        <f>'AJUSTES - SF-T'!J47</f>
        <v>0</v>
      </c>
      <c r="K85" s="292">
        <f>D85-E85-F85-G85-H85-I85-J85</f>
        <v>364733.11</v>
      </c>
      <c r="L85" s="294">
        <v>0</v>
      </c>
      <c r="M85" s="321">
        <f>K85-L85</f>
        <v>364733.11</v>
      </c>
      <c r="N85" s="321">
        <f>'AJUSTES - SF-T'!N47</f>
        <v>0</v>
      </c>
      <c r="O85" s="321">
        <f>M85+N85</f>
        <v>364733.11</v>
      </c>
      <c r="Q85" s="306"/>
      <c r="S85" s="303">
        <v>1</v>
      </c>
      <c r="T85" s="304" t="s">
        <v>10</v>
      </c>
      <c r="U85" s="312">
        <f>'AJUSTES - SF-T'!U47</f>
        <v>49817.24</v>
      </c>
      <c r="V85" s="312">
        <f>'AJUSTES - SF-T'!V47</f>
        <v>43798.38</v>
      </c>
      <c r="W85" s="312">
        <f>'AJUSTES - SF-T'!W47</f>
        <v>198669.66</v>
      </c>
      <c r="X85" s="312">
        <f>'AJUSTES - SF-T'!X47</f>
        <v>85917.24</v>
      </c>
      <c r="Y85" s="312">
        <f>'AJUSTES - SF-T'!Y47</f>
        <v>7999.99</v>
      </c>
      <c r="Z85" s="312">
        <f>'AJUSTES - SF-T'!Z47</f>
        <v>0</v>
      </c>
      <c r="AA85" s="571">
        <f>'AJUSTES - SF-T'!AA47</f>
        <v>-1.69</v>
      </c>
      <c r="AB85" s="312">
        <f>'AJUSTES - SF-T'!AB47</f>
        <v>0</v>
      </c>
      <c r="AC85" s="571">
        <v>0</v>
      </c>
      <c r="AD85" s="321">
        <f>'AJUSTES - SF-T'!AC47</f>
        <v>-21467.71</v>
      </c>
      <c r="AE85" s="294">
        <f>'AJUSTES - SF-T'!AD47</f>
        <v>-21467.71</v>
      </c>
      <c r="AF85" s="363">
        <f>SUM(U85:AD85)</f>
        <v>364733.11</v>
      </c>
      <c r="AG85" s="569">
        <f>AF85-O85</f>
        <v>0</v>
      </c>
      <c r="AH85" s="1" t="b">
        <f>INT(AG85)=0</f>
        <v>1</v>
      </c>
      <c r="AI85" s="306"/>
    </row>
    <row r="86" spans="1:35" s="305" customFormat="1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5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6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7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8">INT(AG86)=0</f>
        <v>1</v>
      </c>
      <c r="AI86" s="306"/>
    </row>
    <row r="87" spans="1:35" s="305" customFormat="1" x14ac:dyDescent="0.25">
      <c r="B87" s="314">
        <v>3</v>
      </c>
      <c r="C87" s="315" t="s">
        <v>12</v>
      </c>
      <c r="D87" s="291">
        <f>'AJUSTES - SF-T'!D49</f>
        <v>102335.71</v>
      </c>
      <c r="E87" s="292">
        <f>'AJUSTES - SF-T'!E49</f>
        <v>6267.13</v>
      </c>
      <c r="F87" s="292">
        <f>'AJUSTES - SF-T'!F49</f>
        <v>3492.01</v>
      </c>
      <c r="G87" s="292">
        <f>'AJUSTES - SF-T'!G49</f>
        <v>1857.22</v>
      </c>
      <c r="H87" s="292">
        <f>'AJUSTES - SF-T'!H49</f>
        <v>21047.14</v>
      </c>
      <c r="I87" s="292">
        <f>'AJUSTES - SF-T'!I49</f>
        <v>743.08</v>
      </c>
      <c r="J87" s="292">
        <f>'AJUSTES - SF-T'!J49</f>
        <v>0</v>
      </c>
      <c r="K87" s="292">
        <f>D87-E87-F87-G87-H87-I87-J87</f>
        <v>68929.13</v>
      </c>
      <c r="L87" s="294">
        <v>0</v>
      </c>
      <c r="M87" s="321">
        <f>K87-L87</f>
        <v>68929.13</v>
      </c>
      <c r="N87" s="321">
        <f>'AJUSTES - SF-T'!N49</f>
        <v>0</v>
      </c>
      <c r="O87" s="321">
        <f>M87+N87</f>
        <v>68929.13</v>
      </c>
      <c r="Q87" s="306"/>
      <c r="S87" s="314">
        <v>3</v>
      </c>
      <c r="T87" s="315" t="s">
        <v>12</v>
      </c>
      <c r="U87" s="320">
        <f>'AJUSTES - SF-T'!U49</f>
        <v>6518.28</v>
      </c>
      <c r="V87" s="320">
        <f>'AJUSTES - SF-T'!V49</f>
        <v>6377.76</v>
      </c>
      <c r="W87" s="320">
        <f>'AJUSTES - SF-T'!W49</f>
        <v>29933.14</v>
      </c>
      <c r="X87" s="320">
        <f>'AJUSTES - SF-T'!X49</f>
        <v>14860.01</v>
      </c>
      <c r="Y87" s="320">
        <f>'AJUSTES - SF-T'!Y49</f>
        <v>1212.4000000000001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f>'AJUSTES - SF-T'!AC49</f>
        <v>10027.540000000001</v>
      </c>
      <c r="AE87" s="299">
        <f>'AJUSTES - SF-T'!AD49</f>
        <v>10027.540000000001</v>
      </c>
      <c r="AF87" s="365">
        <f>SUM(U87:AD87)</f>
        <v>68929.13</v>
      </c>
      <c r="AG87" s="570">
        <f>AF87-O87</f>
        <v>0</v>
      </c>
      <c r="AH87" s="1" t="b">
        <f t="shared" si="38"/>
        <v>1</v>
      </c>
      <c r="AI87" s="306"/>
    </row>
    <row r="88" spans="1:35" s="305" customFormat="1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5"/>
        <v>0</v>
      </c>
      <c r="L88" s="294">
        <v>0</v>
      </c>
      <c r="M88" s="321">
        <f>K88-L88</f>
        <v>0</v>
      </c>
      <c r="N88" s="321">
        <v>0</v>
      </c>
      <c r="O88" s="321">
        <f t="shared" si="36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7"/>
        <v>0</v>
      </c>
      <c r="AE88" s="299">
        <v>0</v>
      </c>
      <c r="AF88" s="365">
        <f t="shared" ref="AF88:AF89" si="39">SUM(U88:AD88)</f>
        <v>0</v>
      </c>
      <c r="AG88" s="570">
        <f>AF88-O88</f>
        <v>0</v>
      </c>
      <c r="AH88" s="1" t="b">
        <f t="shared" si="38"/>
        <v>1</v>
      </c>
      <c r="AI88" s="306"/>
    </row>
    <row r="89" spans="1:35" s="305" customFormat="1" ht="12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5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6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9"/>
        <v>0</v>
      </c>
      <c r="AG89" s="575">
        <f>AF89-O89</f>
        <v>0</v>
      </c>
      <c r="AH89" s="1" t="b">
        <f t="shared" si="38"/>
        <v>1</v>
      </c>
      <c r="AI89" s="306"/>
    </row>
    <row r="90" spans="1:35" s="305" customFormat="1" ht="13.5" thickBot="1" x14ac:dyDescent="0.35">
      <c r="B90" s="327"/>
      <c r="C90" s="328" t="s">
        <v>2</v>
      </c>
      <c r="D90" s="290">
        <f t="shared" ref="D90:O90" si="40">SUM(D85:D89)</f>
        <v>691342.63</v>
      </c>
      <c r="E90" s="290">
        <f t="shared" si="40"/>
        <v>37724.299999999996</v>
      </c>
      <c r="F90" s="290">
        <f t="shared" si="40"/>
        <v>21019.75</v>
      </c>
      <c r="G90" s="290">
        <f t="shared" si="40"/>
        <v>10604.38</v>
      </c>
      <c r="H90" s="290">
        <f t="shared" si="40"/>
        <v>182292.7</v>
      </c>
      <c r="I90" s="290">
        <f t="shared" si="40"/>
        <v>6039.26</v>
      </c>
      <c r="J90" s="290">
        <f t="shared" si="40"/>
        <v>0</v>
      </c>
      <c r="K90" s="300">
        <f t="shared" si="40"/>
        <v>433662.24</v>
      </c>
      <c r="L90" s="301">
        <f t="shared" si="40"/>
        <v>0</v>
      </c>
      <c r="M90" s="302">
        <f t="shared" si="40"/>
        <v>433662.24</v>
      </c>
      <c r="N90" s="301">
        <f t="shared" si="40"/>
        <v>0</v>
      </c>
      <c r="O90" s="302">
        <f t="shared" si="40"/>
        <v>433662.24</v>
      </c>
      <c r="P90" s="329"/>
      <c r="Q90" s="306"/>
      <c r="S90" s="327"/>
      <c r="T90" s="567" t="s">
        <v>2</v>
      </c>
      <c r="U90" s="330">
        <f>SUM(U85:U89)</f>
        <v>56335.519999999997</v>
      </c>
      <c r="V90" s="330">
        <f t="shared" ref="V90:AG90" si="41">SUM(V85:V89)</f>
        <v>50176.14</v>
      </c>
      <c r="W90" s="568">
        <f t="shared" si="41"/>
        <v>228602.8</v>
      </c>
      <c r="X90" s="330">
        <f t="shared" si="41"/>
        <v>100777.25</v>
      </c>
      <c r="Y90" s="330">
        <f t="shared" si="41"/>
        <v>9212.39</v>
      </c>
      <c r="Z90" s="290">
        <f t="shared" si="41"/>
        <v>0</v>
      </c>
      <c r="AA90" s="290">
        <f t="shared" si="41"/>
        <v>-1.69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-11440.169999999998</v>
      </c>
      <c r="AE90" s="290">
        <f t="shared" si="41"/>
        <v>-11440.169999999998</v>
      </c>
      <c r="AF90" s="331">
        <f t="shared" si="41"/>
        <v>433662.24</v>
      </c>
      <c r="AG90" s="332">
        <f t="shared" si="41"/>
        <v>0</v>
      </c>
      <c r="AH90" s="1" t="b">
        <f t="shared" si="38"/>
        <v>1</v>
      </c>
      <c r="AI90" s="306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445104.1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3">
      <c r="Q96" s="4"/>
      <c r="AI96" s="4"/>
    </row>
    <row r="97" spans="2:36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"/>
      <c r="AI98" s="4"/>
    </row>
    <row r="99" spans="2:36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4" x14ac:dyDescent="0.3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5" x14ac:dyDescent="0.35">
      <c r="B101" s="8"/>
      <c r="C101" s="598" t="s">
        <v>17</v>
      </c>
      <c r="D101" s="9">
        <f>D6</f>
        <v>46297</v>
      </c>
      <c r="F101" s="58" t="s">
        <v>216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5">
      <c r="B104" s="303">
        <v>1</v>
      </c>
      <c r="C104" s="304" t="s">
        <v>10</v>
      </c>
      <c r="D104" s="291">
        <f t="shared" ref="D104:J108" si="43">D9+D28+D47+D66+D85</f>
        <v>15302926360.77</v>
      </c>
      <c r="E104" s="292">
        <f t="shared" si="43"/>
        <v>729339442.10000002</v>
      </c>
      <c r="F104" s="292">
        <f t="shared" si="43"/>
        <v>406379310.06</v>
      </c>
      <c r="G104" s="292">
        <f t="shared" si="43"/>
        <v>215646955.88</v>
      </c>
      <c r="H104" s="292">
        <f t="shared" si="43"/>
        <v>3266869377.5099998</v>
      </c>
      <c r="I104" s="292">
        <f t="shared" si="43"/>
        <v>122734653.91</v>
      </c>
      <c r="J104" s="292">
        <f t="shared" si="43"/>
        <v>-4501501560.3499994</v>
      </c>
      <c r="K104" s="293">
        <f>D104-E104-F104-G104-H104-I104-J104</f>
        <v>15063458181.66</v>
      </c>
      <c r="L104" s="294">
        <f>L9+L28+L47+L66+L85</f>
        <v>189185988</v>
      </c>
      <c r="M104" s="293">
        <f>K104-L104</f>
        <v>14874272193.66</v>
      </c>
      <c r="N104" s="294">
        <f>N9+N28+N47+N66+N85</f>
        <v>8900921.8200000003</v>
      </c>
      <c r="O104" s="293">
        <f>M104+N104</f>
        <v>14883173115.48</v>
      </c>
      <c r="Q104" s="306"/>
      <c r="S104" s="303">
        <v>1</v>
      </c>
      <c r="T104" s="304" t="s">
        <v>10</v>
      </c>
      <c r="U104" s="307">
        <f t="shared" ref="U104:AB108" si="44">U9+U28+U47+U66+U85</f>
        <v>1080596204.21</v>
      </c>
      <c r="V104" s="308">
        <f t="shared" si="44"/>
        <v>1028800378.24</v>
      </c>
      <c r="W104" s="308">
        <f t="shared" si="44"/>
        <v>4835361658.3400002</v>
      </c>
      <c r="X104" s="308">
        <f t="shared" si="44"/>
        <v>1984024765.6700001</v>
      </c>
      <c r="Y104" s="309">
        <f t="shared" si="44"/>
        <v>200167070.46000001</v>
      </c>
      <c r="Z104" s="310">
        <f t="shared" si="44"/>
        <v>-189185988</v>
      </c>
      <c r="AA104" s="311">
        <f>AA9+AA28+AA47+AA66+AA85</f>
        <v>108571.54</v>
      </c>
      <c r="AB104" s="294">
        <f>AB9+AB28+AB47+AB66+AB85</f>
        <v>8900921.8200000003</v>
      </c>
      <c r="AC104" s="311">
        <f>AC9+AC28+AC47+AC66+AC85</f>
        <v>69.569999999999993</v>
      </c>
      <c r="AD104" s="291">
        <f>-J104+AE104</f>
        <v>5934399463.6299992</v>
      </c>
      <c r="AE104" s="291">
        <f>AE9+AE28+AE47+AE66+AE85</f>
        <v>1432897903.28</v>
      </c>
      <c r="AF104" s="313">
        <f>SUM(U104:AD104)</f>
        <v>14883173115.479998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x14ac:dyDescent="0.25">
      <c r="B105" s="314">
        <v>2</v>
      </c>
      <c r="C105" s="315" t="s">
        <v>11</v>
      </c>
      <c r="D105" s="291">
        <f t="shared" si="43"/>
        <v>20178777387.439999</v>
      </c>
      <c r="E105" s="292">
        <f t="shared" si="43"/>
        <v>1448205700.2700002</v>
      </c>
      <c r="F105" s="292">
        <f t="shared" si="43"/>
        <v>800835027.04000008</v>
      </c>
      <c r="G105" s="292">
        <f t="shared" si="43"/>
        <v>423712832.33999991</v>
      </c>
      <c r="H105" s="292">
        <f t="shared" si="43"/>
        <v>6517549572.0400009</v>
      </c>
      <c r="I105" s="292">
        <f t="shared" si="43"/>
        <v>230306325.36999997</v>
      </c>
      <c r="J105" s="292">
        <f t="shared" si="43"/>
        <v>-3550307908.4800005</v>
      </c>
      <c r="K105" s="295">
        <f t="shared" ref="K105:K108" si="45">D105-E105-F105-G105-H105-I105-J105</f>
        <v>14308475838.859997</v>
      </c>
      <c r="L105" s="294">
        <f>L10+L29+L48+L67+L86</f>
        <v>266580256</v>
      </c>
      <c r="M105" s="295">
        <f>K105-L105</f>
        <v>14041895582.859997</v>
      </c>
      <c r="N105" s="294">
        <f>N10+N29+N48+N67+N86</f>
        <v>23583660.07</v>
      </c>
      <c r="O105" s="295">
        <f t="shared" ref="O105:O108" si="46">M105+N105</f>
        <v>14065479242.929996</v>
      </c>
      <c r="Q105" s="306"/>
      <c r="S105" s="314">
        <v>2</v>
      </c>
      <c r="T105" s="315" t="s">
        <v>11</v>
      </c>
      <c r="U105" s="316">
        <f t="shared" si="44"/>
        <v>2018133975</v>
      </c>
      <c r="V105" s="317">
        <f t="shared" si="44"/>
        <v>1978094511.9600003</v>
      </c>
      <c r="W105" s="317">
        <f t="shared" si="44"/>
        <v>9281578897.6100006</v>
      </c>
      <c r="X105" s="317">
        <f t="shared" si="44"/>
        <v>2849465720.7799997</v>
      </c>
      <c r="Y105" s="318">
        <f t="shared" si="44"/>
        <v>376075622.34000003</v>
      </c>
      <c r="Z105" s="319">
        <f t="shared" si="44"/>
        <v>-266580256</v>
      </c>
      <c r="AA105" s="320">
        <f t="shared" si="44"/>
        <v>159484.94999999998</v>
      </c>
      <c r="AB105" s="294">
        <f t="shared" si="44"/>
        <v>23583660.07</v>
      </c>
      <c r="AC105" s="320">
        <f t="shared" ref="AC105" si="47">AC10+AC29+AC48+AC67+AC86</f>
        <v>-41.69</v>
      </c>
      <c r="AD105" s="291">
        <f t="shared" ref="AD105:AD106" si="48">-J105+AE105</f>
        <v>-2195032332.0900002</v>
      </c>
      <c r="AE105" s="291">
        <f>AE10+AE29+AE48+AE67+AE86</f>
        <v>-5745340240.5700006</v>
      </c>
      <c r="AF105" s="322">
        <f>SUM(U105:AD105)</f>
        <v>14065479242.929998</v>
      </c>
      <c r="AG105" s="323">
        <f>AF105-O105</f>
        <v>0</v>
      </c>
      <c r="AH105" s="1" t="b">
        <f t="shared" ref="AH105:AH109" si="49">INT(AG105)=0</f>
        <v>1</v>
      </c>
      <c r="AI105" s="306"/>
    </row>
    <row r="106" spans="2:36" s="305" customFormat="1" x14ac:dyDescent="0.25">
      <c r="B106" s="314">
        <v>3</v>
      </c>
      <c r="C106" s="315" t="s">
        <v>12</v>
      </c>
      <c r="D106" s="291">
        <f t="shared" si="43"/>
        <v>13864568309.599998</v>
      </c>
      <c r="E106" s="292">
        <f t="shared" si="43"/>
        <v>957638651.13</v>
      </c>
      <c r="F106" s="292">
        <f t="shared" si="43"/>
        <v>533439285.44000006</v>
      </c>
      <c r="G106" s="292">
        <f t="shared" si="43"/>
        <v>283742347.22000003</v>
      </c>
      <c r="H106" s="292">
        <f t="shared" si="43"/>
        <v>3444273335.4899998</v>
      </c>
      <c r="I106" s="292">
        <f t="shared" si="43"/>
        <v>125528383.47</v>
      </c>
      <c r="J106" s="292">
        <f t="shared" si="43"/>
        <v>-750589759.5999999</v>
      </c>
      <c r="K106" s="295">
        <f t="shared" si="45"/>
        <v>9270536066.4499989</v>
      </c>
      <c r="L106" s="294">
        <f>L11+L30+L49+L68+L87</f>
        <v>154788536</v>
      </c>
      <c r="M106" s="295">
        <f>K106-L106</f>
        <v>9115747530.4499989</v>
      </c>
      <c r="N106" s="294">
        <f>N11+N30+N49+N68+N87</f>
        <v>18959701.32</v>
      </c>
      <c r="O106" s="295">
        <f t="shared" si="46"/>
        <v>9134707231.7699986</v>
      </c>
      <c r="Q106" s="306"/>
      <c r="S106" s="314">
        <v>3</v>
      </c>
      <c r="T106" s="315" t="s">
        <v>12</v>
      </c>
      <c r="U106" s="316">
        <f t="shared" si="44"/>
        <v>1100028385.3600001</v>
      </c>
      <c r="V106" s="317">
        <f t="shared" si="44"/>
        <v>1071742383.55</v>
      </c>
      <c r="W106" s="317">
        <f t="shared" si="44"/>
        <v>5039004700.8800001</v>
      </c>
      <c r="X106" s="317">
        <f t="shared" si="44"/>
        <v>2268252001.6500001</v>
      </c>
      <c r="Y106" s="318">
        <f t="shared" si="44"/>
        <v>204754746.59</v>
      </c>
      <c r="Z106" s="319">
        <f t="shared" si="44"/>
        <v>-154788536</v>
      </c>
      <c r="AA106" s="320">
        <f t="shared" si="44"/>
        <v>-127396.81999999999</v>
      </c>
      <c r="AB106" s="294">
        <f t="shared" si="44"/>
        <v>18959701.32</v>
      </c>
      <c r="AC106" s="320">
        <f t="shared" ref="AC106" si="50">AC11+AC30+AC49+AC68+AC87</f>
        <v>3.9999999999999925E-2</v>
      </c>
      <c r="AD106" s="291">
        <f t="shared" si="48"/>
        <v>-413118754.79999995</v>
      </c>
      <c r="AE106" s="291">
        <f>AE11+AE30+AE49+AE68+AE87</f>
        <v>-1163708514.3999999</v>
      </c>
      <c r="AF106" s="322">
        <f>SUM(U106:AD106)</f>
        <v>9134707231.7700024</v>
      </c>
      <c r="AG106" s="323">
        <f>AF106-O106</f>
        <v>0</v>
      </c>
      <c r="AH106" s="1" t="b">
        <f t="shared" si="49"/>
        <v>1</v>
      </c>
      <c r="AI106" s="306"/>
    </row>
    <row r="107" spans="2:36" s="305" customFormat="1" x14ac:dyDescent="0.25">
      <c r="B107" s="314">
        <v>4</v>
      </c>
      <c r="C107" s="315" t="s">
        <v>13</v>
      </c>
      <c r="D107" s="291">
        <f t="shared" si="43"/>
        <v>6630158908.9499998</v>
      </c>
      <c r="E107" s="292">
        <f t="shared" si="43"/>
        <v>376251422.80999994</v>
      </c>
      <c r="F107" s="292">
        <f t="shared" si="43"/>
        <v>208879795.46000001</v>
      </c>
      <c r="G107" s="292">
        <f t="shared" si="43"/>
        <v>111065368.77000001</v>
      </c>
      <c r="H107" s="292">
        <f t="shared" si="43"/>
        <v>1640754785.4200003</v>
      </c>
      <c r="I107" s="292">
        <f t="shared" si="43"/>
        <v>57480046.259999998</v>
      </c>
      <c r="J107" s="292">
        <f t="shared" si="43"/>
        <v>-714140939.3599999</v>
      </c>
      <c r="K107" s="295">
        <f t="shared" si="45"/>
        <v>4949868429.5899982</v>
      </c>
      <c r="L107" s="294">
        <f>L12+L31+L50+L69+L88</f>
        <v>120391083</v>
      </c>
      <c r="M107" s="295">
        <f>K107-L107</f>
        <v>4829477346.5899982</v>
      </c>
      <c r="N107" s="294">
        <f>N12+N31+N50+N69+N88</f>
        <v>3932276.23</v>
      </c>
      <c r="O107" s="295">
        <f>M107+N107</f>
        <v>4833409622.8199978</v>
      </c>
      <c r="Q107" s="306"/>
      <c r="S107" s="314">
        <v>4</v>
      </c>
      <c r="T107" s="315" t="s">
        <v>13</v>
      </c>
      <c r="U107" s="316">
        <f t="shared" si="44"/>
        <v>502868487.38</v>
      </c>
      <c r="V107" s="317">
        <f t="shared" si="44"/>
        <v>490537611.79999995</v>
      </c>
      <c r="W107" s="317">
        <f t="shared" si="44"/>
        <v>2512747823.5100002</v>
      </c>
      <c r="X107" s="317">
        <f t="shared" si="44"/>
        <v>995652151.48999989</v>
      </c>
      <c r="Y107" s="318">
        <f t="shared" si="44"/>
        <v>93741124.449999988</v>
      </c>
      <c r="Z107" s="319">
        <f t="shared" si="44"/>
        <v>-120391083</v>
      </c>
      <c r="AA107" s="320">
        <f>AA12+AA31+AA50+AA69+AA88</f>
        <v>3885.64</v>
      </c>
      <c r="AB107" s="294">
        <f t="shared" si="44"/>
        <v>3932276.23</v>
      </c>
      <c r="AC107" s="320">
        <f t="shared" ref="AC107" si="51">AC12+AC31+AC50+AC69+AC88</f>
        <v>264.31</v>
      </c>
      <c r="AD107" s="291">
        <f t="shared" ref="AD107" si="52">-J107+AE107</f>
        <v>354317081.00999981</v>
      </c>
      <c r="AE107" s="291">
        <f>AE12+AE31+AE50+AE69+AE88</f>
        <v>-359823858.35000008</v>
      </c>
      <c r="AF107" s="322">
        <f t="shared" ref="AF107:AF108" si="53">SUM(U107:AD107)</f>
        <v>4833409622.8200006</v>
      </c>
      <c r="AG107" s="323">
        <f>AF117-O117</f>
        <v>0</v>
      </c>
      <c r="AH107" s="1" t="b">
        <f t="shared" si="49"/>
        <v>1</v>
      </c>
      <c r="AI107" s="306"/>
    </row>
    <row r="108" spans="2:36" s="305" customFormat="1" ht="12" thickBot="1" x14ac:dyDescent="0.3">
      <c r="B108" s="324">
        <v>5</v>
      </c>
      <c r="C108" s="325" t="s">
        <v>14</v>
      </c>
      <c r="D108" s="296">
        <f>D13+D32+D51+D70+D89</f>
        <v>12035148725.389999</v>
      </c>
      <c r="E108" s="297">
        <f t="shared" si="43"/>
        <v>670692909.02999997</v>
      </c>
      <c r="F108" s="297">
        <f t="shared" si="43"/>
        <v>373578465.15999997</v>
      </c>
      <c r="G108" s="297">
        <f t="shared" si="43"/>
        <v>198657576.47999999</v>
      </c>
      <c r="H108" s="297">
        <f t="shared" si="43"/>
        <v>3229096968.9099998</v>
      </c>
      <c r="I108" s="297">
        <f t="shared" si="43"/>
        <v>104859875.68000001</v>
      </c>
      <c r="J108" s="297">
        <f t="shared" si="43"/>
        <v>-98238891.940000057</v>
      </c>
      <c r="K108" s="295">
        <f t="shared" si="45"/>
        <v>7556501822.0699997</v>
      </c>
      <c r="L108" s="294">
        <f>L13+L32+L51+L70+L89</f>
        <v>128990446</v>
      </c>
      <c r="M108" s="298">
        <f>K108-L108</f>
        <v>7427511376.0699997</v>
      </c>
      <c r="N108" s="299">
        <f>N13+N32+N51+N70+N89</f>
        <v>10242722.949999999</v>
      </c>
      <c r="O108" s="298">
        <f t="shared" si="46"/>
        <v>7437754099.0199995</v>
      </c>
      <c r="Q108" s="306"/>
      <c r="S108" s="324">
        <v>5</v>
      </c>
      <c r="T108" s="325" t="s">
        <v>14</v>
      </c>
      <c r="U108" s="296">
        <f t="shared" si="44"/>
        <v>919711110.6500001</v>
      </c>
      <c r="V108" s="297">
        <f t="shared" si="44"/>
        <v>891816105.20999992</v>
      </c>
      <c r="W108" s="297">
        <f t="shared" si="44"/>
        <v>4550231955.9499989</v>
      </c>
      <c r="X108" s="297">
        <f t="shared" si="44"/>
        <v>1992952702.9499998</v>
      </c>
      <c r="Y108" s="289">
        <f t="shared" si="44"/>
        <v>171093919.14999998</v>
      </c>
      <c r="Z108" s="319">
        <f t="shared" si="44"/>
        <v>-128990446</v>
      </c>
      <c r="AA108" s="320">
        <f t="shared" si="44"/>
        <v>-174574.38999999998</v>
      </c>
      <c r="AB108" s="294">
        <f t="shared" si="44"/>
        <v>10242722.949999999</v>
      </c>
      <c r="AC108" s="320">
        <f t="shared" ref="AC108" si="54">AC13+AC32+AC51+AC70+AC89</f>
        <v>12.22</v>
      </c>
      <c r="AD108" s="291">
        <f>-J108+AE108</f>
        <v>-969129409.66999996</v>
      </c>
      <c r="AE108" s="291">
        <f>AE13+AE32+AE51+AE70+AE89</f>
        <v>-1067368301.61</v>
      </c>
      <c r="AF108" s="322">
        <f t="shared" si="53"/>
        <v>7437754099.0199986</v>
      </c>
      <c r="AG108" s="326">
        <f>AF108-O108</f>
        <v>0</v>
      </c>
      <c r="AH108" s="1" t="b">
        <f t="shared" si="49"/>
        <v>1</v>
      </c>
      <c r="AI108" s="306"/>
    </row>
    <row r="109" spans="2:36" s="305" customFormat="1" ht="13.5" thickBot="1" x14ac:dyDescent="0.35">
      <c r="B109" s="327"/>
      <c r="C109" s="328" t="s">
        <v>2</v>
      </c>
      <c r="D109" s="290">
        <f>SUM(D104:D108)</f>
        <v>68011579692.149994</v>
      </c>
      <c r="E109" s="290">
        <f t="shared" ref="E109:O109" si="55">SUM(E104:E108)</f>
        <v>4182128125.3400002</v>
      </c>
      <c r="F109" s="290">
        <f t="shared" si="55"/>
        <v>2323111883.1600003</v>
      </c>
      <c r="G109" s="290">
        <f t="shared" si="55"/>
        <v>1232825080.6899998</v>
      </c>
      <c r="H109" s="290">
        <f t="shared" si="55"/>
        <v>18098544039.370003</v>
      </c>
      <c r="I109" s="290">
        <f t="shared" si="55"/>
        <v>640909284.69000006</v>
      </c>
      <c r="J109" s="290">
        <f t="shared" si="55"/>
        <v>-9614779059.7300014</v>
      </c>
      <c r="K109" s="300">
        <f t="shared" si="55"/>
        <v>51148840338.62999</v>
      </c>
      <c r="L109" s="301">
        <f t="shared" si="55"/>
        <v>859936309</v>
      </c>
      <c r="M109" s="302">
        <f t="shared" si="55"/>
        <v>50288904029.62999</v>
      </c>
      <c r="N109" s="301">
        <f>SUM(N104:N108)</f>
        <v>65619282.390000001</v>
      </c>
      <c r="O109" s="302">
        <f t="shared" si="55"/>
        <v>50354523312.019989</v>
      </c>
      <c r="P109" s="329"/>
      <c r="Q109" s="306"/>
      <c r="S109" s="327"/>
      <c r="T109" s="328" t="s">
        <v>2</v>
      </c>
      <c r="U109" s="330">
        <f>SUM(U104:U108)</f>
        <v>5621338162.6000004</v>
      </c>
      <c r="V109" s="330">
        <f t="shared" ref="V109:AF109" si="56">SUM(V104:V108)</f>
        <v>5460990990.7600002</v>
      </c>
      <c r="W109" s="330">
        <f t="shared" si="56"/>
        <v>26218925036.290001</v>
      </c>
      <c r="X109" s="330">
        <f t="shared" si="56"/>
        <v>10090347342.540001</v>
      </c>
      <c r="Y109" s="330">
        <f t="shared" si="56"/>
        <v>1045832482.9900001</v>
      </c>
      <c r="Z109" s="290">
        <f t="shared" si="56"/>
        <v>-859936309</v>
      </c>
      <c r="AA109" s="290">
        <f t="shared" si="56"/>
        <v>-30029.079999999987</v>
      </c>
      <c r="AB109" s="290">
        <f t="shared" si="56"/>
        <v>65619282.390000001</v>
      </c>
      <c r="AC109" s="290">
        <f t="shared" si="56"/>
        <v>304.45000000000005</v>
      </c>
      <c r="AD109" s="290">
        <f t="shared" si="56"/>
        <v>2711436048.0799985</v>
      </c>
      <c r="AE109" s="290">
        <f>SUM(AE104:AE108)</f>
        <v>-6903343011.6500006</v>
      </c>
      <c r="AF109" s="331">
        <f t="shared" si="56"/>
        <v>50354523312.019997</v>
      </c>
      <c r="AG109" s="332">
        <f>SUM(AG104:AG108)</f>
        <v>0</v>
      </c>
      <c r="AH109" s="1" t="b">
        <f t="shared" si="49"/>
        <v>1</v>
      </c>
      <c r="AI109" s="306"/>
    </row>
    <row r="110" spans="2:36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48437434015.18</v>
      </c>
      <c r="AD111" s="1" t="s">
        <v>1</v>
      </c>
      <c r="AF111" s="1" t="s">
        <v>1</v>
      </c>
      <c r="AI111" s="4"/>
    </row>
    <row r="112" spans="2:36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5">
      <c r="B120" s="8"/>
      <c r="I120" s="2"/>
      <c r="J120" s="2"/>
      <c r="O120" s="10"/>
      <c r="P120" s="2"/>
      <c r="Q120" s="4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5">
      <c r="B125" s="108">
        <v>1</v>
      </c>
      <c r="C125" s="109" t="s">
        <v>10</v>
      </c>
      <c r="D125" s="110">
        <f>'ANTICIPOS USUARIOS'!I3</f>
        <v>30927107</v>
      </c>
      <c r="E125" s="111">
        <v>0</v>
      </c>
      <c r="G125" s="336">
        <f>D47+N47</f>
        <v>0</v>
      </c>
      <c r="H125" s="310">
        <f>D28+N28</f>
        <v>36630928.670000002</v>
      </c>
      <c r="I125" s="309">
        <f>D85+N85</f>
        <v>589006.92000000004</v>
      </c>
      <c r="J125" s="309">
        <f>D66+N66</f>
        <v>-1244990</v>
      </c>
      <c r="K125" s="309">
        <f>'ANTICIPOS USUARIOS'!I12</f>
        <v>691640</v>
      </c>
      <c r="L125" s="309">
        <f>-'ANTICIPOS USUARIOS'!I21</f>
        <v>137440</v>
      </c>
      <c r="O125" s="44"/>
      <c r="Q125" s="4"/>
    </row>
    <row r="126" spans="1:35" x14ac:dyDescent="0.25">
      <c r="B126" s="16">
        <v>2</v>
      </c>
      <c r="C126" s="17" t="s">
        <v>11</v>
      </c>
      <c r="D126" s="15">
        <f>'ANTICIPOS USUARIOS'!I4</f>
        <v>37168207</v>
      </c>
      <c r="E126" s="74">
        <v>0</v>
      </c>
      <c r="G126" s="339">
        <f>D48+N48</f>
        <v>17010202</v>
      </c>
      <c r="H126" s="340">
        <f>D29+N29</f>
        <v>20537080.509999998</v>
      </c>
      <c r="I126" s="288">
        <f>D86+N86</f>
        <v>0</v>
      </c>
      <c r="J126" s="288">
        <f t="shared" ref="J126:J129" si="57">D67+N67</f>
        <v>-41540866</v>
      </c>
      <c r="K126" s="288">
        <f>'ANTICIPOS USUARIOS'!I13</f>
        <v>9423137</v>
      </c>
      <c r="L126" s="288">
        <f>-'ANTICIPOS USUARIOS'!I22</f>
        <v>105290</v>
      </c>
      <c r="O126" s="44"/>
      <c r="Q126" s="4"/>
    </row>
    <row r="127" spans="1:35" x14ac:dyDescent="0.25">
      <c r="B127" s="16">
        <v>3</v>
      </c>
      <c r="C127" s="17" t="s">
        <v>12</v>
      </c>
      <c r="D127" s="15">
        <f>'ANTICIPOS USUARIOS'!I5</f>
        <v>10762026</v>
      </c>
      <c r="E127" s="74">
        <v>0</v>
      </c>
      <c r="G127" s="339">
        <f>D49+N49</f>
        <v>388550</v>
      </c>
      <c r="H127" s="340">
        <f>D30+N30</f>
        <v>7725480.2100000009</v>
      </c>
      <c r="I127" s="288">
        <f>D87+N87</f>
        <v>102335.71</v>
      </c>
      <c r="J127" s="288">
        <f t="shared" si="57"/>
        <v>-7715664</v>
      </c>
      <c r="K127" s="288">
        <f>'ANTICIPOS USUARIOS'!I14</f>
        <v>1272990</v>
      </c>
      <c r="L127" s="288">
        <f>-'ANTICIPOS USUARIOS'!I23</f>
        <v>541790</v>
      </c>
      <c r="O127" s="44"/>
      <c r="Q127" s="4"/>
    </row>
    <row r="128" spans="1:35" x14ac:dyDescent="0.25">
      <c r="B128" s="16">
        <v>4</v>
      </c>
      <c r="C128" s="17" t="s">
        <v>13</v>
      </c>
      <c r="D128" s="15">
        <f>'ANTICIPOS USUARIOS'!I6</f>
        <v>48073886</v>
      </c>
      <c r="E128" s="74">
        <v>0</v>
      </c>
      <c r="G128" s="339">
        <f>D50+N50</f>
        <v>77811625.269999996</v>
      </c>
      <c r="H128" s="340">
        <f>D31+N31</f>
        <v>59921576.570000008</v>
      </c>
      <c r="I128" s="288">
        <f>D88+N88</f>
        <v>0</v>
      </c>
      <c r="J128" s="288">
        <f t="shared" si="57"/>
        <v>-167656612.66</v>
      </c>
      <c r="K128" s="288">
        <f>'ANTICIPOS USUARIOS'!I15</f>
        <v>86158376.730000004</v>
      </c>
      <c r="L128" s="288">
        <f>-'ANTICIPOS USUARIOS'!I24</f>
        <v>706763.34</v>
      </c>
      <c r="O128" s="44"/>
      <c r="Q128" s="4"/>
    </row>
    <row r="129" spans="1:18" x14ac:dyDescent="0.25">
      <c r="B129" s="133">
        <v>5</v>
      </c>
      <c r="C129" s="138" t="s">
        <v>14</v>
      </c>
      <c r="D129" s="15">
        <f>'ANTICIPOS USUARIOS'!I7</f>
        <v>8133932</v>
      </c>
      <c r="E129" s="139">
        <v>0</v>
      </c>
      <c r="G129" s="339">
        <f>D51+N51</f>
        <v>0</v>
      </c>
      <c r="H129" s="340">
        <f>D32+N32</f>
        <v>9152933.3399999999</v>
      </c>
      <c r="I129" s="288">
        <f>D89+N89</f>
        <v>0</v>
      </c>
      <c r="J129" s="288">
        <f t="shared" si="57"/>
        <v>-4790099</v>
      </c>
      <c r="K129" s="288">
        <f>'ANTICIPOS USUARIOS'!I16</f>
        <v>0</v>
      </c>
      <c r="L129" s="288">
        <f>-'ANTICIPOS USUARIOS'!I25</f>
        <v>0</v>
      </c>
      <c r="O129" s="44"/>
      <c r="Q129" s="4"/>
    </row>
    <row r="130" spans="1:18" ht="12" thickBot="1" x14ac:dyDescent="0.3">
      <c r="B130" s="19" t="s">
        <v>89</v>
      </c>
      <c r="C130" s="20" t="s">
        <v>113</v>
      </c>
      <c r="D130" s="78"/>
      <c r="E130" s="79">
        <f>'Recaudo ENEL'!F26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" thickBot="1" x14ac:dyDescent="0.3">
      <c r="B131" s="95"/>
      <c r="C131" s="106" t="s">
        <v>2</v>
      </c>
      <c r="D131" s="107">
        <f>SUM(D125:D130)</f>
        <v>135065158</v>
      </c>
      <c r="E131" s="107">
        <f>SUM(E125:E130)</f>
        <v>0</v>
      </c>
      <c r="F131" s="45"/>
      <c r="G131" s="350">
        <f t="shared" ref="G131" si="58">SUM(G125:G129)</f>
        <v>95210377.269999996</v>
      </c>
      <c r="H131" s="350">
        <f>SUM(H125:H130)</f>
        <v>133967999.30000001</v>
      </c>
      <c r="I131" s="350">
        <f>SUM(I125:I130)</f>
        <v>691342.63</v>
      </c>
      <c r="J131" s="350">
        <f>SUM(J125:J130)</f>
        <v>-222948231.66</v>
      </c>
      <c r="K131" s="350">
        <f>SUM(K125:K130)</f>
        <v>97546143.730000004</v>
      </c>
      <c r="L131" s="350">
        <f>SUM(L125:L130)</f>
        <v>1491283.3399999999</v>
      </c>
      <c r="M131" s="45"/>
      <c r="N131" s="45"/>
      <c r="O131" s="46"/>
      <c r="P131" s="2"/>
      <c r="Q131" s="4"/>
    </row>
    <row r="132" spans="1:18" x14ac:dyDescent="0.25">
      <c r="B132" s="2"/>
      <c r="C132" s="2"/>
      <c r="D132" s="24"/>
      <c r="Q132" s="4"/>
    </row>
    <row r="133" spans="1:18" x14ac:dyDescent="0.25">
      <c r="B133" s="2"/>
      <c r="C133" s="2"/>
      <c r="D133" s="24"/>
      <c r="L133" s="1" t="s">
        <v>1</v>
      </c>
      <c r="Q133" s="4"/>
    </row>
    <row r="134" spans="1:18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5">
      <c r="B142" s="108">
        <v>1</v>
      </c>
      <c r="C142" s="109" t="s">
        <v>10</v>
      </c>
      <c r="D142" s="110">
        <f>D104+N104+D125+E125</f>
        <v>15342754389.59</v>
      </c>
      <c r="E142" s="110">
        <f>'Recaudo ENEL'!F21</f>
        <v>15306779444</v>
      </c>
      <c r="F142" s="110">
        <f>D28+N28</f>
        <v>36630928.670000002</v>
      </c>
      <c r="G142" s="110">
        <f>D66+N66</f>
        <v>-1244990</v>
      </c>
      <c r="H142" s="110">
        <f>D85+N85</f>
        <v>589006.92000000004</v>
      </c>
      <c r="I142" s="110">
        <f>('REPORTE RECAUDO x BANCO'!E62)</f>
        <v>0</v>
      </c>
      <c r="J142" s="110">
        <f t="shared" ref="J142:K146" si="59">G125</f>
        <v>0</v>
      </c>
      <c r="K142" s="111">
        <f t="shared" si="59"/>
        <v>36630928.670000002</v>
      </c>
      <c r="L142" s="525">
        <f>D142-E142-F142-G142-J142-H142-I142</f>
        <v>1.5075784176588058E-7</v>
      </c>
      <c r="M142" s="1" t="b">
        <f>INT(L142)=0</f>
        <v>1</v>
      </c>
      <c r="O142" s="55"/>
      <c r="P142" s="24"/>
      <c r="Q142" s="35"/>
      <c r="R142" s="24"/>
    </row>
    <row r="143" spans="1:18" x14ac:dyDescent="0.25">
      <c r="B143" s="16">
        <v>2</v>
      </c>
      <c r="C143" s="17" t="s">
        <v>11</v>
      </c>
      <c r="D143" s="18">
        <f>D105+N105+D126+E126</f>
        <v>20239529254.509998</v>
      </c>
      <c r="E143" s="18">
        <f>'Recaudo ENEL'!F22</f>
        <v>20240915748</v>
      </c>
      <c r="F143" s="18">
        <f>D29+N29</f>
        <v>20537080.509999998</v>
      </c>
      <c r="G143" s="18">
        <f>D67+N67</f>
        <v>-41540866</v>
      </c>
      <c r="H143" s="18">
        <f>D86+N86</f>
        <v>0</v>
      </c>
      <c r="I143" s="18">
        <f>('REPORTE RECAUDO x BANCO'!E65)</f>
        <v>2607090</v>
      </c>
      <c r="J143" s="18">
        <f t="shared" si="59"/>
        <v>17010202</v>
      </c>
      <c r="K143" s="83">
        <f t="shared" si="59"/>
        <v>20537080.509999998</v>
      </c>
      <c r="L143" s="525">
        <f>D143-E143-F143-G143-J143-H143-I143</f>
        <v>-1.6763806343078613E-6</v>
      </c>
      <c r="M143" s="1" t="b">
        <f t="shared" ref="M143:M147" si="60">INT(L143)=0</f>
        <v>0</v>
      </c>
      <c r="O143" s="130"/>
      <c r="P143" s="24"/>
      <c r="Q143" s="35"/>
      <c r="R143" s="24"/>
    </row>
    <row r="144" spans="1:18" x14ac:dyDescent="0.25">
      <c r="B144" s="16">
        <v>3</v>
      </c>
      <c r="C144" s="17" t="s">
        <v>12</v>
      </c>
      <c r="D144" s="18">
        <f>D106+N106+D127+E127</f>
        <v>13894290036.919998</v>
      </c>
      <c r="E144" s="18">
        <f>'Recaudo ENEL'!F23</f>
        <v>13892251925</v>
      </c>
      <c r="F144" s="18">
        <f>D30+N30</f>
        <v>7725480.2100000009</v>
      </c>
      <c r="G144" s="18">
        <f>D68+N68</f>
        <v>-7715664</v>
      </c>
      <c r="H144" s="18">
        <f>D87+N87</f>
        <v>102335.71</v>
      </c>
      <c r="I144" s="18">
        <f>('REPORTE RECAUDO x BANCO'!E67)</f>
        <v>1537410</v>
      </c>
      <c r="J144" s="18">
        <f t="shared" si="59"/>
        <v>388550</v>
      </c>
      <c r="K144" s="83">
        <f t="shared" si="59"/>
        <v>7725480.2100000009</v>
      </c>
      <c r="L144" s="525">
        <f>D144-E144-F144-G144-J144-H144-I144</f>
        <v>-1.8319115042686462E-6</v>
      </c>
      <c r="M144" s="1" t="b">
        <f t="shared" si="60"/>
        <v>0</v>
      </c>
      <c r="O144" s="55"/>
      <c r="P144" s="24"/>
      <c r="Q144" s="35"/>
      <c r="R144" s="24"/>
    </row>
    <row r="145" spans="1:20" x14ac:dyDescent="0.25">
      <c r="B145" s="16">
        <v>4</v>
      </c>
      <c r="C145" s="17" t="s">
        <v>13</v>
      </c>
      <c r="D145" s="18">
        <f>D107+N107+D128+E128</f>
        <v>6682165071.1799994</v>
      </c>
      <c r="E145" s="18">
        <f>'Recaudo ENEL'!F24</f>
        <v>6711455732</v>
      </c>
      <c r="F145" s="18">
        <f>D31+N31</f>
        <v>59921576.570000008</v>
      </c>
      <c r="G145" s="18">
        <f>D69+N69</f>
        <v>-167656612.66</v>
      </c>
      <c r="H145" s="18">
        <f>D88+N88</f>
        <v>0</v>
      </c>
      <c r="I145" s="18">
        <f>('REPORTE RECAUDO x BANCO'!E70)</f>
        <v>632750</v>
      </c>
      <c r="J145" s="18">
        <f t="shared" si="59"/>
        <v>77811625.269999996</v>
      </c>
      <c r="K145" s="83">
        <f t="shared" si="59"/>
        <v>59921576.570000008</v>
      </c>
      <c r="L145" s="525">
        <f>D145-E145-F145-G145-J145-H145-I145</f>
        <v>-6.5565109252929688E-7</v>
      </c>
      <c r="M145" s="1" t="b">
        <f t="shared" si="60"/>
        <v>0</v>
      </c>
      <c r="O145" s="96"/>
      <c r="P145" s="24"/>
      <c r="Q145" s="35"/>
      <c r="R145" s="24"/>
    </row>
    <row r="146" spans="1:20" ht="12" thickBot="1" x14ac:dyDescent="0.3">
      <c r="B146" s="133">
        <v>5</v>
      </c>
      <c r="C146" s="138" t="s">
        <v>14</v>
      </c>
      <c r="D146" s="134">
        <f>D108+N108+D129+E129</f>
        <v>12053525380.34</v>
      </c>
      <c r="E146" s="18">
        <f>'Recaudo ENEL'!F25</f>
        <v>12048665266</v>
      </c>
      <c r="F146" s="134">
        <f>D32+N32</f>
        <v>9152933.3399999999</v>
      </c>
      <c r="G146" s="134">
        <f>D70+N70</f>
        <v>-4790099</v>
      </c>
      <c r="H146" s="134">
        <f>D89+N89</f>
        <v>0</v>
      </c>
      <c r="I146" s="134">
        <f>('REPORTE RECAUDO x BANCO'!E72)</f>
        <v>497280</v>
      </c>
      <c r="J146" s="134">
        <f t="shared" si="59"/>
        <v>0</v>
      </c>
      <c r="K146" s="136">
        <f t="shared" si="59"/>
        <v>9152933.3399999999</v>
      </c>
      <c r="L146" s="525">
        <f>D146-E146-F146-G146-J146-H146-I146</f>
        <v>1.5273690223693848E-7</v>
      </c>
      <c r="M146" s="1" t="b">
        <f t="shared" si="60"/>
        <v>1</v>
      </c>
      <c r="O146" s="55"/>
      <c r="P146" s="24"/>
      <c r="Q146" s="35"/>
      <c r="R146" s="24"/>
    </row>
    <row r="147" spans="1:20" ht="12" thickBot="1" x14ac:dyDescent="0.3">
      <c r="B147" s="21"/>
      <c r="C147" s="22" t="s">
        <v>2</v>
      </c>
      <c r="D147" s="47">
        <f>SUM(D142:D146)</f>
        <v>68212264132.539993</v>
      </c>
      <c r="E147" s="47">
        <f>SUM(E142:E146)</f>
        <v>68200068115</v>
      </c>
      <c r="F147" s="47">
        <f t="shared" ref="F147:K147" si="61">SUM(F142:F146)</f>
        <v>133967999.30000001</v>
      </c>
      <c r="G147" s="47">
        <f t="shared" si="61"/>
        <v>-222948231.66</v>
      </c>
      <c r="H147" s="47">
        <f t="shared" si="61"/>
        <v>691342.63</v>
      </c>
      <c r="I147" s="47">
        <f t="shared" si="61"/>
        <v>5274530</v>
      </c>
      <c r="J147" s="47">
        <f t="shared" si="61"/>
        <v>95210377.269999996</v>
      </c>
      <c r="K147" s="47">
        <f t="shared" si="61"/>
        <v>133967999.30000001</v>
      </c>
      <c r="L147" s="525">
        <f>SUM(L142:L146)</f>
        <v>-3.8604484871029854E-6</v>
      </c>
      <c r="M147" s="1" t="b">
        <f t="shared" si="60"/>
        <v>0</v>
      </c>
      <c r="P147" s="24"/>
      <c r="Q147" s="35"/>
      <c r="R147" s="24"/>
    </row>
    <row r="148" spans="1:20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N152" s="24"/>
      <c r="O152" s="24"/>
      <c r="Q152" s="24"/>
      <c r="T152" s="24"/>
    </row>
    <row r="153" spans="1:20" x14ac:dyDescent="0.25">
      <c r="E153" s="659"/>
      <c r="N153" s="24"/>
      <c r="O153" s="24"/>
      <c r="Q153" s="24"/>
      <c r="T153" s="24"/>
    </row>
    <row r="154" spans="1:20" x14ac:dyDescent="0.25">
      <c r="N154" s="24"/>
      <c r="O154" s="24"/>
      <c r="Q154" s="24"/>
      <c r="T154" s="24"/>
    </row>
    <row r="155" spans="1:20" x14ac:dyDescent="0.25">
      <c r="Q155" s="24"/>
      <c r="T155" s="24"/>
    </row>
    <row r="156" spans="1:20" x14ac:dyDescent="0.25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F9" sqref="F9"/>
    </sheetView>
  </sheetViews>
  <sheetFormatPr baseColWidth="10" defaultRowHeight="12.5" x14ac:dyDescent="0.25"/>
  <cols>
    <col min="1" max="1" width="3" customWidth="1"/>
    <col min="2" max="2" width="4.1796875" bestFit="1" customWidth="1"/>
    <col min="3" max="3" width="16.81640625" customWidth="1"/>
    <col min="4" max="4" width="14.1796875" customWidth="1"/>
    <col min="5" max="7" width="17.81640625" customWidth="1"/>
    <col min="8" max="8" width="18.1796875" customWidth="1"/>
    <col min="9" max="9" width="15.81640625" customWidth="1"/>
    <col min="10" max="10" width="16.453125" customWidth="1"/>
    <col min="11" max="11" width="15.81640625" customWidth="1"/>
    <col min="12" max="13" width="18.1796875" customWidth="1"/>
    <col min="14" max="14" width="15.81640625" customWidth="1"/>
    <col min="15" max="15" width="14.1796875" customWidth="1"/>
    <col min="16" max="16" width="14.453125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ENEL'!F21</f>
        <v>15306779444</v>
      </c>
      <c r="D3" s="292">
        <f>REMUNERACION_ENEL!G125</f>
        <v>0</v>
      </c>
      <c r="E3" s="292">
        <f>REMUNERACION_ENEL!D28+REMUNERACION_ENEL!N28</f>
        <v>36630928.670000002</v>
      </c>
      <c r="F3" s="292">
        <f>REMUNERACION_ENEL!I142</f>
        <v>0</v>
      </c>
      <c r="G3" s="292">
        <f>REMUNERACION_ENEL!H142</f>
        <v>589006.92000000004</v>
      </c>
      <c r="H3" s="340">
        <f>SUM(C3:G3)</f>
        <v>15343999379.59</v>
      </c>
      <c r="I3" s="291">
        <f>REMUNERACION_ENEL!D104</f>
        <v>15302926360.77</v>
      </c>
      <c r="J3" s="292">
        <f>REMUNERACION_ENEL!N104</f>
        <v>8900921.8200000003</v>
      </c>
      <c r="K3" s="292">
        <f>REMUNERACION_ENEL!D125</f>
        <v>30927107</v>
      </c>
      <c r="L3" s="353">
        <f>REMUNERACION_ENEL!E125</f>
        <v>0</v>
      </c>
      <c r="M3" s="292">
        <f>-REMUNERACION_ENEL!D66-REMUNERACION_ENEL!N66</f>
        <v>1244990</v>
      </c>
      <c r="N3" s="288">
        <f>SUM(I3:M3)</f>
        <v>15343999379.59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ENEL'!F22</f>
        <v>20240915748</v>
      </c>
      <c r="D4" s="292">
        <f>REMUNERACION_ENEL!G126</f>
        <v>17010202</v>
      </c>
      <c r="E4" s="292">
        <f>REMUNERACION_ENEL!D29+REMUNERACION_ENEL!N29</f>
        <v>20537080.509999998</v>
      </c>
      <c r="F4" s="292">
        <f>REMUNERACION_ENEL!I143</f>
        <v>2607090</v>
      </c>
      <c r="G4" s="292">
        <f>REMUNERACION_ENEL!H143</f>
        <v>0</v>
      </c>
      <c r="H4" s="340">
        <f t="shared" ref="H4:H8" si="1">SUM(C4:G4)</f>
        <v>20281070120.509998</v>
      </c>
      <c r="I4" s="291">
        <f>REMUNERACION_ENEL!D105</f>
        <v>20178777387.439999</v>
      </c>
      <c r="J4" s="292">
        <f>REMUNERACION_ENEL!N105</f>
        <v>23583660.07</v>
      </c>
      <c r="K4" s="292">
        <f>REMUNERACION_ENEL!D126</f>
        <v>37168207</v>
      </c>
      <c r="L4" s="353">
        <f>REMUNERACION_ENEL!E126</f>
        <v>0</v>
      </c>
      <c r="M4" s="292">
        <f>-REMUNERACION_ENEL!D67-REMUNERACION_ENEL!N67</f>
        <v>41540866</v>
      </c>
      <c r="N4" s="318">
        <f>SUM(I4:M4)</f>
        <v>20281070120.509998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ENEL'!F23</f>
        <v>13892251925</v>
      </c>
      <c r="D5" s="292">
        <f>REMUNERACION_ENEL!G127</f>
        <v>388550</v>
      </c>
      <c r="E5" s="292">
        <f>REMUNERACION_ENEL!D30+REMUNERACION_ENEL!N30</f>
        <v>7725480.2100000009</v>
      </c>
      <c r="F5" s="292">
        <f>REMUNERACION_ENEL!I144</f>
        <v>1537410</v>
      </c>
      <c r="G5" s="292">
        <f>REMUNERACION_ENEL!H144</f>
        <v>102335.71</v>
      </c>
      <c r="H5" s="340">
        <f t="shared" si="1"/>
        <v>13902005700.919998</v>
      </c>
      <c r="I5" s="291">
        <f>REMUNERACION_ENEL!D106</f>
        <v>13864568309.599998</v>
      </c>
      <c r="J5" s="292">
        <f>REMUNERACION_ENEL!N106</f>
        <v>18959701.32</v>
      </c>
      <c r="K5" s="292">
        <f>REMUNERACION_ENEL!D127</f>
        <v>10762026</v>
      </c>
      <c r="L5" s="353">
        <f>REMUNERACION_ENEL!E127</f>
        <v>0</v>
      </c>
      <c r="M5" s="292">
        <f>-REMUNERACION_ENEL!D68-REMUNERACION_ENEL!N68</f>
        <v>7715664</v>
      </c>
      <c r="N5" s="318">
        <f>SUM(I5:M5)</f>
        <v>13902005700.919998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ENEL'!F24</f>
        <v>6711455732</v>
      </c>
      <c r="D6" s="292">
        <f>REMUNERACION_ENEL!G128</f>
        <v>77811625.269999996</v>
      </c>
      <c r="E6" s="292">
        <f>REMUNERACION_ENEL!D31+REMUNERACION_ENEL!N31</f>
        <v>59921576.570000008</v>
      </c>
      <c r="F6" s="292">
        <f>REMUNERACION_ENEL!I145</f>
        <v>632750</v>
      </c>
      <c r="G6" s="292">
        <f>REMUNERACION_ENEL!H145</f>
        <v>0</v>
      </c>
      <c r="H6" s="340">
        <f t="shared" si="1"/>
        <v>6849821683.8400002</v>
      </c>
      <c r="I6" s="291">
        <f>REMUNERACION_ENEL!D107</f>
        <v>6630158908.9499998</v>
      </c>
      <c r="J6" s="292">
        <f>REMUNERACION_ENEL!N107</f>
        <v>3932276.23</v>
      </c>
      <c r="K6" s="292">
        <f>REMUNERACION_ENEL!D128</f>
        <v>48073886</v>
      </c>
      <c r="L6" s="353">
        <f>REMUNERACION_ENEL!E128</f>
        <v>0</v>
      </c>
      <c r="M6" s="292">
        <f>-REMUNERACION_ENEL!D69-REMUNERACION_ENEL!N69</f>
        <v>167656612.66</v>
      </c>
      <c r="N6" s="318">
        <f t="shared" ref="N6:N7" si="3">SUM(I6:M6)</f>
        <v>6849821683.8399992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ENEL'!F25</f>
        <v>12048665266</v>
      </c>
      <c r="D7" s="292">
        <f>REMUNERACION_ENEL!G129</f>
        <v>0</v>
      </c>
      <c r="E7" s="292">
        <f>REMUNERACION_ENEL!D32+REMUNERACION_ENEL!N32</f>
        <v>9152933.3399999999</v>
      </c>
      <c r="F7" s="292">
        <f>REMUNERACION_ENEL!I146</f>
        <v>497280</v>
      </c>
      <c r="G7" s="292">
        <f>REMUNERACION_ENEL!H146</f>
        <v>0</v>
      </c>
      <c r="H7" s="340">
        <f t="shared" si="1"/>
        <v>12058315479.34</v>
      </c>
      <c r="I7" s="291">
        <f>REMUNERACION_ENEL!D108</f>
        <v>12035148725.389999</v>
      </c>
      <c r="J7" s="292">
        <f>REMUNERACION_ENEL!N108</f>
        <v>10242722.949999999</v>
      </c>
      <c r="K7" s="292">
        <f>REMUNERACION_ENEL!D129</f>
        <v>8133932</v>
      </c>
      <c r="L7" s="353">
        <f>REMUNERACION_ENEL!E129</f>
        <v>0</v>
      </c>
      <c r="M7" s="292">
        <f>-REMUNERACION_ENEL!D70-REMUNERACION_ENEL!N70</f>
        <v>4790099</v>
      </c>
      <c r="N7" s="318">
        <f t="shared" si="3"/>
        <v>12058315479.34</v>
      </c>
      <c r="O7" s="354">
        <f>H7-N7</f>
        <v>0</v>
      </c>
      <c r="P7" s="1" t="b">
        <f t="shared" si="2"/>
        <v>1</v>
      </c>
    </row>
    <row r="8" spans="2:16" s="355" customFormat="1" ht="13" thickBot="1" x14ac:dyDescent="0.3">
      <c r="B8" s="341" t="s">
        <v>89</v>
      </c>
      <c r="C8" s="317">
        <f>'Recaudo ENEL'!F26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REMUNERACION_ENEL!E130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" thickBot="1" x14ac:dyDescent="0.3">
      <c r="B9" s="327"/>
      <c r="C9" s="290">
        <f>SUM(C3:C8)</f>
        <v>68200068115</v>
      </c>
      <c r="D9" s="290">
        <f t="shared" ref="D9:M9" si="4">SUM(D3:D8)</f>
        <v>95210377.269999996</v>
      </c>
      <c r="E9" s="290">
        <f t="shared" si="4"/>
        <v>133967999.30000001</v>
      </c>
      <c r="F9" s="290">
        <f t="shared" si="4"/>
        <v>5274530</v>
      </c>
      <c r="G9" s="290">
        <f t="shared" si="4"/>
        <v>691342.63</v>
      </c>
      <c r="H9" s="290">
        <f t="shared" si="4"/>
        <v>68435212364.199997</v>
      </c>
      <c r="I9" s="290">
        <f t="shared" si="4"/>
        <v>68011579692.149994</v>
      </c>
      <c r="J9" s="290">
        <f t="shared" si="4"/>
        <v>65619282.390000001</v>
      </c>
      <c r="K9" s="290">
        <f t="shared" si="4"/>
        <v>135065158</v>
      </c>
      <c r="L9" s="290">
        <f t="shared" si="4"/>
        <v>0</v>
      </c>
      <c r="M9" s="290">
        <f t="shared" si="4"/>
        <v>222948231.66</v>
      </c>
      <c r="N9" s="290">
        <f>SUM(N3:N8)</f>
        <v>68435212364.199997</v>
      </c>
      <c r="O9" s="359">
        <f>SUM(O3:O8)</f>
        <v>0</v>
      </c>
      <c r="P9" s="1" t="b">
        <f t="shared" si="2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Recaudo'!D7</f>
        <v>68200068115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topLeftCell="A3" zoomScaleNormal="100" workbookViewId="0">
      <selection activeCell="J10" sqref="J10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8" width="16.1796875" style="1" customWidth="1"/>
    <col min="9" max="9" width="20.179687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81640625" style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9.453125" style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8" t="s">
        <v>17</v>
      </c>
      <c r="D6" s="9">
        <f>REMUNERACION_ENEL!D101</f>
        <v>46297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8"/>
      <c r="C7" s="598" t="s">
        <v>0</v>
      </c>
      <c r="D7" s="241">
        <f>REMUNERACION_ENEL!D102</f>
        <v>0.58333333333333337</v>
      </c>
      <c r="F7" s="2" t="s">
        <v>27</v>
      </c>
      <c r="G7" s="9">
        <f>REMUNERACION_ENEL!G102</f>
        <v>46281</v>
      </c>
      <c r="J7" s="2" t="s">
        <v>28</v>
      </c>
      <c r="K7" s="9">
        <f>REMUNERACION_ENEL!K102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5">
      <c r="B9" s="14">
        <v>1</v>
      </c>
      <c r="C9" s="61" t="s">
        <v>10</v>
      </c>
      <c r="D9" s="66">
        <f>REMUNERACION_ENEL!D104</f>
        <v>15302926360.77</v>
      </c>
      <c r="E9" s="66">
        <f>REMUNERACION_ENEL!E104</f>
        <v>729339442.10000002</v>
      </c>
      <c r="F9" s="66">
        <f>REMUNERACION_ENEL!F104</f>
        <v>406379310.06</v>
      </c>
      <c r="G9" s="66">
        <f>REMUNERACION_ENEL!G104</f>
        <v>215646955.88</v>
      </c>
      <c r="H9" s="66">
        <f>REMUNERACION_ENEL!H104</f>
        <v>3266869377.5099998</v>
      </c>
      <c r="I9" s="66">
        <f>REMUNERACION_ENEL!I104</f>
        <v>122734653.91</v>
      </c>
      <c r="J9" s="66">
        <f>REMUNERACION_ENEL!J104</f>
        <v>-4501501560.3499994</v>
      </c>
      <c r="K9" s="30">
        <f>D9-E9-F9-G9-H9-I9-J9</f>
        <v>15063458181.66</v>
      </c>
      <c r="L9" s="66">
        <f>REMUNERACION_ENEL!L104</f>
        <v>189185988</v>
      </c>
      <c r="M9" s="30">
        <f>K9-L9</f>
        <v>14874272193.66</v>
      </c>
      <c r="N9" s="66">
        <f>REMUNERACION_ENEL!N104</f>
        <v>8900921.8200000003</v>
      </c>
      <c r="O9" s="30">
        <f>M9+N9</f>
        <v>14883173115.48</v>
      </c>
      <c r="Q9" s="4"/>
      <c r="S9" s="14">
        <v>1</v>
      </c>
      <c r="T9" s="61" t="s">
        <v>10</v>
      </c>
      <c r="U9" s="66">
        <f>REMUNERACION_ENEL!U104</f>
        <v>1080596204.21</v>
      </c>
      <c r="V9" s="66">
        <f>REMUNERACION_ENEL!V104</f>
        <v>1028800378.24</v>
      </c>
      <c r="W9" s="66">
        <f>REMUNERACION_ENEL!W104</f>
        <v>4835361658.3400002</v>
      </c>
      <c r="X9" s="66">
        <f>REMUNERACION_ENEL!X104</f>
        <v>1984024765.6700001</v>
      </c>
      <c r="Y9" s="66">
        <f>REMUNERACION_ENEL!Y104</f>
        <v>200167070.46000001</v>
      </c>
      <c r="Z9" s="66">
        <f>REMUNERACION_ENEL!Z104</f>
        <v>-189185988</v>
      </c>
      <c r="AA9" s="66">
        <f>REMUNERACION_ENEL!AA104</f>
        <v>108571.54</v>
      </c>
      <c r="AB9" s="66">
        <f>REMUNERACION_ENEL!AB104</f>
        <v>8900921.8200000003</v>
      </c>
      <c r="AC9" s="66">
        <f>REMUNERACION_ENEL!AC104</f>
        <v>69.569999999999993</v>
      </c>
      <c r="AD9" s="66">
        <f>REMUNERACION_ENEL!AD104</f>
        <v>5934399463.6299992</v>
      </c>
      <c r="AE9" s="66">
        <f>REMUNERACION_ENEL!AE104</f>
        <v>1432897903.28</v>
      </c>
      <c r="AF9" s="69">
        <f>SUM(U9:AD9)</f>
        <v>14883173115.479998</v>
      </c>
      <c r="AG9" s="71">
        <f>AF9-O9</f>
        <v>0</v>
      </c>
      <c r="AH9" s="1" t="b">
        <f>INT(AG9)=0</f>
        <v>1</v>
      </c>
      <c r="AI9" s="4"/>
    </row>
    <row r="10" spans="2:35" x14ac:dyDescent="0.25">
      <c r="B10" s="16">
        <v>2</v>
      </c>
      <c r="C10" s="62" t="s">
        <v>11</v>
      </c>
      <c r="D10" s="66">
        <f>REMUNERACION_ENEL!D105</f>
        <v>20178777387.439999</v>
      </c>
      <c r="E10" s="66">
        <f>REMUNERACION_ENEL!E105</f>
        <v>1448205700.2700002</v>
      </c>
      <c r="F10" s="66">
        <f>REMUNERACION_ENEL!F105</f>
        <v>800835027.04000008</v>
      </c>
      <c r="G10" s="66">
        <f>REMUNERACION_ENEL!G105</f>
        <v>423712832.33999991</v>
      </c>
      <c r="H10" s="66">
        <f>REMUNERACION_ENEL!H105</f>
        <v>6517549572.0400009</v>
      </c>
      <c r="I10" s="66">
        <f>REMUNERACION_ENEL!I105</f>
        <v>230306325.36999997</v>
      </c>
      <c r="J10" s="66">
        <f>REMUNERACION_ENEL!J105</f>
        <v>-3550307908.4800005</v>
      </c>
      <c r="K10" s="31">
        <f t="shared" ref="K10:K13" si="0">D10-E10-F10-G10-H10-I10-J10</f>
        <v>14308475838.859997</v>
      </c>
      <c r="L10" s="66">
        <f>REMUNERACION_ENEL!L105</f>
        <v>266580256</v>
      </c>
      <c r="M10" s="31">
        <f>K10-L10</f>
        <v>14041895582.859997</v>
      </c>
      <c r="N10" s="66">
        <f>REMUNERACION_ENEL!N105</f>
        <v>23583660.07</v>
      </c>
      <c r="O10" s="31">
        <f t="shared" ref="O10:O13" si="1">M10+N10</f>
        <v>14065479242.929996</v>
      </c>
      <c r="Q10" s="4"/>
      <c r="S10" s="16">
        <v>2</v>
      </c>
      <c r="T10" s="62" t="s">
        <v>11</v>
      </c>
      <c r="U10" s="66">
        <f>REMUNERACION_ENEL!U105</f>
        <v>2018133975</v>
      </c>
      <c r="V10" s="66">
        <f>REMUNERACION_ENEL!V105</f>
        <v>1978094511.9600003</v>
      </c>
      <c r="W10" s="66">
        <f>REMUNERACION_ENEL!W105</f>
        <v>9281578897.6100006</v>
      </c>
      <c r="X10" s="66">
        <f>REMUNERACION_ENEL!X105</f>
        <v>2849465720.7799997</v>
      </c>
      <c r="Y10" s="66">
        <f>REMUNERACION_ENEL!Y105</f>
        <v>376075622.34000003</v>
      </c>
      <c r="Z10" s="66">
        <f>REMUNERACION_ENEL!Z105</f>
        <v>-266580256</v>
      </c>
      <c r="AA10" s="66">
        <f>REMUNERACION_ENEL!AA105</f>
        <v>159484.94999999998</v>
      </c>
      <c r="AB10" s="66">
        <f>REMUNERACION_ENEL!AB105</f>
        <v>23583660.07</v>
      </c>
      <c r="AC10" s="66">
        <f>REMUNERACION_ENEL!AC105</f>
        <v>-41.69</v>
      </c>
      <c r="AD10" s="66">
        <f>REMUNERACION_ENEL!AD105</f>
        <v>-2195032332.0900002</v>
      </c>
      <c r="AE10" s="66">
        <f>REMUNERACION_ENEL!AE105</f>
        <v>-5745340240.5700006</v>
      </c>
      <c r="AF10" s="70">
        <f>SUM(U10:AD10)</f>
        <v>14065479242.929998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5">
      <c r="B11" s="16">
        <v>3</v>
      </c>
      <c r="C11" s="62" t="s">
        <v>12</v>
      </c>
      <c r="D11" s="66">
        <f>REMUNERACION_ENEL!D106</f>
        <v>13864568309.599998</v>
      </c>
      <c r="E11" s="66">
        <f>REMUNERACION_ENEL!E106</f>
        <v>957638651.13</v>
      </c>
      <c r="F11" s="66">
        <f>REMUNERACION_ENEL!F106</f>
        <v>533439285.44000006</v>
      </c>
      <c r="G11" s="66">
        <f>REMUNERACION_ENEL!G106</f>
        <v>283742347.22000003</v>
      </c>
      <c r="H11" s="66">
        <f>REMUNERACION_ENEL!H106</f>
        <v>3444273335.4899998</v>
      </c>
      <c r="I11" s="66">
        <f>REMUNERACION_ENEL!I106</f>
        <v>125528383.47</v>
      </c>
      <c r="J11" s="66">
        <f>REMUNERACION_ENEL!J106</f>
        <v>-750589759.5999999</v>
      </c>
      <c r="K11" s="31">
        <f t="shared" si="0"/>
        <v>9270536066.4499989</v>
      </c>
      <c r="L11" s="66">
        <f>REMUNERACION_ENEL!L106</f>
        <v>154788536</v>
      </c>
      <c r="M11" s="31">
        <f>K11-L11</f>
        <v>9115747530.4499989</v>
      </c>
      <c r="N11" s="66">
        <f>REMUNERACION_ENEL!N106</f>
        <v>18959701.32</v>
      </c>
      <c r="O11" s="31">
        <f t="shared" si="1"/>
        <v>9134707231.7699986</v>
      </c>
      <c r="Q11" s="4"/>
      <c r="S11" s="16">
        <v>3</v>
      </c>
      <c r="T11" s="62" t="s">
        <v>12</v>
      </c>
      <c r="U11" s="66">
        <f>REMUNERACION_ENEL!U106</f>
        <v>1100028385.3600001</v>
      </c>
      <c r="V11" s="66">
        <f>REMUNERACION_ENEL!V106</f>
        <v>1071742383.55</v>
      </c>
      <c r="W11" s="66">
        <f>REMUNERACION_ENEL!W106</f>
        <v>5039004700.8800001</v>
      </c>
      <c r="X11" s="66">
        <f>REMUNERACION_ENEL!X106</f>
        <v>2268252001.6500001</v>
      </c>
      <c r="Y11" s="66">
        <f>REMUNERACION_ENEL!Y106</f>
        <v>204754746.59</v>
      </c>
      <c r="Z11" s="66">
        <f>REMUNERACION_ENEL!Z106</f>
        <v>-154788536</v>
      </c>
      <c r="AA11" s="66">
        <f>REMUNERACION_ENEL!AA106</f>
        <v>-127396.81999999999</v>
      </c>
      <c r="AB11" s="66">
        <f>REMUNERACION_ENEL!AB106</f>
        <v>18959701.32</v>
      </c>
      <c r="AC11" s="66">
        <f>REMUNERACION_ENEL!AC106</f>
        <v>3.9999999999999925E-2</v>
      </c>
      <c r="AD11" s="66">
        <f>REMUNERACION_ENEL!AD106</f>
        <v>-413118754.79999995</v>
      </c>
      <c r="AE11" s="66">
        <f>REMUNERACION_ENEL!AE106</f>
        <v>-1163708514.3999999</v>
      </c>
      <c r="AF11" s="70">
        <f>SUM(U11:AD11)</f>
        <v>9134707231.7700024</v>
      </c>
      <c r="AG11" s="72">
        <f>AF11-O11</f>
        <v>0</v>
      </c>
      <c r="AH11" s="1" t="b">
        <f t="shared" si="2"/>
        <v>1</v>
      </c>
      <c r="AI11" s="4"/>
    </row>
    <row r="12" spans="2:35" x14ac:dyDescent="0.25">
      <c r="B12" s="16">
        <v>4</v>
      </c>
      <c r="C12" s="62" t="s">
        <v>13</v>
      </c>
      <c r="D12" s="66">
        <f>REMUNERACION_ENEL!D107</f>
        <v>6630158908.9499998</v>
      </c>
      <c r="E12" s="66">
        <f>REMUNERACION_ENEL!E107</f>
        <v>376251422.80999994</v>
      </c>
      <c r="F12" s="66">
        <f>REMUNERACION_ENEL!F107</f>
        <v>208879795.46000001</v>
      </c>
      <c r="G12" s="66">
        <f>REMUNERACION_ENEL!G107</f>
        <v>111065368.77000001</v>
      </c>
      <c r="H12" s="66">
        <f>REMUNERACION_ENEL!H107</f>
        <v>1640754785.4200003</v>
      </c>
      <c r="I12" s="66">
        <f>REMUNERACION_ENEL!I107</f>
        <v>57480046.259999998</v>
      </c>
      <c r="J12" s="66">
        <f>REMUNERACION_ENEL!J107</f>
        <v>-714140939.3599999</v>
      </c>
      <c r="K12" s="31">
        <f t="shared" si="0"/>
        <v>4949868429.5899982</v>
      </c>
      <c r="L12" s="66">
        <f>REMUNERACION_ENEL!L107</f>
        <v>120391083</v>
      </c>
      <c r="M12" s="31">
        <f>K12-L12</f>
        <v>4829477346.5899982</v>
      </c>
      <c r="N12" s="66">
        <f>REMUNERACION_ENEL!N107</f>
        <v>3932276.23</v>
      </c>
      <c r="O12" s="31">
        <f t="shared" si="1"/>
        <v>4833409622.8199978</v>
      </c>
      <c r="Q12" s="4"/>
      <c r="S12" s="16">
        <v>4</v>
      </c>
      <c r="T12" s="62" t="s">
        <v>13</v>
      </c>
      <c r="U12" s="66">
        <f>REMUNERACION_ENEL!U107</f>
        <v>502868487.38</v>
      </c>
      <c r="V12" s="66">
        <f>REMUNERACION_ENEL!V107</f>
        <v>490537611.79999995</v>
      </c>
      <c r="W12" s="66">
        <f>REMUNERACION_ENEL!W107</f>
        <v>2512747823.5100002</v>
      </c>
      <c r="X12" s="66">
        <f>REMUNERACION_ENEL!X107</f>
        <v>995652151.48999989</v>
      </c>
      <c r="Y12" s="66">
        <f>REMUNERACION_ENEL!Y107</f>
        <v>93741124.449999988</v>
      </c>
      <c r="Z12" s="66">
        <f>REMUNERACION_ENEL!Z107</f>
        <v>-120391083</v>
      </c>
      <c r="AA12" s="66">
        <f>REMUNERACION_ENEL!AA107</f>
        <v>3885.64</v>
      </c>
      <c r="AB12" s="66">
        <f>REMUNERACION_ENEL!AB107</f>
        <v>3932276.23</v>
      </c>
      <c r="AC12" s="66">
        <f>REMUNERACION_ENEL!AC107</f>
        <v>264.31</v>
      </c>
      <c r="AD12" s="66">
        <f>REMUNERACION_ENEL!AD107</f>
        <v>354317081.00999981</v>
      </c>
      <c r="AE12" s="66">
        <f>REMUNERACION_ENEL!AE107</f>
        <v>-359823858.35000008</v>
      </c>
      <c r="AF12" s="70">
        <f>SUM(U12:AD12)</f>
        <v>4833409622.8200006</v>
      </c>
      <c r="AG12" s="72">
        <f>AF12-O12</f>
        <v>0</v>
      </c>
      <c r="AH12" s="1" t="b">
        <f t="shared" si="2"/>
        <v>1</v>
      </c>
      <c r="AI12" s="4"/>
    </row>
    <row r="13" spans="2:35" ht="12" thickBot="1" x14ac:dyDescent="0.3">
      <c r="B13" s="19">
        <v>5</v>
      </c>
      <c r="C13" s="63" t="s">
        <v>14</v>
      </c>
      <c r="D13" s="66">
        <f>REMUNERACION_ENEL!D108</f>
        <v>12035148725.389999</v>
      </c>
      <c r="E13" s="66">
        <f>REMUNERACION_ENEL!E108</f>
        <v>670692909.02999997</v>
      </c>
      <c r="F13" s="66">
        <f>REMUNERACION_ENEL!F108</f>
        <v>373578465.15999997</v>
      </c>
      <c r="G13" s="66">
        <f>REMUNERACION_ENEL!G108</f>
        <v>198657576.47999999</v>
      </c>
      <c r="H13" s="66">
        <f>REMUNERACION_ENEL!H108</f>
        <v>3229096968.9099998</v>
      </c>
      <c r="I13" s="66">
        <f>REMUNERACION_ENEL!I108</f>
        <v>104859875.68000001</v>
      </c>
      <c r="J13" s="66">
        <f>REMUNERACION_ENEL!J108</f>
        <v>-98238891.940000057</v>
      </c>
      <c r="K13" s="31">
        <f t="shared" si="0"/>
        <v>7556501822.0699997</v>
      </c>
      <c r="L13" s="66">
        <f>REMUNERACION_ENEL!L108</f>
        <v>128990446</v>
      </c>
      <c r="M13" s="40">
        <f>K13-L13</f>
        <v>7427511376.0699997</v>
      </c>
      <c r="N13" s="66">
        <f>REMUNERACION_ENEL!N108</f>
        <v>10242722.949999999</v>
      </c>
      <c r="O13" s="40">
        <f t="shared" si="1"/>
        <v>7437754099.0199995</v>
      </c>
      <c r="Q13" s="4"/>
      <c r="S13" s="19">
        <v>5</v>
      </c>
      <c r="T13" s="63" t="s">
        <v>14</v>
      </c>
      <c r="U13" s="66">
        <f>REMUNERACION_ENEL!U108</f>
        <v>919711110.6500001</v>
      </c>
      <c r="V13" s="66">
        <f>REMUNERACION_ENEL!V108</f>
        <v>891816105.20999992</v>
      </c>
      <c r="W13" s="66">
        <f>REMUNERACION_ENEL!W108</f>
        <v>4550231955.9499989</v>
      </c>
      <c r="X13" s="66">
        <f>REMUNERACION_ENEL!X108</f>
        <v>1992952702.9499998</v>
      </c>
      <c r="Y13" s="66">
        <f>REMUNERACION_ENEL!Y108</f>
        <v>171093919.14999998</v>
      </c>
      <c r="Z13" s="66">
        <f>REMUNERACION_ENEL!Z108</f>
        <v>-128990446</v>
      </c>
      <c r="AA13" s="66">
        <f>REMUNERACION_ENEL!AA108</f>
        <v>-174574.38999999998</v>
      </c>
      <c r="AB13" s="66">
        <f>REMUNERACION_ENEL!AB108</f>
        <v>10242722.949999999</v>
      </c>
      <c r="AC13" s="66">
        <f>REMUNERACION_ENEL!AC108</f>
        <v>12.22</v>
      </c>
      <c r="AD13" s="66">
        <f>REMUNERACION_ENEL!AD108</f>
        <v>-969129409.66999996</v>
      </c>
      <c r="AE13" s="66">
        <f>REMUNERACION_ENEL!AE108</f>
        <v>-1067368301.61</v>
      </c>
      <c r="AF13" s="70">
        <f>SUM(U13:AD13)</f>
        <v>7437754099.0199986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35">
      <c r="B14" s="21"/>
      <c r="C14" s="22" t="s">
        <v>2</v>
      </c>
      <c r="D14" s="43">
        <f t="shared" ref="D14:O14" si="3">SUM(D9:D13)</f>
        <v>68011579692.149994</v>
      </c>
      <c r="E14" s="43">
        <f t="shared" si="3"/>
        <v>4182128125.3400002</v>
      </c>
      <c r="F14" s="43">
        <f t="shared" si="3"/>
        <v>2323111883.1600003</v>
      </c>
      <c r="G14" s="43">
        <f t="shared" si="3"/>
        <v>1232825080.6899998</v>
      </c>
      <c r="H14" s="43">
        <f t="shared" si="3"/>
        <v>18098544039.370003</v>
      </c>
      <c r="I14" s="43">
        <f t="shared" si="3"/>
        <v>640909284.69000006</v>
      </c>
      <c r="J14" s="43">
        <f t="shared" si="3"/>
        <v>-9614779059.7300014</v>
      </c>
      <c r="K14" s="32">
        <f t="shared" si="3"/>
        <v>51148840338.62999</v>
      </c>
      <c r="L14" s="23">
        <f t="shared" si="3"/>
        <v>859936309</v>
      </c>
      <c r="M14" s="76">
        <f t="shared" si="3"/>
        <v>50288904029.62999</v>
      </c>
      <c r="N14" s="23">
        <f t="shared" si="3"/>
        <v>65619282.390000001</v>
      </c>
      <c r="O14" s="76">
        <f t="shared" si="3"/>
        <v>50354523312.019989</v>
      </c>
      <c r="P14" s="2"/>
      <c r="Q14" s="4"/>
      <c r="S14" s="21"/>
      <c r="T14" s="22" t="s">
        <v>2</v>
      </c>
      <c r="U14" s="43">
        <f>SUM(U9:U13)</f>
        <v>5621338162.6000004</v>
      </c>
      <c r="V14" s="43">
        <f t="shared" ref="V14:AG14" si="4">SUM(V9:V13)</f>
        <v>5460990990.7600002</v>
      </c>
      <c r="W14" s="43">
        <f t="shared" si="4"/>
        <v>26218925036.290001</v>
      </c>
      <c r="X14" s="43">
        <f t="shared" si="4"/>
        <v>10090347342.540001</v>
      </c>
      <c r="Y14" s="43">
        <f t="shared" si="4"/>
        <v>1045832482.9900001</v>
      </c>
      <c r="Z14" s="43">
        <f t="shared" si="4"/>
        <v>-859936309</v>
      </c>
      <c r="AA14" s="43">
        <f t="shared" si="4"/>
        <v>-30029.079999999987</v>
      </c>
      <c r="AB14" s="43">
        <f t="shared" si="4"/>
        <v>65619282.390000001</v>
      </c>
      <c r="AC14" s="43">
        <f t="shared" si="4"/>
        <v>304.45000000000005</v>
      </c>
      <c r="AD14" s="43">
        <f t="shared" si="4"/>
        <v>2711436048.0799985</v>
      </c>
      <c r="AE14" s="43">
        <f>SUM(AE9:AE13)</f>
        <v>-6903343011.6500006</v>
      </c>
      <c r="AF14" s="68">
        <f t="shared" si="4"/>
        <v>50354523312.019997</v>
      </c>
      <c r="AG14" s="43">
        <f t="shared" si="4"/>
        <v>0</v>
      </c>
      <c r="AH14" s="1" t="b">
        <f t="shared" si="2"/>
        <v>1</v>
      </c>
      <c r="AI14" s="4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48437434015.18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2026092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REMUNERACION_ENEL!G122</f>
        <v>46281</v>
      </c>
      <c r="J27" s="2" t="s">
        <v>28</v>
      </c>
      <c r="K27" s="9">
        <f>REMUNERACION_ENEL!K122</f>
        <v>46295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5">
      <c r="B30" s="108">
        <v>1</v>
      </c>
      <c r="C30" s="109" t="s">
        <v>10</v>
      </c>
      <c r="D30" s="110">
        <f>REMUNERACION_ENEL!D125</f>
        <v>30927107</v>
      </c>
      <c r="E30" s="111">
        <f>REMUNERACION_ENEL!E125</f>
        <v>0</v>
      </c>
      <c r="G30" s="336">
        <f>REMUNERACION_ENEL!G125</f>
        <v>0</v>
      </c>
      <c r="H30" s="310">
        <f>REMUNERACION_ENEL!H125</f>
        <v>36630928.670000002</v>
      </c>
      <c r="I30" s="309">
        <f>REMUNERACION_ENEL!I125</f>
        <v>589006.92000000004</v>
      </c>
      <c r="J30" s="309">
        <f>REMUNERACION_ENEL!J125</f>
        <v>-1244990</v>
      </c>
      <c r="K30" s="309">
        <f>REMUNERACION_ENEL!K125</f>
        <v>691640</v>
      </c>
      <c r="L30" s="309">
        <f>REMUNERACION_ENEL!L125</f>
        <v>137440</v>
      </c>
      <c r="O30" s="44"/>
      <c r="Q30" s="4"/>
    </row>
    <row r="31" spans="1:35" x14ac:dyDescent="0.25">
      <c r="B31" s="16">
        <v>2</v>
      </c>
      <c r="C31" s="17" t="s">
        <v>11</v>
      </c>
      <c r="D31" s="15">
        <f>REMUNERACION_ENEL!D126</f>
        <v>37168207</v>
      </c>
      <c r="E31" s="74">
        <f>REMUNERACION_ENEL!E126</f>
        <v>0</v>
      </c>
      <c r="G31" s="339">
        <f>REMUNERACION_ENEL!G126</f>
        <v>17010202</v>
      </c>
      <c r="H31" s="340">
        <f>REMUNERACION_ENEL!H126</f>
        <v>20537080.509999998</v>
      </c>
      <c r="I31" s="288">
        <f>REMUNERACION_ENEL!I126</f>
        <v>0</v>
      </c>
      <c r="J31" s="288">
        <f>REMUNERACION_ENEL!J126</f>
        <v>-41540866</v>
      </c>
      <c r="K31" s="288">
        <f>REMUNERACION_ENEL!K126</f>
        <v>9423137</v>
      </c>
      <c r="L31" s="288">
        <f>REMUNERACION_ENEL!L126</f>
        <v>105290</v>
      </c>
      <c r="O31" s="44"/>
      <c r="Q31" s="4"/>
    </row>
    <row r="32" spans="1:35" x14ac:dyDescent="0.25">
      <c r="B32" s="16">
        <v>3</v>
      </c>
      <c r="C32" s="17" t="s">
        <v>12</v>
      </c>
      <c r="D32" s="15">
        <f>REMUNERACION_ENEL!D127</f>
        <v>10762026</v>
      </c>
      <c r="E32" s="74">
        <f>REMUNERACION_ENEL!E127</f>
        <v>0</v>
      </c>
      <c r="G32" s="339">
        <f>REMUNERACION_ENEL!G127</f>
        <v>388550</v>
      </c>
      <c r="H32" s="340">
        <f>REMUNERACION_ENEL!H127</f>
        <v>7725480.2100000009</v>
      </c>
      <c r="I32" s="288">
        <f>REMUNERACION_ENEL!I127</f>
        <v>102335.71</v>
      </c>
      <c r="J32" s="288">
        <f>REMUNERACION_ENEL!J127</f>
        <v>-7715664</v>
      </c>
      <c r="K32" s="288">
        <f>REMUNERACION_ENEL!K127</f>
        <v>1272990</v>
      </c>
      <c r="L32" s="288">
        <f>REMUNERACION_ENEL!L127</f>
        <v>541790</v>
      </c>
      <c r="O32" s="44"/>
      <c r="Q32" s="4"/>
    </row>
    <row r="33" spans="1:20" x14ac:dyDescent="0.25">
      <c r="B33" s="16">
        <v>4</v>
      </c>
      <c r="C33" s="17" t="s">
        <v>13</v>
      </c>
      <c r="D33" s="15">
        <f>REMUNERACION_ENEL!D128</f>
        <v>48073886</v>
      </c>
      <c r="E33" s="74">
        <f>REMUNERACION_ENEL!E128</f>
        <v>0</v>
      </c>
      <c r="G33" s="339">
        <f>REMUNERACION_ENEL!G128</f>
        <v>77811625.269999996</v>
      </c>
      <c r="H33" s="340">
        <f>REMUNERACION_ENEL!H128</f>
        <v>59921576.570000008</v>
      </c>
      <c r="I33" s="288">
        <f>REMUNERACION_ENEL!I128</f>
        <v>0</v>
      </c>
      <c r="J33" s="288">
        <f>REMUNERACION_ENEL!J128</f>
        <v>-167656612.66</v>
      </c>
      <c r="K33" s="288">
        <f>REMUNERACION_ENEL!K128</f>
        <v>86158376.730000004</v>
      </c>
      <c r="L33" s="288">
        <f>REMUNERACION_ENEL!L128</f>
        <v>706763.34</v>
      </c>
      <c r="O33" s="44"/>
      <c r="Q33" s="4"/>
    </row>
    <row r="34" spans="1:20" x14ac:dyDescent="0.25">
      <c r="B34" s="133">
        <v>5</v>
      </c>
      <c r="C34" s="138" t="s">
        <v>14</v>
      </c>
      <c r="D34" s="135">
        <f>REMUNERACION_ENEL!D129</f>
        <v>8133932</v>
      </c>
      <c r="E34" s="139">
        <f>REMUNERACION_ENEL!E129</f>
        <v>0</v>
      </c>
      <c r="G34" s="339">
        <f>REMUNERACION_ENEL!G129</f>
        <v>0</v>
      </c>
      <c r="H34" s="340">
        <f>REMUNERACION_ENEL!H129</f>
        <v>9152933.3399999999</v>
      </c>
      <c r="I34" s="288">
        <f>REMUNERACION_ENEL!I129</f>
        <v>0</v>
      </c>
      <c r="J34" s="288">
        <f>REMUNERACION_ENEL!J129</f>
        <v>-4790099</v>
      </c>
      <c r="K34" s="288">
        <f>REMUNERACION_ENEL!K129</f>
        <v>0</v>
      </c>
      <c r="L34" s="288">
        <f>REMUNERACION_ENEL!L129</f>
        <v>0</v>
      </c>
      <c r="O34" s="44"/>
      <c r="Q34" s="4"/>
    </row>
    <row r="35" spans="1:20" ht="12" thickBot="1" x14ac:dyDescent="0.3">
      <c r="B35" s="19" t="s">
        <v>89</v>
      </c>
      <c r="C35" s="20" t="s">
        <v>113</v>
      </c>
      <c r="D35" s="78"/>
      <c r="E35" s="79">
        <f>REMUNERACION_ENEL!E130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" thickBot="1" x14ac:dyDescent="0.3">
      <c r="B36" s="95"/>
      <c r="C36" s="106" t="s">
        <v>2</v>
      </c>
      <c r="D36" s="107">
        <f t="shared" ref="D36" si="5">SUM(D30:D34)</f>
        <v>135065158</v>
      </c>
      <c r="E36" s="107">
        <f>REMUNERACION_ENEL!E131</f>
        <v>0</v>
      </c>
      <c r="F36" s="45"/>
      <c r="G36" s="350">
        <f t="shared" ref="G36:L36" si="6">SUM(G30:G34)</f>
        <v>95210377.269999996</v>
      </c>
      <c r="H36" s="350">
        <f t="shared" si="6"/>
        <v>133967999.30000001</v>
      </c>
      <c r="I36" s="350">
        <f t="shared" si="6"/>
        <v>691342.63</v>
      </c>
      <c r="J36" s="350">
        <f t="shared" si="6"/>
        <v>-222948231.66</v>
      </c>
      <c r="K36" s="350">
        <f t="shared" si="6"/>
        <v>97546143.730000004</v>
      </c>
      <c r="L36" s="350">
        <f t="shared" si="6"/>
        <v>1491283.3399999999</v>
      </c>
      <c r="M36" s="45"/>
      <c r="N36" s="45"/>
      <c r="O36" s="46"/>
      <c r="P36" s="2"/>
      <c r="Q36" s="4"/>
    </row>
    <row r="37" spans="1:20" x14ac:dyDescent="0.25">
      <c r="B37" s="2"/>
      <c r="C37" s="2"/>
      <c r="D37" s="24"/>
      <c r="Q37" s="4"/>
    </row>
    <row r="38" spans="1:20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5">
      <c r="N42" s="24"/>
      <c r="O42" s="24"/>
      <c r="Q42" s="24"/>
      <c r="T42" s="24"/>
    </row>
    <row r="43" spans="1:20" x14ac:dyDescent="0.25">
      <c r="N43" s="24"/>
      <c r="O43" s="24"/>
      <c r="Q43" s="24"/>
      <c r="T43" s="24"/>
    </row>
    <row r="44" spans="1:20" x14ac:dyDescent="0.25">
      <c r="N44" s="24"/>
      <c r="O44" s="24"/>
      <c r="Q44" s="24"/>
      <c r="T44" s="24"/>
    </row>
    <row r="45" spans="1:20" x14ac:dyDescent="0.25">
      <c r="D45" s="267" t="b">
        <f>D14=REMUNERACION_ENEL!D109</f>
        <v>1</v>
      </c>
      <c r="E45" s="267" t="b">
        <f>E14=REMUNERACION_ENEL!E109</f>
        <v>1</v>
      </c>
      <c r="F45" s="267" t="b">
        <f>F14=REMUNERACION_ENEL!F109</f>
        <v>1</v>
      </c>
      <c r="G45" s="267" t="b">
        <f>G14=REMUNERACION_ENEL!G109</f>
        <v>1</v>
      </c>
      <c r="H45" s="267" t="b">
        <f>H14=REMUNERACION_ENEL!H109</f>
        <v>1</v>
      </c>
      <c r="I45" s="267" t="b">
        <f>I14=REMUNERACION_ENEL!I109</f>
        <v>1</v>
      </c>
      <c r="J45" s="267" t="b">
        <f>J14=REMUNERACION_ENEL!J109</f>
        <v>1</v>
      </c>
      <c r="K45" s="267" t="b">
        <f>K14=REMUNERACION_ENEL!K109</f>
        <v>1</v>
      </c>
      <c r="L45" s="267" t="b">
        <f>L14=REMUNERACION_ENEL!L109</f>
        <v>1</v>
      </c>
      <c r="M45" s="267" t="b">
        <f>M14=REMUNERACION_ENEL!M109</f>
        <v>1</v>
      </c>
      <c r="N45" s="267" t="b">
        <f>N14=REMUNERACION_ENEL!N109</f>
        <v>1</v>
      </c>
      <c r="O45" s="267" t="b">
        <f>O14=REMUNERACION_ENEL!O109</f>
        <v>1</v>
      </c>
      <c r="Q45" s="24"/>
      <c r="T45" s="24"/>
    </row>
    <row r="46" spans="1:20" x14ac:dyDescent="0.25">
      <c r="D46" s="267" t="b">
        <f>D36=REMUNERACION_ENEL!D131</f>
        <v>1</v>
      </c>
      <c r="E46" s="267" t="b">
        <f>E36=REMUNERACION_ENEL!E131</f>
        <v>1</v>
      </c>
      <c r="F46" s="267" t="b">
        <f>F36=REMUNERACION_ENEL!F131</f>
        <v>1</v>
      </c>
      <c r="G46" s="267" t="b">
        <f>G36=REMUNERACION_ENEL!G131</f>
        <v>1</v>
      </c>
      <c r="H46" s="267" t="b">
        <f>H36=REMUNERACION_ENEL!H131</f>
        <v>1</v>
      </c>
      <c r="I46" s="267" t="b">
        <f>I36=REMUNERACION_ENEL!I131</f>
        <v>1</v>
      </c>
      <c r="J46" s="267" t="b">
        <f>J36=REMUNERACION_ENEL!J131</f>
        <v>1</v>
      </c>
      <c r="K46" s="267" t="b">
        <f>K36=REMUNERACION_ENEL!K131</f>
        <v>1</v>
      </c>
      <c r="L46" s="267" t="b">
        <f>L36=REMUNERACION_ENEL!L131</f>
        <v>1</v>
      </c>
      <c r="M46" s="267" t="b">
        <f>M36=REMUNERACION_ENEL!M131</f>
        <v>1</v>
      </c>
      <c r="N46" s="267" t="b">
        <f>N36=REMUNERACION_ENEL!N131</f>
        <v>1</v>
      </c>
      <c r="O46" s="267" t="b">
        <f>O36=REMUNERACION_ENEL!O131</f>
        <v>1</v>
      </c>
      <c r="Q46" s="24"/>
      <c r="T46" s="24"/>
    </row>
    <row r="47" spans="1:20" x14ac:dyDescent="0.25">
      <c r="N47" s="24"/>
      <c r="O47" s="24"/>
      <c r="Q47" s="24"/>
      <c r="T47" s="24"/>
    </row>
    <row r="48" spans="1:20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101" zoomScaleNormal="100" workbookViewId="0">
      <selection activeCell="A117" sqref="A117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19.81640625" style="1" bestFit="1" customWidth="1"/>
    <col min="13" max="13" width="21" style="1" bestFit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7.54296875" style="1" bestFit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36" width="13.81640625" style="1" bestFit="1" customWidth="1"/>
    <col min="37" max="16384" width="11.453125" style="1"/>
  </cols>
  <sheetData>
    <row r="1" spans="1:35" ht="12" thickBot="1" x14ac:dyDescent="0.3">
      <c r="A1" s="241"/>
      <c r="Q1" s="4"/>
      <c r="AI1" s="4"/>
    </row>
    <row r="2" spans="1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1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5" x14ac:dyDescent="0.35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1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x14ac:dyDescent="0.25">
      <c r="B9" s="303">
        <v>1</v>
      </c>
      <c r="C9" s="304" t="s">
        <v>10</v>
      </c>
      <c r="D9" s="291">
        <f>'Reporte Componentes R1'!F61</f>
        <v>0</v>
      </c>
      <c r="E9" s="291">
        <f>'Reporte Componentes R1'!G61</f>
        <v>0</v>
      </c>
      <c r="F9" s="291">
        <f>'Reporte Componentes R1'!H61</f>
        <v>0</v>
      </c>
      <c r="G9" s="291">
        <f>'Reporte Componentes R1'!I61</f>
        <v>0</v>
      </c>
      <c r="H9" s="291">
        <f>'Reporte Componentes R1'!J61</f>
        <v>0</v>
      </c>
      <c r="I9" s="291">
        <f>'Reporte Componentes R1'!K61</f>
        <v>0</v>
      </c>
      <c r="J9" s="291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R1'!L61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R1'!M61</f>
        <v>0</v>
      </c>
      <c r="V9" s="307">
        <f>'Reporte Componentes R1'!N61</f>
        <v>0</v>
      </c>
      <c r="W9" s="307">
        <f>'Reporte Componentes R1'!O61</f>
        <v>0</v>
      </c>
      <c r="X9" s="307">
        <f>'Reporte Componentes R1'!P61</f>
        <v>0</v>
      </c>
      <c r="Y9" s="307">
        <f>'Reporte Componentes R1'!Q61</f>
        <v>0</v>
      </c>
      <c r="Z9" s="319">
        <f>L9*-1</f>
        <v>0</v>
      </c>
      <c r="AA9" s="320">
        <f>'Reporte Componentes R1'!R61+'Reporte Componentes R1'!V181+'Reporte Componentes R1'!U61</f>
        <v>0</v>
      </c>
      <c r="AB9" s="294">
        <f>N9</f>
        <v>0</v>
      </c>
      <c r="AC9" s="320">
        <f>'Reporte Componentes R1'!T61+'Reporte Componentes R1'!W61+'Reporte Componentes R1'!X61+'Reporte Componentes R1'!Y61+'Reporte Componentes R1'!Z61+'Reporte Componentes R1'!S61</f>
        <v>0</v>
      </c>
      <c r="AD9" s="291">
        <f>-J9+AE9</f>
        <v>0</v>
      </c>
      <c r="AE9" s="291">
        <f>'Reporte Componentes R1'!F62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1:35" s="305" customFormat="1" x14ac:dyDescent="0.25">
      <c r="B10" s="314">
        <v>2</v>
      </c>
      <c r="C10" s="315" t="s">
        <v>11</v>
      </c>
      <c r="D10" s="291">
        <f>'Reporte Componentes R1'!F215</f>
        <v>0</v>
      </c>
      <c r="E10" s="291">
        <f>'Reporte Componentes R1'!G215</f>
        <v>0</v>
      </c>
      <c r="F10" s="291">
        <f>'Reporte Componentes R1'!H215</f>
        <v>0</v>
      </c>
      <c r="G10" s="291">
        <f>'Reporte Componentes R1'!I215</f>
        <v>0</v>
      </c>
      <c r="H10" s="291">
        <f>'Reporte Componentes R1'!J215</f>
        <v>0</v>
      </c>
      <c r="I10" s="291">
        <f>'Reporte Componentes R1'!K215</f>
        <v>0</v>
      </c>
      <c r="J10" s="291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R1'!L215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R1'!M215</f>
        <v>0</v>
      </c>
      <c r="V10" s="316">
        <f>'Reporte Componentes R1'!N215</f>
        <v>0</v>
      </c>
      <c r="W10" s="316">
        <f>'Reporte Componentes R1'!O215</f>
        <v>0</v>
      </c>
      <c r="X10" s="316">
        <f>'Reporte Componentes R1'!P215</f>
        <v>0</v>
      </c>
      <c r="Y10" s="316">
        <f>'Reporte Componentes R1'!Q215</f>
        <v>0</v>
      </c>
      <c r="Z10" s="319">
        <f>L10*-1</f>
        <v>0</v>
      </c>
      <c r="AA10" s="320">
        <f>'Reporte Componentes R1'!R215+'Reporte Componentes R1'!V215+'Reporte Componentes R1'!U215</f>
        <v>0</v>
      </c>
      <c r="AB10" s="294">
        <f>N10</f>
        <v>0</v>
      </c>
      <c r="AC10" s="320">
        <f>'Reporte Componentes R1'!T294+'Reporte Componentes R1'!W294+'Reporte Componentes R1'!X294+'Reporte Componentes R1'!Y294+'Reporte Componentes R1'!Z294+'Reporte Componentes R1'!S294</f>
        <v>0</v>
      </c>
      <c r="AD10" s="291">
        <f t="shared" ref="AD10:AD13" si="2">-J10+AE10</f>
        <v>0</v>
      </c>
      <c r="AE10" s="291">
        <f>'Reporte Componentes R1'!F216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1:35" s="305" customFormat="1" x14ac:dyDescent="0.25">
      <c r="B11" s="314">
        <v>3</v>
      </c>
      <c r="C11" s="315" t="s">
        <v>12</v>
      </c>
      <c r="D11" s="291">
        <f>'Reporte Componentes R1'!F354</f>
        <v>0</v>
      </c>
      <c r="E11" s="291">
        <f>'Reporte Componentes R1'!G354</f>
        <v>0</v>
      </c>
      <c r="F11" s="291">
        <f>'Reporte Componentes R1'!H354</f>
        <v>0</v>
      </c>
      <c r="G11" s="291">
        <f>'Reporte Componentes R1'!I354</f>
        <v>0</v>
      </c>
      <c r="H11" s="291">
        <f>'Reporte Componentes R1'!J354</f>
        <v>0</v>
      </c>
      <c r="I11" s="291">
        <f>'Reporte Componentes R1'!K354</f>
        <v>0</v>
      </c>
      <c r="J11" s="291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R1'!L354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R1'!M354</f>
        <v>0</v>
      </c>
      <c r="V11" s="316">
        <f>'Reporte Componentes R1'!N354</f>
        <v>0</v>
      </c>
      <c r="W11" s="316">
        <f>'Reporte Componentes R1'!O354</f>
        <v>0</v>
      </c>
      <c r="X11" s="316">
        <f>'Reporte Componentes R1'!P354</f>
        <v>0</v>
      </c>
      <c r="Y11" s="316">
        <f>'Reporte Componentes R1'!Q354</f>
        <v>0</v>
      </c>
      <c r="Z11" s="319">
        <f>L11*-1</f>
        <v>0</v>
      </c>
      <c r="AA11" s="320">
        <f>'Reporte Componentes R1'!R354+'Reporte Componentes R1'!V354+'Reporte Componentes R1'!U354</f>
        <v>0</v>
      </c>
      <c r="AB11" s="294">
        <f>N11</f>
        <v>0</v>
      </c>
      <c r="AC11" s="320">
        <f>'Reporte Componentes R1'!T354+'Reporte Componentes R1'!W354+'Reporte Componentes R1'!X354+'Reporte Componentes R1'!Y354+'Reporte Componentes R1'!Z354+'Reporte Componentes R1'!S354</f>
        <v>0</v>
      </c>
      <c r="AD11" s="291">
        <f t="shared" si="2"/>
        <v>0</v>
      </c>
      <c r="AE11" s="291">
        <f>'Reporte Componentes R1'!F355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1:35" s="305" customFormat="1" x14ac:dyDescent="0.25">
      <c r="B12" s="314">
        <v>4</v>
      </c>
      <c r="C12" s="315" t="s">
        <v>13</v>
      </c>
      <c r="D12" s="291">
        <f>'Reporte Componentes R1'!F487</f>
        <v>0</v>
      </c>
      <c r="E12" s="291">
        <f>'Reporte Componentes R1'!G487</f>
        <v>0</v>
      </c>
      <c r="F12" s="291">
        <f>'Reporte Componentes R1'!H487</f>
        <v>0</v>
      </c>
      <c r="G12" s="291">
        <f>'Reporte Componentes R1'!I487</f>
        <v>0</v>
      </c>
      <c r="H12" s="291">
        <f>'Reporte Componentes R1'!J487</f>
        <v>0</v>
      </c>
      <c r="I12" s="291">
        <f>'Reporte Componentes R1'!K487</f>
        <v>0</v>
      </c>
      <c r="J12" s="291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R1'!L487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R1'!M487</f>
        <v>0</v>
      </c>
      <c r="V12" s="316">
        <f>'Reporte Componentes R1'!N487</f>
        <v>0</v>
      </c>
      <c r="W12" s="316">
        <f>'Reporte Componentes R1'!O487</f>
        <v>0</v>
      </c>
      <c r="X12" s="316">
        <f>'Reporte Componentes R1'!P487</f>
        <v>0</v>
      </c>
      <c r="Y12" s="316">
        <f>'Reporte Componentes R1'!Q487</f>
        <v>0</v>
      </c>
      <c r="Z12" s="319">
        <f>L12*-1</f>
        <v>0</v>
      </c>
      <c r="AA12" s="320">
        <f>'Reporte Componentes R1'!R487+'Reporte Componentes R1'!V487+'Reporte Componentes R1'!U487</f>
        <v>0</v>
      </c>
      <c r="AB12" s="294">
        <f>N12</f>
        <v>0</v>
      </c>
      <c r="AC12" s="320">
        <f>'Reporte Componentes R1'!T487+'Reporte Componentes R1'!W487+'Reporte Componentes R1'!X487+'Reporte Componentes R1'!Y487+'Reporte Componentes R1'!Z487+'Reporte Componentes R1'!S487</f>
        <v>0</v>
      </c>
      <c r="AD12" s="291">
        <f t="shared" si="2"/>
        <v>0</v>
      </c>
      <c r="AE12" s="291">
        <f>'Reporte Componentes R1'!F488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1:35" s="305" customFormat="1" ht="12" thickBot="1" x14ac:dyDescent="0.3">
      <c r="B13" s="324">
        <v>5</v>
      </c>
      <c r="C13" s="325" t="s">
        <v>14</v>
      </c>
      <c r="D13" s="296">
        <f>'Reporte Componentes R1'!F566</f>
        <v>34785170.68</v>
      </c>
      <c r="E13" s="296">
        <f>'Reporte Componentes R1'!G566</f>
        <v>2225340.34</v>
      </c>
      <c r="F13" s="296">
        <f>'Reporte Componentes R1'!H566</f>
        <v>1233853.4399999999</v>
      </c>
      <c r="G13" s="296">
        <f>'Reporte Componentes R1'!I566</f>
        <v>663273.05000000005</v>
      </c>
      <c r="H13" s="296">
        <f>'Reporte Componentes R1'!J566</f>
        <v>8789321.2599999998</v>
      </c>
      <c r="I13" s="296">
        <f>'Reporte Componentes R1'!K566</f>
        <v>309274.96999999997</v>
      </c>
      <c r="J13" s="296">
        <v>0</v>
      </c>
      <c r="K13" s="295">
        <f t="shared" si="0"/>
        <v>21564107.619999997</v>
      </c>
      <c r="L13" s="294">
        <v>0</v>
      </c>
      <c r="M13" s="298">
        <f>K13-L13</f>
        <v>21564107.619999997</v>
      </c>
      <c r="N13" s="299">
        <f>'Reporte Componentes R1'!L566</f>
        <v>37.32</v>
      </c>
      <c r="O13" s="298">
        <f>M13+N13</f>
        <v>21564144.939999998</v>
      </c>
      <c r="Q13" s="306"/>
      <c r="S13" s="324">
        <v>5</v>
      </c>
      <c r="T13" s="325" t="s">
        <v>14</v>
      </c>
      <c r="U13" s="296">
        <f>'Reporte Componentes R1'!M566</f>
        <v>2691574.71</v>
      </c>
      <c r="V13" s="296">
        <f>'Reporte Componentes R1'!N566</f>
        <v>2724685.96</v>
      </c>
      <c r="W13" s="296">
        <f>'Reporte Componentes R1'!O566</f>
        <v>13908693.199999999</v>
      </c>
      <c r="X13" s="296">
        <f>'Reporte Componentes R1'!P566</f>
        <v>6656558.7300000004</v>
      </c>
      <c r="Y13" s="296">
        <f>'Reporte Componentes R1'!Q566</f>
        <v>505483.58</v>
      </c>
      <c r="Z13" s="319">
        <f>L13*-1</f>
        <v>0</v>
      </c>
      <c r="AA13" s="320">
        <f>'Reporte Componentes R1'!R566+'Reporte Componentes R1'!V566+'Reporte Componentes R1'!U566</f>
        <v>-92.03</v>
      </c>
      <c r="AB13" s="294">
        <f>N13</f>
        <v>37.32</v>
      </c>
      <c r="AC13" s="320">
        <f>'Reporte Componentes R1'!T566+'Reporte Componentes R1'!W566+'Reporte Componentes R1'!X566+'Reporte Componentes R1'!Y566+'Reporte Componentes R1'!Z566+'Reporte Componentes R1'!S566</f>
        <v>-0.01</v>
      </c>
      <c r="AD13" s="291">
        <f t="shared" si="2"/>
        <v>-4922796.5199999996</v>
      </c>
      <c r="AE13" s="291">
        <f>'Reporte Componentes R1'!F567</f>
        <v>-4922796.5199999996</v>
      </c>
      <c r="AF13" s="322">
        <f t="shared" si="4"/>
        <v>21564144.939999994</v>
      </c>
      <c r="AG13" s="326">
        <f>(AF13-O13)</f>
        <v>-3.7252902984619141E-9</v>
      </c>
      <c r="AH13" s="1" t="b">
        <f t="shared" si="3"/>
        <v>0</v>
      </c>
      <c r="AI13" s="306"/>
    </row>
    <row r="14" spans="1:35" s="305" customFormat="1" ht="13.5" thickBot="1" x14ac:dyDescent="0.35">
      <c r="B14" s="327"/>
      <c r="C14" s="328" t="s">
        <v>2</v>
      </c>
      <c r="D14" s="290">
        <f>SUM(D9:D13)</f>
        <v>34785170.68</v>
      </c>
      <c r="E14" s="290">
        <f t="shared" ref="E14:O14" si="5">SUM(E9:E13)</f>
        <v>2225340.34</v>
      </c>
      <c r="F14" s="290">
        <f t="shared" si="5"/>
        <v>1233853.4399999999</v>
      </c>
      <c r="G14" s="290">
        <f t="shared" si="5"/>
        <v>663273.05000000005</v>
      </c>
      <c r="H14" s="290">
        <f t="shared" si="5"/>
        <v>8789321.2599999998</v>
      </c>
      <c r="I14" s="290">
        <f t="shared" si="5"/>
        <v>309274.96999999997</v>
      </c>
      <c r="J14" s="290">
        <f t="shared" si="5"/>
        <v>0</v>
      </c>
      <c r="K14" s="300">
        <f t="shared" si="5"/>
        <v>21564107.619999997</v>
      </c>
      <c r="L14" s="301">
        <f>SUM(L9:L13)</f>
        <v>0</v>
      </c>
      <c r="M14" s="302">
        <f t="shared" si="5"/>
        <v>21564107.619999997</v>
      </c>
      <c r="N14" s="301">
        <f t="shared" si="5"/>
        <v>37.32</v>
      </c>
      <c r="O14" s="302">
        <f t="shared" si="5"/>
        <v>21564144.939999998</v>
      </c>
      <c r="P14" s="329"/>
      <c r="Q14" s="306"/>
      <c r="S14" s="327"/>
      <c r="T14" s="328" t="s">
        <v>2</v>
      </c>
      <c r="U14" s="330">
        <f>SUM(U9:U13)</f>
        <v>2691574.71</v>
      </c>
      <c r="V14" s="330">
        <f t="shared" ref="V14:AF14" si="6">SUM(V9:V13)</f>
        <v>2724685.96</v>
      </c>
      <c r="W14" s="330">
        <f t="shared" si="6"/>
        <v>13908693.199999999</v>
      </c>
      <c r="X14" s="330">
        <f t="shared" si="6"/>
        <v>6656558.7300000004</v>
      </c>
      <c r="Y14" s="330">
        <f t="shared" si="6"/>
        <v>505483.58</v>
      </c>
      <c r="Z14" s="290">
        <f t="shared" si="6"/>
        <v>0</v>
      </c>
      <c r="AA14" s="290">
        <f t="shared" si="6"/>
        <v>-92.03</v>
      </c>
      <c r="AB14" s="290">
        <f t="shared" si="6"/>
        <v>37.32</v>
      </c>
      <c r="AC14" s="290">
        <f t="shared" si="6"/>
        <v>-0.01</v>
      </c>
      <c r="AD14" s="290">
        <f>SUM(AD9:AD13)</f>
        <v>-4922796.5199999996</v>
      </c>
      <c r="AE14" s="290">
        <f>SUM(AE9:AE13)</f>
        <v>-4922796.5199999996</v>
      </c>
      <c r="AF14" s="331">
        <f t="shared" si="6"/>
        <v>21564144.939999994</v>
      </c>
      <c r="AG14" s="332">
        <f>SUM(AG9:AG13)</f>
        <v>-3.7252902984619141E-9</v>
      </c>
      <c r="AH14" s="1" t="b">
        <f t="shared" si="3"/>
        <v>0</v>
      </c>
      <c r="AI14" s="306"/>
    </row>
    <row r="15" spans="1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26486996.179999996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5" x14ac:dyDescent="0.35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x14ac:dyDescent="0.25">
      <c r="B28" s="303">
        <v>1</v>
      </c>
      <c r="C28" s="304" t="s">
        <v>10</v>
      </c>
      <c r="D28" s="291">
        <f>'Rem. Anticipos R2'!E52</f>
        <v>0</v>
      </c>
      <c r="E28" s="291">
        <f>'Rem. Anticipos R2'!F52</f>
        <v>0</v>
      </c>
      <c r="F28" s="291">
        <f>'Rem. Anticipos R2'!G52</f>
        <v>0</v>
      </c>
      <c r="G28" s="291">
        <f>'Rem. Anticipos R2'!H52</f>
        <v>0</v>
      </c>
      <c r="H28" s="291">
        <f>'Rem. Anticipos R2'!I52</f>
        <v>0</v>
      </c>
      <c r="I28" s="291">
        <f>'Rem. Anticipos R2'!J52</f>
        <v>0</v>
      </c>
      <c r="J28" s="291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R2'!K52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R2'!L52</f>
        <v>0</v>
      </c>
      <c r="V28" s="307">
        <f>'Rem. Anticipos R2'!M52</f>
        <v>0</v>
      </c>
      <c r="W28" s="307">
        <f>'Rem. Anticipos R2'!N52</f>
        <v>0</v>
      </c>
      <c r="X28" s="307">
        <f>'Rem. Anticipos R2'!O52</f>
        <v>0</v>
      </c>
      <c r="Y28" s="307">
        <f>'Rem. Anticipos R2'!P52</f>
        <v>0</v>
      </c>
      <c r="Z28" s="310">
        <f>L28*-1</f>
        <v>0</v>
      </c>
      <c r="AA28" s="311">
        <f>'Rem. Anticipos R2'!Q52</f>
        <v>0</v>
      </c>
      <c r="AB28" s="294">
        <f>N28</f>
        <v>0</v>
      </c>
      <c r="AC28" s="311">
        <f>'Rem. Anticipos R2'!R52</f>
        <v>0</v>
      </c>
      <c r="AD28" s="291">
        <f>-J28+AE28</f>
        <v>0</v>
      </c>
      <c r="AE28" s="291">
        <f>'Rem. Anticipos R2'!E53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x14ac:dyDescent="0.25">
      <c r="B29" s="314">
        <v>2</v>
      </c>
      <c r="C29" s="315" t="s">
        <v>11</v>
      </c>
      <c r="D29" s="291">
        <f>'Rem. Anticipos R2'!E145</f>
        <v>0</v>
      </c>
      <c r="E29" s="292">
        <f>'Rem. Anticipos R2'!F145</f>
        <v>0</v>
      </c>
      <c r="F29" s="292">
        <f>'Rem. Anticipos R2'!G145</f>
        <v>0</v>
      </c>
      <c r="G29" s="292">
        <f>'Rem. Anticipos R2'!H145</f>
        <v>0</v>
      </c>
      <c r="H29" s="292">
        <f>'Rem. Anticipos R2'!I145</f>
        <v>0</v>
      </c>
      <c r="I29" s="292">
        <f>'Rem. Anticipos R2'!J145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R2'!K145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'Rem. Anticipos R2'!L145</f>
        <v>0</v>
      </c>
      <c r="V29" s="317">
        <f>'Rem. Anticipos R2'!M145</f>
        <v>0</v>
      </c>
      <c r="W29" s="317">
        <f>'Rem. Anticipos R2'!N145</f>
        <v>0</v>
      </c>
      <c r="X29" s="317">
        <f>'Rem. Anticipos R2'!O145</f>
        <v>0</v>
      </c>
      <c r="Y29" s="318">
        <f>'Rem. Anticipos R2'!P145</f>
        <v>0</v>
      </c>
      <c r="Z29" s="319">
        <f>L29*-1</f>
        <v>0</v>
      </c>
      <c r="AA29" s="320">
        <f>'Rem. Anticipos R2'!Q145</f>
        <v>0</v>
      </c>
      <c r="AB29" s="294">
        <f>N29</f>
        <v>0</v>
      </c>
      <c r="AC29" s="320">
        <f>'Rem. Anticipos R2'!R145</f>
        <v>0</v>
      </c>
      <c r="AD29" s="291">
        <f>-J29+AE29</f>
        <v>0</v>
      </c>
      <c r="AE29" s="291">
        <f>'Rem. Anticipos R2'!E146</f>
        <v>0</v>
      </c>
      <c r="AF29" s="322">
        <f>SUM(U29:AD29)</f>
        <v>0</v>
      </c>
      <c r="AG29" s="323">
        <f>(AF29-O29)</f>
        <v>0</v>
      </c>
      <c r="AH29" s="1" t="b">
        <f t="shared" ref="AH29:AH33" si="8">INT(AG29)=0</f>
        <v>1</v>
      </c>
      <c r="AI29" s="306"/>
    </row>
    <row r="30" spans="1:35" s="305" customFormat="1" x14ac:dyDescent="0.25">
      <c r="B30" s="314">
        <v>3</v>
      </c>
      <c r="C30" s="315" t="s">
        <v>12</v>
      </c>
      <c r="D30" s="291">
        <f>'Rem. Anticipos R2'!E262</f>
        <v>0</v>
      </c>
      <c r="E30" s="291">
        <f>'Rem. Anticipos R2'!F262</f>
        <v>0</v>
      </c>
      <c r="F30" s="291">
        <f>'Rem. Anticipos R2'!G262</f>
        <v>0</v>
      </c>
      <c r="G30" s="291">
        <f>'Rem. Anticipos R2'!H262</f>
        <v>0</v>
      </c>
      <c r="H30" s="291">
        <f>'Rem. Anticipos R2'!I262</f>
        <v>0</v>
      </c>
      <c r="I30" s="291">
        <f>'Rem. Anticipos R2'!J262</f>
        <v>0</v>
      </c>
      <c r="J30" s="288">
        <v>0</v>
      </c>
      <c r="K30" s="295">
        <f t="shared" ref="K30:K31" si="9">D30-E30-F30-G30-H30-I30-J30</f>
        <v>0</v>
      </c>
      <c r="L30" s="294">
        <v>0</v>
      </c>
      <c r="M30" s="295">
        <f>K30-L30</f>
        <v>0</v>
      </c>
      <c r="N30" s="294">
        <f>'Rem. Anticipos R2'!K262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'Rem. Anticipos R2'!L262</f>
        <v>0</v>
      </c>
      <c r="V30" s="316">
        <f>'Rem. Anticipos R2'!M262</f>
        <v>0</v>
      </c>
      <c r="W30" s="316">
        <f>'Rem. Anticipos R2'!N262</f>
        <v>0</v>
      </c>
      <c r="X30" s="316">
        <f>'Rem. Anticipos R2'!O262</f>
        <v>0</v>
      </c>
      <c r="Y30" s="316">
        <f>'Rem. Anticipos R2'!P262</f>
        <v>0</v>
      </c>
      <c r="Z30" s="319">
        <f>L30*-1</f>
        <v>0</v>
      </c>
      <c r="AA30" s="320">
        <f>'Rem. Anticipos R2'!Q262</f>
        <v>0</v>
      </c>
      <c r="AB30" s="294">
        <f>N30</f>
        <v>0</v>
      </c>
      <c r="AC30" s="320">
        <f>'Rem. Anticipos R2'!R262</f>
        <v>0</v>
      </c>
      <c r="AD30" s="291">
        <f t="shared" ref="AD30:AD32" si="10">-J30+AE30</f>
        <v>0</v>
      </c>
      <c r="AE30" s="291">
        <f>'Rem. Anticipos R2'!E263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8"/>
        <v>1</v>
      </c>
      <c r="AI30" s="306"/>
    </row>
    <row r="31" spans="1:35" s="305" customFormat="1" x14ac:dyDescent="0.25">
      <c r="B31" s="314">
        <v>4</v>
      </c>
      <c r="C31" s="315" t="s">
        <v>13</v>
      </c>
      <c r="D31" s="291">
        <f>'Rem. Anticipos R2'!E361</f>
        <v>0</v>
      </c>
      <c r="E31" s="291">
        <f>'Rem. Anticipos R2'!F361</f>
        <v>0</v>
      </c>
      <c r="F31" s="291">
        <f>'Rem. Anticipos R2'!G361</f>
        <v>0</v>
      </c>
      <c r="G31" s="291">
        <f>'Rem. Anticipos R2'!H361</f>
        <v>0</v>
      </c>
      <c r="H31" s="291">
        <f>'Rem. Anticipos R2'!I361</f>
        <v>0</v>
      </c>
      <c r="I31" s="291">
        <f>'Rem. Anticipos R2'!J361</f>
        <v>0</v>
      </c>
      <c r="J31" s="288">
        <v>0</v>
      </c>
      <c r="K31" s="295">
        <f t="shared" si="9"/>
        <v>0</v>
      </c>
      <c r="L31" s="294">
        <v>0</v>
      </c>
      <c r="M31" s="295">
        <f>K31-L31</f>
        <v>0</v>
      </c>
      <c r="N31" s="294">
        <f>'Rem. Anticipos R2'!K361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'Rem. Anticipos R2'!L361</f>
        <v>0</v>
      </c>
      <c r="V31" s="316">
        <f>'Rem. Anticipos R2'!M361</f>
        <v>0</v>
      </c>
      <c r="W31" s="316">
        <f>'Rem. Anticipos R2'!N361</f>
        <v>0</v>
      </c>
      <c r="X31" s="316">
        <f>'Rem. Anticipos R2'!O361</f>
        <v>0</v>
      </c>
      <c r="Y31" s="316">
        <f>'Rem. Anticipos R2'!P361</f>
        <v>0</v>
      </c>
      <c r="Z31" s="319">
        <f>L31*-1</f>
        <v>0</v>
      </c>
      <c r="AA31" s="320">
        <f>'Rem. Anticipos R2'!Q361</f>
        <v>0</v>
      </c>
      <c r="AB31" s="294">
        <f>N31</f>
        <v>0</v>
      </c>
      <c r="AC31" s="320">
        <f>'Rem. Anticipos R2'!R361</f>
        <v>0</v>
      </c>
      <c r="AD31" s="291">
        <f t="shared" si="10"/>
        <v>0</v>
      </c>
      <c r="AE31" s="291">
        <f>'Rem. Anticipos R2'!E362</f>
        <v>0</v>
      </c>
      <c r="AF31" s="322">
        <f>SUM(U31:AD31)</f>
        <v>0</v>
      </c>
      <c r="AG31" s="323">
        <f t="shared" si="11"/>
        <v>0</v>
      </c>
      <c r="AH31" s="1" t="b">
        <f t="shared" si="8"/>
        <v>1</v>
      </c>
      <c r="AI31" s="306"/>
    </row>
    <row r="32" spans="1:35" s="305" customFormat="1" ht="12" thickBot="1" x14ac:dyDescent="0.3">
      <c r="B32" s="324">
        <v>5</v>
      </c>
      <c r="C32" s="325" t="s">
        <v>14</v>
      </c>
      <c r="D32" s="296">
        <f>'Rem. Anticipos R2'!E441</f>
        <v>3790847.24</v>
      </c>
      <c r="E32" s="296">
        <f>'Rem. Anticipos R2'!F441</f>
        <v>315585.40999999997</v>
      </c>
      <c r="F32" s="296">
        <f>'Rem. Anticipos R2'!G441</f>
        <v>168651.51</v>
      </c>
      <c r="G32" s="296">
        <f>'Rem. Anticipos R2'!H441</f>
        <v>84078.44</v>
      </c>
      <c r="H32" s="296">
        <f>'Rem. Anticipos R2'!I441</f>
        <v>1499498.33</v>
      </c>
      <c r="I32" s="296">
        <f>'Rem. Anticipos R2'!J441</f>
        <v>40273.5</v>
      </c>
      <c r="J32" s="289">
        <v>0</v>
      </c>
      <c r="K32" s="295">
        <f>D32-E32-F32-G32-H32-I32-J32</f>
        <v>1682760.0500000003</v>
      </c>
      <c r="L32" s="294">
        <v>0</v>
      </c>
      <c r="M32" s="298">
        <f>K32-L32</f>
        <v>1682760.0500000003</v>
      </c>
      <c r="N32" s="299">
        <f>'Rem. Anticipos R2'!K441</f>
        <v>0</v>
      </c>
      <c r="O32" s="298">
        <f t="shared" si="7"/>
        <v>1682760.0500000003</v>
      </c>
      <c r="Q32" s="306"/>
      <c r="S32" s="324">
        <v>5</v>
      </c>
      <c r="T32" s="325" t="s">
        <v>14</v>
      </c>
      <c r="U32" s="296">
        <f>'Rem. Anticipos R2'!L441</f>
        <v>342452.22</v>
      </c>
      <c r="V32" s="297">
        <f>'Rem. Anticipos R2'!M441</f>
        <v>329953.59999999998</v>
      </c>
      <c r="W32" s="297">
        <f>'Rem. Anticipos R2'!N441</f>
        <v>1505531.38</v>
      </c>
      <c r="X32" s="297">
        <f>'Rem. Anticipos R2'!O441</f>
        <v>821299.02</v>
      </c>
      <c r="Y32" s="289">
        <f>'Rem. Anticipos R2'!P441</f>
        <v>66986.789999999994</v>
      </c>
      <c r="Z32" s="319">
        <f>L32*-1</f>
        <v>0</v>
      </c>
      <c r="AA32" s="320">
        <f>'Rem. Anticipos R2'!Q441</f>
        <v>-4</v>
      </c>
      <c r="AB32" s="294">
        <f>N32</f>
        <v>0</v>
      </c>
      <c r="AC32" s="320">
        <f>'Rem. Anticipos R2'!R441</f>
        <v>0</v>
      </c>
      <c r="AD32" s="291">
        <f t="shared" si="10"/>
        <v>-1383458.96</v>
      </c>
      <c r="AE32" s="291">
        <f>'Rem. Anticipos R2'!E442</f>
        <v>-1383458.96</v>
      </c>
      <c r="AF32" s="322">
        <f>SUM(U32:AD32)</f>
        <v>1682760.0499999998</v>
      </c>
      <c r="AG32" s="326">
        <f>(AF32-O32)</f>
        <v>-4.6566128730773926E-10</v>
      </c>
      <c r="AH32" s="1" t="b">
        <f t="shared" si="8"/>
        <v>0</v>
      </c>
      <c r="AI32" s="306"/>
    </row>
    <row r="33" spans="1:35" s="305" customFormat="1" ht="13.5" thickBot="1" x14ac:dyDescent="0.35">
      <c r="B33" s="327"/>
      <c r="C33" s="328" t="s">
        <v>2</v>
      </c>
      <c r="D33" s="290">
        <f>SUM(D28:D32)</f>
        <v>3790847.24</v>
      </c>
      <c r="E33" s="290">
        <f>SUM(E28:E32)</f>
        <v>315585.40999999997</v>
      </c>
      <c r="F33" s="290">
        <f t="shared" ref="F33:O33" si="12">SUM(F28:F32)</f>
        <v>168651.51</v>
      </c>
      <c r="G33" s="290">
        <f t="shared" si="12"/>
        <v>84078.44</v>
      </c>
      <c r="H33" s="290">
        <f t="shared" si="12"/>
        <v>1499498.33</v>
      </c>
      <c r="I33" s="290">
        <f t="shared" si="12"/>
        <v>40273.5</v>
      </c>
      <c r="J33" s="290">
        <f t="shared" si="12"/>
        <v>0</v>
      </c>
      <c r="K33" s="300">
        <f t="shared" si="12"/>
        <v>1682760.0500000003</v>
      </c>
      <c r="L33" s="301">
        <f t="shared" si="12"/>
        <v>0</v>
      </c>
      <c r="M33" s="302">
        <f t="shared" si="12"/>
        <v>1682760.0500000003</v>
      </c>
      <c r="N33" s="301">
        <f t="shared" si="12"/>
        <v>0</v>
      </c>
      <c r="O33" s="302">
        <f t="shared" si="12"/>
        <v>1682760.0500000003</v>
      </c>
      <c r="P33" s="329"/>
      <c r="Q33" s="306"/>
      <c r="S33" s="327"/>
      <c r="T33" s="328" t="s">
        <v>2</v>
      </c>
      <c r="U33" s="330">
        <f>SUM(U28:U32)</f>
        <v>342452.22</v>
      </c>
      <c r="V33" s="330">
        <f t="shared" ref="V33:AG33" si="13">SUM(V28:V32)</f>
        <v>329953.59999999998</v>
      </c>
      <c r="W33" s="330">
        <f t="shared" si="13"/>
        <v>1505531.38</v>
      </c>
      <c r="X33" s="330">
        <f t="shared" si="13"/>
        <v>821299.02</v>
      </c>
      <c r="Y33" s="330">
        <f t="shared" si="13"/>
        <v>66986.789999999994</v>
      </c>
      <c r="Z33" s="290">
        <f t="shared" si="13"/>
        <v>0</v>
      </c>
      <c r="AA33" s="290">
        <f t="shared" si="13"/>
        <v>-4</v>
      </c>
      <c r="AB33" s="290">
        <f t="shared" si="13"/>
        <v>0</v>
      </c>
      <c r="AC33" s="290">
        <f t="shared" si="13"/>
        <v>0</v>
      </c>
      <c r="AD33" s="290">
        <f>SUM(AD28:AD32)</f>
        <v>-1383458.96</v>
      </c>
      <c r="AE33" s="290">
        <f>SUM(AE28:AE32)</f>
        <v>-1383458.96</v>
      </c>
      <c r="AF33" s="331">
        <f t="shared" si="13"/>
        <v>1682760.0499999998</v>
      </c>
      <c r="AG33" s="332">
        <f t="shared" si="13"/>
        <v>-4.6566128730773926E-10</v>
      </c>
      <c r="AH33" s="1" t="b">
        <f t="shared" si="8"/>
        <v>0</v>
      </c>
      <c r="AI33" s="306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3066223.01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5" x14ac:dyDescent="0.35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x14ac:dyDescent="0.25">
      <c r="B47" s="303">
        <v>1</v>
      </c>
      <c r="C47" s="304" t="s">
        <v>10</v>
      </c>
      <c r="D47" s="291">
        <f>'Reporte Componentes R1'!F63</f>
        <v>0</v>
      </c>
      <c r="E47" s="291">
        <f>'Reporte Componentes R1'!G63</f>
        <v>0</v>
      </c>
      <c r="F47" s="291">
        <f>'Reporte Componentes R1'!H63</f>
        <v>0</v>
      </c>
      <c r="G47" s="291">
        <f>'Reporte Componentes R1'!I63</f>
        <v>0</v>
      </c>
      <c r="H47" s="291">
        <f>'Reporte Componentes R1'!J63</f>
        <v>0</v>
      </c>
      <c r="I47" s="291">
        <f>'Reporte Componentes R1'!K63</f>
        <v>0</v>
      </c>
      <c r="J47" s="291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R1'!L63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R1'!M63</f>
        <v>0</v>
      </c>
      <c r="V47" s="307">
        <f>'Reporte Componentes R1'!N63</f>
        <v>0</v>
      </c>
      <c r="W47" s="307">
        <f>'Reporte Componentes R1'!O63</f>
        <v>0</v>
      </c>
      <c r="X47" s="307">
        <f>'Reporte Componentes R1'!P63</f>
        <v>0</v>
      </c>
      <c r="Y47" s="307">
        <f>'Reporte Componentes R1'!Q63</f>
        <v>0</v>
      </c>
      <c r="Z47" s="310">
        <f>-L47</f>
        <v>0</v>
      </c>
      <c r="AA47" s="320">
        <f>'Reporte Componentes R1'!R63+'Reporte Componentes R1'!V63+'Reporte Componentes R1'!U63</f>
        <v>0</v>
      </c>
      <c r="AB47" s="294">
        <f>N47</f>
        <v>0</v>
      </c>
      <c r="AC47" s="311">
        <f>'Reporte Componentes R1'!T63+'Reporte Componentes R1'!W63+'Reporte Componentes R1'!X63+'Reporte Componentes R1'!Y63+'Reporte Componentes R1'!Z63+'Reporte Componentes R1'!S63</f>
        <v>0</v>
      </c>
      <c r="AD47" s="291">
        <f>-J47+AE47</f>
        <v>0</v>
      </c>
      <c r="AE47" s="291">
        <f>'Reporte Componentes R1'!F64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x14ac:dyDescent="0.25">
      <c r="B48" s="314">
        <v>2</v>
      </c>
      <c r="C48" s="315" t="s">
        <v>11</v>
      </c>
      <c r="D48" s="291">
        <f>'Reporte Componentes R1'!F217</f>
        <v>0</v>
      </c>
      <c r="E48" s="291">
        <f>'Reporte Componentes R1'!G217</f>
        <v>0</v>
      </c>
      <c r="F48" s="291">
        <f>'Reporte Componentes R1'!H217</f>
        <v>0</v>
      </c>
      <c r="G48" s="291">
        <f>'Reporte Componentes R1'!I217</f>
        <v>0</v>
      </c>
      <c r="H48" s="291">
        <f>'Reporte Componentes R1'!J217</f>
        <v>0</v>
      </c>
      <c r="I48" s="291">
        <f>'Reporte Componentes R1'!K217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R1'!L217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R1'!M217</f>
        <v>0</v>
      </c>
      <c r="V48" s="316">
        <f>'Reporte Componentes R1'!N217</f>
        <v>0</v>
      </c>
      <c r="W48" s="316">
        <f>'Reporte Componentes R1'!O217</f>
        <v>0</v>
      </c>
      <c r="X48" s="316">
        <f>'Reporte Componentes R1'!P217</f>
        <v>0</v>
      </c>
      <c r="Y48" s="316">
        <f>'Reporte Componentes R1'!Q217</f>
        <v>0</v>
      </c>
      <c r="Z48" s="319">
        <f>-L48</f>
        <v>0</v>
      </c>
      <c r="AA48" s="320">
        <f>'Reporte Componentes R1'!R217+'Reporte Componentes R1'!V217+'Reporte Componentes R1'!U217</f>
        <v>0</v>
      </c>
      <c r="AB48" s="294">
        <f>N48</f>
        <v>0</v>
      </c>
      <c r="AC48" s="320">
        <f>'Reporte Componentes R1'!T217+'Reporte Componentes R1'!W217+'Reporte Componentes R1'!X217+'Reporte Componentes R1'!Y217+'Reporte Componentes R1'!Z217+'Reporte Componentes R1'!S217</f>
        <v>0</v>
      </c>
      <c r="AD48" s="291">
        <f t="shared" ref="AD48:AD51" si="16">-J48+AE48</f>
        <v>0</v>
      </c>
      <c r="AE48" s="291">
        <f>'Reporte Componentes R1'!F218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x14ac:dyDescent="0.25">
      <c r="B49" s="314">
        <v>3</v>
      </c>
      <c r="C49" s="315" t="s">
        <v>12</v>
      </c>
      <c r="D49" s="291">
        <f>'Reporte Componentes R1'!F356</f>
        <v>0</v>
      </c>
      <c r="E49" s="291">
        <f>'Reporte Componentes R1'!G356</f>
        <v>0</v>
      </c>
      <c r="F49" s="291">
        <f>'Reporte Componentes R1'!H356</f>
        <v>0</v>
      </c>
      <c r="G49" s="291">
        <f>'Reporte Componentes R1'!I356</f>
        <v>0</v>
      </c>
      <c r="H49" s="291">
        <f>'Reporte Componentes R1'!J356</f>
        <v>0</v>
      </c>
      <c r="I49" s="291">
        <f>'Reporte Componentes R1'!K356</f>
        <v>0</v>
      </c>
      <c r="J49" s="291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R1'!L356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R1'!M356</f>
        <v>0</v>
      </c>
      <c r="V49" s="316">
        <f>'Reporte Componentes R1'!N356</f>
        <v>0</v>
      </c>
      <c r="W49" s="316">
        <f>'Reporte Componentes R1'!O356</f>
        <v>0</v>
      </c>
      <c r="X49" s="316">
        <f>'Reporte Componentes R1'!P356</f>
        <v>0</v>
      </c>
      <c r="Y49" s="316">
        <f>'Reporte Componentes R1'!Q356</f>
        <v>0</v>
      </c>
      <c r="Z49" s="319">
        <f>-L49</f>
        <v>0</v>
      </c>
      <c r="AA49" s="320">
        <f>'Reporte Componentes R1'!R356+'Reporte Componentes R1'!V356+'Reporte Componentes R1'!U356</f>
        <v>0</v>
      </c>
      <c r="AB49" s="294">
        <f>N49</f>
        <v>0</v>
      </c>
      <c r="AC49" s="320">
        <f>'Reporte Componentes R1'!T356+'Reporte Componentes R1'!W356+'Reporte Componentes R1'!X356+'Reporte Componentes R1'!Y356+'Reporte Componentes R1'!Z356+'Reporte Componentes R1'!S356</f>
        <v>0</v>
      </c>
      <c r="AD49" s="291">
        <f t="shared" si="16"/>
        <v>0</v>
      </c>
      <c r="AE49" s="291">
        <f>'Reporte Componentes R1'!F357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x14ac:dyDescent="0.25">
      <c r="B50" s="314">
        <v>4</v>
      </c>
      <c r="C50" s="315" t="s">
        <v>13</v>
      </c>
      <c r="D50" s="291">
        <f>'Reporte Componentes R1'!F489</f>
        <v>0</v>
      </c>
      <c r="E50" s="291">
        <f>'Reporte Componentes R1'!G489</f>
        <v>0</v>
      </c>
      <c r="F50" s="291">
        <f>'Reporte Componentes R1'!H489</f>
        <v>0</v>
      </c>
      <c r="G50" s="291">
        <f>'Reporte Componentes R1'!I489</f>
        <v>0</v>
      </c>
      <c r="H50" s="291">
        <f>'Reporte Componentes R1'!J489</f>
        <v>0</v>
      </c>
      <c r="I50" s="291">
        <f>'Reporte Componentes R1'!K489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R1'!L489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R1'!M489</f>
        <v>0</v>
      </c>
      <c r="V50" s="316">
        <f>'Reporte Componentes R1'!N489</f>
        <v>0</v>
      </c>
      <c r="W50" s="316">
        <f>'Reporte Componentes R1'!O489</f>
        <v>0</v>
      </c>
      <c r="X50" s="316">
        <f>'Reporte Componentes R1'!P489</f>
        <v>0</v>
      </c>
      <c r="Y50" s="316">
        <f>'Reporte Componentes R1'!Q489</f>
        <v>0</v>
      </c>
      <c r="Z50" s="319">
        <f>-L50</f>
        <v>0</v>
      </c>
      <c r="AA50" s="320">
        <f>'Reporte Componentes R1'!R489+'Reporte Componentes R1'!V489+'Reporte Componentes R1'!U489</f>
        <v>0</v>
      </c>
      <c r="AB50" s="294">
        <f>N50</f>
        <v>0</v>
      </c>
      <c r="AC50" s="320">
        <f>'Reporte Componentes R1'!T489+'Reporte Componentes R1'!W489+'Reporte Componentes R1'!X489+'Reporte Componentes R1'!Y489+'Reporte Componentes R1'!Z489+'Reporte Componentes R1'!S489</f>
        <v>0</v>
      </c>
      <c r="AD50" s="291">
        <f t="shared" si="16"/>
        <v>0</v>
      </c>
      <c r="AE50" s="291">
        <f>'Reporte Componentes R1'!F490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" thickBot="1" x14ac:dyDescent="0.3">
      <c r="B51" s="324">
        <v>5</v>
      </c>
      <c r="C51" s="325" t="s">
        <v>14</v>
      </c>
      <c r="D51" s="296">
        <f>'Reporte Componentes R1'!F568</f>
        <v>0</v>
      </c>
      <c r="E51" s="296">
        <f>'Reporte Componentes R1'!G568</f>
        <v>0</v>
      </c>
      <c r="F51" s="296">
        <f>'Reporte Componentes R1'!H568</f>
        <v>0</v>
      </c>
      <c r="G51" s="296">
        <f>'Reporte Componentes R1'!I568</f>
        <v>0</v>
      </c>
      <c r="H51" s="296">
        <f>'Reporte Componentes R1'!J568</f>
        <v>0</v>
      </c>
      <c r="I51" s="296">
        <f>'Reporte Componentes R1'!K568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R1'!L568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R1'!M568</f>
        <v>0</v>
      </c>
      <c r="V51" s="296">
        <f>'Reporte Componentes R1'!N568</f>
        <v>0</v>
      </c>
      <c r="W51" s="296">
        <f>'Reporte Componentes R1'!O568</f>
        <v>0</v>
      </c>
      <c r="X51" s="296">
        <f>'Reporte Componentes R1'!P568</f>
        <v>0</v>
      </c>
      <c r="Y51" s="289">
        <f>'Reporte Componentes R1'!Q568</f>
        <v>0</v>
      </c>
      <c r="Z51" s="319">
        <f>-L51</f>
        <v>0</v>
      </c>
      <c r="AA51" s="320">
        <f>'Reporte Componentes R1'!R568+'Reporte Componentes R1'!V568+'Reporte Componentes R1'!U568</f>
        <v>0</v>
      </c>
      <c r="AB51" s="294">
        <f>N51</f>
        <v>0</v>
      </c>
      <c r="AC51" s="320">
        <f>'Reporte Componentes R1'!T568+'Reporte Componentes R1'!W568+'Reporte Componentes R1'!X568+'Reporte Componentes R1'!Y568+'Reporte Componentes R1'!Z568+'Reporte Componentes R1'!S568</f>
        <v>0</v>
      </c>
      <c r="AD51" s="291">
        <f t="shared" si="16"/>
        <v>0</v>
      </c>
      <c r="AE51" s="291">
        <f>'Reporte Componentes R1'!F569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5" thickBot="1" x14ac:dyDescent="0.35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si="22"/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5" x14ac:dyDescent="0.35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x14ac:dyDescent="0.25">
      <c r="B66" s="303">
        <v>1</v>
      </c>
      <c r="C66" s="304" t="s">
        <v>10</v>
      </c>
      <c r="D66" s="291">
        <f>'Reversion Pagos R4'!D79</f>
        <v>0</v>
      </c>
      <c r="E66" s="291">
        <f>'Reversion Pagos R4'!E79</f>
        <v>0</v>
      </c>
      <c r="F66" s="291">
        <f>'Reversion Pagos R4'!F79</f>
        <v>0</v>
      </c>
      <c r="G66" s="291">
        <f>'Reversion Pagos R4'!G79</f>
        <v>0</v>
      </c>
      <c r="H66" s="291">
        <f>'Reversion Pagos R4'!H79</f>
        <v>0</v>
      </c>
      <c r="I66" s="291">
        <f>'Reversion Pagos R4'!I79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R4'!P79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R4'!J79</f>
        <v>0</v>
      </c>
      <c r="V66" s="307">
        <f>'Reversion Pagos R4'!K79</f>
        <v>0</v>
      </c>
      <c r="W66" s="307">
        <f>'Reversion Pagos R4'!L79</f>
        <v>0</v>
      </c>
      <c r="X66" s="307">
        <f>'Reversion Pagos R4'!M79</f>
        <v>0</v>
      </c>
      <c r="Y66" s="307">
        <f>'Reversion Pagos R4'!N79</f>
        <v>0</v>
      </c>
      <c r="Z66" s="310">
        <f>-L66</f>
        <v>0</v>
      </c>
      <c r="AA66" s="311">
        <f>+'Reversion Pagos R4'!O79</f>
        <v>0</v>
      </c>
      <c r="AB66" s="294">
        <f>N66</f>
        <v>0</v>
      </c>
      <c r="AC66" s="311">
        <f>+'Reversion Pagos R4'!Q79+'Reversion Pagos R4'!R79</f>
        <v>0</v>
      </c>
      <c r="AD66" s="291">
        <f>-J66+AE66</f>
        <v>0</v>
      </c>
      <c r="AE66" s="291">
        <f>'Reversion Pagos R4'!D80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x14ac:dyDescent="0.25">
      <c r="B67" s="314">
        <v>2</v>
      </c>
      <c r="C67" s="315" t="s">
        <v>11</v>
      </c>
      <c r="D67" s="291">
        <f>'Reversion Pagos R4'!D179</f>
        <v>0</v>
      </c>
      <c r="E67" s="291">
        <f>'Reversion Pagos R4'!E179</f>
        <v>0</v>
      </c>
      <c r="F67" s="291">
        <f>'Reversion Pagos R4'!F179</f>
        <v>0</v>
      </c>
      <c r="G67" s="291">
        <f>'Reversion Pagos R4'!G179</f>
        <v>0</v>
      </c>
      <c r="H67" s="291">
        <f>'Reversion Pagos R4'!H179</f>
        <v>0</v>
      </c>
      <c r="I67" s="291">
        <f>'Reversion Pagos R4'!I179</f>
        <v>0</v>
      </c>
      <c r="J67" s="288">
        <v>0</v>
      </c>
      <c r="K67" s="295">
        <f t="shared" ref="K67:K70" si="23">D67-E67-F67-G67-H67-I67-J67</f>
        <v>0</v>
      </c>
      <c r="L67" s="294">
        <v>0</v>
      </c>
      <c r="M67" s="295">
        <f>K67-L67</f>
        <v>0</v>
      </c>
      <c r="N67" s="294">
        <f>'Reversion Pagos R4'!P179</f>
        <v>0</v>
      </c>
      <c r="O67" s="295">
        <f t="shared" ref="O67:O70" si="24">M67+N67</f>
        <v>0</v>
      </c>
      <c r="Q67" s="306"/>
      <c r="S67" s="314">
        <v>2</v>
      </c>
      <c r="T67" s="315" t="s">
        <v>11</v>
      </c>
      <c r="U67" s="316">
        <f>'Reversion Pagos R4'!J179</f>
        <v>0</v>
      </c>
      <c r="V67" s="316">
        <f>'Reversion Pagos R4'!K179</f>
        <v>0</v>
      </c>
      <c r="W67" s="316">
        <f>'Reversion Pagos R4'!L179</f>
        <v>0</v>
      </c>
      <c r="X67" s="316">
        <f>'Reversion Pagos R4'!M179</f>
        <v>0</v>
      </c>
      <c r="Y67" s="316">
        <f>'Reversion Pagos R4'!N179</f>
        <v>0</v>
      </c>
      <c r="Z67" s="319">
        <f t="shared" ref="Z67:Z70" si="25">-L67</f>
        <v>0</v>
      </c>
      <c r="AA67" s="320">
        <f>'Reversion Pagos R4'!O179</f>
        <v>0</v>
      </c>
      <c r="AB67" s="294">
        <f t="shared" ref="AB67:AB70" si="26">N67</f>
        <v>0</v>
      </c>
      <c r="AC67" s="320">
        <f>'Reversion Pagos R4'!Q179+'Reversion Pagos R4'!R179</f>
        <v>0</v>
      </c>
      <c r="AD67" s="291">
        <f t="shared" ref="AD67:AD70" si="27">-J67+AE67</f>
        <v>0</v>
      </c>
      <c r="AE67" s="291">
        <f>'Reversion Pagos R4'!D180</f>
        <v>0</v>
      </c>
      <c r="AF67" s="322">
        <f>SUM(U67:AD67)</f>
        <v>0</v>
      </c>
      <c r="AG67" s="323">
        <f>(AF67-O67)</f>
        <v>0</v>
      </c>
      <c r="AH67" s="1" t="b">
        <f t="shared" ref="AH67:AH71" si="28">INT(AG67)=0</f>
        <v>1</v>
      </c>
      <c r="AI67" s="306"/>
    </row>
    <row r="68" spans="1:35" s="305" customFormat="1" x14ac:dyDescent="0.25">
      <c r="B68" s="314">
        <v>3</v>
      </c>
      <c r="C68" s="315" t="s">
        <v>12</v>
      </c>
      <c r="D68" s="291">
        <f>'Reversion Pagos R4'!D210</f>
        <v>0</v>
      </c>
      <c r="E68" s="291">
        <f>'Reversion Pagos R4'!E210</f>
        <v>0</v>
      </c>
      <c r="F68" s="291">
        <f>'Reversion Pagos R4'!F210</f>
        <v>0</v>
      </c>
      <c r="G68" s="291">
        <f>'Reversion Pagos R4'!G210</f>
        <v>0</v>
      </c>
      <c r="H68" s="291">
        <f>'Reversion Pagos R4'!H210</f>
        <v>0</v>
      </c>
      <c r="I68" s="291">
        <f>'Reversion Pagos R4'!I210</f>
        <v>0</v>
      </c>
      <c r="J68" s="288">
        <v>0</v>
      </c>
      <c r="K68" s="295">
        <f t="shared" si="23"/>
        <v>0</v>
      </c>
      <c r="L68" s="294">
        <v>0</v>
      </c>
      <c r="M68" s="295">
        <f>K68-L68</f>
        <v>0</v>
      </c>
      <c r="N68" s="294">
        <f>'Reversion Pagos R4'!P210</f>
        <v>0</v>
      </c>
      <c r="O68" s="295">
        <f t="shared" si="24"/>
        <v>0</v>
      </c>
      <c r="Q68" s="306"/>
      <c r="S68" s="314">
        <v>3</v>
      </c>
      <c r="T68" s="315" t="s">
        <v>12</v>
      </c>
      <c r="U68" s="316">
        <f>'Reversion Pagos R4'!J210</f>
        <v>0</v>
      </c>
      <c r="V68" s="316">
        <f>'Reversion Pagos R4'!K210</f>
        <v>0</v>
      </c>
      <c r="W68" s="316">
        <f>'Reversion Pagos R4'!L210</f>
        <v>0</v>
      </c>
      <c r="X68" s="316">
        <f>'Reversion Pagos R4'!M210</f>
        <v>0</v>
      </c>
      <c r="Y68" s="316">
        <f>'Reversion Pagos R4'!N210</f>
        <v>0</v>
      </c>
      <c r="Z68" s="319">
        <f t="shared" si="25"/>
        <v>0</v>
      </c>
      <c r="AA68" s="320">
        <f>'Reversion Pagos R4'!O210</f>
        <v>0</v>
      </c>
      <c r="AB68" s="294">
        <f t="shared" si="26"/>
        <v>0</v>
      </c>
      <c r="AC68" s="320">
        <f>'Reversion Pagos R4'!Q210+'Reversion Pagos R4'!R210</f>
        <v>0</v>
      </c>
      <c r="AD68" s="291">
        <f t="shared" si="27"/>
        <v>0</v>
      </c>
      <c r="AE68" s="291">
        <f>'Reversion Pagos R4'!D211</f>
        <v>0</v>
      </c>
      <c r="AF68" s="322">
        <f t="shared" ref="AF68:AF70" si="29">SUM(U68:AD68)</f>
        <v>0</v>
      </c>
      <c r="AG68" s="323">
        <f t="shared" ref="AG68:AG70" si="30">(AF68-O68)</f>
        <v>0</v>
      </c>
      <c r="AH68" s="1" t="b">
        <f t="shared" si="28"/>
        <v>1</v>
      </c>
      <c r="AI68" s="306"/>
    </row>
    <row r="69" spans="1:35" s="305" customFormat="1" x14ac:dyDescent="0.25">
      <c r="B69" s="314">
        <v>4</v>
      </c>
      <c r="C69" s="315" t="s">
        <v>13</v>
      </c>
      <c r="D69" s="291">
        <f>'Reversion Pagos R4'!D325</f>
        <v>0</v>
      </c>
      <c r="E69" s="291">
        <f>'Reversion Pagos R4'!E325</f>
        <v>0</v>
      </c>
      <c r="F69" s="291">
        <f>'Reversion Pagos R4'!F325</f>
        <v>0</v>
      </c>
      <c r="G69" s="291">
        <f>'Reversion Pagos R4'!G325</f>
        <v>0</v>
      </c>
      <c r="H69" s="291">
        <f>'Reversion Pagos R4'!H325</f>
        <v>0</v>
      </c>
      <c r="I69" s="291">
        <f>'Reversion Pagos R4'!I325</f>
        <v>0</v>
      </c>
      <c r="J69" s="288">
        <v>0</v>
      </c>
      <c r="K69" s="295">
        <f t="shared" si="23"/>
        <v>0</v>
      </c>
      <c r="L69" s="294">
        <v>0</v>
      </c>
      <c r="M69" s="295">
        <f>K69-L69</f>
        <v>0</v>
      </c>
      <c r="N69" s="294">
        <f>'Reversion Pagos R4'!P325</f>
        <v>0</v>
      </c>
      <c r="O69" s="295">
        <f t="shared" si="24"/>
        <v>0</v>
      </c>
      <c r="Q69" s="306"/>
      <c r="S69" s="314">
        <v>4</v>
      </c>
      <c r="T69" s="315" t="s">
        <v>13</v>
      </c>
      <c r="U69" s="316">
        <f>'Reversion Pagos R4'!J325</f>
        <v>0</v>
      </c>
      <c r="V69" s="316">
        <f>'Reversion Pagos R4'!K325</f>
        <v>0</v>
      </c>
      <c r="W69" s="316">
        <f>'Reversion Pagos R4'!L325</f>
        <v>0</v>
      </c>
      <c r="X69" s="316">
        <f>'Reversion Pagos R4'!M325</f>
        <v>0</v>
      </c>
      <c r="Y69" s="316">
        <f>'Reversion Pagos R4'!N325</f>
        <v>0</v>
      </c>
      <c r="Z69" s="319">
        <f t="shared" si="25"/>
        <v>0</v>
      </c>
      <c r="AA69" s="320">
        <f>'Reversion Pagos R4'!O325</f>
        <v>0</v>
      </c>
      <c r="AB69" s="294">
        <f t="shared" si="26"/>
        <v>0</v>
      </c>
      <c r="AC69" s="320">
        <f>'Reversion Pagos R4'!Q325+'Reversion Pagos R4'!R325</f>
        <v>0</v>
      </c>
      <c r="AD69" s="291">
        <f t="shared" si="27"/>
        <v>0</v>
      </c>
      <c r="AE69" s="291">
        <f>'Reversion Pagos R4'!D326</f>
        <v>0</v>
      </c>
      <c r="AF69" s="322">
        <f>SUM(U69:AD69)</f>
        <v>0</v>
      </c>
      <c r="AG69" s="323">
        <f>(AF69-O69)</f>
        <v>0</v>
      </c>
      <c r="AH69" s="1" t="b">
        <f t="shared" si="28"/>
        <v>1</v>
      </c>
      <c r="AI69" s="306"/>
    </row>
    <row r="70" spans="1:35" s="305" customFormat="1" ht="12" thickBot="1" x14ac:dyDescent="0.3">
      <c r="B70" s="324">
        <v>5</v>
      </c>
      <c r="C70" s="325" t="s">
        <v>14</v>
      </c>
      <c r="D70" s="296">
        <f>'Reversion Pagos R4'!D354</f>
        <v>0</v>
      </c>
      <c r="E70" s="296">
        <f>'Reversion Pagos R4'!E354</f>
        <v>0</v>
      </c>
      <c r="F70" s="296">
        <f>'Reversion Pagos R4'!F354</f>
        <v>0</v>
      </c>
      <c r="G70" s="296">
        <f>'Reversion Pagos R4'!G354</f>
        <v>0</v>
      </c>
      <c r="H70" s="296">
        <f>'Reversion Pagos R4'!H354</f>
        <v>0</v>
      </c>
      <c r="I70" s="296">
        <f>'Reversion Pagos R4'!I354</f>
        <v>0</v>
      </c>
      <c r="J70" s="289">
        <v>0</v>
      </c>
      <c r="K70" s="295">
        <f t="shared" si="23"/>
        <v>0</v>
      </c>
      <c r="L70" s="294">
        <v>0</v>
      </c>
      <c r="M70" s="298">
        <f>K70-L70</f>
        <v>0</v>
      </c>
      <c r="N70" s="294">
        <f>'Reversion Pagos R4'!P354</f>
        <v>0</v>
      </c>
      <c r="O70" s="298">
        <f t="shared" si="24"/>
        <v>0</v>
      </c>
      <c r="Q70" s="306"/>
      <c r="S70" s="324">
        <v>5</v>
      </c>
      <c r="T70" s="325" t="s">
        <v>14</v>
      </c>
      <c r="U70" s="296">
        <f>'Reversion Pagos R4'!J354</f>
        <v>0</v>
      </c>
      <c r="V70" s="296">
        <f>'Reversion Pagos R4'!K354</f>
        <v>0</v>
      </c>
      <c r="W70" s="296">
        <f>'Reversion Pagos R4'!L354</f>
        <v>0</v>
      </c>
      <c r="X70" s="296">
        <f>'Reversion Pagos R4'!M354</f>
        <v>0</v>
      </c>
      <c r="Y70" s="296">
        <f>'Reversion Pagos R4'!N354</f>
        <v>0</v>
      </c>
      <c r="Z70" s="319">
        <f t="shared" si="25"/>
        <v>0</v>
      </c>
      <c r="AA70" s="320">
        <f>'Reversion Pagos R4'!O354</f>
        <v>0</v>
      </c>
      <c r="AB70" s="294">
        <f t="shared" si="26"/>
        <v>0</v>
      </c>
      <c r="AC70" s="320">
        <f>'Reversion Pagos R4'!Q354+'Reversion Pagos R4'!R354</f>
        <v>0</v>
      </c>
      <c r="AD70" s="291">
        <f t="shared" si="27"/>
        <v>0</v>
      </c>
      <c r="AE70" s="291">
        <f>'Reversion Pagos R4'!D355</f>
        <v>0</v>
      </c>
      <c r="AF70" s="322">
        <f t="shared" si="29"/>
        <v>0</v>
      </c>
      <c r="AG70" s="326">
        <f t="shared" si="30"/>
        <v>0</v>
      </c>
      <c r="AH70" s="1" t="b">
        <f t="shared" si="28"/>
        <v>1</v>
      </c>
      <c r="AI70" s="306"/>
    </row>
    <row r="71" spans="1:35" s="305" customFormat="1" ht="13.5" thickBot="1" x14ac:dyDescent="0.35">
      <c r="B71" s="327"/>
      <c r="C71" s="328" t="s">
        <v>2</v>
      </c>
      <c r="D71" s="290">
        <f t="shared" ref="D71:O71" si="31">SUM(D66:D70)</f>
        <v>0</v>
      </c>
      <c r="E71" s="290">
        <f t="shared" si="31"/>
        <v>0</v>
      </c>
      <c r="F71" s="290">
        <f t="shared" si="31"/>
        <v>0</v>
      </c>
      <c r="G71" s="290">
        <f t="shared" si="31"/>
        <v>0</v>
      </c>
      <c r="H71" s="290">
        <f t="shared" si="31"/>
        <v>0</v>
      </c>
      <c r="I71" s="290">
        <f t="shared" si="31"/>
        <v>0</v>
      </c>
      <c r="J71" s="290">
        <f t="shared" si="31"/>
        <v>0</v>
      </c>
      <c r="K71" s="300">
        <f t="shared" si="31"/>
        <v>0</v>
      </c>
      <c r="L71" s="301">
        <f t="shared" si="31"/>
        <v>0</v>
      </c>
      <c r="M71" s="302">
        <f t="shared" si="31"/>
        <v>0</v>
      </c>
      <c r="N71" s="301">
        <f t="shared" si="31"/>
        <v>0</v>
      </c>
      <c r="O71" s="302">
        <f t="shared" si="31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2">SUM(V66:V70)</f>
        <v>0</v>
      </c>
      <c r="W71" s="330">
        <f t="shared" si="32"/>
        <v>0</v>
      </c>
      <c r="X71" s="330">
        <f t="shared" si="32"/>
        <v>0</v>
      </c>
      <c r="Y71" s="330">
        <f t="shared" si="32"/>
        <v>0</v>
      </c>
      <c r="Z71" s="290">
        <f t="shared" si="32"/>
        <v>0</v>
      </c>
      <c r="AA71" s="290">
        <f>SUM(AA66:AA70)</f>
        <v>0</v>
      </c>
      <c r="AB71" s="290">
        <f t="shared" si="32"/>
        <v>0</v>
      </c>
      <c r="AC71" s="290">
        <f t="shared" si="32"/>
        <v>0</v>
      </c>
      <c r="AD71" s="290">
        <f>SUM(AD66:AD70)</f>
        <v>0</v>
      </c>
      <c r="AE71" s="290">
        <f>SUM(AE66:AE70)</f>
        <v>0</v>
      </c>
      <c r="AF71" s="331">
        <f t="shared" si="32"/>
        <v>0</v>
      </c>
      <c r="AG71" s="332">
        <f t="shared" si="32"/>
        <v>0</v>
      </c>
      <c r="AH71" s="1" t="b">
        <f t="shared" si="28"/>
        <v>1</v>
      </c>
      <c r="AI71" s="306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5" x14ac:dyDescent="0.35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v>0</v>
      </c>
      <c r="V85" s="312">
        <v>0</v>
      </c>
      <c r="W85" s="312">
        <v>0</v>
      </c>
      <c r="X85" s="312">
        <v>0</v>
      </c>
      <c r="Y85" s="312">
        <v>0</v>
      </c>
      <c r="Z85" s="312">
        <f>'AJUSTES - SF-T'!Z47</f>
        <v>0</v>
      </c>
      <c r="AA85" s="311">
        <v>0</v>
      </c>
      <c r="AB85" s="312">
        <f>'AJUSTES - SF-T'!AB47</f>
        <v>0</v>
      </c>
      <c r="AC85" s="571">
        <v>0</v>
      </c>
      <c r="AD85" s="321">
        <v>0</v>
      </c>
      <c r="AE85" s="294"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3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4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5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6">INT(AG86)=0</f>
        <v>1</v>
      </c>
      <c r="AI86" s="306"/>
    </row>
    <row r="87" spans="1:35" s="305" customFormat="1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v>0</v>
      </c>
      <c r="V87" s="320">
        <v>0</v>
      </c>
      <c r="W87" s="320">
        <v>0</v>
      </c>
      <c r="X87" s="320">
        <v>0</v>
      </c>
      <c r="Y87" s="320"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v>0</v>
      </c>
      <c r="AE87" s="299">
        <v>0</v>
      </c>
      <c r="AF87" s="365">
        <f>SUM(U87:AD87)</f>
        <v>0</v>
      </c>
      <c r="AG87" s="570">
        <f>AF87-O87</f>
        <v>0</v>
      </c>
      <c r="AH87" s="1" t="b">
        <f t="shared" si="36"/>
        <v>1</v>
      </c>
      <c r="AI87" s="306"/>
    </row>
    <row r="88" spans="1:35" s="305" customFormat="1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3"/>
        <v>0</v>
      </c>
      <c r="L88" s="294">
        <v>0</v>
      </c>
      <c r="M88" s="321">
        <f>K88-L88</f>
        <v>0</v>
      </c>
      <c r="N88" s="321">
        <v>0</v>
      </c>
      <c r="O88" s="321">
        <f t="shared" si="34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5"/>
        <v>0</v>
      </c>
      <c r="AE88" s="299">
        <v>0</v>
      </c>
      <c r="AF88" s="365">
        <f t="shared" ref="AF88:AF89" si="37">SUM(U88:AD88)</f>
        <v>0</v>
      </c>
      <c r="AG88" s="570">
        <f>AF88-O88</f>
        <v>0</v>
      </c>
      <c r="AH88" s="1" t="b">
        <f t="shared" si="36"/>
        <v>1</v>
      </c>
      <c r="AI88" s="306"/>
    </row>
    <row r="89" spans="1:35" s="305" customFormat="1" ht="12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3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4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7"/>
        <v>0</v>
      </c>
      <c r="AG89" s="575">
        <f>AF89-O89</f>
        <v>0</v>
      </c>
      <c r="AH89" s="1" t="b">
        <f t="shared" si="36"/>
        <v>1</v>
      </c>
      <c r="AI89" s="306"/>
    </row>
    <row r="90" spans="1:35" s="305" customFormat="1" ht="13.5" thickBot="1" x14ac:dyDescent="0.35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39">SUM(V85:V89)</f>
        <v>0</v>
      </c>
      <c r="W90" s="568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3">
      <c r="Q96" s="4"/>
      <c r="AI96" s="4"/>
    </row>
    <row r="97" spans="2:36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"/>
      <c r="AI98" s="4"/>
    </row>
    <row r="99" spans="2:36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4" x14ac:dyDescent="0.3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5" x14ac:dyDescent="0.35">
      <c r="B101" s="8"/>
      <c r="C101" s="598" t="s">
        <v>17</v>
      </c>
      <c r="D101" s="9">
        <f>D6</f>
        <v>46297</v>
      </c>
      <c r="F101" s="58" t="s">
        <v>328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5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92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x14ac:dyDescent="0.25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92">
        <f t="shared" si="40"/>
        <v>0</v>
      </c>
      <c r="K105" s="295">
        <f t="shared" ref="K105:K108" si="42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3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0">
        <f t="shared" si="41"/>
        <v>0</v>
      </c>
      <c r="AD105" s="291">
        <f t="shared" ref="AD105:AD106" si="44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5">INT(AG105)=0</f>
        <v>1</v>
      </c>
      <c r="AI105" s="306"/>
    </row>
    <row r="106" spans="2:36" s="305" customFormat="1" x14ac:dyDescent="0.25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92">
        <f t="shared" si="40"/>
        <v>0</v>
      </c>
      <c r="K106" s="295">
        <f t="shared" si="42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3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0">
        <f>AC11+AC30+AC49+AC68+AC87</f>
        <v>0</v>
      </c>
      <c r="AD106" s="291">
        <f t="shared" si="44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5"/>
        <v>1</v>
      </c>
      <c r="AI106" s="306"/>
    </row>
    <row r="107" spans="2:36" s="305" customFormat="1" x14ac:dyDescent="0.25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92">
        <f t="shared" si="40"/>
        <v>0</v>
      </c>
      <c r="K107" s="295">
        <f t="shared" si="42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>M107+N107</f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0">
        <f t="shared" si="41"/>
        <v>0</v>
      </c>
      <c r="AD107" s="291">
        <f>-J117+AE117</f>
        <v>0</v>
      </c>
      <c r="AE107" s="291">
        <f>AE12+AE31+AE50+AE69+AE88</f>
        <v>0</v>
      </c>
      <c r="AF107" s="322">
        <f>SUM(U117:AD117)</f>
        <v>0</v>
      </c>
      <c r="AG107" s="323">
        <f>AF117-O117</f>
        <v>0</v>
      </c>
      <c r="AH107" s="1" t="b">
        <f t="shared" si="45"/>
        <v>1</v>
      </c>
      <c r="AI107" s="306"/>
    </row>
    <row r="108" spans="2:36" s="305" customFormat="1" ht="12" thickBot="1" x14ac:dyDescent="0.3">
      <c r="B108" s="324">
        <v>5</v>
      </c>
      <c r="C108" s="325" t="s">
        <v>14</v>
      </c>
      <c r="D108" s="296">
        <f>D13+D32+D51+D70+D89</f>
        <v>38576017.920000002</v>
      </c>
      <c r="E108" s="297">
        <f t="shared" si="40"/>
        <v>2540925.75</v>
      </c>
      <c r="F108" s="297">
        <f t="shared" si="40"/>
        <v>1402504.95</v>
      </c>
      <c r="G108" s="297">
        <f t="shared" si="40"/>
        <v>747351.49</v>
      </c>
      <c r="H108" s="297">
        <f t="shared" si="40"/>
        <v>10288819.59</v>
      </c>
      <c r="I108" s="297">
        <f t="shared" si="40"/>
        <v>349548.47</v>
      </c>
      <c r="J108" s="297">
        <f t="shared" si="40"/>
        <v>0</v>
      </c>
      <c r="K108" s="295">
        <f t="shared" si="42"/>
        <v>23246867.669999998</v>
      </c>
      <c r="L108" s="294">
        <f>L13+L32+L51+L70+L89</f>
        <v>0</v>
      </c>
      <c r="M108" s="298">
        <f>K108-L108</f>
        <v>23246867.669999998</v>
      </c>
      <c r="N108" s="299">
        <f>N13+N32+N51+N70+N89</f>
        <v>37.32</v>
      </c>
      <c r="O108" s="298">
        <f t="shared" si="43"/>
        <v>23246904.989999998</v>
      </c>
      <c r="Q108" s="306"/>
      <c r="S108" s="324">
        <v>5</v>
      </c>
      <c r="T108" s="325" t="s">
        <v>14</v>
      </c>
      <c r="U108" s="296">
        <f t="shared" si="41"/>
        <v>3034026.9299999997</v>
      </c>
      <c r="V108" s="297">
        <f t="shared" si="41"/>
        <v>3054639.56</v>
      </c>
      <c r="W108" s="297">
        <f t="shared" si="41"/>
        <v>15414224.579999998</v>
      </c>
      <c r="X108" s="297">
        <f t="shared" si="41"/>
        <v>7477857.75</v>
      </c>
      <c r="Y108" s="289">
        <f t="shared" si="41"/>
        <v>572470.37</v>
      </c>
      <c r="Z108" s="319">
        <f t="shared" si="41"/>
        <v>0</v>
      </c>
      <c r="AA108" s="320">
        <f t="shared" si="41"/>
        <v>-96.03</v>
      </c>
      <c r="AB108" s="294">
        <f t="shared" si="41"/>
        <v>37.32</v>
      </c>
      <c r="AC108" s="320">
        <f t="shared" si="41"/>
        <v>-0.01</v>
      </c>
      <c r="AD108" s="291">
        <f>-J108+AE108</f>
        <v>-6306255.4799999995</v>
      </c>
      <c r="AE108" s="291">
        <f>AE13+AE32+AE51+AE70+AE89</f>
        <v>-6306255.4799999995</v>
      </c>
      <c r="AF108" s="322">
        <f>SUM(U108:AD108)</f>
        <v>23246904.989999998</v>
      </c>
      <c r="AG108" s="326">
        <f>AF108-O108</f>
        <v>0</v>
      </c>
      <c r="AH108" s="1" t="b">
        <f t="shared" si="45"/>
        <v>1</v>
      </c>
      <c r="AI108" s="306"/>
    </row>
    <row r="109" spans="2:36" s="305" customFormat="1" ht="13.5" thickBot="1" x14ac:dyDescent="0.35">
      <c r="B109" s="327"/>
      <c r="C109" s="328" t="s">
        <v>2</v>
      </c>
      <c r="D109" s="290">
        <f t="shared" ref="D109:O109" si="46">SUM(D104:D108)</f>
        <v>38576017.920000002</v>
      </c>
      <c r="E109" s="290">
        <f t="shared" si="46"/>
        <v>2540925.75</v>
      </c>
      <c r="F109" s="290">
        <f t="shared" si="46"/>
        <v>1402504.95</v>
      </c>
      <c r="G109" s="290">
        <f t="shared" si="46"/>
        <v>747351.49</v>
      </c>
      <c r="H109" s="290">
        <f t="shared" si="46"/>
        <v>10288819.59</v>
      </c>
      <c r="I109" s="290">
        <f t="shared" si="46"/>
        <v>349548.47</v>
      </c>
      <c r="J109" s="290">
        <f t="shared" si="46"/>
        <v>0</v>
      </c>
      <c r="K109" s="300">
        <f t="shared" si="46"/>
        <v>23246867.669999998</v>
      </c>
      <c r="L109" s="301">
        <f t="shared" si="46"/>
        <v>0</v>
      </c>
      <c r="M109" s="302">
        <f t="shared" si="46"/>
        <v>23246867.669999998</v>
      </c>
      <c r="N109" s="301">
        <f t="shared" si="46"/>
        <v>37.32</v>
      </c>
      <c r="O109" s="302">
        <f t="shared" si="46"/>
        <v>23246904.989999998</v>
      </c>
      <c r="P109" s="329"/>
      <c r="Q109" s="306"/>
      <c r="S109" s="327"/>
      <c r="T109" s="328" t="s">
        <v>2</v>
      </c>
      <c r="U109" s="330">
        <f>SUM(U104:U108)</f>
        <v>3034026.9299999997</v>
      </c>
      <c r="V109" s="330">
        <f t="shared" ref="V109:AF109" si="47">SUM(V104:V108)</f>
        <v>3054639.56</v>
      </c>
      <c r="W109" s="330">
        <f t="shared" si="47"/>
        <v>15414224.579999998</v>
      </c>
      <c r="X109" s="330">
        <f t="shared" si="47"/>
        <v>7477857.75</v>
      </c>
      <c r="Y109" s="330">
        <f t="shared" si="47"/>
        <v>572470.37</v>
      </c>
      <c r="Z109" s="290">
        <f t="shared" si="47"/>
        <v>0</v>
      </c>
      <c r="AA109" s="290">
        <f t="shared" si="47"/>
        <v>-96.03</v>
      </c>
      <c r="AB109" s="290">
        <f t="shared" si="47"/>
        <v>37.32</v>
      </c>
      <c r="AC109" s="290">
        <f t="shared" si="47"/>
        <v>-0.01</v>
      </c>
      <c r="AD109" s="290">
        <f t="shared" si="47"/>
        <v>-6306255.4799999995</v>
      </c>
      <c r="AE109" s="290">
        <f>SUM(AE104:AE108)</f>
        <v>-6306255.4799999995</v>
      </c>
      <c r="AF109" s="331">
        <f t="shared" si="47"/>
        <v>23246904.989999998</v>
      </c>
      <c r="AG109" s="332">
        <f>SUM(AG104:AG108)</f>
        <v>0</v>
      </c>
      <c r="AH109" s="1" t="b">
        <f t="shared" si="45"/>
        <v>1</v>
      </c>
      <c r="AI109" s="306"/>
    </row>
    <row r="110" spans="2:36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29553219.190000001</v>
      </c>
      <c r="AD111" s="1" t="s">
        <v>1</v>
      </c>
      <c r="AF111" s="1" t="s">
        <v>1</v>
      </c>
      <c r="AI111" s="4"/>
    </row>
    <row r="112" spans="2:36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5">
      <c r="B120" s="8"/>
      <c r="I120" s="2"/>
      <c r="J120" s="2"/>
      <c r="O120" s="10"/>
      <c r="P120" s="2"/>
      <c r="Q120" s="4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5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USUARIOS'!L12</f>
        <v>0</v>
      </c>
      <c r="L125" s="309">
        <f>-'ANTICIPOS USUARIOS'!L21</f>
        <v>0</v>
      </c>
      <c r="O125" s="44"/>
      <c r="Q125" s="4"/>
    </row>
    <row r="126" spans="1:35" x14ac:dyDescent="0.25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48">D67+N67</f>
        <v>0</v>
      </c>
      <c r="K126" s="288">
        <f>'ANTICIPOS USUARIOS'!L13</f>
        <v>0</v>
      </c>
      <c r="L126" s="288">
        <f>-'ANTICIPOS USUARIOS'!L22</f>
        <v>0</v>
      </c>
      <c r="O126" s="44"/>
      <c r="Q126" s="4"/>
    </row>
    <row r="127" spans="1:35" x14ac:dyDescent="0.25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48"/>
        <v>0</v>
      </c>
      <c r="K127" s="288">
        <f>'ANTICIPOS USUARIOS'!L14</f>
        <v>0</v>
      </c>
      <c r="L127" s="288">
        <f>-'ANTICIPOS USUARIOS'!L23</f>
        <v>0</v>
      </c>
      <c r="O127" s="44"/>
      <c r="Q127" s="4"/>
    </row>
    <row r="128" spans="1:35" x14ac:dyDescent="0.25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48"/>
        <v>0</v>
      </c>
      <c r="K128" s="288">
        <f>'ANTICIPOS USUARIOS'!L15</f>
        <v>0</v>
      </c>
      <c r="L128" s="288">
        <f>-'ANTICIPOS USUARIOS'!L24</f>
        <v>0</v>
      </c>
      <c r="O128" s="44"/>
      <c r="Q128" s="4"/>
    </row>
    <row r="129" spans="1:18" x14ac:dyDescent="0.25">
      <c r="B129" s="133">
        <v>5</v>
      </c>
      <c r="C129" s="138" t="s">
        <v>14</v>
      </c>
      <c r="D129" s="15">
        <f>'ANTICIPOS USUARIOS'!L7</f>
        <v>4085178</v>
      </c>
      <c r="E129" s="139">
        <v>0</v>
      </c>
      <c r="G129" s="339">
        <f>D51+N51</f>
        <v>0</v>
      </c>
      <c r="H129" s="340">
        <f>D32+N32</f>
        <v>3790847.24</v>
      </c>
      <c r="I129" s="288">
        <f>D89+N89</f>
        <v>0</v>
      </c>
      <c r="J129" s="288">
        <f t="shared" si="48"/>
        <v>0</v>
      </c>
      <c r="K129" s="288">
        <f>'ANTICIPOS USUARIOS'!L16</f>
        <v>0</v>
      </c>
      <c r="L129" s="288">
        <f>-'ANTICIPOS USUARIOS'!L25</f>
        <v>0</v>
      </c>
      <c r="O129" s="44"/>
      <c r="Q129" s="4"/>
    </row>
    <row r="130" spans="1:18" ht="12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" thickBot="1" x14ac:dyDescent="0.3">
      <c r="B131" s="95"/>
      <c r="C131" s="106" t="s">
        <v>2</v>
      </c>
      <c r="D131" s="107">
        <f>SUM(D125:D130)</f>
        <v>4085178</v>
      </c>
      <c r="E131" s="107">
        <f>SUM(E125:E130)</f>
        <v>0</v>
      </c>
      <c r="F131" s="45"/>
      <c r="G131" s="350">
        <f t="shared" ref="G131" si="49">SUM(G125:G129)</f>
        <v>0</v>
      </c>
      <c r="H131" s="350">
        <f>SUM(H125:H130)</f>
        <v>3790847.24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x14ac:dyDescent="0.25">
      <c r="B132" s="2"/>
      <c r="C132" s="2"/>
      <c r="D132" s="24"/>
      <c r="Q132" s="4"/>
    </row>
    <row r="133" spans="1:18" x14ac:dyDescent="0.25">
      <c r="B133" s="2"/>
      <c r="C133" s="2"/>
      <c r="D133" s="24"/>
      <c r="L133" s="1" t="s">
        <v>1</v>
      </c>
      <c r="Q133" s="4"/>
    </row>
    <row r="134" spans="1:18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5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5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x14ac:dyDescent="0.25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5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x14ac:dyDescent="0.25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5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" thickBot="1" x14ac:dyDescent="0.3">
      <c r="B146" s="133">
        <v>5</v>
      </c>
      <c r="C146" s="138" t="s">
        <v>14</v>
      </c>
      <c r="D146" s="134">
        <f>D108+N108+D129+E129</f>
        <v>42661233.240000002</v>
      </c>
      <c r="E146" s="18">
        <f>'Recaudo ENERBIT'!F25</f>
        <v>38870386</v>
      </c>
      <c r="F146" s="134">
        <f>D32+N32</f>
        <v>3790847.24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3790847.24</v>
      </c>
      <c r="L146" s="525">
        <f>D146-E146-F146-G146-J146-H146-I146</f>
        <v>1.862645149230957E-9</v>
      </c>
      <c r="M146" s="1" t="b">
        <f t="shared" si="51"/>
        <v>1</v>
      </c>
      <c r="O146" s="55"/>
      <c r="P146" s="24"/>
      <c r="Q146" s="35"/>
      <c r="R146" s="24"/>
    </row>
    <row r="147" spans="1:20" ht="12" thickBot="1" x14ac:dyDescent="0.3">
      <c r="B147" s="21"/>
      <c r="C147" s="22" t="s">
        <v>2</v>
      </c>
      <c r="D147" s="47">
        <f>SUM(D142:D146)</f>
        <v>42661233.240000002</v>
      </c>
      <c r="E147" s="47">
        <f>SUM(E142:E146)</f>
        <v>38870386</v>
      </c>
      <c r="F147" s="47">
        <f t="shared" ref="F147:K147" si="52">SUM(F142:F146)</f>
        <v>3790847.24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3790847.24</v>
      </c>
      <c r="L147" s="525">
        <f>SUM(L142:L146)</f>
        <v>1.862645149230957E-9</v>
      </c>
      <c r="M147" s="1" t="b">
        <f t="shared" si="51"/>
        <v>1</v>
      </c>
      <c r="P147" s="24"/>
      <c r="Q147" s="35"/>
      <c r="R147" s="24"/>
    </row>
    <row r="148" spans="1:20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N152" s="24"/>
      <c r="O152" s="24"/>
      <c r="Q152" s="24"/>
      <c r="T152" s="24"/>
    </row>
    <row r="153" spans="1:20" x14ac:dyDescent="0.25">
      <c r="E153" s="659"/>
      <c r="N153" s="24"/>
      <c r="O153" s="24"/>
      <c r="Q153" s="24"/>
      <c r="T153" s="24"/>
    </row>
    <row r="154" spans="1:20" x14ac:dyDescent="0.25">
      <c r="N154" s="24"/>
      <c r="O154" s="24"/>
      <c r="Q154" s="24"/>
      <c r="T154" s="24"/>
    </row>
    <row r="155" spans="1:20" x14ac:dyDescent="0.25">
      <c r="Q155" s="24"/>
      <c r="T155" s="24"/>
    </row>
    <row r="156" spans="1:20" x14ac:dyDescent="0.25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C7" sqref="C7"/>
    </sheetView>
  </sheetViews>
  <sheetFormatPr baseColWidth="10" defaultRowHeight="12.5" x14ac:dyDescent="0.25"/>
  <cols>
    <col min="1" max="1" width="3" customWidth="1"/>
    <col min="2" max="2" width="4.1796875" bestFit="1" customWidth="1"/>
    <col min="3" max="3" width="16.81640625" customWidth="1"/>
    <col min="4" max="4" width="14.1796875" customWidth="1"/>
    <col min="5" max="7" width="17.81640625" customWidth="1"/>
    <col min="8" max="8" width="18.1796875" customWidth="1"/>
    <col min="9" max="9" width="15.81640625" customWidth="1"/>
    <col min="10" max="10" width="16.453125" customWidth="1"/>
    <col min="11" max="11" width="15.81640625" customWidth="1"/>
    <col min="12" max="13" width="18.1796875" customWidth="1"/>
    <col min="14" max="14" width="15.81640625" customWidth="1"/>
    <col min="15" max="15" width="14.1796875" customWidth="1"/>
    <col min="16" max="16" width="14.453125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ENERBIT'!D21</f>
        <v>0</v>
      </c>
      <c r="D3" s="292">
        <f>REMUNERACION_ENERBIT!G125</f>
        <v>0</v>
      </c>
      <c r="E3" s="292">
        <f>REMUNERACION_ENERBIT!D28+REMUNERACION_ENERBIT!N28</f>
        <v>0</v>
      </c>
      <c r="F3" s="292">
        <f>REMUNERACION_ENERBIT!I142</f>
        <v>0</v>
      </c>
      <c r="G3" s="292">
        <f>REMUNERACION_ENERBIT!H142</f>
        <v>0</v>
      </c>
      <c r="H3" s="340">
        <f>SUM(C3:G3)</f>
        <v>0</v>
      </c>
      <c r="I3" s="291">
        <f>REMUNERACION_ENERBIT!D104</f>
        <v>0</v>
      </c>
      <c r="J3" s="292">
        <f>REMUNERACION_ENERBIT!N104</f>
        <v>0</v>
      </c>
      <c r="K3" s="292">
        <f>REMUNERACION_ENERBIT!D125</f>
        <v>0</v>
      </c>
      <c r="L3" s="353">
        <f>REMUNERACION_ENERBIT!E125</f>
        <v>0</v>
      </c>
      <c r="M3" s="292">
        <f>-REMUNERACION_ENERBIT!D66-REMUNERACION_ENERBIT!N66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ENERBIT'!D22</f>
        <v>0</v>
      </c>
      <c r="D4" s="292">
        <f>REMUNERACION_ENERBIT!G126</f>
        <v>0</v>
      </c>
      <c r="E4" s="292">
        <f>REMUNERACION_ENERBIT!D29+REMUNERACION_ENERBIT!N29</f>
        <v>0</v>
      </c>
      <c r="F4" s="292">
        <f>REMUNERACION_ENERBIT!I143</f>
        <v>0</v>
      </c>
      <c r="G4" s="292">
        <f>REMUNERACION_ENERBIT!H143</f>
        <v>0</v>
      </c>
      <c r="H4" s="340">
        <f t="shared" ref="H4:H8" si="1">SUM(C4:G4)</f>
        <v>0</v>
      </c>
      <c r="I4" s="291">
        <f>REMUNERACION_ENERBIT!D105</f>
        <v>0</v>
      </c>
      <c r="J4" s="292">
        <f>REMUNERACION_ENERBIT!N105</f>
        <v>0</v>
      </c>
      <c r="K4" s="292">
        <f>REMUNERACION_ENERBIT!D126</f>
        <v>0</v>
      </c>
      <c r="L4" s="353">
        <f>REMUNERACION_ENERBIT!E126</f>
        <v>0</v>
      </c>
      <c r="M4" s="292">
        <f>-REMUNERACION_ENERBIT!D67-REMUNERACION_ENERBIT!N67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ENERBIT'!D23</f>
        <v>0</v>
      </c>
      <c r="D5" s="292">
        <f>REMUNERACION_ENERBIT!G127</f>
        <v>0</v>
      </c>
      <c r="E5" s="292">
        <f>REMUNERACION_ENERBIT!D30+REMUNERACION_ENERBIT!N30</f>
        <v>0</v>
      </c>
      <c r="F5" s="292">
        <f>REMUNERACION_ENERBIT!I144</f>
        <v>0</v>
      </c>
      <c r="G5" s="292">
        <f>REMUNERACION_ENERBIT!H144</f>
        <v>0</v>
      </c>
      <c r="H5" s="340">
        <f t="shared" si="1"/>
        <v>0</v>
      </c>
      <c r="I5" s="291">
        <f>REMUNERACION_ENERBIT!D106</f>
        <v>0</v>
      </c>
      <c r="J5" s="292">
        <f>REMUNERACION_ENERBIT!N106</f>
        <v>0</v>
      </c>
      <c r="K5" s="292">
        <f>REMUNERACION_ENERBIT!D127</f>
        <v>0</v>
      </c>
      <c r="L5" s="353">
        <f>REMUNERACION_ENERBIT!E127</f>
        <v>0</v>
      </c>
      <c r="M5" s="292">
        <f>-REMUNERACION_ENERBIT!D68-REMUNERACION_ENERBIT!N68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ENERBIT'!D24</f>
        <v>0</v>
      </c>
      <c r="D6" s="292">
        <f>REMUNERACION_ENERBIT!G128</f>
        <v>0</v>
      </c>
      <c r="E6" s="292">
        <f>REMUNERACION_ENERBIT!D31+REMUNERACION_ENERBIT!N31</f>
        <v>0</v>
      </c>
      <c r="F6" s="292">
        <f>REMUNERACION_ENERBIT!I145</f>
        <v>0</v>
      </c>
      <c r="G6" s="292">
        <f>REMUNERACION_ENERBIT!H145</f>
        <v>0</v>
      </c>
      <c r="H6" s="340">
        <f t="shared" si="1"/>
        <v>0</v>
      </c>
      <c r="I6" s="291">
        <f>REMUNERACION_ENERBIT!D107</f>
        <v>0</v>
      </c>
      <c r="J6" s="292">
        <f>REMUNERACION_ENERBIT!N107</f>
        <v>0</v>
      </c>
      <c r="K6" s="292">
        <f>REMUNERACION_ENERBIT!D128</f>
        <v>0</v>
      </c>
      <c r="L6" s="353">
        <f>REMUNERACION_ENERBIT!E128</f>
        <v>0</v>
      </c>
      <c r="M6" s="292">
        <f>-REMUNERACION_ENERBIT!D69-REMUNERACION_ENERBIT!N69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ENERBIT'!F25</f>
        <v>38870386</v>
      </c>
      <c r="D7" s="292">
        <f>REMUNERACION_ENERBIT!G129</f>
        <v>0</v>
      </c>
      <c r="E7" s="292">
        <f>REMUNERACION_ENERBIT!D32+REMUNERACION_ENERBIT!N32</f>
        <v>3790847.24</v>
      </c>
      <c r="F7" s="292">
        <f>REMUNERACION_ENERBIT!I146</f>
        <v>0</v>
      </c>
      <c r="G7" s="292">
        <f>REMUNERACION_ENERBIT!H146</f>
        <v>0</v>
      </c>
      <c r="H7" s="340">
        <f t="shared" si="1"/>
        <v>42661233.240000002</v>
      </c>
      <c r="I7" s="291">
        <f>REMUNERACION_ENERBIT!D108</f>
        <v>38576017.920000002</v>
      </c>
      <c r="J7" s="292">
        <f>REMUNERACION_ENERBIT!N108</f>
        <v>37.32</v>
      </c>
      <c r="K7" s="292">
        <f>REMUNERACION_ENERBIT!D129</f>
        <v>4085178</v>
      </c>
      <c r="L7" s="353">
        <f>REMUNERACION_ENERBIT!E129</f>
        <v>0</v>
      </c>
      <c r="M7" s="292">
        <f>-REMUNERACION_ENERBIT!D70-REMUNERACION_ENERBIT!N70</f>
        <v>0</v>
      </c>
      <c r="N7" s="318">
        <f t="shared" si="3"/>
        <v>42661233.240000002</v>
      </c>
      <c r="O7" s="354">
        <f>H7-N7</f>
        <v>0</v>
      </c>
      <c r="P7" s="1" t="b">
        <f t="shared" si="2"/>
        <v>1</v>
      </c>
    </row>
    <row r="8" spans="2:16" s="355" customFormat="1" ht="13" thickBot="1" x14ac:dyDescent="0.3">
      <c r="B8" s="341" t="s">
        <v>89</v>
      </c>
      <c r="C8" s="317">
        <f>'Recaudo ENERBIT'!F26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REMUNERACION_ENERBIT!E130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" thickBot="1" x14ac:dyDescent="0.3">
      <c r="B9" s="327"/>
      <c r="C9" s="290">
        <f>SUM(C3:C8)</f>
        <v>38870386</v>
      </c>
      <c r="D9" s="290">
        <f t="shared" ref="D9:M9" si="4">SUM(D3:D8)</f>
        <v>0</v>
      </c>
      <c r="E9" s="290">
        <f t="shared" si="4"/>
        <v>3790847.24</v>
      </c>
      <c r="F9" s="290">
        <f t="shared" si="4"/>
        <v>0</v>
      </c>
      <c r="G9" s="290">
        <f t="shared" si="4"/>
        <v>0</v>
      </c>
      <c r="H9" s="290">
        <f t="shared" si="4"/>
        <v>42661233.240000002</v>
      </c>
      <c r="I9" s="290">
        <f t="shared" si="4"/>
        <v>38576017.920000002</v>
      </c>
      <c r="J9" s="290">
        <f t="shared" si="4"/>
        <v>37.32</v>
      </c>
      <c r="K9" s="290">
        <f t="shared" si="4"/>
        <v>4085178</v>
      </c>
      <c r="L9" s="290">
        <f t="shared" si="4"/>
        <v>0</v>
      </c>
      <c r="M9" s="290">
        <f t="shared" si="4"/>
        <v>0</v>
      </c>
      <c r="N9" s="290">
        <f>SUM(N3:N8)</f>
        <v>42661233.240000002</v>
      </c>
      <c r="O9" s="359">
        <f>SUM(O3:O8)</f>
        <v>0</v>
      </c>
      <c r="P9" s="1" t="b">
        <f t="shared" si="2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Recaudo'!D8</f>
        <v>38870386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A11" sqref="A11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8" width="16.1796875" style="1" customWidth="1"/>
    <col min="9" max="9" width="20.179687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81640625" style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9.453125" style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8" t="s">
        <v>17</v>
      </c>
      <c r="D6" s="9">
        <f>REMUNERACION_ENERBIT!D101</f>
        <v>46297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8"/>
      <c r="C7" s="598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46281</v>
      </c>
      <c r="J7" s="2" t="s">
        <v>28</v>
      </c>
      <c r="K7" s="9">
        <f>REMUNERACION_ENERBIT!K102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5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5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5">
      <c r="B11" s="16">
        <v>3</v>
      </c>
      <c r="C11" s="62" t="s">
        <v>12</v>
      </c>
      <c r="D11" s="725">
        <f>REMUNERACION_ENERBIT!D106</f>
        <v>0</v>
      </c>
      <c r="E11" s="725">
        <f>REMUNERACION_ENERBIT!E106</f>
        <v>0</v>
      </c>
      <c r="F11" s="725">
        <f>REMUNERACION_ENERBIT!F106</f>
        <v>0</v>
      </c>
      <c r="G11" s="725">
        <f>REMUNERACION_ENERBIT!G106</f>
        <v>0</v>
      </c>
      <c r="H11" s="725">
        <f>REMUNERACION_ENERBIT!H106</f>
        <v>0</v>
      </c>
      <c r="I11" s="725">
        <f>REMUNERACION_ENERBIT!I106</f>
        <v>0</v>
      </c>
      <c r="J11" s="725">
        <f>REMUNERACION_ENERBIT!J106</f>
        <v>0</v>
      </c>
      <c r="K11" s="726">
        <f t="shared" si="0"/>
        <v>0</v>
      </c>
      <c r="L11" s="725">
        <f>REMUNERACION_ENERBIT!L106</f>
        <v>0</v>
      </c>
      <c r="M11" s="726">
        <f>K11-L11</f>
        <v>0</v>
      </c>
      <c r="N11" s="725">
        <f>REMUNERACION_ENERBIT!N106</f>
        <v>0</v>
      </c>
      <c r="O11" s="726">
        <f t="shared" si="1"/>
        <v>0</v>
      </c>
      <c r="Q11" s="4"/>
      <c r="S11" s="16">
        <v>3</v>
      </c>
      <c r="T11" s="62" t="s">
        <v>12</v>
      </c>
      <c r="U11" s="725">
        <f>REMUNERACION_ENERBIT!U106</f>
        <v>0</v>
      </c>
      <c r="V11" s="725">
        <f>REMUNERACION_ENERBIT!V106</f>
        <v>0</v>
      </c>
      <c r="W11" s="725">
        <f>REMUNERACION_ENERBIT!W106</f>
        <v>0</v>
      </c>
      <c r="X11" s="725">
        <f>REMUNERACION_ENERBIT!X106</f>
        <v>0</v>
      </c>
      <c r="Y11" s="725">
        <f>REMUNERACION_ENERBIT!Y106</f>
        <v>0</v>
      </c>
      <c r="Z11" s="725">
        <f>REMUNERACION_ENERBIT!Z106</f>
        <v>0</v>
      </c>
      <c r="AA11" s="725">
        <f>REMUNERACION_ENERBIT!AA106</f>
        <v>0</v>
      </c>
      <c r="AB11" s="725">
        <f>REMUNERACION_ENERBIT!AB106</f>
        <v>0</v>
      </c>
      <c r="AC11" s="725">
        <f>REMUNERACION_ENERBIT!AC106</f>
        <v>0</v>
      </c>
      <c r="AD11" s="725">
        <f>REMUNERACION_ENERBIT!AD106</f>
        <v>0</v>
      </c>
      <c r="AE11" s="725">
        <f>REMUNERACION_ENERBIT!AE106</f>
        <v>0</v>
      </c>
      <c r="AF11" s="724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5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" thickBot="1" x14ac:dyDescent="0.3">
      <c r="B13" s="19">
        <v>5</v>
      </c>
      <c r="C13" s="63" t="s">
        <v>14</v>
      </c>
      <c r="D13" s="66">
        <f>REMUNERACION_ENERBIT!D108</f>
        <v>38576017.920000002</v>
      </c>
      <c r="E13" s="66">
        <f>REMUNERACION_ENERBIT!E108</f>
        <v>2540925.75</v>
      </c>
      <c r="F13" s="66">
        <f>REMUNERACION_ENERBIT!F108</f>
        <v>1402504.95</v>
      </c>
      <c r="G13" s="66">
        <f>REMUNERACION_ENERBIT!G108</f>
        <v>747351.49</v>
      </c>
      <c r="H13" s="66">
        <f>REMUNERACION_ENERBIT!H108</f>
        <v>10288819.59</v>
      </c>
      <c r="I13" s="66">
        <f>REMUNERACION_ENERBIT!I108</f>
        <v>349548.47</v>
      </c>
      <c r="J13" s="66">
        <f>REMUNERACION_ENERBIT!J108</f>
        <v>0</v>
      </c>
      <c r="K13" s="31">
        <f t="shared" si="0"/>
        <v>23246867.669999998</v>
      </c>
      <c r="L13" s="66">
        <f>REMUNERACION_ENERBIT!L108</f>
        <v>0</v>
      </c>
      <c r="M13" s="40">
        <f>K13-L13</f>
        <v>23246867.669999998</v>
      </c>
      <c r="N13" s="66">
        <f>REMUNERACION_ENERBIT!N108</f>
        <v>37.32</v>
      </c>
      <c r="O13" s="40">
        <f t="shared" si="1"/>
        <v>23246904.989999998</v>
      </c>
      <c r="Q13" s="4"/>
      <c r="S13" s="19">
        <v>5</v>
      </c>
      <c r="T13" s="63" t="s">
        <v>14</v>
      </c>
      <c r="U13" s="66">
        <f>REMUNERACION_ENERBIT!U108</f>
        <v>3034026.9299999997</v>
      </c>
      <c r="V13" s="66">
        <f>REMUNERACION_ENERBIT!V108</f>
        <v>3054639.56</v>
      </c>
      <c r="W13" s="66">
        <f>REMUNERACION_ENERBIT!W108</f>
        <v>15414224.579999998</v>
      </c>
      <c r="X13" s="66">
        <f>REMUNERACION_ENERBIT!X108</f>
        <v>7477857.75</v>
      </c>
      <c r="Y13" s="66">
        <f>REMUNERACION_ENERBIT!Y108</f>
        <v>572470.37</v>
      </c>
      <c r="Z13" s="66">
        <f>REMUNERACION_ENERBIT!Z108</f>
        <v>0</v>
      </c>
      <c r="AA13" s="66">
        <f>REMUNERACION_ENERBIT!AA108</f>
        <v>-96.03</v>
      </c>
      <c r="AB13" s="66">
        <f>REMUNERACION_ENERBIT!AB108</f>
        <v>37.32</v>
      </c>
      <c r="AC13" s="66">
        <f>REMUNERACION_ENERBIT!AC108</f>
        <v>-0.01</v>
      </c>
      <c r="AD13" s="66">
        <f>REMUNERACION_ENERBIT!AD108</f>
        <v>-6306255.4799999995</v>
      </c>
      <c r="AE13" s="66">
        <f>REMUNERACION_ENERBIT!AE108</f>
        <v>-6306255.4799999995</v>
      </c>
      <c r="AF13" s="70">
        <f>SUM(U13:AD13)</f>
        <v>23246904.989999998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35">
      <c r="B14" s="21"/>
      <c r="C14" s="22" t="s">
        <v>2</v>
      </c>
      <c r="D14" s="43">
        <f t="shared" ref="D14:O14" si="3">SUM(D9:D13)</f>
        <v>38576017.920000002</v>
      </c>
      <c r="E14" s="43">
        <f t="shared" si="3"/>
        <v>2540925.75</v>
      </c>
      <c r="F14" s="43">
        <f t="shared" si="3"/>
        <v>1402504.95</v>
      </c>
      <c r="G14" s="43">
        <f t="shared" si="3"/>
        <v>747351.49</v>
      </c>
      <c r="H14" s="43">
        <f t="shared" si="3"/>
        <v>10288819.59</v>
      </c>
      <c r="I14" s="43">
        <f t="shared" si="3"/>
        <v>349548.47</v>
      </c>
      <c r="J14" s="43">
        <f t="shared" si="3"/>
        <v>0</v>
      </c>
      <c r="K14" s="32">
        <f t="shared" si="3"/>
        <v>23246867.669999998</v>
      </c>
      <c r="L14" s="23">
        <f t="shared" si="3"/>
        <v>0</v>
      </c>
      <c r="M14" s="76">
        <f t="shared" si="3"/>
        <v>23246867.669999998</v>
      </c>
      <c r="N14" s="23">
        <f t="shared" si="3"/>
        <v>37.32</v>
      </c>
      <c r="O14" s="76">
        <f t="shared" si="3"/>
        <v>23246904.989999998</v>
      </c>
      <c r="P14" s="2"/>
      <c r="Q14" s="4"/>
      <c r="S14" s="21"/>
      <c r="T14" s="22" t="s">
        <v>2</v>
      </c>
      <c r="U14" s="43">
        <f>SUM(U9:U13)</f>
        <v>3034026.9299999997</v>
      </c>
      <c r="V14" s="43">
        <f t="shared" ref="V14:AG14" si="4">SUM(V9:V13)</f>
        <v>3054639.56</v>
      </c>
      <c r="W14" s="43">
        <f t="shared" si="4"/>
        <v>15414224.579999998</v>
      </c>
      <c r="X14" s="43">
        <f t="shared" si="4"/>
        <v>7477857.75</v>
      </c>
      <c r="Y14" s="43">
        <f t="shared" si="4"/>
        <v>572470.37</v>
      </c>
      <c r="Z14" s="43">
        <f t="shared" si="4"/>
        <v>0</v>
      </c>
      <c r="AA14" s="43">
        <f t="shared" si="4"/>
        <v>-96.03</v>
      </c>
      <c r="AB14" s="43">
        <f t="shared" si="4"/>
        <v>37.32</v>
      </c>
      <c r="AC14" s="43">
        <f t="shared" si="4"/>
        <v>-0.01</v>
      </c>
      <c r="AD14" s="43">
        <f t="shared" si="4"/>
        <v>-6306255.4799999995</v>
      </c>
      <c r="AE14" s="43">
        <f>SUM(AE9:AE13)</f>
        <v>-6306255.4799999995</v>
      </c>
      <c r="AF14" s="68">
        <f t="shared" si="4"/>
        <v>23246904.989999998</v>
      </c>
      <c r="AG14" s="43">
        <f t="shared" si="4"/>
        <v>0</v>
      </c>
      <c r="AH14" s="1" t="b">
        <f t="shared" si="2"/>
        <v>1</v>
      </c>
      <c r="AI14" s="4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29553219.190000001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2026092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REMUNERACION_ENERBIT!G122</f>
        <v>46281</v>
      </c>
      <c r="J27" s="2" t="s">
        <v>28</v>
      </c>
      <c r="K27" s="9">
        <f>REMUNERACION_ENERBIT!K122</f>
        <v>46295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5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6">
        <f>REMUNERACION_ENERBIT!G125</f>
        <v>0</v>
      </c>
      <c r="H30" s="310">
        <f>REMUNERACION_ENERBIT!H125</f>
        <v>0</v>
      </c>
      <c r="I30" s="309">
        <f>REMUNERACION_ENERBIT!I125</f>
        <v>0</v>
      </c>
      <c r="J30" s="309">
        <f>REMUNERACION_ENERBIT!J125</f>
        <v>0</v>
      </c>
      <c r="K30" s="309">
        <f>REMUNERACION_ENERBIT!K125</f>
        <v>0</v>
      </c>
      <c r="L30" s="309">
        <f>REMUNERACION_ENERBIT!L125</f>
        <v>0</v>
      </c>
      <c r="O30" s="44"/>
      <c r="Q30" s="4"/>
    </row>
    <row r="31" spans="1:35" x14ac:dyDescent="0.25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39">
        <f>REMUNERACION_ENERBIT!G126</f>
        <v>0</v>
      </c>
      <c r="H31" s="340">
        <f>REMUNERACION_ENERBIT!H126</f>
        <v>0</v>
      </c>
      <c r="I31" s="288">
        <f>REMUNERACION_ENERBIT!I126</f>
        <v>0</v>
      </c>
      <c r="J31" s="288">
        <f>REMUNERACION_ENERBIT!J126</f>
        <v>0</v>
      </c>
      <c r="K31" s="288">
        <f>REMUNERACION_ENERBIT!K126</f>
        <v>0</v>
      </c>
      <c r="L31" s="288">
        <f>REMUNERACION_ENERBIT!L126</f>
        <v>0</v>
      </c>
      <c r="O31" s="44"/>
      <c r="Q31" s="4"/>
    </row>
    <row r="32" spans="1:35" x14ac:dyDescent="0.25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39">
        <f>REMUNERACION_ENERBIT!G127</f>
        <v>0</v>
      </c>
      <c r="H32" s="340">
        <f>REMUNERACION_ENERBIT!H127</f>
        <v>0</v>
      </c>
      <c r="I32" s="288">
        <f>REMUNERACION_ENERBIT!I127</f>
        <v>0</v>
      </c>
      <c r="J32" s="288">
        <f>REMUNERACION_ENERBIT!J127</f>
        <v>0</v>
      </c>
      <c r="K32" s="288">
        <f>REMUNERACION_ENERBIT!K127</f>
        <v>0</v>
      </c>
      <c r="L32" s="288">
        <f>REMUNERACION_ENERBIT!L127</f>
        <v>0</v>
      </c>
      <c r="O32" s="44"/>
      <c r="Q32" s="4"/>
    </row>
    <row r="33" spans="1:20" x14ac:dyDescent="0.25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39">
        <f>REMUNERACION_ENERBIT!G128</f>
        <v>0</v>
      </c>
      <c r="H33" s="340">
        <f>REMUNERACION_ENERBIT!H128</f>
        <v>0</v>
      </c>
      <c r="I33" s="288">
        <f>REMUNERACION_ENERBIT!I128</f>
        <v>0</v>
      </c>
      <c r="J33" s="288">
        <f>REMUNERACION_ENERBIT!J128</f>
        <v>0</v>
      </c>
      <c r="K33" s="288">
        <f>REMUNERACION_ENERBIT!K128</f>
        <v>0</v>
      </c>
      <c r="L33" s="288">
        <f>REMUNERACION_ENERBIT!L128</f>
        <v>0</v>
      </c>
      <c r="O33" s="44"/>
      <c r="Q33" s="4"/>
    </row>
    <row r="34" spans="1:20" x14ac:dyDescent="0.25">
      <c r="B34" s="133">
        <v>5</v>
      </c>
      <c r="C34" s="138" t="s">
        <v>14</v>
      </c>
      <c r="D34" s="135">
        <f>REMUNERACION_ENERBIT!D129</f>
        <v>4085178</v>
      </c>
      <c r="E34" s="139">
        <f>REMUNERACION_ENERBIT!E129</f>
        <v>0</v>
      </c>
      <c r="G34" s="339">
        <f>REMUNERACION_ENERBIT!G129</f>
        <v>0</v>
      </c>
      <c r="H34" s="340">
        <f>REMUNERACION_ENERBIT!H129</f>
        <v>3790847.24</v>
      </c>
      <c r="I34" s="288">
        <f>REMUNERACION_ENERBIT!I129</f>
        <v>0</v>
      </c>
      <c r="J34" s="288">
        <f>REMUNERACION_ENERBIT!J129</f>
        <v>0</v>
      </c>
      <c r="K34" s="288">
        <f>REMUNERACION_ENERBIT!K129</f>
        <v>0</v>
      </c>
      <c r="L34" s="288">
        <f>REMUNERACION_ENERBIT!L129</f>
        <v>0</v>
      </c>
      <c r="O34" s="44"/>
      <c r="Q34" s="4"/>
    </row>
    <row r="35" spans="1:20" ht="12" thickBot="1" x14ac:dyDescent="0.3">
      <c r="B35" s="19" t="s">
        <v>89</v>
      </c>
      <c r="C35" s="20" t="s">
        <v>113</v>
      </c>
      <c r="D35" s="78"/>
      <c r="E35" s="79">
        <f>REMUNERACION_ENERBIT!E130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" thickBot="1" x14ac:dyDescent="0.3">
      <c r="B36" s="95"/>
      <c r="C36" s="106" t="s">
        <v>2</v>
      </c>
      <c r="D36" s="107">
        <f t="shared" ref="D36" si="5">SUM(D30:D34)</f>
        <v>4085178</v>
      </c>
      <c r="E36" s="107">
        <f>REMUNERACION_ENERBIT!E131</f>
        <v>0</v>
      </c>
      <c r="F36" s="45"/>
      <c r="G36" s="350">
        <f t="shared" ref="G36:L36" si="6">SUM(G30:G34)</f>
        <v>0</v>
      </c>
      <c r="H36" s="350">
        <f t="shared" si="6"/>
        <v>3790847.24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x14ac:dyDescent="0.25">
      <c r="B37" s="2"/>
      <c r="C37" s="2"/>
      <c r="D37" s="24"/>
      <c r="Q37" s="4"/>
    </row>
    <row r="38" spans="1:20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5">
      <c r="N42" s="24"/>
      <c r="O42" s="24"/>
      <c r="Q42" s="24"/>
      <c r="T42" s="24"/>
    </row>
    <row r="43" spans="1:20" x14ac:dyDescent="0.25">
      <c r="N43" s="24"/>
      <c r="O43" s="24"/>
      <c r="Q43" s="24"/>
      <c r="T43" s="24"/>
    </row>
    <row r="44" spans="1:20" x14ac:dyDescent="0.25">
      <c r="N44" s="24"/>
      <c r="O44" s="24"/>
      <c r="Q44" s="24"/>
      <c r="T44" s="24"/>
    </row>
    <row r="45" spans="1:20" x14ac:dyDescent="0.25">
      <c r="D45" s="267" t="b">
        <f>D14=REMUNERACION_ENERBIT!D109</f>
        <v>1</v>
      </c>
      <c r="E45" s="267" t="b">
        <f>E14=REMUNERACION_ENERBIT!E109</f>
        <v>1</v>
      </c>
      <c r="F45" s="267" t="b">
        <f>F14=REMUNERACION_ENERBIT!F109</f>
        <v>1</v>
      </c>
      <c r="G45" s="267" t="b">
        <f>G14=REMUNERACION_ENERBIT!G109</f>
        <v>1</v>
      </c>
      <c r="H45" s="267" t="b">
        <f>H14=REMUNERACION_ENERBIT!H109</f>
        <v>1</v>
      </c>
      <c r="I45" s="267" t="b">
        <f>I14=REMUNERACION_ENERBIT!I109</f>
        <v>1</v>
      </c>
      <c r="J45" s="267" t="b">
        <f>J14=REMUNERACION_ENERBIT!J109</f>
        <v>1</v>
      </c>
      <c r="K45" s="267" t="b">
        <f>K14=REMUNERACION_ENERBIT!K109</f>
        <v>1</v>
      </c>
      <c r="L45" s="267" t="b">
        <f>L14=REMUNERACION_ENERBIT!L109</f>
        <v>1</v>
      </c>
      <c r="M45" s="267" t="b">
        <f>M14=REMUNERACION_ENERBIT!M109</f>
        <v>1</v>
      </c>
      <c r="N45" s="267" t="b">
        <f>N14=REMUNERACION_ENERBIT!N109</f>
        <v>1</v>
      </c>
      <c r="O45" s="267" t="b">
        <f>O14=REMUNERACION_ENERBIT!O109</f>
        <v>1</v>
      </c>
      <c r="Q45" s="24"/>
      <c r="T45" s="24"/>
    </row>
    <row r="46" spans="1:20" x14ac:dyDescent="0.25">
      <c r="D46" s="267" t="b">
        <f>D36=REMUNERACION_ENERBIT!D131</f>
        <v>1</v>
      </c>
      <c r="E46" s="267" t="b">
        <f>E36=REMUNERACION_ENERBIT!E131</f>
        <v>1</v>
      </c>
      <c r="F46" s="267" t="b">
        <f>F36=REMUNERACION_ENERBIT!F131</f>
        <v>1</v>
      </c>
      <c r="G46" s="267" t="b">
        <f>G36=REMUNERACION_ENERBIT!G131</f>
        <v>1</v>
      </c>
      <c r="H46" s="267" t="b">
        <f>H36=REMUNERACION_ENERBIT!H131</f>
        <v>1</v>
      </c>
      <c r="I46" s="267" t="b">
        <f>I36=REMUNERACION_ENERBIT!I131</f>
        <v>1</v>
      </c>
      <c r="J46" s="267" t="b">
        <f>J36=REMUNERACION_ENERBIT!J131</f>
        <v>1</v>
      </c>
      <c r="K46" s="267" t="b">
        <f>K36=REMUNERACION_ENERBIT!K131</f>
        <v>1</v>
      </c>
      <c r="L46" s="267" t="b">
        <f>L36=REMUNERACION_ENERBIT!L131</f>
        <v>1</v>
      </c>
      <c r="M46" s="267" t="b">
        <f>M36=REMUNERACION_ENERBIT!M131</f>
        <v>1</v>
      </c>
      <c r="N46" s="267" t="b">
        <f>N36=REMUNERACION_ENERBIT!N131</f>
        <v>1</v>
      </c>
      <c r="O46" s="267" t="b">
        <f>O36=REMUNERACION_ENERBIT!O131</f>
        <v>1</v>
      </c>
      <c r="Q46" s="24"/>
      <c r="T46" s="24"/>
    </row>
    <row r="47" spans="1:20" x14ac:dyDescent="0.25">
      <c r="N47" s="24"/>
      <c r="O47" s="24"/>
      <c r="Q47" s="24"/>
      <c r="T47" s="24"/>
    </row>
    <row r="48" spans="1:20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115" zoomScaleNormal="100" workbookViewId="0">
      <selection activeCell="A124" sqref="A124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20" style="1" bestFit="1" customWidth="1"/>
    <col min="13" max="13" width="21" style="1" bestFit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7.54296875" style="1" bestFit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36" width="13.81640625" style="1" bestFit="1" customWidth="1"/>
    <col min="37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2:35" s="305" customFormat="1" x14ac:dyDescent="0.25">
      <c r="B9" s="303">
        <v>1</v>
      </c>
      <c r="C9" s="304" t="s">
        <v>10</v>
      </c>
      <c r="D9" s="291">
        <f>'Reporte Componentes R1'!F66</f>
        <v>723388828.91999996</v>
      </c>
      <c r="E9" s="292">
        <f>'Reporte Componentes R1'!G66</f>
        <v>86569202.910000011</v>
      </c>
      <c r="F9" s="292">
        <f>'Reporte Componentes R1'!H66</f>
        <v>48205717.399999999</v>
      </c>
      <c r="G9" s="292">
        <f>'Reporte Componentes R1'!I66</f>
        <v>25474471.190000001</v>
      </c>
      <c r="H9" s="292">
        <f>'Reporte Componentes R1'!J66</f>
        <v>52969174.980000004</v>
      </c>
      <c r="I9" s="292">
        <f>'Reporte Componentes R1'!K66</f>
        <v>1636424.3599999999</v>
      </c>
      <c r="J9" s="288">
        <v>0</v>
      </c>
      <c r="K9" s="293">
        <f>D9-E9-F9-G9-H9-I9-J9</f>
        <v>508533838.07999992</v>
      </c>
      <c r="L9" s="294">
        <v>0</v>
      </c>
      <c r="M9" s="293">
        <f>K9-L9</f>
        <v>508533838.07999992</v>
      </c>
      <c r="N9" s="294">
        <f>'Reporte Componentes R1'!L66</f>
        <v>19509370.379999999</v>
      </c>
      <c r="O9" s="293">
        <f>M9+N9</f>
        <v>528043208.45999992</v>
      </c>
      <c r="Q9" s="306"/>
      <c r="S9" s="303">
        <v>1</v>
      </c>
      <c r="T9" s="304" t="s">
        <v>10</v>
      </c>
      <c r="U9" s="307">
        <f>'Reporte Componentes R1'!M66</f>
        <v>14376398.389999999</v>
      </c>
      <c r="V9" s="308">
        <f>'Reporte Componentes R1'!N66</f>
        <v>17781822.419999998</v>
      </c>
      <c r="W9" s="308">
        <f>'Reporte Componentes R1'!O66</f>
        <v>82744888.460000008</v>
      </c>
      <c r="X9" s="308">
        <f>'Reporte Componentes R1'!P66</f>
        <v>236118415.52000001</v>
      </c>
      <c r="Y9" s="309">
        <f>'Reporte Componentes R1'!Q66</f>
        <v>2670317.9300000002</v>
      </c>
      <c r="Z9" s="310">
        <f>L9*-1</f>
        <v>0</v>
      </c>
      <c r="AA9" s="311">
        <f>'Reporte Componentes R1'!R66+'Reporte Componentes R1'!V66+'Reporte Componentes R1'!U66</f>
        <v>-2033.94</v>
      </c>
      <c r="AB9" s="294">
        <f>N9</f>
        <v>19509370.379999999</v>
      </c>
      <c r="AC9" s="311">
        <f>'Reporte Componentes R1'!T66+'Reporte Componentes R1'!W66+'Reporte Componentes R1'!X66+'Reporte Componentes R1'!Y66+'Reporte Componentes R1'!Z66+'Reporte Componentes R1'!S66</f>
        <v>0.29000000000000004</v>
      </c>
      <c r="AD9" s="291">
        <f>-J9+AE9</f>
        <v>154844029.00999999</v>
      </c>
      <c r="AE9" s="291">
        <f>'Reporte Componentes R1'!F67</f>
        <v>154844029.00999999</v>
      </c>
      <c r="AF9" s="313">
        <f>SUM(U9:AD9)</f>
        <v>528043208.46000004</v>
      </c>
      <c r="AG9" s="311">
        <f>(AF9-O9)</f>
        <v>1.1920928955078125E-7</v>
      </c>
      <c r="AH9" s="1" t="b">
        <f>INT(AG9)=0</f>
        <v>1</v>
      </c>
      <c r="AI9" s="306"/>
    </row>
    <row r="10" spans="2:35" s="305" customFormat="1" x14ac:dyDescent="0.25">
      <c r="B10" s="314">
        <v>2</v>
      </c>
      <c r="C10" s="315" t="s">
        <v>11</v>
      </c>
      <c r="D10" s="291">
        <f>'Reporte Componentes R1'!F220</f>
        <v>2007012779.4999998</v>
      </c>
      <c r="E10" s="292">
        <f>'Reporte Componentes R1'!G220</f>
        <v>236066110.05000001</v>
      </c>
      <c r="F10" s="292">
        <f>'Reporte Componentes R1'!H220</f>
        <v>132382509.13</v>
      </c>
      <c r="G10" s="292">
        <f>'Reporte Componentes R1'!I220</f>
        <v>69602615.679999992</v>
      </c>
      <c r="H10" s="292">
        <f>'Reporte Componentes R1'!J220</f>
        <v>303180485.92000002</v>
      </c>
      <c r="I10" s="292">
        <f>'Reporte Componentes R1'!K220</f>
        <v>7659146.6399999997</v>
      </c>
      <c r="J10" s="288">
        <v>0</v>
      </c>
      <c r="K10" s="295">
        <f t="shared" ref="K10:K13" si="0">D10-E10-F10-G10-H10-I10-J10</f>
        <v>1258121912.0799994</v>
      </c>
      <c r="L10" s="294">
        <v>0</v>
      </c>
      <c r="M10" s="295">
        <f>K10-L10</f>
        <v>1258121912.0799994</v>
      </c>
      <c r="N10" s="294">
        <f>'Reporte Componentes R1'!L220</f>
        <v>50343822.490000002</v>
      </c>
      <c r="O10" s="295">
        <f t="shared" ref="O10:O12" si="1">M10+N10</f>
        <v>1308465734.5699995</v>
      </c>
      <c r="Q10" s="306"/>
      <c r="S10" s="314">
        <v>2</v>
      </c>
      <c r="T10" s="315" t="s">
        <v>11</v>
      </c>
      <c r="U10" s="316">
        <f>'Reporte Componentes R1'!M220</f>
        <v>67119238.189999998</v>
      </c>
      <c r="V10" s="317">
        <f>'Reporte Componentes R1'!N220</f>
        <v>92540760.640000001</v>
      </c>
      <c r="W10" s="317">
        <f>'Reporte Componentes R1'!O220</f>
        <v>444943742.94</v>
      </c>
      <c r="X10" s="317">
        <f>'Reporte Componentes R1'!P220</f>
        <v>460996764.09000003</v>
      </c>
      <c r="Y10" s="318">
        <f>'Reporte Componentes R1'!Q220</f>
        <v>12579079.039999999</v>
      </c>
      <c r="Z10" s="319">
        <f>L10*-1</f>
        <v>0</v>
      </c>
      <c r="AA10" s="320">
        <f>'Reporte Componentes R1'!R220+'Reporte Componentes R1'!V220+'Reporte Componentes R1'!U220</f>
        <v>-2293.2800000000002</v>
      </c>
      <c r="AB10" s="294">
        <f>N10</f>
        <v>50343822.490000002</v>
      </c>
      <c r="AC10" s="320">
        <f>'Reporte Componentes R1'!T220+'Reporte Componentes R1'!W220+'Reporte Componentes R1'!X220+'Reporte Componentes R1'!Y220+'Reporte Componentes R1'!Z220+'Reporte Componentes R1'!S220</f>
        <v>17.899999999999999</v>
      </c>
      <c r="AD10" s="291">
        <f t="shared" ref="AD10:AD13" si="2">-J10+AE10</f>
        <v>179944602.56</v>
      </c>
      <c r="AE10" s="291">
        <f>'Reporte Componentes R1'!F221</f>
        <v>179944602.56</v>
      </c>
      <c r="AF10" s="322">
        <f>SUM(U10:AD10)</f>
        <v>1308465734.5700002</v>
      </c>
      <c r="AG10" s="323">
        <f>(AF10-O10)</f>
        <v>7.152557373046875E-7</v>
      </c>
      <c r="AH10" s="1" t="b">
        <f t="shared" ref="AH10:AH14" si="3">INT(AG10)=0</f>
        <v>1</v>
      </c>
      <c r="AI10" s="306"/>
    </row>
    <row r="11" spans="2:35" s="305" customFormat="1" x14ac:dyDescent="0.25">
      <c r="B11" s="314">
        <v>3</v>
      </c>
      <c r="C11" s="315" t="s">
        <v>12</v>
      </c>
      <c r="D11" s="291">
        <f>'Reporte Componentes R1'!F359</f>
        <v>1262877091.3</v>
      </c>
      <c r="E11" s="292">
        <f>'Reporte Componentes R1'!G359</f>
        <v>168820572.94</v>
      </c>
      <c r="F11" s="292">
        <f>'Reporte Componentes R1'!H359</f>
        <v>93543564.670000002</v>
      </c>
      <c r="G11" s="292">
        <f>'Reporte Componentes R1'!I359</f>
        <v>49387174.140000001</v>
      </c>
      <c r="H11" s="292">
        <f>'Reporte Componentes R1'!J359</f>
        <v>37156253.589999996</v>
      </c>
      <c r="I11" s="292">
        <f>'Reporte Componentes R1'!K359</f>
        <v>1122670.79</v>
      </c>
      <c r="J11" s="288">
        <v>0</v>
      </c>
      <c r="K11" s="295">
        <f t="shared" si="0"/>
        <v>912846855.16999996</v>
      </c>
      <c r="L11" s="294">
        <v>0</v>
      </c>
      <c r="M11" s="295">
        <f>K11-L11</f>
        <v>912846855.16999996</v>
      </c>
      <c r="N11" s="294">
        <f>'Reporte Componentes R1'!L359</f>
        <v>18177183.550000001</v>
      </c>
      <c r="O11" s="295">
        <f t="shared" si="1"/>
        <v>931024038.71999991</v>
      </c>
      <c r="Q11" s="306"/>
      <c r="S11" s="314">
        <v>3</v>
      </c>
      <c r="T11" s="315" t="s">
        <v>12</v>
      </c>
      <c r="U11" s="316">
        <f>'Reporte Componentes R1'!M359</f>
        <v>9828761.4499999993</v>
      </c>
      <c r="V11" s="317">
        <f>'Reporte Componentes R1'!N359</f>
        <v>12652507.34</v>
      </c>
      <c r="W11" s="317">
        <f>'Reporte Componentes R1'!O359</f>
        <v>57976181.700000003</v>
      </c>
      <c r="X11" s="317">
        <f>'Reporte Componentes R1'!P359</f>
        <v>399225849.98000002</v>
      </c>
      <c r="Y11" s="318">
        <f>'Reporte Componentes R1'!Q359</f>
        <v>1832751.6</v>
      </c>
      <c r="Z11" s="319">
        <f>L11*-1</f>
        <v>0</v>
      </c>
      <c r="AA11" s="320">
        <f>'Reporte Componentes R1'!R359+'Reporte Componentes R1'!V359+'Reporte Componentes R1'!U359</f>
        <v>-2402.41</v>
      </c>
      <c r="AB11" s="294">
        <f>N11</f>
        <v>18177183.550000001</v>
      </c>
      <c r="AC11" s="320">
        <f>'Reporte Componentes R1'!T359+'Reporte Componentes R1'!W359+'Reporte Componentes R1'!X359+'Reporte Componentes R1'!Y359+'Reporte Componentes R1'!Z359+'Reporte Componentes R1'!S359</f>
        <v>1.41</v>
      </c>
      <c r="AD11" s="291">
        <f t="shared" si="2"/>
        <v>431333204.10000002</v>
      </c>
      <c r="AE11" s="291">
        <f>'Reporte Componentes R1'!F360</f>
        <v>431333204.10000002</v>
      </c>
      <c r="AF11" s="322">
        <f t="shared" ref="AF11:AF13" si="4">SUM(U11:AD11)</f>
        <v>931024038.72000003</v>
      </c>
      <c r="AG11" s="323">
        <f>(AF11-O11)</f>
        <v>1.1920928955078125E-7</v>
      </c>
      <c r="AH11" s="1" t="b">
        <f t="shared" si="3"/>
        <v>1</v>
      </c>
      <c r="AI11" s="306"/>
    </row>
    <row r="12" spans="2:35" s="305" customFormat="1" x14ac:dyDescent="0.25">
      <c r="B12" s="314">
        <v>4</v>
      </c>
      <c r="C12" s="315" t="s">
        <v>13</v>
      </c>
      <c r="D12" s="291">
        <f>'Reporte Componentes R1'!F492</f>
        <v>1001394299.85</v>
      </c>
      <c r="E12" s="292">
        <f>'Reporte Componentes R1'!G492</f>
        <v>96347890.379999995</v>
      </c>
      <c r="F12" s="292">
        <f>'Reporte Componentes R1'!H492</f>
        <v>53642864.589999996</v>
      </c>
      <c r="G12" s="292">
        <f>'Reporte Componentes R1'!I492</f>
        <v>28268612.469999999</v>
      </c>
      <c r="H12" s="292">
        <f>'Reporte Componentes R1'!J492</f>
        <v>128324876.09999999</v>
      </c>
      <c r="I12" s="292">
        <f>'Reporte Componentes R1'!K492</f>
        <v>3410942.05</v>
      </c>
      <c r="J12" s="288">
        <v>0</v>
      </c>
      <c r="K12" s="295">
        <f t="shared" si="0"/>
        <v>691399114.25999999</v>
      </c>
      <c r="L12" s="294">
        <v>0</v>
      </c>
      <c r="M12" s="295">
        <f>K12-L12</f>
        <v>691399114.25999999</v>
      </c>
      <c r="N12" s="294">
        <f>'Reporte Componentes R1'!L492</f>
        <v>6089499.1600000001</v>
      </c>
      <c r="O12" s="295">
        <f t="shared" si="1"/>
        <v>697488613.41999996</v>
      </c>
      <c r="Q12" s="306"/>
      <c r="S12" s="314">
        <v>4</v>
      </c>
      <c r="T12" s="315" t="s">
        <v>13</v>
      </c>
      <c r="U12" s="316">
        <f>'Reporte Componentes R1'!M492</f>
        <v>29955296.809999999</v>
      </c>
      <c r="V12" s="317">
        <f>'Reporte Componentes R1'!N492</f>
        <v>41224437.350000001</v>
      </c>
      <c r="W12" s="317">
        <f>'Reporte Componentes R1'!O492</f>
        <v>208298986.38</v>
      </c>
      <c r="X12" s="317">
        <f>'Reporte Componentes R1'!P492</f>
        <v>255564994.84</v>
      </c>
      <c r="Y12" s="318">
        <f>'Reporte Componentes R1'!Q492</f>
        <v>5586738.1200000001</v>
      </c>
      <c r="Z12" s="319">
        <f>L12*-1</f>
        <v>0</v>
      </c>
      <c r="AA12" s="320">
        <f>'Reporte Componentes R1'!R492+'Reporte Componentes R1'!V492+'Reporte Componentes R1'!U492</f>
        <v>-773.95</v>
      </c>
      <c r="AB12" s="294">
        <f>N12</f>
        <v>6089499.1600000001</v>
      </c>
      <c r="AC12" s="320">
        <f>'Reporte Componentes R1'!T492+'Reporte Componentes R1'!W492+'Reporte Componentes R1'!X492+'Reporte Componentes R1'!Y492+'Reporte Componentes R1'!Z492+'Reporte Componentes R1'!S492</f>
        <v>0.18000000000000002</v>
      </c>
      <c r="AD12" s="291">
        <f t="shared" si="2"/>
        <v>150769434.53</v>
      </c>
      <c r="AE12" s="291">
        <f>'Reporte Componentes R1'!F493</f>
        <v>150769434.53</v>
      </c>
      <c r="AF12" s="322">
        <f t="shared" si="4"/>
        <v>697488613.41999984</v>
      </c>
      <c r="AG12" s="323">
        <f>(AF12-O12)</f>
        <v>-1.1920928955078125E-7</v>
      </c>
      <c r="AH12" s="1" t="b">
        <f t="shared" si="3"/>
        <v>0</v>
      </c>
      <c r="AI12" s="306"/>
    </row>
    <row r="13" spans="2:35" s="305" customFormat="1" ht="12" thickBot="1" x14ac:dyDescent="0.3">
      <c r="B13" s="324">
        <v>5</v>
      </c>
      <c r="C13" s="325" t="s">
        <v>14</v>
      </c>
      <c r="D13" s="296">
        <f>'Reporte Componentes R1'!F571</f>
        <v>264234342.55000001</v>
      </c>
      <c r="E13" s="297">
        <f>'Reporte Componentes R1'!G571</f>
        <v>24786094.609999999</v>
      </c>
      <c r="F13" s="297">
        <f>'Reporte Componentes R1'!H571</f>
        <v>13584576.880000001</v>
      </c>
      <c r="G13" s="297">
        <f>'Reporte Componentes R1'!I571</f>
        <v>7186811.3700000001</v>
      </c>
      <c r="H13" s="297">
        <f>'Reporte Componentes R1'!J571</f>
        <v>19984715.310000002</v>
      </c>
      <c r="I13" s="297">
        <f>'Reporte Componentes R1'!K571</f>
        <v>938757.83000000007</v>
      </c>
      <c r="J13" s="289">
        <v>0</v>
      </c>
      <c r="K13" s="295">
        <f t="shared" si="0"/>
        <v>197753386.54999998</v>
      </c>
      <c r="L13" s="294">
        <v>0</v>
      </c>
      <c r="M13" s="298">
        <f>K13-L13</f>
        <v>197753386.54999998</v>
      </c>
      <c r="N13" s="299">
        <f>'Reporte Componentes R1'!L571</f>
        <v>1911490.45</v>
      </c>
      <c r="O13" s="298">
        <f>M13+N13</f>
        <v>199664876.99999997</v>
      </c>
      <c r="Q13" s="306"/>
      <c r="S13" s="324">
        <v>5</v>
      </c>
      <c r="T13" s="325" t="s">
        <v>14</v>
      </c>
      <c r="U13" s="296">
        <f>'Reporte Componentes R1'!M571</f>
        <v>8238099.71</v>
      </c>
      <c r="V13" s="297">
        <f>'Reporte Componentes R1'!N571</f>
        <v>9462555.3000000007</v>
      </c>
      <c r="W13" s="297">
        <f>'Reporte Componentes R1'!O571</f>
        <v>48308061.170000002</v>
      </c>
      <c r="X13" s="297">
        <f>'Reporte Componentes R1'!P571</f>
        <v>74106327.179999992</v>
      </c>
      <c r="Y13" s="289">
        <f>'Reporte Componentes R1'!Q571</f>
        <v>1546418.33</v>
      </c>
      <c r="Z13" s="319">
        <f>L13*-1</f>
        <v>0</v>
      </c>
      <c r="AA13" s="320">
        <f>'Reporte Componentes R1'!R571+'Reporte Componentes R1'!V571+'Reporte Componentes R1'!U571</f>
        <v>-2490.73</v>
      </c>
      <c r="AB13" s="294">
        <f>N13</f>
        <v>1911490.45</v>
      </c>
      <c r="AC13" s="320">
        <f>'Reporte Componentes R1'!T571+'Reporte Componentes R1'!W571+'Reporte Componentes R1'!X571+'Reporte Componentes R1'!Y571+'Reporte Componentes R1'!Z571+'Reporte Componentes R1'!S571</f>
        <v>-35.819999999999993</v>
      </c>
      <c r="AD13" s="291">
        <f t="shared" si="2"/>
        <v>56094451.409999996</v>
      </c>
      <c r="AE13" s="291">
        <f>'Reporte Componentes R1'!F572</f>
        <v>56094451.409999996</v>
      </c>
      <c r="AF13" s="322">
        <f t="shared" si="4"/>
        <v>199664877.00000003</v>
      </c>
      <c r="AG13" s="326">
        <f>(AF13-O13)</f>
        <v>5.9604644775390625E-8</v>
      </c>
      <c r="AH13" s="1" t="b">
        <f t="shared" si="3"/>
        <v>1</v>
      </c>
      <c r="AI13" s="306"/>
    </row>
    <row r="14" spans="2:35" s="305" customFormat="1" ht="13.5" thickBot="1" x14ac:dyDescent="0.35">
      <c r="B14" s="327"/>
      <c r="C14" s="328" t="s">
        <v>2</v>
      </c>
      <c r="D14" s="290">
        <f>SUM(D9:D13)</f>
        <v>5258907342.1199999</v>
      </c>
      <c r="E14" s="290">
        <f t="shared" ref="E14:O14" si="5">SUM(E9:E13)</f>
        <v>612589870.88999999</v>
      </c>
      <c r="F14" s="290">
        <f t="shared" si="5"/>
        <v>341359232.66999996</v>
      </c>
      <c r="G14" s="290">
        <f t="shared" si="5"/>
        <v>179919684.84999999</v>
      </c>
      <c r="H14" s="290">
        <f t="shared" si="5"/>
        <v>541615505.9000001</v>
      </c>
      <c r="I14" s="290">
        <f t="shared" si="5"/>
        <v>14767941.67</v>
      </c>
      <c r="J14" s="290">
        <f t="shared" si="5"/>
        <v>0</v>
      </c>
      <c r="K14" s="300">
        <f t="shared" si="5"/>
        <v>3568655106.1399994</v>
      </c>
      <c r="L14" s="301">
        <f>SUM(L9:L13)</f>
        <v>0</v>
      </c>
      <c r="M14" s="302">
        <f t="shared" si="5"/>
        <v>3568655106.1399994</v>
      </c>
      <c r="N14" s="301">
        <f t="shared" si="5"/>
        <v>96031366.030000001</v>
      </c>
      <c r="O14" s="302">
        <f t="shared" si="5"/>
        <v>3664686472.1699991</v>
      </c>
      <c r="P14" s="329"/>
      <c r="Q14" s="306"/>
      <c r="S14" s="327"/>
      <c r="T14" s="328" t="s">
        <v>2</v>
      </c>
      <c r="U14" s="330">
        <f>SUM(U9:U13)</f>
        <v>129517794.55</v>
      </c>
      <c r="V14" s="330">
        <f t="shared" ref="V14:AF14" si="6">SUM(V9:V13)</f>
        <v>173662083.05000001</v>
      </c>
      <c r="W14" s="330">
        <f t="shared" si="6"/>
        <v>842271860.64999998</v>
      </c>
      <c r="X14" s="330">
        <f t="shared" si="6"/>
        <v>1426012351.6100001</v>
      </c>
      <c r="Y14" s="330">
        <f t="shared" si="6"/>
        <v>24215305.020000003</v>
      </c>
      <c r="Z14" s="290">
        <f t="shared" si="6"/>
        <v>0</v>
      </c>
      <c r="AA14" s="290">
        <f t="shared" si="6"/>
        <v>-9994.31</v>
      </c>
      <c r="AB14" s="290">
        <f t="shared" si="6"/>
        <v>96031366.030000001</v>
      </c>
      <c r="AC14" s="290">
        <f t="shared" si="6"/>
        <v>-16.039999999999996</v>
      </c>
      <c r="AD14" s="290">
        <f>SUM(AD9:AD13)</f>
        <v>972985721.61000001</v>
      </c>
      <c r="AE14" s="290">
        <f>SUM(AE9:AE13)</f>
        <v>972985721.61000001</v>
      </c>
      <c r="AF14" s="331">
        <f t="shared" si="6"/>
        <v>3664686472.1700001</v>
      </c>
      <c r="AG14" s="332">
        <f>SUM(AG9:AG13)</f>
        <v>8.9406967163085938E-7</v>
      </c>
      <c r="AH14" s="1" t="b">
        <f t="shared" si="3"/>
        <v>1</v>
      </c>
      <c r="AI14" s="306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2595679394.8800001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5" x14ac:dyDescent="0.35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x14ac:dyDescent="0.25">
      <c r="B28" s="303">
        <v>1</v>
      </c>
      <c r="C28" s="304" t="s">
        <v>10</v>
      </c>
      <c r="D28" s="291">
        <f>'Rem. Anticipos R2'!E55</f>
        <v>30977060.350000001</v>
      </c>
      <c r="E28" s="292">
        <f>'Rem. Anticipos R2'!F55</f>
        <v>2871379.97</v>
      </c>
      <c r="F28" s="292">
        <f>'Rem. Anticipos R2'!G55</f>
        <v>1594991.86</v>
      </c>
      <c r="G28" s="292">
        <f>'Rem. Anticipos R2'!H55</f>
        <v>834918.62</v>
      </c>
      <c r="H28" s="292">
        <f>'Rem. Anticipos R2'!I55</f>
        <v>3494955.25</v>
      </c>
      <c r="I28" s="292">
        <f>'Rem. Anticipos R2'!J55</f>
        <v>92974.76</v>
      </c>
      <c r="J28" s="288">
        <v>0</v>
      </c>
      <c r="K28" s="293">
        <f>D28-E28-F28-G28-H28-I28-J28</f>
        <v>22087839.890000001</v>
      </c>
      <c r="L28" s="294">
        <v>0</v>
      </c>
      <c r="M28" s="293">
        <f>K28-L28</f>
        <v>22087839.890000001</v>
      </c>
      <c r="N28" s="294">
        <f>'Rem. Anticipos R2'!K55</f>
        <v>1030668</v>
      </c>
      <c r="O28" s="293">
        <f>M28+N28</f>
        <v>23118507.890000001</v>
      </c>
      <c r="Q28" s="306"/>
      <c r="S28" s="303">
        <v>1</v>
      </c>
      <c r="T28" s="304" t="s">
        <v>10</v>
      </c>
      <c r="U28" s="307">
        <f>'Rem. Anticipos R2'!L55</f>
        <v>999146.77</v>
      </c>
      <c r="V28" s="308">
        <f>'Rem. Anticipos R2'!M55</f>
        <v>1126463.3500000001</v>
      </c>
      <c r="W28" s="308">
        <f>'Rem. Anticipos R2'!N55</f>
        <v>4522706.04</v>
      </c>
      <c r="X28" s="308">
        <f>'Rem. Anticipos R2'!O55</f>
        <v>8313556.6100000003</v>
      </c>
      <c r="Y28" s="308">
        <f>'Rem. Anticipos R2'!P55</f>
        <v>143441.39000000001</v>
      </c>
      <c r="Z28" s="310">
        <f>L28*-1</f>
        <v>0</v>
      </c>
      <c r="AA28" s="311">
        <f>'Rem. Anticipos R2'!Q55</f>
        <v>-29.68</v>
      </c>
      <c r="AB28" s="294">
        <f>N28</f>
        <v>1030668</v>
      </c>
      <c r="AC28" s="311">
        <f>'Rem. Anticipos R2'!R55</f>
        <v>0</v>
      </c>
      <c r="AD28" s="291">
        <f>-J28+AE28</f>
        <v>6982555.4100000001</v>
      </c>
      <c r="AE28" s="291">
        <f>'Rem. Anticipos R2'!E56</f>
        <v>6982555.4100000001</v>
      </c>
      <c r="AF28" s="313">
        <f>SUM(U28:AD28)</f>
        <v>23118507.890000001</v>
      </c>
      <c r="AG28" s="311">
        <f>(AF28-O28)</f>
        <v>0</v>
      </c>
      <c r="AH28" s="1" t="b">
        <f>INT(AG28)=0</f>
        <v>1</v>
      </c>
      <c r="AI28" s="306"/>
    </row>
    <row r="29" spans="1:35" s="305" customFormat="1" x14ac:dyDescent="0.25">
      <c r="B29" s="314">
        <v>2</v>
      </c>
      <c r="C29" s="315" t="s">
        <v>11</v>
      </c>
      <c r="D29" s="291">
        <f>'Rem. Anticipos R2'!E148</f>
        <v>123557128.39999999</v>
      </c>
      <c r="E29" s="292">
        <f>'Rem. Anticipos R2'!F148</f>
        <v>18534552.309999999</v>
      </c>
      <c r="F29" s="292">
        <f>'Rem. Anticipos R2'!G148</f>
        <v>9721858.4399999995</v>
      </c>
      <c r="G29" s="292">
        <f>'Rem. Anticipos R2'!H148</f>
        <v>4945101.0999999996</v>
      </c>
      <c r="H29" s="292">
        <f>'Rem. Anticipos R2'!I148</f>
        <v>17923536.300000001</v>
      </c>
      <c r="I29" s="292">
        <f>'Rem. Anticipos R2'!J148</f>
        <v>489771.51</v>
      </c>
      <c r="J29" s="288">
        <v>0</v>
      </c>
      <c r="K29" s="295">
        <f t="shared" ref="K29:K31" si="7">D29-E29-F29-G29-H29-I29-J29</f>
        <v>71942308.739999995</v>
      </c>
      <c r="L29" s="294">
        <v>0</v>
      </c>
      <c r="M29" s="295">
        <f>K29-L29</f>
        <v>71942308.739999995</v>
      </c>
      <c r="N29" s="294">
        <f>'Rem. Anticipos R2'!K148</f>
        <v>219000</v>
      </c>
      <c r="O29" s="295">
        <f t="shared" ref="O29:O32" si="8">M29+N29</f>
        <v>72161308.739999995</v>
      </c>
      <c r="Q29" s="306"/>
      <c r="S29" s="314">
        <v>2</v>
      </c>
      <c r="T29" s="315" t="s">
        <v>11</v>
      </c>
      <c r="U29" s="316">
        <f>'Rem. Anticipos R2'!L148</f>
        <v>4267341.01</v>
      </c>
      <c r="V29" s="317">
        <f>'Rem. Anticipos R2'!M148</f>
        <v>4952353.0199999996</v>
      </c>
      <c r="W29" s="317">
        <f>'Rem. Anticipos R2'!N148</f>
        <v>22250431.350000001</v>
      </c>
      <c r="X29" s="317">
        <f>'Rem. Anticipos R2'!O148</f>
        <v>39870031.380000003</v>
      </c>
      <c r="Y29" s="318">
        <f>'Rem. Anticipos R2'!P148</f>
        <v>772105.57</v>
      </c>
      <c r="Z29" s="319">
        <f>L29*-1</f>
        <v>0</v>
      </c>
      <c r="AA29" s="320">
        <f>'Rem. Anticipos R2'!Q148</f>
        <v>-142.75</v>
      </c>
      <c r="AB29" s="294">
        <f>N29</f>
        <v>219000</v>
      </c>
      <c r="AC29" s="320">
        <f>'Rem. Anticipos R2'!R148</f>
        <v>0</v>
      </c>
      <c r="AD29" s="291">
        <f>-J29+AE29</f>
        <v>-169810.84</v>
      </c>
      <c r="AE29" s="291">
        <f>'Rem. Anticipos R2'!E149</f>
        <v>-169810.84</v>
      </c>
      <c r="AF29" s="322">
        <f>SUM(U29:AD29)</f>
        <v>72161308.739999995</v>
      </c>
      <c r="AG29" s="323">
        <f>(AF29-O29)</f>
        <v>0</v>
      </c>
      <c r="AH29" s="1" t="b">
        <f t="shared" ref="AH29:AH33" si="9">INT(AG29)=0</f>
        <v>1</v>
      </c>
      <c r="AI29" s="306"/>
    </row>
    <row r="30" spans="1:35" s="305" customFormat="1" x14ac:dyDescent="0.25">
      <c r="B30" s="314">
        <v>3</v>
      </c>
      <c r="C30" s="315" t="s">
        <v>12</v>
      </c>
      <c r="D30" s="291">
        <f>'Rem. Anticipos R2'!E265</f>
        <v>105322959.08999999</v>
      </c>
      <c r="E30" s="292">
        <f>'Rem. Anticipos R2'!F265</f>
        <v>12378064.34</v>
      </c>
      <c r="F30" s="292">
        <f>'Rem. Anticipos R2'!G265</f>
        <v>6912023.2999999998</v>
      </c>
      <c r="G30" s="292">
        <f>'Rem. Anticipos R2'!H265</f>
        <v>3668022.08</v>
      </c>
      <c r="H30" s="292">
        <f>'Rem. Anticipos R2'!I265</f>
        <v>1965855.67</v>
      </c>
      <c r="I30" s="292">
        <f>'Rem. Anticipos R2'!J265</f>
        <v>59826.25</v>
      </c>
      <c r="J30" s="288">
        <v>0</v>
      </c>
      <c r="K30" s="295">
        <f t="shared" si="7"/>
        <v>80339167.449999988</v>
      </c>
      <c r="L30" s="294">
        <v>0</v>
      </c>
      <c r="M30" s="295">
        <f>K30-L30</f>
        <v>80339167.449999988</v>
      </c>
      <c r="N30" s="294">
        <f>'Rem. Anticipos R2'!K265</f>
        <v>34149.980000000003</v>
      </c>
      <c r="O30" s="295">
        <f t="shared" si="8"/>
        <v>80373317.429999992</v>
      </c>
      <c r="Q30" s="306"/>
      <c r="S30" s="314">
        <v>3</v>
      </c>
      <c r="T30" s="315" t="s">
        <v>12</v>
      </c>
      <c r="U30" s="316">
        <f>'Rem. Anticipos R2'!L265</f>
        <v>456104.15</v>
      </c>
      <c r="V30" s="317">
        <f>'Rem. Anticipos R2'!M265</f>
        <v>730334.15</v>
      </c>
      <c r="W30" s="317">
        <f>'Rem. Anticipos R2'!N265</f>
        <v>2450993.4300000002</v>
      </c>
      <c r="X30" s="317">
        <f>'Rem. Anticipos R2'!O265</f>
        <v>30771251.800000001</v>
      </c>
      <c r="Y30" s="318">
        <f>'Rem. Anticipos R2'!P265</f>
        <v>71070.38</v>
      </c>
      <c r="Z30" s="319">
        <f>L30*-1</f>
        <v>0</v>
      </c>
      <c r="AA30" s="320">
        <f>'Rem. Anticipos R2'!Q265</f>
        <v>-91.46</v>
      </c>
      <c r="AB30" s="294">
        <f>N30</f>
        <v>34149.980000000003</v>
      </c>
      <c r="AC30" s="320">
        <f>'Rem. Anticipos R2'!R265</f>
        <v>0</v>
      </c>
      <c r="AD30" s="291">
        <f t="shared" ref="AD30:AD32" si="10">-J30+AE30</f>
        <v>45859505</v>
      </c>
      <c r="AE30" s="291">
        <f>'Rem. Anticipos R2'!E266</f>
        <v>45859505</v>
      </c>
      <c r="AF30" s="322">
        <f>SUM(U30:AD30)</f>
        <v>80373317.430000007</v>
      </c>
      <c r="AG30" s="323">
        <f t="shared" ref="AG30:AG31" si="11">(AF30-O30)</f>
        <v>1.4901161193847656E-8</v>
      </c>
      <c r="AH30" s="1" t="b">
        <f t="shared" si="9"/>
        <v>1</v>
      </c>
      <c r="AI30" s="306"/>
    </row>
    <row r="31" spans="1:35" s="305" customFormat="1" x14ac:dyDescent="0.25">
      <c r="B31" s="314">
        <v>4</v>
      </c>
      <c r="C31" s="315" t="s">
        <v>13</v>
      </c>
      <c r="D31" s="291">
        <f>'Rem. Anticipos R2'!E364</f>
        <v>38475706.420000002</v>
      </c>
      <c r="E31" s="292">
        <f>'Rem. Anticipos R2'!F364</f>
        <v>4194893.1500000004</v>
      </c>
      <c r="F31" s="292">
        <f>'Rem. Anticipos R2'!G364</f>
        <v>2365633.86</v>
      </c>
      <c r="G31" s="292">
        <f>'Rem. Anticipos R2'!H364</f>
        <v>1220342.3</v>
      </c>
      <c r="H31" s="292">
        <f>'Rem. Anticipos R2'!I364</f>
        <v>6557624.9900000002</v>
      </c>
      <c r="I31" s="292">
        <f>'Rem. Anticipos R2'!J364</f>
        <v>197657.43</v>
      </c>
      <c r="J31" s="288">
        <v>0</v>
      </c>
      <c r="K31" s="295">
        <f t="shared" si="7"/>
        <v>23939554.690000005</v>
      </c>
      <c r="L31" s="294">
        <v>0</v>
      </c>
      <c r="M31" s="295">
        <f>K31-L31</f>
        <v>23939554.690000005</v>
      </c>
      <c r="N31" s="294">
        <f>'Rem. Anticipos R2'!K364</f>
        <v>858314.69</v>
      </c>
      <c r="O31" s="295">
        <f t="shared" si="8"/>
        <v>24797869.380000006</v>
      </c>
      <c r="Q31" s="306"/>
      <c r="S31" s="314">
        <v>4</v>
      </c>
      <c r="T31" s="315" t="s">
        <v>13</v>
      </c>
      <c r="U31" s="316">
        <f>'Rem. Anticipos R2'!L364</f>
        <v>1724231.49</v>
      </c>
      <c r="V31" s="317">
        <f>'Rem. Anticipos R2'!M364</f>
        <v>2129555.2000000002</v>
      </c>
      <c r="W31" s="317">
        <f>'Rem. Anticipos R2'!N364</f>
        <v>9548765.6099999994</v>
      </c>
      <c r="X31" s="317">
        <f>'Rem. Anticipos R2'!O364</f>
        <v>10921198.93</v>
      </c>
      <c r="Y31" s="318">
        <f>'Rem. Anticipos R2'!P364</f>
        <v>279984.90000000002</v>
      </c>
      <c r="Z31" s="319">
        <f>L31*-1</f>
        <v>0</v>
      </c>
      <c r="AA31" s="320">
        <f>'Rem. Anticipos R2'!Q364</f>
        <v>-9.75</v>
      </c>
      <c r="AB31" s="294">
        <f>N31</f>
        <v>858314.69</v>
      </c>
      <c r="AC31" s="320">
        <f>'Rem. Anticipos R2'!R364</f>
        <v>0</v>
      </c>
      <c r="AD31" s="291">
        <f t="shared" si="10"/>
        <v>-664171.68999999994</v>
      </c>
      <c r="AE31" s="291">
        <f>'Rem. Anticipos R2'!E365</f>
        <v>-664171.68999999994</v>
      </c>
      <c r="AF31" s="322">
        <f>SUM(U31:AD31)</f>
        <v>24797869.379999999</v>
      </c>
      <c r="AG31" s="323">
        <f t="shared" si="11"/>
        <v>-7.4505805969238281E-9</v>
      </c>
      <c r="AH31" s="1" t="b">
        <f t="shared" si="9"/>
        <v>0</v>
      </c>
      <c r="AI31" s="306"/>
    </row>
    <row r="32" spans="1:35" s="305" customFormat="1" ht="12" thickBot="1" x14ac:dyDescent="0.3">
      <c r="B32" s="324">
        <v>5</v>
      </c>
      <c r="C32" s="325" t="s">
        <v>14</v>
      </c>
      <c r="D32" s="296">
        <f>'Rem. Anticipos R2'!E444</f>
        <v>16485393.82</v>
      </c>
      <c r="E32" s="297">
        <f>'Rem. Anticipos R2'!F444</f>
        <v>1530436.33</v>
      </c>
      <c r="F32" s="297">
        <f>'Rem. Anticipos R2'!G444</f>
        <v>861153.66</v>
      </c>
      <c r="G32" s="297">
        <f>'Rem. Anticipos R2'!H444</f>
        <v>435509.94</v>
      </c>
      <c r="H32" s="297">
        <f>'Rem. Anticipos R2'!I444</f>
        <v>2399322.5699999998</v>
      </c>
      <c r="I32" s="297">
        <f>'Rem. Anticipos R2'!J444</f>
        <v>78578.399999999994</v>
      </c>
      <c r="J32" s="289">
        <v>0</v>
      </c>
      <c r="K32" s="295">
        <f>D32-E32-F32-G32-H32-I32-J32</f>
        <v>11180392.92</v>
      </c>
      <c r="L32" s="294">
        <v>0</v>
      </c>
      <c r="M32" s="298">
        <f>K32-L32</f>
        <v>11180392.92</v>
      </c>
      <c r="N32" s="299">
        <f>'Rem. Anticipos R2'!K444</f>
        <v>575000</v>
      </c>
      <c r="O32" s="298">
        <f t="shared" si="8"/>
        <v>11755392.92</v>
      </c>
      <c r="Q32" s="306"/>
      <c r="S32" s="324">
        <v>5</v>
      </c>
      <c r="T32" s="325" t="s">
        <v>14</v>
      </c>
      <c r="U32" s="296">
        <f>'Rem. Anticipos R2'!L444</f>
        <v>482045.85</v>
      </c>
      <c r="V32" s="297">
        <f>'Rem. Anticipos R2'!M444</f>
        <v>725941.31</v>
      </c>
      <c r="W32" s="297">
        <f>'Rem. Anticipos R2'!N444</f>
        <v>2674871.0299999998</v>
      </c>
      <c r="X32" s="297">
        <f>'Rem. Anticipos R2'!O444</f>
        <v>4583359.57</v>
      </c>
      <c r="Y32" s="289">
        <f>'Rem. Anticipos R2'!P444</f>
        <v>127866.48</v>
      </c>
      <c r="Z32" s="319">
        <f>L32*-1</f>
        <v>0</v>
      </c>
      <c r="AA32" s="320">
        <f>'Rem. Anticipos R2'!Q444</f>
        <v>82.14</v>
      </c>
      <c r="AB32" s="294">
        <f>N32</f>
        <v>575000</v>
      </c>
      <c r="AC32" s="320">
        <f>'Rem. Anticipos R2'!R444</f>
        <v>0</v>
      </c>
      <c r="AD32" s="291">
        <f t="shared" si="10"/>
        <v>2586226.54</v>
      </c>
      <c r="AE32" s="291">
        <f>'Rem. Anticipos R2'!E445</f>
        <v>2586226.54</v>
      </c>
      <c r="AF32" s="322">
        <f>SUM(U32:AD32)</f>
        <v>11755392.920000002</v>
      </c>
      <c r="AG32" s="326">
        <f>(AF32-O32)</f>
        <v>1.862645149230957E-9</v>
      </c>
      <c r="AH32" s="1" t="b">
        <f t="shared" si="9"/>
        <v>1</v>
      </c>
      <c r="AI32" s="306"/>
    </row>
    <row r="33" spans="1:35" s="305" customFormat="1" ht="13.5" thickBot="1" x14ac:dyDescent="0.35">
      <c r="B33" s="327"/>
      <c r="C33" s="328" t="s">
        <v>2</v>
      </c>
      <c r="D33" s="290">
        <f>SUM(D28:D32)</f>
        <v>314818248.07999998</v>
      </c>
      <c r="E33" s="290">
        <f>SUM(E28:E32)</f>
        <v>39509326.099999994</v>
      </c>
      <c r="F33" s="290">
        <f t="shared" ref="F33:O33" si="12">SUM(F28:F32)</f>
        <v>21455661.119999997</v>
      </c>
      <c r="G33" s="290">
        <f t="shared" si="12"/>
        <v>11103894.040000001</v>
      </c>
      <c r="H33" s="290">
        <f t="shared" si="12"/>
        <v>32341294.780000001</v>
      </c>
      <c r="I33" s="290">
        <f t="shared" si="12"/>
        <v>918808.35</v>
      </c>
      <c r="J33" s="290">
        <f t="shared" si="12"/>
        <v>0</v>
      </c>
      <c r="K33" s="300">
        <f t="shared" si="12"/>
        <v>209489263.68999997</v>
      </c>
      <c r="L33" s="301">
        <f t="shared" si="12"/>
        <v>0</v>
      </c>
      <c r="M33" s="302">
        <f t="shared" si="12"/>
        <v>209489263.68999997</v>
      </c>
      <c r="N33" s="301">
        <f t="shared" si="12"/>
        <v>2717132.67</v>
      </c>
      <c r="O33" s="302">
        <f t="shared" si="12"/>
        <v>212206396.35999998</v>
      </c>
      <c r="P33" s="329"/>
      <c r="Q33" s="306"/>
      <c r="S33" s="327"/>
      <c r="T33" s="328" t="s">
        <v>2</v>
      </c>
      <c r="U33" s="330">
        <f>SUM(U28:U32)</f>
        <v>7928869.2699999996</v>
      </c>
      <c r="V33" s="330">
        <f t="shared" ref="V33:AG33" si="13">SUM(V28:V32)</f>
        <v>9664647.0299999993</v>
      </c>
      <c r="W33" s="330">
        <f t="shared" si="13"/>
        <v>41447767.460000001</v>
      </c>
      <c r="X33" s="330">
        <f t="shared" si="13"/>
        <v>94459398.289999992</v>
      </c>
      <c r="Y33" s="330">
        <f t="shared" si="13"/>
        <v>1394468.72</v>
      </c>
      <c r="Z33" s="290">
        <f t="shared" si="13"/>
        <v>0</v>
      </c>
      <c r="AA33" s="290">
        <f t="shared" si="13"/>
        <v>-191.5</v>
      </c>
      <c r="AB33" s="290">
        <f t="shared" si="13"/>
        <v>2717132.67</v>
      </c>
      <c r="AC33" s="290">
        <f t="shared" si="13"/>
        <v>0</v>
      </c>
      <c r="AD33" s="290">
        <f>SUM(AD28:AD32)</f>
        <v>54594304.420000002</v>
      </c>
      <c r="AE33" s="290">
        <f>SUM(AE28:AE32)</f>
        <v>54594304.420000002</v>
      </c>
      <c r="AF33" s="331">
        <f t="shared" si="13"/>
        <v>212206396.36000001</v>
      </c>
      <c r="AG33" s="332">
        <f t="shared" si="13"/>
        <v>9.3132257461547852E-9</v>
      </c>
      <c r="AH33" s="1" t="b">
        <f t="shared" si="9"/>
        <v>1</v>
      </c>
      <c r="AI33" s="306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154895150.76999998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5" x14ac:dyDescent="0.35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x14ac:dyDescent="0.25">
      <c r="B47" s="303">
        <v>1</v>
      </c>
      <c r="C47" s="304" t="s">
        <v>10</v>
      </c>
      <c r="D47" s="291">
        <f>'Reporte Componentes R1'!F68</f>
        <v>40070</v>
      </c>
      <c r="E47" s="292">
        <f>'Reporte Componentes R1'!G68</f>
        <v>1956.64</v>
      </c>
      <c r="F47" s="292">
        <f>'Reporte Componentes R1'!H68</f>
        <v>1090.23</v>
      </c>
      <c r="G47" s="292">
        <f>'Reporte Componentes R1'!I68</f>
        <v>579.83000000000004</v>
      </c>
      <c r="H47" s="292">
        <f>'Reporte Componentes R1'!J68</f>
        <v>9781.0400000000009</v>
      </c>
      <c r="I47" s="292">
        <f>'Reporte Componentes R1'!K68</f>
        <v>359.68</v>
      </c>
      <c r="J47" s="288">
        <v>0</v>
      </c>
      <c r="K47" s="293">
        <f>D47-E47-F47-G47-H47-I47-J47</f>
        <v>26302.579999999994</v>
      </c>
      <c r="L47" s="294">
        <v>0</v>
      </c>
      <c r="M47" s="293">
        <f>K47-L47</f>
        <v>26302.579999999994</v>
      </c>
      <c r="N47" s="294">
        <f>'Reporte Componentes R1'!L68</f>
        <v>0</v>
      </c>
      <c r="O47" s="293">
        <f>M47+N47</f>
        <v>26302.579999999994</v>
      </c>
      <c r="Q47" s="306"/>
      <c r="S47" s="303">
        <v>1</v>
      </c>
      <c r="T47" s="304" t="s">
        <v>10</v>
      </c>
      <c r="U47" s="307">
        <f>'Reporte Componentes R1'!M68</f>
        <v>3155.11</v>
      </c>
      <c r="V47" s="308">
        <f>'Reporte Componentes R1'!N68</f>
        <v>3024.18</v>
      </c>
      <c r="W47" s="308">
        <f>'Reporte Componentes R1'!O68</f>
        <v>14196.18</v>
      </c>
      <c r="X47" s="308">
        <f>'Reporte Componentes R1'!P68</f>
        <v>5344.07</v>
      </c>
      <c r="Y47" s="309">
        <f>'Reporte Componentes R1'!Q68</f>
        <v>586.85</v>
      </c>
      <c r="Z47" s="310">
        <f>-L47</f>
        <v>0</v>
      </c>
      <c r="AA47" s="311">
        <f>'Reporte Componentes R1'!R68+'Reporte Componentes R1'!V68+'Reporte Componentes R1'!U68</f>
        <v>-3.81</v>
      </c>
      <c r="AB47" s="294">
        <f>N47</f>
        <v>0</v>
      </c>
      <c r="AC47" s="311">
        <f>'Reporte Componentes R1'!T68+'Reporte Componentes R1'!S68+'Reporte Componentes R1'!W68+'Reporte Componentes R1'!X68+'Reporte Componentes R1'!Y68+'Reporte Componentes R1'!Z68</f>
        <v>0</v>
      </c>
      <c r="AD47" s="291">
        <f>-J47+AE47</f>
        <v>0</v>
      </c>
      <c r="AE47" s="291">
        <f>'Reporte Componentes R1'!F69</f>
        <v>0</v>
      </c>
      <c r="AF47" s="313">
        <f>SUM(U47:AD47)</f>
        <v>26302.579999999998</v>
      </c>
      <c r="AG47" s="311">
        <f>(AF47-O47)</f>
        <v>3.637978807091713E-12</v>
      </c>
      <c r="AH47" s="1" t="b">
        <f>INT(AG47)=0</f>
        <v>1</v>
      </c>
      <c r="AI47" s="306"/>
    </row>
    <row r="48" spans="1:35" s="305" customFormat="1" x14ac:dyDescent="0.25">
      <c r="B48" s="314">
        <v>2</v>
      </c>
      <c r="C48" s="315" t="s">
        <v>11</v>
      </c>
      <c r="D48" s="291">
        <f>'Reporte Componentes R1'!F222</f>
        <v>1003966</v>
      </c>
      <c r="E48" s="292">
        <f>'Reporte Componentes R1'!G222</f>
        <v>66224.73</v>
      </c>
      <c r="F48" s="292">
        <f>'Reporte Componentes R1'!H222</f>
        <v>37442.449999999997</v>
      </c>
      <c r="G48" s="292">
        <f>'Reporte Componentes R1'!I222</f>
        <v>23169.96</v>
      </c>
      <c r="H48" s="292">
        <f>'Reporte Componentes R1'!J222</f>
        <v>323281.68</v>
      </c>
      <c r="I48" s="292">
        <f>'Reporte Componentes R1'!K222</f>
        <v>10603.42</v>
      </c>
      <c r="J48" s="288">
        <v>0</v>
      </c>
      <c r="K48" s="295">
        <f t="shared" ref="K48:K51" si="14">D48-E48-F48-G48-H48-I48-J48</f>
        <v>543243.76000000013</v>
      </c>
      <c r="L48" s="294">
        <v>0</v>
      </c>
      <c r="M48" s="295">
        <f>K48-L48</f>
        <v>543243.76000000013</v>
      </c>
      <c r="N48" s="294">
        <f>'Reporte Componentes R1'!L222</f>
        <v>0</v>
      </c>
      <c r="O48" s="295">
        <f t="shared" ref="O48:O51" si="15">M48+N48</f>
        <v>543243.76000000013</v>
      </c>
      <c r="Q48" s="306"/>
      <c r="S48" s="314">
        <v>2</v>
      </c>
      <c r="T48" s="315" t="s">
        <v>11</v>
      </c>
      <c r="U48" s="316">
        <f>'Reporte Componentes R1'!M222</f>
        <v>84369.53</v>
      </c>
      <c r="V48" s="317">
        <f>'Reporte Componentes R1'!N222</f>
        <v>95689.38</v>
      </c>
      <c r="W48" s="317">
        <f>'Reporte Componentes R1'!O222</f>
        <v>542773.4</v>
      </c>
      <c r="X48" s="317">
        <f>'Reporte Componentes R1'!P222</f>
        <v>139745.07</v>
      </c>
      <c r="Y48" s="318">
        <f>'Reporte Componentes R1'!Q222</f>
        <v>16405.93</v>
      </c>
      <c r="Z48" s="319">
        <f>-L48</f>
        <v>0</v>
      </c>
      <c r="AA48" s="320">
        <f>'Reporte Componentes R1'!R222+'Reporte Componentes R1'!V222+'Reporte Componentes R1'!U222</f>
        <v>18.11</v>
      </c>
      <c r="AB48" s="294">
        <f>N48</f>
        <v>0</v>
      </c>
      <c r="AC48" s="320">
        <f>'Reporte Componentes R1'!T222+'Reporte Componentes R1'!S222+'Reporte Componentes R1'!W222+'Reporte Componentes R1'!X222+'Reporte Componentes R1'!Y222+'Reporte Componentes R1'!Z222</f>
        <v>0.06</v>
      </c>
      <c r="AD48" s="291">
        <f t="shared" ref="AD48:AD51" si="16">-J48+AE48</f>
        <v>-335757.72</v>
      </c>
      <c r="AE48" s="291">
        <f>'Reporte Componentes R1'!F223</f>
        <v>-335757.72</v>
      </c>
      <c r="AF48" s="322">
        <f>SUM(U48:AD48)</f>
        <v>543243.76000000024</v>
      </c>
      <c r="AG48" s="323">
        <f>(AF48-O48)</f>
        <v>1.1641532182693481E-10</v>
      </c>
      <c r="AH48" s="1" t="b">
        <f t="shared" ref="AH48:AH52" si="17">INT(AG48)=0</f>
        <v>1</v>
      </c>
      <c r="AI48" s="306"/>
    </row>
    <row r="49" spans="1:35" s="305" customFormat="1" x14ac:dyDescent="0.25">
      <c r="B49" s="314">
        <v>3</v>
      </c>
      <c r="C49" s="315" t="s">
        <v>12</v>
      </c>
      <c r="D49" s="291">
        <f>'Reporte Componentes R1'!F361</f>
        <v>0</v>
      </c>
      <c r="E49" s="292">
        <f>'Reporte Componentes R1'!G361</f>
        <v>0</v>
      </c>
      <c r="F49" s="292">
        <f>'Reporte Componentes R1'!H361</f>
        <v>0</v>
      </c>
      <c r="G49" s="292">
        <f>'Reporte Componentes R1'!I361</f>
        <v>0</v>
      </c>
      <c r="H49" s="292">
        <f>'Reporte Componentes R1'!J361</f>
        <v>0</v>
      </c>
      <c r="I49" s="292">
        <f>'Reporte Componentes R1'!K361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R1'!L361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R1'!M361</f>
        <v>0</v>
      </c>
      <c r="V49" s="317">
        <f>'Reporte Componentes R1'!N361</f>
        <v>0</v>
      </c>
      <c r="W49" s="317">
        <f>'Reporte Componentes R1'!O361</f>
        <v>0</v>
      </c>
      <c r="X49" s="317">
        <f>'Reporte Componentes R1'!P361</f>
        <v>0</v>
      </c>
      <c r="Y49" s="318">
        <f>'Reporte Componentes R1'!Q361</f>
        <v>0</v>
      </c>
      <c r="Z49" s="319">
        <f>-L49</f>
        <v>0</v>
      </c>
      <c r="AA49" s="320">
        <f>'Reporte Componentes R1'!R361+'Reporte Componentes R1'!V361+'Reporte Componentes R1'!U361</f>
        <v>0</v>
      </c>
      <c r="AB49" s="294">
        <f>N49</f>
        <v>0</v>
      </c>
      <c r="AC49" s="320">
        <f>'Reporte Componentes R1'!T361+'Reporte Componentes R1'!S361+'Reporte Componentes R1'!W361+'Reporte Componentes R1'!X361+'Reporte Componentes R1'!Y361+'Reporte Componentes R1'!Z361</f>
        <v>0</v>
      </c>
      <c r="AD49" s="291">
        <f t="shared" si="16"/>
        <v>0</v>
      </c>
      <c r="AE49" s="291">
        <f>'Reporte Componentes R1'!F362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x14ac:dyDescent="0.25">
      <c r="B50" s="314">
        <v>4</v>
      </c>
      <c r="C50" s="315" t="s">
        <v>13</v>
      </c>
      <c r="D50" s="291">
        <f>'Reporte Componentes R1'!F494</f>
        <v>5075866</v>
      </c>
      <c r="E50" s="292">
        <f>'Reporte Componentes R1'!G494</f>
        <v>295177.14</v>
      </c>
      <c r="F50" s="292">
        <f>'Reporte Componentes R1'!H494</f>
        <v>155798.47</v>
      </c>
      <c r="G50" s="292">
        <f>'Reporte Componentes R1'!I494</f>
        <v>83506.34</v>
      </c>
      <c r="H50" s="292">
        <f>'Reporte Componentes R1'!J494</f>
        <v>1190857.3799999999</v>
      </c>
      <c r="I50" s="292">
        <f>'Reporte Componentes R1'!K494</f>
        <v>40011.82</v>
      </c>
      <c r="J50" s="288">
        <v>0</v>
      </c>
      <c r="K50" s="295">
        <f t="shared" si="14"/>
        <v>3310514.850000001</v>
      </c>
      <c r="L50" s="294">
        <v>0</v>
      </c>
      <c r="M50" s="295">
        <f>K50-L50</f>
        <v>3310514.850000001</v>
      </c>
      <c r="N50" s="294">
        <f>'Reporte Componentes R1'!L494</f>
        <v>0</v>
      </c>
      <c r="O50" s="295">
        <f t="shared" si="15"/>
        <v>3310514.850000001</v>
      </c>
      <c r="Q50" s="306"/>
      <c r="S50" s="314">
        <v>4</v>
      </c>
      <c r="T50" s="315" t="s">
        <v>13</v>
      </c>
      <c r="U50" s="316">
        <f>'Reporte Componentes R1'!M494</f>
        <v>357994.68</v>
      </c>
      <c r="V50" s="317">
        <f>'Reporte Componentes R1'!N494</f>
        <v>405293.91</v>
      </c>
      <c r="W50" s="317">
        <f>'Reporte Componentes R1'!O494</f>
        <v>2011747.21</v>
      </c>
      <c r="X50" s="317">
        <f>'Reporte Componentes R1'!P494</f>
        <v>776565.21</v>
      </c>
      <c r="Y50" s="318">
        <f>'Reporte Componentes R1'!Q494</f>
        <v>66179.710000000006</v>
      </c>
      <c r="Z50" s="319">
        <f>-L50</f>
        <v>0</v>
      </c>
      <c r="AA50" s="320">
        <f>'Reporte Componentes R1'!R494+'Reporte Componentes R1'!V494+'Reporte Componentes R1'!U494</f>
        <v>-16.760000000000002</v>
      </c>
      <c r="AB50" s="294">
        <f>N50</f>
        <v>0</v>
      </c>
      <c r="AC50" s="320">
        <f>'Reporte Componentes R1'!T494+'Reporte Componentes R1'!S494+'Reporte Componentes R1'!W494+'Reporte Componentes R1'!X494+'Reporte Componentes R1'!Y494+'Reporte Componentes R1'!Z494</f>
        <v>0</v>
      </c>
      <c r="AD50" s="291">
        <f t="shared" si="16"/>
        <v>-307249.11</v>
      </c>
      <c r="AE50" s="291">
        <f>'Reporte Componentes R1'!F495</f>
        <v>-307249.11</v>
      </c>
      <c r="AF50" s="322">
        <f t="shared" si="18"/>
        <v>3310514.85</v>
      </c>
      <c r="AG50" s="323">
        <f t="shared" si="19"/>
        <v>-9.3132257461547852E-10</v>
      </c>
      <c r="AH50" s="1" t="b">
        <f t="shared" si="17"/>
        <v>0</v>
      </c>
      <c r="AI50" s="306"/>
    </row>
    <row r="51" spans="1:35" s="305" customFormat="1" ht="12" thickBot="1" x14ac:dyDescent="0.3">
      <c r="B51" s="324">
        <v>5</v>
      </c>
      <c r="C51" s="325" t="s">
        <v>14</v>
      </c>
      <c r="D51" s="296">
        <f>'Reporte Componentes R1'!F573</f>
        <v>0</v>
      </c>
      <c r="E51" s="297">
        <f>'Reporte Componentes R1'!G573</f>
        <v>0</v>
      </c>
      <c r="F51" s="297">
        <f>'Reporte Componentes R1'!H573</f>
        <v>0</v>
      </c>
      <c r="G51" s="297">
        <f>'Reporte Componentes R1'!I573</f>
        <v>0</v>
      </c>
      <c r="H51" s="297">
        <f>'Reporte Componentes R1'!J573</f>
        <v>0</v>
      </c>
      <c r="I51" s="297">
        <f>'Reporte Componentes R1'!K573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R1'!L573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R1'!M573</f>
        <v>0</v>
      </c>
      <c r="V51" s="297">
        <f>'Reporte Componentes R1'!N573</f>
        <v>0</v>
      </c>
      <c r="W51" s="297">
        <f>'Reporte Componentes R1'!O573</f>
        <v>0</v>
      </c>
      <c r="X51" s="297">
        <f>'Reporte Componentes R1'!P573</f>
        <v>0</v>
      </c>
      <c r="Y51" s="289">
        <f>'Reporte Componentes R1'!Q573</f>
        <v>0</v>
      </c>
      <c r="Z51" s="319">
        <f>-L51</f>
        <v>0</v>
      </c>
      <c r="AA51" s="320">
        <f>'Reporte Componentes R1'!R573+'Reporte Componentes R1'!V573+'Reporte Componentes R1'!U573</f>
        <v>0</v>
      </c>
      <c r="AB51" s="294">
        <f>N51</f>
        <v>0</v>
      </c>
      <c r="AC51" s="320">
        <f>'Reporte Componentes R1'!T573+'Reporte Componentes R1'!S573+'Reporte Componentes R1'!W573+'Reporte Componentes R1'!X573+'Reporte Componentes R1'!Y573+'Reporte Componentes R1'!Z573</f>
        <v>0</v>
      </c>
      <c r="AD51" s="291">
        <f t="shared" si="16"/>
        <v>0</v>
      </c>
      <c r="AE51" s="291">
        <f>'Reporte Componentes R1'!F574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5" thickBot="1" x14ac:dyDescent="0.35">
      <c r="B52" s="327"/>
      <c r="C52" s="328" t="s">
        <v>2</v>
      </c>
      <c r="D52" s="290">
        <f t="shared" ref="D52:O52" si="20">SUM(D47:D51)</f>
        <v>6119902</v>
      </c>
      <c r="E52" s="290">
        <f t="shared" si="20"/>
        <v>363358.51</v>
      </c>
      <c r="F52" s="290">
        <f t="shared" si="20"/>
        <v>194331.15</v>
      </c>
      <c r="G52" s="290">
        <f t="shared" ref="G52" si="21">SUM(G47:G51)</f>
        <v>107256.13</v>
      </c>
      <c r="H52" s="290">
        <f t="shared" si="20"/>
        <v>1523920.0999999999</v>
      </c>
      <c r="I52" s="290">
        <f t="shared" si="20"/>
        <v>50974.92</v>
      </c>
      <c r="J52" s="290">
        <f t="shared" si="20"/>
        <v>0</v>
      </c>
      <c r="K52" s="300">
        <f t="shared" si="20"/>
        <v>3880061.1900000013</v>
      </c>
      <c r="L52" s="301">
        <f t="shared" si="20"/>
        <v>0</v>
      </c>
      <c r="M52" s="302">
        <f t="shared" si="20"/>
        <v>3880061.1900000013</v>
      </c>
      <c r="N52" s="301">
        <f t="shared" si="20"/>
        <v>0</v>
      </c>
      <c r="O52" s="302">
        <f t="shared" si="20"/>
        <v>3880061.1900000013</v>
      </c>
      <c r="P52" s="329"/>
      <c r="Q52" s="306"/>
      <c r="S52" s="327"/>
      <c r="T52" s="328" t="s">
        <v>2</v>
      </c>
      <c r="U52" s="330">
        <f>SUM(U47:U51)</f>
        <v>445519.32</v>
      </c>
      <c r="V52" s="330">
        <f t="shared" ref="V52:AG52" si="22">SUM(V47:V51)</f>
        <v>504007.47</v>
      </c>
      <c r="W52" s="330">
        <f t="shared" si="22"/>
        <v>2568716.79</v>
      </c>
      <c r="X52" s="330">
        <f t="shared" si="22"/>
        <v>921654.35</v>
      </c>
      <c r="Y52" s="330">
        <f t="shared" si="22"/>
        <v>83172.490000000005</v>
      </c>
      <c r="Z52" s="290">
        <f t="shared" si="22"/>
        <v>0</v>
      </c>
      <c r="AA52" s="290">
        <f t="shared" si="22"/>
        <v>-2.4600000000000026</v>
      </c>
      <c r="AB52" s="290">
        <f t="shared" si="22"/>
        <v>0</v>
      </c>
      <c r="AC52" s="290">
        <f t="shared" ref="AC52" si="23">SUM(AC47:AC51)</f>
        <v>0.06</v>
      </c>
      <c r="AD52" s="290">
        <f>SUM(AD47:AD51)</f>
        <v>-643006.82999999996</v>
      </c>
      <c r="AE52" s="290">
        <f>SUM(AE47:AE51)</f>
        <v>-643006.82999999996</v>
      </c>
      <c r="AF52" s="331">
        <f t="shared" si="22"/>
        <v>3880061.1900000004</v>
      </c>
      <c r="AG52" s="332">
        <f t="shared" si="22"/>
        <v>-8.1126927398145199E-10</v>
      </c>
      <c r="AH52" s="1" t="b">
        <f t="shared" si="17"/>
        <v>0</v>
      </c>
      <c r="AI52" s="306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4523070.42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5" x14ac:dyDescent="0.35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x14ac:dyDescent="0.25">
      <c r="B66" s="303">
        <v>1</v>
      </c>
      <c r="C66" s="304" t="s">
        <v>10</v>
      </c>
      <c r="D66" s="291">
        <f>'Reversion Pagos R4'!D82</f>
        <v>-40070</v>
      </c>
      <c r="E66" s="292">
        <f>'Reversion Pagos R4'!E82</f>
        <v>-2042.17</v>
      </c>
      <c r="F66" s="292">
        <f>'Reversion Pagos R4'!F82</f>
        <v>-1153.02</v>
      </c>
      <c r="G66" s="292">
        <f>'Reversion Pagos R4'!G82</f>
        <v>-605.19000000000005</v>
      </c>
      <c r="H66" s="292">
        <f>'Reversion Pagos R4'!H82</f>
        <v>-10019.35</v>
      </c>
      <c r="I66" s="292">
        <f>'Reversion Pagos R4'!I82</f>
        <v>-249.19</v>
      </c>
      <c r="J66" s="288">
        <v>0</v>
      </c>
      <c r="K66" s="293">
        <f>D66-E66-F66-G66-H66-I66-J66</f>
        <v>-26001.080000000005</v>
      </c>
      <c r="L66" s="294">
        <v>0</v>
      </c>
      <c r="M66" s="293">
        <f>K66-L66</f>
        <v>-26001.080000000005</v>
      </c>
      <c r="N66" s="294">
        <f>'Reversion Pagos R4'!P82</f>
        <v>0</v>
      </c>
      <c r="O66" s="293">
        <f>M66+N66</f>
        <v>-26001.080000000005</v>
      </c>
      <c r="Q66" s="306"/>
      <c r="S66" s="303">
        <v>1</v>
      </c>
      <c r="T66" s="304" t="s">
        <v>10</v>
      </c>
      <c r="U66" s="307">
        <f>'Reversion Pagos R4'!J82</f>
        <v>-2185.89</v>
      </c>
      <c r="V66" s="308">
        <f>'Reversion Pagos R4'!K82</f>
        <v>-3113.99</v>
      </c>
      <c r="W66" s="308">
        <f>'Reversion Pagos R4'!L82</f>
        <v>-14745.86</v>
      </c>
      <c r="X66" s="308">
        <f>'Reversion Pagos R4'!M82</f>
        <v>-5553.38</v>
      </c>
      <c r="Y66" s="308">
        <f>'Reversion Pagos R4'!N82</f>
        <v>-406.58</v>
      </c>
      <c r="Z66" s="310">
        <f>-L66</f>
        <v>0</v>
      </c>
      <c r="AA66" s="320">
        <f>'Reversion Pagos R4'!O82</f>
        <v>4.62</v>
      </c>
      <c r="AB66" s="294">
        <f>N66</f>
        <v>0</v>
      </c>
      <c r="AC66" s="320">
        <f>+'Reversion Pagos R4'!Q82+'Reversion Pagos R4'!R82</f>
        <v>0</v>
      </c>
      <c r="AD66" s="291">
        <f>-J66+AE66</f>
        <v>0</v>
      </c>
      <c r="AE66" s="291">
        <f>'Reversion Pagos R4'!D83</f>
        <v>0</v>
      </c>
      <c r="AF66" s="313">
        <f>SUM(U66:AD66)</f>
        <v>-26001.08</v>
      </c>
      <c r="AG66" s="311">
        <f>(AF66-O66)</f>
        <v>3.637978807091713E-12</v>
      </c>
      <c r="AH66" s="1" t="b">
        <f>INT(AG66)=0</f>
        <v>1</v>
      </c>
      <c r="AI66" s="306"/>
    </row>
    <row r="67" spans="1:35" s="305" customFormat="1" x14ac:dyDescent="0.25">
      <c r="B67" s="314">
        <v>2</v>
      </c>
      <c r="C67" s="315" t="s">
        <v>11</v>
      </c>
      <c r="D67" s="291">
        <f>'Reversion Pagos R4'!D182</f>
        <v>-3643056</v>
      </c>
      <c r="E67" s="292">
        <f>'Reversion Pagos R4'!E182</f>
        <v>-523019.06</v>
      </c>
      <c r="F67" s="292">
        <f>'Reversion Pagos R4'!F182</f>
        <v>-267600.51</v>
      </c>
      <c r="G67" s="292">
        <f>'Reversion Pagos R4'!G182</f>
        <v>-131804.25</v>
      </c>
      <c r="H67" s="292">
        <f>'Reversion Pagos R4'!H182</f>
        <v>-1768304.93</v>
      </c>
      <c r="I67" s="292">
        <f>'Reversion Pagos R4'!I182</f>
        <v>-55102.83</v>
      </c>
      <c r="J67" s="288">
        <v>0</v>
      </c>
      <c r="K67" s="295">
        <f t="shared" ref="K67:K70" si="24">D67-E67-F67-G67-H67-I67-J67</f>
        <v>-897224.41999999981</v>
      </c>
      <c r="L67" s="294">
        <v>0</v>
      </c>
      <c r="M67" s="295">
        <f>K67-L67</f>
        <v>-897224.41999999981</v>
      </c>
      <c r="N67" s="294">
        <f>'Reversion Pagos R4'!P182</f>
        <v>0</v>
      </c>
      <c r="O67" s="295">
        <f t="shared" ref="O67:O70" si="25">M67+N67</f>
        <v>-897224.41999999981</v>
      </c>
      <c r="Q67" s="306"/>
      <c r="S67" s="314">
        <v>2</v>
      </c>
      <c r="T67" s="315" t="s">
        <v>11</v>
      </c>
      <c r="U67" s="316">
        <f>'Reversion Pagos R4'!J182</f>
        <v>-486924.6</v>
      </c>
      <c r="V67" s="317">
        <f>'Reversion Pagos R4'!K182</f>
        <v>-587738.52</v>
      </c>
      <c r="W67" s="317">
        <f>'Reversion Pagos R4'!L182</f>
        <v>-2420946.7599999998</v>
      </c>
      <c r="X67" s="317">
        <f>'Reversion Pagos R4'!M182</f>
        <v>-1002555.8</v>
      </c>
      <c r="Y67" s="318">
        <f>'Reversion Pagos R4'!N182</f>
        <v>-88926.67</v>
      </c>
      <c r="Z67" s="319">
        <f t="shared" ref="Z67:Z70" si="26">-L67</f>
        <v>0</v>
      </c>
      <c r="AA67" s="320">
        <f>'Reversion Pagos R4'!O182</f>
        <v>65.650000000000006</v>
      </c>
      <c r="AB67" s="294">
        <f t="shared" ref="AB67:AB70" si="27">N67</f>
        <v>0</v>
      </c>
      <c r="AC67" s="320">
        <f>+'Reversion Pagos R4'!Q182+'Reversion Pagos R4'!R182</f>
        <v>278.77</v>
      </c>
      <c r="AD67" s="291">
        <f t="shared" ref="AD67:AD70" si="28">-J67+AE67</f>
        <v>3689523.51</v>
      </c>
      <c r="AE67" s="291">
        <f>'Reversion Pagos R4'!D183</f>
        <v>3689523.51</v>
      </c>
      <c r="AF67" s="322">
        <f>SUM(U67:AD67)</f>
        <v>-897224.41999999993</v>
      </c>
      <c r="AG67" s="323">
        <f>(AF67-O67)</f>
        <v>-1.1641532182693481E-10</v>
      </c>
      <c r="AH67" s="1" t="b">
        <f t="shared" ref="AH67:AH71" si="29">INT(AG67)=0</f>
        <v>0</v>
      </c>
      <c r="AI67" s="306"/>
    </row>
    <row r="68" spans="1:35" s="305" customFormat="1" x14ac:dyDescent="0.25">
      <c r="B68" s="314">
        <v>3</v>
      </c>
      <c r="C68" s="315" t="s">
        <v>12</v>
      </c>
      <c r="D68" s="291">
        <f>'Reversion Pagos R4'!D213</f>
        <v>0</v>
      </c>
      <c r="E68" s="292">
        <f>'Reversion Pagos R4'!E213</f>
        <v>0</v>
      </c>
      <c r="F68" s="292">
        <f>'Reversion Pagos R4'!F213</f>
        <v>0</v>
      </c>
      <c r="G68" s="292">
        <f>'Reversion Pagos R4'!G213</f>
        <v>0</v>
      </c>
      <c r="H68" s="292">
        <f>'Reversion Pagos R4'!H213</f>
        <v>0</v>
      </c>
      <c r="I68" s="292">
        <f>'Reversion Pagos R4'!I213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R4'!P213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R4'!J213</f>
        <v>0</v>
      </c>
      <c r="V68" s="317">
        <f>'Reversion Pagos R4'!K213</f>
        <v>0</v>
      </c>
      <c r="W68" s="317">
        <f>'Reversion Pagos R4'!L213</f>
        <v>0</v>
      </c>
      <c r="X68" s="317">
        <f>'Reversion Pagos R4'!M213</f>
        <v>0</v>
      </c>
      <c r="Y68" s="318">
        <f>'Reversion Pagos R4'!N213</f>
        <v>0</v>
      </c>
      <c r="Z68" s="319">
        <f t="shared" si="26"/>
        <v>0</v>
      </c>
      <c r="AA68" s="320">
        <f>'Reversion Pagos R4'!O213</f>
        <v>0</v>
      </c>
      <c r="AB68" s="294">
        <f t="shared" si="27"/>
        <v>0</v>
      </c>
      <c r="AC68" s="320">
        <f>+'Reversion Pagos R4'!Q213+'Reversion Pagos R4'!R213</f>
        <v>0</v>
      </c>
      <c r="AD68" s="291">
        <f t="shared" si="28"/>
        <v>0</v>
      </c>
      <c r="AE68" s="291">
        <f>'Reversion Pagos R4'!D214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x14ac:dyDescent="0.25">
      <c r="B69" s="314">
        <v>4</v>
      </c>
      <c r="C69" s="315" t="s">
        <v>13</v>
      </c>
      <c r="D69" s="291">
        <f>'Reversion Pagos R4'!D328</f>
        <v>-9395536.4299999997</v>
      </c>
      <c r="E69" s="292">
        <f>'Reversion Pagos R4'!E328</f>
        <v>-641187.89</v>
      </c>
      <c r="F69" s="292">
        <f>'Reversion Pagos R4'!F328</f>
        <v>-342807.8</v>
      </c>
      <c r="G69" s="292">
        <f>'Reversion Pagos R4'!G328</f>
        <v>-179562.83</v>
      </c>
      <c r="H69" s="292">
        <f>'Reversion Pagos R4'!H328</f>
        <v>-2194383.12</v>
      </c>
      <c r="I69" s="292">
        <f>'Reversion Pagos R4'!I328</f>
        <v>-73283.600000000006</v>
      </c>
      <c r="J69" s="288">
        <v>0</v>
      </c>
      <c r="K69" s="295">
        <f t="shared" si="24"/>
        <v>-5964311.1899999985</v>
      </c>
      <c r="L69" s="294">
        <v>0</v>
      </c>
      <c r="M69" s="295">
        <f>K69-L69</f>
        <v>-5964311.1899999985</v>
      </c>
      <c r="N69" s="294">
        <f>'Reversion Pagos R4'!P328</f>
        <v>-3400.44</v>
      </c>
      <c r="O69" s="295">
        <f t="shared" si="25"/>
        <v>-5967711.629999999</v>
      </c>
      <c r="Q69" s="306"/>
      <c r="S69" s="314">
        <v>4</v>
      </c>
      <c r="T69" s="315" t="s">
        <v>13</v>
      </c>
      <c r="U69" s="316">
        <f>'Reversion Pagos R4'!J328</f>
        <v>-663177.07999999996</v>
      </c>
      <c r="V69" s="317">
        <f>'Reversion Pagos R4'!K328</f>
        <v>-796619.79</v>
      </c>
      <c r="W69" s="317">
        <f>'Reversion Pagos R4'!L328</f>
        <v>-3777725.8</v>
      </c>
      <c r="X69" s="317">
        <f>'Reversion Pagos R4'!M328</f>
        <v>-1702750.92</v>
      </c>
      <c r="Y69" s="318">
        <f>'Reversion Pagos R4'!N328</f>
        <v>-122670.75</v>
      </c>
      <c r="Z69" s="319">
        <f t="shared" si="26"/>
        <v>0</v>
      </c>
      <c r="AA69" s="320">
        <f>'Reversion Pagos R4'!O328</f>
        <v>-30.19</v>
      </c>
      <c r="AB69" s="294">
        <f t="shared" si="27"/>
        <v>-3400.44</v>
      </c>
      <c r="AC69" s="320">
        <f>+'Reversion Pagos R4'!Q328+'Reversion Pagos R4'!R328</f>
        <v>-0.24</v>
      </c>
      <c r="AD69" s="291">
        <f t="shared" si="28"/>
        <v>1098663.58</v>
      </c>
      <c r="AE69" s="291">
        <f>'Reversion Pagos R4'!D329</f>
        <v>1098663.58</v>
      </c>
      <c r="AF69" s="322">
        <f>SUM(U69:AD69)</f>
        <v>-5967711.6300000008</v>
      </c>
      <c r="AG69" s="323">
        <f>(AF69-O69)</f>
        <v>-1.862645149230957E-9</v>
      </c>
      <c r="AH69" s="1" t="b">
        <f t="shared" si="29"/>
        <v>0</v>
      </c>
      <c r="AI69" s="306"/>
    </row>
    <row r="70" spans="1:35" s="305" customFormat="1" ht="12" thickBot="1" x14ac:dyDescent="0.3">
      <c r="B70" s="324">
        <v>5</v>
      </c>
      <c r="C70" s="325" t="s">
        <v>14</v>
      </c>
      <c r="D70" s="296">
        <f>'Reversion Pagos R4'!D357</f>
        <v>0</v>
      </c>
      <c r="E70" s="297">
        <f>'Reversion Pagos R4'!E357</f>
        <v>0</v>
      </c>
      <c r="F70" s="297">
        <f>'Reversion Pagos R4'!F357</f>
        <v>0</v>
      </c>
      <c r="G70" s="297">
        <f>'Reversion Pagos R4'!G357</f>
        <v>0</v>
      </c>
      <c r="H70" s="297">
        <f>'Reversion Pagos R4'!H357</f>
        <v>0</v>
      </c>
      <c r="I70" s="297">
        <f>'Reversion Pagos R4'!I357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R4'!P357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R4'!J357</f>
        <v>0</v>
      </c>
      <c r="V70" s="297">
        <f>'Reversion Pagos R4'!K357</f>
        <v>0</v>
      </c>
      <c r="W70" s="297">
        <f>'Reversion Pagos R4'!L357</f>
        <v>0</v>
      </c>
      <c r="X70" s="297">
        <f>'Reversion Pagos R4'!M357</f>
        <v>0</v>
      </c>
      <c r="Y70" s="289">
        <f>'Reversion Pagos R4'!N357</f>
        <v>0</v>
      </c>
      <c r="Z70" s="319">
        <f t="shared" si="26"/>
        <v>0</v>
      </c>
      <c r="AA70" s="320">
        <f>'Reversion Pagos R4'!O357</f>
        <v>0</v>
      </c>
      <c r="AB70" s="294">
        <f t="shared" si="27"/>
        <v>0</v>
      </c>
      <c r="AC70" s="320">
        <f>+'Reversion Pagos R4'!Q357+'Reversion Pagos R4'!R357</f>
        <v>0</v>
      </c>
      <c r="AD70" s="291">
        <f t="shared" si="28"/>
        <v>0</v>
      </c>
      <c r="AE70" s="291">
        <f>'Reversion Pagos R4'!D358</f>
        <v>0</v>
      </c>
      <c r="AF70" s="322">
        <f t="shared" si="30"/>
        <v>0</v>
      </c>
      <c r="AG70" s="326">
        <f t="shared" si="31"/>
        <v>0</v>
      </c>
      <c r="AH70" s="1" t="b">
        <f t="shared" si="29"/>
        <v>1</v>
      </c>
      <c r="AI70" s="306"/>
    </row>
    <row r="71" spans="1:35" s="305" customFormat="1" ht="13.5" thickBot="1" x14ac:dyDescent="0.35">
      <c r="B71" s="327"/>
      <c r="C71" s="328" t="s">
        <v>2</v>
      </c>
      <c r="D71" s="290">
        <f t="shared" ref="D71:O71" si="32">SUM(D66:D70)</f>
        <v>-13078662.43</v>
      </c>
      <c r="E71" s="290">
        <f t="shared" si="32"/>
        <v>-1166249.1200000001</v>
      </c>
      <c r="F71" s="290">
        <f t="shared" si="32"/>
        <v>-611561.33000000007</v>
      </c>
      <c r="G71" s="290">
        <f t="shared" si="32"/>
        <v>-311972.27</v>
      </c>
      <c r="H71" s="290">
        <f t="shared" si="32"/>
        <v>-3972707.4000000004</v>
      </c>
      <c r="I71" s="290">
        <f t="shared" si="32"/>
        <v>-128635.62000000001</v>
      </c>
      <c r="J71" s="290">
        <f t="shared" si="32"/>
        <v>0</v>
      </c>
      <c r="K71" s="300">
        <f t="shared" si="32"/>
        <v>-6887536.6899999985</v>
      </c>
      <c r="L71" s="301">
        <f t="shared" si="32"/>
        <v>0</v>
      </c>
      <c r="M71" s="302">
        <f t="shared" si="32"/>
        <v>-6887536.6899999985</v>
      </c>
      <c r="N71" s="301">
        <f t="shared" si="32"/>
        <v>-3400.44</v>
      </c>
      <c r="O71" s="302">
        <f t="shared" si="32"/>
        <v>-6890937.129999999</v>
      </c>
      <c r="P71" s="329"/>
      <c r="Q71" s="306"/>
      <c r="S71" s="327"/>
      <c r="T71" s="328" t="s">
        <v>2</v>
      </c>
      <c r="U71" s="330">
        <f>SUM(U66:U70)</f>
        <v>-1152287.5699999998</v>
      </c>
      <c r="V71" s="330">
        <f t="shared" ref="V71:AG71" si="33">SUM(V66:V70)</f>
        <v>-1387472.3</v>
      </c>
      <c r="W71" s="330">
        <f t="shared" si="33"/>
        <v>-6213418.4199999999</v>
      </c>
      <c r="X71" s="330">
        <f t="shared" si="33"/>
        <v>-2710860.1</v>
      </c>
      <c r="Y71" s="330">
        <f t="shared" si="33"/>
        <v>-212004</v>
      </c>
      <c r="Z71" s="290">
        <f t="shared" si="33"/>
        <v>0</v>
      </c>
      <c r="AA71" s="290">
        <f>SUM(AA66:AA70)</f>
        <v>40.080000000000013</v>
      </c>
      <c r="AB71" s="290">
        <f t="shared" si="33"/>
        <v>-3400.44</v>
      </c>
      <c r="AC71" s="290">
        <f t="shared" si="33"/>
        <v>278.52999999999997</v>
      </c>
      <c r="AD71" s="290">
        <f>SUM(AD66:AD70)</f>
        <v>4788187.09</v>
      </c>
      <c r="AE71" s="290">
        <f>SUM(AE66:AE70)</f>
        <v>4788187.09</v>
      </c>
      <c r="AF71" s="331">
        <f t="shared" si="33"/>
        <v>-6890937.1300000008</v>
      </c>
      <c r="AG71" s="332">
        <f t="shared" si="33"/>
        <v>-1.9754224922508001E-9</v>
      </c>
      <c r="AH71" s="1" t="b">
        <f t="shared" si="29"/>
        <v>0</v>
      </c>
      <c r="AI71" s="306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-11676042.389999999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5" x14ac:dyDescent="0.35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v>0</v>
      </c>
      <c r="AA85" s="310">
        <v>0</v>
      </c>
      <c r="AB85" s="310">
        <v>0</v>
      </c>
      <c r="AC85" s="311">
        <v>0</v>
      </c>
      <c r="AD85" s="310">
        <v>0</v>
      </c>
      <c r="AE85" s="310">
        <v>0</v>
      </c>
      <c r="AF85" s="313">
        <f>SUM(U85:AD85)</f>
        <v>0</v>
      </c>
      <c r="AG85" s="311">
        <f>AF85-O85</f>
        <v>0</v>
      </c>
      <c r="AH85" s="1" t="b">
        <f>INT(AG85)=0</f>
        <v>1</v>
      </c>
      <c r="AI85" s="306"/>
    </row>
    <row r="86" spans="1:35" s="305" customFormat="1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v>0</v>
      </c>
      <c r="AA86" s="319">
        <v>0</v>
      </c>
      <c r="AB86" s="319">
        <v>0</v>
      </c>
      <c r="AC86" s="320">
        <v>0</v>
      </c>
      <c r="AD86" s="319">
        <v>0</v>
      </c>
      <c r="AE86" s="319">
        <v>0</v>
      </c>
      <c r="AF86" s="322">
        <f>SUM(U86:AD86)</f>
        <v>0</v>
      </c>
      <c r="AG86" s="323">
        <f>AF86-O86</f>
        <v>0</v>
      </c>
      <c r="AH86" s="1" t="b">
        <f t="shared" ref="AH86:AH90" si="36">INT(AG86)=0</f>
        <v>1</v>
      </c>
      <c r="AI86" s="306"/>
    </row>
    <row r="87" spans="1:35" s="305" customFormat="1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19">
        <v>0</v>
      </c>
      <c r="AB87" s="319">
        <v>0</v>
      </c>
      <c r="AC87" s="320">
        <v>0</v>
      </c>
      <c r="AD87" s="319">
        <v>0</v>
      </c>
      <c r="AE87" s="319">
        <v>0</v>
      </c>
      <c r="AF87" s="322">
        <f t="shared" ref="AF87:AF89" si="37">SUM(U87:AD87)</f>
        <v>0</v>
      </c>
      <c r="AG87" s="323">
        <f>AF87-O87</f>
        <v>0</v>
      </c>
      <c r="AH87" s="1" t="b">
        <f t="shared" si="36"/>
        <v>1</v>
      </c>
      <c r="AI87" s="306"/>
    </row>
    <row r="88" spans="1:35" s="305" customFormat="1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v>0</v>
      </c>
      <c r="AA88" s="319">
        <v>0</v>
      </c>
      <c r="AB88" s="319">
        <v>0</v>
      </c>
      <c r="AC88" s="320">
        <v>0</v>
      </c>
      <c r="AD88" s="319">
        <v>0</v>
      </c>
      <c r="AE88" s="319">
        <v>0</v>
      </c>
      <c r="AF88" s="322">
        <f t="shared" si="37"/>
        <v>0</v>
      </c>
      <c r="AG88" s="323">
        <f>AF88-O88</f>
        <v>0</v>
      </c>
      <c r="AH88" s="1" t="b">
        <f t="shared" si="36"/>
        <v>1</v>
      </c>
      <c r="AI88" s="306"/>
    </row>
    <row r="89" spans="1:35" s="305" customFormat="1" ht="12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19">
        <v>0</v>
      </c>
      <c r="AB89" s="319">
        <v>0</v>
      </c>
      <c r="AC89" s="320">
        <v>0</v>
      </c>
      <c r="AD89" s="319">
        <v>0</v>
      </c>
      <c r="AE89" s="319">
        <v>0</v>
      </c>
      <c r="AF89" s="322">
        <f t="shared" si="37"/>
        <v>0</v>
      </c>
      <c r="AG89" s="326">
        <f>AF89-O89</f>
        <v>0</v>
      </c>
      <c r="AH89" s="1" t="b">
        <f t="shared" si="36"/>
        <v>1</v>
      </c>
      <c r="AI89" s="306"/>
    </row>
    <row r="90" spans="1:35" s="305" customFormat="1" ht="13.5" thickBot="1" x14ac:dyDescent="0.35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39">SUM(V85:V89)</f>
        <v>0</v>
      </c>
      <c r="W90" s="330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3">
      <c r="Q96" s="4"/>
      <c r="AI96" s="4"/>
    </row>
    <row r="97" spans="2:36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"/>
      <c r="AI98" s="4"/>
    </row>
    <row r="99" spans="2:36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4" x14ac:dyDescent="0.3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5" x14ac:dyDescent="0.35">
      <c r="B101" s="8"/>
      <c r="C101" s="598" t="s">
        <v>17</v>
      </c>
      <c r="D101" s="9">
        <f>D6</f>
        <v>46297</v>
      </c>
      <c r="F101" s="58" t="s">
        <v>219</v>
      </c>
      <c r="G101" s="58"/>
      <c r="H101" s="59"/>
      <c r="I101" s="60"/>
      <c r="J101" s="59"/>
      <c r="K101" s="60"/>
      <c r="L101" s="469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5">
      <c r="B104" s="303">
        <v>1</v>
      </c>
      <c r="C104" s="304" t="s">
        <v>10</v>
      </c>
      <c r="D104" s="291">
        <f t="shared" ref="D104:J108" si="40">D9+D28+D47+D66+D85</f>
        <v>754365889.26999998</v>
      </c>
      <c r="E104" s="292">
        <f t="shared" si="40"/>
        <v>89440497.350000009</v>
      </c>
      <c r="F104" s="292">
        <f t="shared" si="40"/>
        <v>49800646.469999991</v>
      </c>
      <c r="G104" s="292">
        <f t="shared" si="40"/>
        <v>26309364.449999999</v>
      </c>
      <c r="H104" s="292">
        <f t="shared" si="40"/>
        <v>56463891.920000002</v>
      </c>
      <c r="I104" s="292">
        <f t="shared" si="40"/>
        <v>1729509.6099999999</v>
      </c>
      <c r="J104" s="288">
        <f t="shared" si="40"/>
        <v>0</v>
      </c>
      <c r="K104" s="293">
        <f>D104-E104-F104-G104-H104-I104-J104</f>
        <v>530621979.46999985</v>
      </c>
      <c r="L104" s="294">
        <f>L9+L28+L47+L66+L85</f>
        <v>0</v>
      </c>
      <c r="M104" s="293">
        <f>K104-L104</f>
        <v>530621979.46999985</v>
      </c>
      <c r="N104" s="294">
        <f>N9+N28+N47+N66+N85</f>
        <v>20540038.379999999</v>
      </c>
      <c r="O104" s="293">
        <f>M104+N104</f>
        <v>551162017.8499999</v>
      </c>
      <c r="Q104" s="306"/>
      <c r="S104" s="303">
        <v>1</v>
      </c>
      <c r="T104" s="304" t="s">
        <v>10</v>
      </c>
      <c r="U104" s="307">
        <f t="shared" ref="U104:AB108" si="41">U9+U28+U47+U66+U85</f>
        <v>15376514.379999997</v>
      </c>
      <c r="V104" s="308">
        <f t="shared" si="41"/>
        <v>18908195.960000001</v>
      </c>
      <c r="W104" s="308">
        <f t="shared" si="41"/>
        <v>87267044.820000023</v>
      </c>
      <c r="X104" s="308">
        <f t="shared" si="41"/>
        <v>244431762.82000002</v>
      </c>
      <c r="Y104" s="309">
        <f t="shared" si="41"/>
        <v>2813939.5900000003</v>
      </c>
      <c r="Z104" s="310">
        <f t="shared" si="41"/>
        <v>0</v>
      </c>
      <c r="AA104" s="311">
        <f t="shared" si="41"/>
        <v>-2062.81</v>
      </c>
      <c r="AB104" s="294">
        <f t="shared" si="41"/>
        <v>20540038.379999999</v>
      </c>
      <c r="AC104" s="312">
        <f t="shared" ref="AC104" si="42">AC9+AC28+AC47+AC66+AC85</f>
        <v>0.29000000000000004</v>
      </c>
      <c r="AD104" s="291">
        <f>-J104+AE104</f>
        <v>161826584.41999999</v>
      </c>
      <c r="AE104" s="291">
        <f>AE9+AE28+AE47+AE66+AE85</f>
        <v>161826584.41999999</v>
      </c>
      <c r="AF104" s="313">
        <f>SUM(U104:AD104)</f>
        <v>551162017.85000002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x14ac:dyDescent="0.25">
      <c r="B105" s="314">
        <v>2</v>
      </c>
      <c r="C105" s="315" t="s">
        <v>11</v>
      </c>
      <c r="D105" s="291">
        <f t="shared" si="40"/>
        <v>2127930817.8999999</v>
      </c>
      <c r="E105" s="292">
        <f t="shared" si="40"/>
        <v>254143868.03</v>
      </c>
      <c r="F105" s="292">
        <f t="shared" si="40"/>
        <v>141874209.50999999</v>
      </c>
      <c r="G105" s="292">
        <f t="shared" si="40"/>
        <v>74439082.48999998</v>
      </c>
      <c r="H105" s="292">
        <f t="shared" si="40"/>
        <v>319658998.97000003</v>
      </c>
      <c r="I105" s="292">
        <f t="shared" si="40"/>
        <v>8104418.7399999993</v>
      </c>
      <c r="J105" s="288">
        <f t="shared" si="40"/>
        <v>0</v>
      </c>
      <c r="K105" s="295">
        <f t="shared" ref="K105:K108" si="43">D105-E105-F105-G105-H105-I105-J105</f>
        <v>1329710240.1599998</v>
      </c>
      <c r="L105" s="294">
        <f>L10+L29+L48+L67+L86</f>
        <v>0</v>
      </c>
      <c r="M105" s="295">
        <f>K105-L105</f>
        <v>1329710240.1599998</v>
      </c>
      <c r="N105" s="294">
        <f>N10+N29+N48+N67+N86</f>
        <v>50562822.490000002</v>
      </c>
      <c r="O105" s="295">
        <f t="shared" ref="O105:O108" si="44">M105+N105</f>
        <v>1380273062.6499999</v>
      </c>
      <c r="Q105" s="306"/>
      <c r="S105" s="314">
        <v>2</v>
      </c>
      <c r="T105" s="315" t="s">
        <v>11</v>
      </c>
      <c r="U105" s="316">
        <f t="shared" si="41"/>
        <v>70984024.13000001</v>
      </c>
      <c r="V105" s="317">
        <f t="shared" si="41"/>
        <v>97001064.519999996</v>
      </c>
      <c r="W105" s="317">
        <f t="shared" si="41"/>
        <v>465316000.93000001</v>
      </c>
      <c r="X105" s="317">
        <f t="shared" si="41"/>
        <v>500003984.74000001</v>
      </c>
      <c r="Y105" s="318">
        <f t="shared" si="41"/>
        <v>13278663.869999999</v>
      </c>
      <c r="Z105" s="319">
        <f t="shared" si="41"/>
        <v>0</v>
      </c>
      <c r="AA105" s="320">
        <f t="shared" si="41"/>
        <v>-2352.27</v>
      </c>
      <c r="AB105" s="294">
        <f t="shared" si="41"/>
        <v>50562822.490000002</v>
      </c>
      <c r="AC105" s="321">
        <f t="shared" ref="AC105" si="45">AC10+AC29+AC48+AC67+AC86</f>
        <v>296.72999999999996</v>
      </c>
      <c r="AD105" s="291">
        <f t="shared" ref="AD105:AD107" si="46">-J105+AE105</f>
        <v>183128557.50999999</v>
      </c>
      <c r="AE105" s="291">
        <f>AE10+AE29+AE48+AE67+AE86</f>
        <v>183128557.50999999</v>
      </c>
      <c r="AF105" s="322">
        <f>SUM(U105:AD105)</f>
        <v>1380273062.6500001</v>
      </c>
      <c r="AG105" s="323">
        <f>AF105-O105</f>
        <v>0</v>
      </c>
      <c r="AH105" s="1" t="b">
        <f t="shared" ref="AH105:AH109" si="47">INT(AG105)=0</f>
        <v>1</v>
      </c>
      <c r="AI105" s="306"/>
    </row>
    <row r="106" spans="2:36" s="305" customFormat="1" x14ac:dyDescent="0.25">
      <c r="B106" s="314">
        <v>3</v>
      </c>
      <c r="C106" s="315" t="s">
        <v>12</v>
      </c>
      <c r="D106" s="291">
        <f t="shared" si="40"/>
        <v>1368200050.3899999</v>
      </c>
      <c r="E106" s="292">
        <f t="shared" si="40"/>
        <v>181198637.28</v>
      </c>
      <c r="F106" s="292">
        <f t="shared" si="40"/>
        <v>100455587.97</v>
      </c>
      <c r="G106" s="292">
        <f t="shared" si="40"/>
        <v>53055196.219999999</v>
      </c>
      <c r="H106" s="292">
        <f t="shared" si="40"/>
        <v>39122109.259999998</v>
      </c>
      <c r="I106" s="292">
        <f t="shared" si="40"/>
        <v>1182497.04</v>
      </c>
      <c r="J106" s="288">
        <f t="shared" si="40"/>
        <v>0</v>
      </c>
      <c r="K106" s="295">
        <f t="shared" si="43"/>
        <v>993186022.61999989</v>
      </c>
      <c r="L106" s="294">
        <f>L11+L30+L49+L68+L87</f>
        <v>0</v>
      </c>
      <c r="M106" s="295">
        <f>K106-L106</f>
        <v>993186022.61999989</v>
      </c>
      <c r="N106" s="294">
        <f>N11+N30+N49+N68+N87</f>
        <v>18211333.530000001</v>
      </c>
      <c r="O106" s="295">
        <f t="shared" si="44"/>
        <v>1011397356.1499999</v>
      </c>
      <c r="Q106" s="306"/>
      <c r="S106" s="314">
        <v>3</v>
      </c>
      <c r="T106" s="315" t="s">
        <v>12</v>
      </c>
      <c r="U106" s="316">
        <f t="shared" si="41"/>
        <v>10284865.6</v>
      </c>
      <c r="V106" s="317">
        <f t="shared" si="41"/>
        <v>13382841.49</v>
      </c>
      <c r="W106" s="317">
        <f t="shared" si="41"/>
        <v>60427175.130000003</v>
      </c>
      <c r="X106" s="317">
        <f t="shared" si="41"/>
        <v>429997101.78000003</v>
      </c>
      <c r="Y106" s="318">
        <f t="shared" si="41"/>
        <v>1903821.98</v>
      </c>
      <c r="Z106" s="319">
        <f t="shared" si="41"/>
        <v>0</v>
      </c>
      <c r="AA106" s="320">
        <f t="shared" si="41"/>
        <v>-2493.87</v>
      </c>
      <c r="AB106" s="294">
        <f t="shared" si="41"/>
        <v>18211333.530000001</v>
      </c>
      <c r="AC106" s="321">
        <f t="shared" ref="AC106" si="48">AC11+AC30+AC49+AC68+AC87</f>
        <v>1.41</v>
      </c>
      <c r="AD106" s="291">
        <f t="shared" si="46"/>
        <v>477192709.10000002</v>
      </c>
      <c r="AE106" s="291">
        <f>AE11+AE30+AE49+AE68+AE87</f>
        <v>477192709.10000002</v>
      </c>
      <c r="AF106" s="322">
        <f>SUM(U106:AD106)</f>
        <v>1011397356.1500001</v>
      </c>
      <c r="AG106" s="323">
        <f>AF106-O106</f>
        <v>0</v>
      </c>
      <c r="AH106" s="1" t="b">
        <f t="shared" si="47"/>
        <v>1</v>
      </c>
      <c r="AI106" s="306"/>
    </row>
    <row r="107" spans="2:36" s="305" customFormat="1" x14ac:dyDescent="0.25">
      <c r="B107" s="314">
        <v>4</v>
      </c>
      <c r="C107" s="315" t="s">
        <v>13</v>
      </c>
      <c r="D107" s="291">
        <f t="shared" si="40"/>
        <v>1035550335.84</v>
      </c>
      <c r="E107" s="292">
        <f t="shared" si="40"/>
        <v>100196772.78</v>
      </c>
      <c r="F107" s="292">
        <f t="shared" si="40"/>
        <v>55821489.119999997</v>
      </c>
      <c r="G107" s="292">
        <f t="shared" si="40"/>
        <v>29392898.280000001</v>
      </c>
      <c r="H107" s="292">
        <f t="shared" si="40"/>
        <v>133878975.34999999</v>
      </c>
      <c r="I107" s="292">
        <f t="shared" si="40"/>
        <v>3575327.6999999997</v>
      </c>
      <c r="J107" s="288">
        <f t="shared" si="40"/>
        <v>0</v>
      </c>
      <c r="K107" s="295">
        <f t="shared" si="43"/>
        <v>712684872.61000001</v>
      </c>
      <c r="L107" s="294">
        <f>L12+L31+L50+L69+L88</f>
        <v>0</v>
      </c>
      <c r="M107" s="295">
        <f>K107-L107</f>
        <v>712684872.61000001</v>
      </c>
      <c r="N107" s="294">
        <f>N12+N31+N50+N69+N88</f>
        <v>6944413.4099999992</v>
      </c>
      <c r="O107" s="295">
        <f t="shared" si="44"/>
        <v>719629286.01999998</v>
      </c>
      <c r="Q107" s="306"/>
      <c r="S107" s="314">
        <v>4</v>
      </c>
      <c r="T107" s="315" t="s">
        <v>13</v>
      </c>
      <c r="U107" s="316">
        <f t="shared" si="41"/>
        <v>31374345.899999999</v>
      </c>
      <c r="V107" s="317">
        <f t="shared" si="41"/>
        <v>42962666.670000002</v>
      </c>
      <c r="W107" s="317">
        <f t="shared" si="41"/>
        <v>216081773.40000001</v>
      </c>
      <c r="X107" s="317">
        <f t="shared" si="41"/>
        <v>265560008.06000003</v>
      </c>
      <c r="Y107" s="318">
        <f t="shared" si="41"/>
        <v>5810231.9800000004</v>
      </c>
      <c r="Z107" s="319">
        <f t="shared" si="41"/>
        <v>0</v>
      </c>
      <c r="AA107" s="320">
        <f t="shared" si="41"/>
        <v>-830.65000000000009</v>
      </c>
      <c r="AB107" s="294">
        <f t="shared" si="41"/>
        <v>6944413.4099999992</v>
      </c>
      <c r="AC107" s="321">
        <f t="shared" ref="AC107" si="49">AC12+AC31+AC50+AC69+AC88</f>
        <v>-5.999999999999997E-2</v>
      </c>
      <c r="AD107" s="291">
        <f t="shared" si="46"/>
        <v>150896677.31</v>
      </c>
      <c r="AE107" s="291">
        <f>AE12+AE31+AE50+AE69+AE88</f>
        <v>150896677.31</v>
      </c>
      <c r="AF107" s="322">
        <f>SUM(U107:AD107)</f>
        <v>719629286.02000022</v>
      </c>
      <c r="AG107" s="323">
        <f>AF107-O107</f>
        <v>0</v>
      </c>
      <c r="AH107" s="1" t="b">
        <f t="shared" si="47"/>
        <v>1</v>
      </c>
      <c r="AI107" s="306"/>
    </row>
    <row r="108" spans="2:36" s="305" customFormat="1" ht="12" thickBot="1" x14ac:dyDescent="0.3">
      <c r="B108" s="324">
        <v>5</v>
      </c>
      <c r="C108" s="325" t="s">
        <v>14</v>
      </c>
      <c r="D108" s="296">
        <f>D13+D32+D51+D70+D89</f>
        <v>280719736.37</v>
      </c>
      <c r="E108" s="297">
        <f t="shared" si="40"/>
        <v>26316530.939999998</v>
      </c>
      <c r="F108" s="297">
        <f t="shared" si="40"/>
        <v>14445730.540000001</v>
      </c>
      <c r="G108" s="297">
        <f t="shared" si="40"/>
        <v>7622321.3100000005</v>
      </c>
      <c r="H108" s="297">
        <f t="shared" si="40"/>
        <v>22384037.880000003</v>
      </c>
      <c r="I108" s="297">
        <f t="shared" si="40"/>
        <v>1017336.2300000001</v>
      </c>
      <c r="J108" s="289">
        <f t="shared" si="40"/>
        <v>0</v>
      </c>
      <c r="K108" s="295">
        <f t="shared" si="43"/>
        <v>208933779.47000003</v>
      </c>
      <c r="L108" s="294">
        <f>L13+L32+L51+L70+L89</f>
        <v>0</v>
      </c>
      <c r="M108" s="298">
        <f>K108-L108</f>
        <v>208933779.47000003</v>
      </c>
      <c r="N108" s="299">
        <f>N13+N32+N51+N70+N89</f>
        <v>2486490.4500000002</v>
      </c>
      <c r="O108" s="298">
        <f t="shared" si="44"/>
        <v>211420269.92000002</v>
      </c>
      <c r="Q108" s="306"/>
      <c r="S108" s="324">
        <v>5</v>
      </c>
      <c r="T108" s="325" t="s">
        <v>14</v>
      </c>
      <c r="U108" s="296">
        <f t="shared" si="41"/>
        <v>8720145.5600000005</v>
      </c>
      <c r="V108" s="297">
        <f t="shared" si="41"/>
        <v>10188496.610000001</v>
      </c>
      <c r="W108" s="297">
        <f t="shared" si="41"/>
        <v>50982932.200000003</v>
      </c>
      <c r="X108" s="297">
        <f t="shared" si="41"/>
        <v>78689686.75</v>
      </c>
      <c r="Y108" s="289">
        <f t="shared" si="41"/>
        <v>1674284.81</v>
      </c>
      <c r="Z108" s="319">
        <f t="shared" si="41"/>
        <v>0</v>
      </c>
      <c r="AA108" s="320">
        <f t="shared" si="41"/>
        <v>-2408.59</v>
      </c>
      <c r="AB108" s="294">
        <f t="shared" si="41"/>
        <v>2486490.4500000002</v>
      </c>
      <c r="AC108" s="321">
        <f t="shared" ref="AC108" si="50">AC13+AC32+AC51+AC70+AC89</f>
        <v>-35.819999999999993</v>
      </c>
      <c r="AD108" s="291">
        <f>-J108+AE108</f>
        <v>58680677.949999996</v>
      </c>
      <c r="AE108" s="291">
        <f>AE13+AE32+AE51+AE70+AE89</f>
        <v>58680677.949999996</v>
      </c>
      <c r="AF108" s="322">
        <f>SUM(U108:AD108)</f>
        <v>211420269.91999999</v>
      </c>
      <c r="AG108" s="326">
        <f>AF108-O108</f>
        <v>0</v>
      </c>
      <c r="AH108" s="1" t="b">
        <f t="shared" si="47"/>
        <v>1</v>
      </c>
      <c r="AI108" s="306"/>
    </row>
    <row r="109" spans="2:36" s="305" customFormat="1" ht="13.5" thickBot="1" x14ac:dyDescent="0.35">
      <c r="B109" s="327"/>
      <c r="C109" s="328" t="s">
        <v>2</v>
      </c>
      <c r="D109" s="290">
        <f>SUM(D104:D108)</f>
        <v>5566766829.7699995</v>
      </c>
      <c r="E109" s="290">
        <f t="shared" ref="E109:O109" si="51">SUM(E104:E108)</f>
        <v>651296306.37999988</v>
      </c>
      <c r="F109" s="290">
        <f t="shared" si="51"/>
        <v>362397663.61000001</v>
      </c>
      <c r="G109" s="290">
        <f t="shared" si="51"/>
        <v>190818862.74999997</v>
      </c>
      <c r="H109" s="290">
        <f t="shared" si="51"/>
        <v>571508013.38</v>
      </c>
      <c r="I109" s="290">
        <f t="shared" si="51"/>
        <v>15609089.32</v>
      </c>
      <c r="J109" s="290">
        <f t="shared" si="51"/>
        <v>0</v>
      </c>
      <c r="K109" s="300">
        <f t="shared" si="51"/>
        <v>3775136894.3299999</v>
      </c>
      <c r="L109" s="301">
        <f t="shared" si="51"/>
        <v>0</v>
      </c>
      <c r="M109" s="302">
        <f t="shared" si="51"/>
        <v>3775136894.3299999</v>
      </c>
      <c r="N109" s="301">
        <f>SUM(N104:N108)</f>
        <v>98745098.260000005</v>
      </c>
      <c r="O109" s="302">
        <f t="shared" si="51"/>
        <v>3873881992.5899997</v>
      </c>
      <c r="P109" s="329"/>
      <c r="Q109" s="306"/>
      <c r="S109" s="327"/>
      <c r="T109" s="328" t="s">
        <v>2</v>
      </c>
      <c r="U109" s="330">
        <f>SUM(U104:U108)</f>
        <v>136739895.56999999</v>
      </c>
      <c r="V109" s="330">
        <f t="shared" ref="V109:AF109" si="52">SUM(V104:V108)</f>
        <v>182443265.25</v>
      </c>
      <c r="W109" s="330">
        <f t="shared" si="52"/>
        <v>880074926.48000002</v>
      </c>
      <c r="X109" s="330">
        <f t="shared" si="52"/>
        <v>1518682544.1500001</v>
      </c>
      <c r="Y109" s="330">
        <f t="shared" si="52"/>
        <v>25480942.229999997</v>
      </c>
      <c r="Z109" s="290">
        <f t="shared" si="52"/>
        <v>0</v>
      </c>
      <c r="AA109" s="290">
        <f t="shared" si="52"/>
        <v>-10148.19</v>
      </c>
      <c r="AB109" s="470">
        <f t="shared" si="52"/>
        <v>98745098.260000005</v>
      </c>
      <c r="AC109" s="290">
        <f t="shared" ref="AC109" si="53">SUM(AC104:AC108)</f>
        <v>262.55</v>
      </c>
      <c r="AD109" s="290">
        <f t="shared" si="52"/>
        <v>1031725206.29</v>
      </c>
      <c r="AE109" s="290">
        <f>SUM(AE104:AE108)</f>
        <v>1031725206.29</v>
      </c>
      <c r="AF109" s="331">
        <f t="shared" si="52"/>
        <v>3873881992.5900002</v>
      </c>
      <c r="AG109" s="332">
        <f>SUM(AG104:AG108)</f>
        <v>0</v>
      </c>
      <c r="AH109" s="1" t="b">
        <f t="shared" si="47"/>
        <v>1</v>
      </c>
      <c r="AI109" s="306"/>
    </row>
    <row r="110" spans="2:36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2743421573.6799998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5">
      <c r="B120" s="8"/>
      <c r="I120" s="2"/>
      <c r="J120" s="2"/>
      <c r="O120" s="10"/>
      <c r="P120" s="2"/>
      <c r="Q120" s="4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x14ac:dyDescent="0.25">
      <c r="B125" s="334">
        <v>1</v>
      </c>
      <c r="C125" s="335" t="s">
        <v>10</v>
      </c>
      <c r="D125" s="308">
        <f>'ANTICIPOS USUARIOS'!O3</f>
        <v>34356275.700000003</v>
      </c>
      <c r="E125" s="309">
        <v>0</v>
      </c>
      <c r="G125" s="336">
        <f>D47+N47</f>
        <v>40070</v>
      </c>
      <c r="H125" s="310">
        <f>D28+N28</f>
        <v>32007728.350000001</v>
      </c>
      <c r="I125" s="309">
        <f>D85+N85</f>
        <v>0</v>
      </c>
      <c r="J125" s="309">
        <f>D66+N66</f>
        <v>-40070</v>
      </c>
      <c r="K125" s="309">
        <f>'ANTICIPOS USUARIOS'!O12</f>
        <v>0</v>
      </c>
      <c r="L125" s="309">
        <f>-'ANTICIPOS USUARIOS'!O21</f>
        <v>0</v>
      </c>
      <c r="O125" s="337"/>
      <c r="Q125" s="306"/>
    </row>
    <row r="126" spans="1:35" s="305" customFormat="1" x14ac:dyDescent="0.25">
      <c r="B126" s="314">
        <v>2</v>
      </c>
      <c r="C126" s="338" t="s">
        <v>11</v>
      </c>
      <c r="D126" s="292">
        <f>'ANTICIPOS USUARIOS'!O4</f>
        <v>117066108.01000001</v>
      </c>
      <c r="E126" s="288">
        <v>0</v>
      </c>
      <c r="G126" s="339">
        <f>D48+N48</f>
        <v>1003966</v>
      </c>
      <c r="H126" s="340">
        <f>D29+N29</f>
        <v>123776128.39999999</v>
      </c>
      <c r="I126" s="288">
        <f>D86+N86</f>
        <v>0</v>
      </c>
      <c r="J126" s="288">
        <f t="shared" ref="J126:J129" si="54">D67+N67</f>
        <v>-3643056</v>
      </c>
      <c r="K126" s="288">
        <f>'ANTICIPOS USUARIOS'!O13</f>
        <v>2673592</v>
      </c>
      <c r="L126" s="288">
        <f>-'ANTICIPOS USUARIOS'!O22</f>
        <v>34502</v>
      </c>
      <c r="O126" s="337"/>
      <c r="Q126" s="306"/>
    </row>
    <row r="127" spans="1:35" s="305" customFormat="1" x14ac:dyDescent="0.25">
      <c r="B127" s="314">
        <v>3</v>
      </c>
      <c r="C127" s="338" t="s">
        <v>12</v>
      </c>
      <c r="D127" s="292">
        <f>'ANTICIPOS USUARIOS'!O5</f>
        <v>190183129.15000001</v>
      </c>
      <c r="E127" s="288">
        <v>0</v>
      </c>
      <c r="G127" s="339">
        <f>D49+N49</f>
        <v>0</v>
      </c>
      <c r="H127" s="340">
        <f>D30+N30</f>
        <v>105357109.06999999</v>
      </c>
      <c r="I127" s="288">
        <f>D87+N87</f>
        <v>0</v>
      </c>
      <c r="J127" s="288">
        <f t="shared" si="54"/>
        <v>0</v>
      </c>
      <c r="K127" s="288">
        <f>'ANTICIPOS USUARIOS'!O14</f>
        <v>0</v>
      </c>
      <c r="L127" s="288">
        <f>-'ANTICIPOS USUARIOS'!O23</f>
        <v>0</v>
      </c>
      <c r="O127" s="337"/>
      <c r="Q127" s="306"/>
    </row>
    <row r="128" spans="1:35" s="305" customFormat="1" x14ac:dyDescent="0.25">
      <c r="B128" s="314">
        <v>4</v>
      </c>
      <c r="C128" s="338" t="s">
        <v>13</v>
      </c>
      <c r="D128" s="292">
        <f>'ANTICIPOS USUARIOS'!O6</f>
        <v>24854027.989999998</v>
      </c>
      <c r="E128" s="288">
        <v>0</v>
      </c>
      <c r="G128" s="339">
        <f>D50+N50</f>
        <v>5075866</v>
      </c>
      <c r="H128" s="340">
        <f>D31+N31</f>
        <v>39334021.109999999</v>
      </c>
      <c r="I128" s="288">
        <f>D88+N88</f>
        <v>0</v>
      </c>
      <c r="J128" s="288">
        <f t="shared" si="54"/>
        <v>-9398936.8699999992</v>
      </c>
      <c r="K128" s="288">
        <f>'ANTICIPOS USUARIOS'!O15</f>
        <v>4396815</v>
      </c>
      <c r="L128" s="288">
        <f>-'ANTICIPOS USUARIOS'!O24</f>
        <v>73744.13</v>
      </c>
      <c r="O128" s="337"/>
      <c r="Q128" s="306"/>
    </row>
    <row r="129" spans="1:18" s="305" customFormat="1" x14ac:dyDescent="0.25">
      <c r="B129" s="341">
        <v>5</v>
      </c>
      <c r="C129" s="342" t="s">
        <v>14</v>
      </c>
      <c r="D129" s="292">
        <f>'ANTICIPOS USUARIOS'!O7</f>
        <v>14737858</v>
      </c>
      <c r="E129" s="344">
        <v>0</v>
      </c>
      <c r="G129" s="339">
        <f>D51+N51</f>
        <v>0</v>
      </c>
      <c r="H129" s="340">
        <f>D32+N32</f>
        <v>17060393.82</v>
      </c>
      <c r="I129" s="288">
        <f>D89+N89</f>
        <v>0</v>
      </c>
      <c r="J129" s="288">
        <f t="shared" si="54"/>
        <v>0</v>
      </c>
      <c r="K129" s="288">
        <f>'ANTICIPOS USUARIOS'!O16</f>
        <v>0</v>
      </c>
      <c r="L129" s="288">
        <f>-'ANTICIPOS USUARIOS'!O25</f>
        <v>0</v>
      </c>
      <c r="O129" s="337"/>
      <c r="Q129" s="306"/>
    </row>
    <row r="130" spans="1:18" s="305" customFormat="1" ht="12" thickBot="1" x14ac:dyDescent="0.3">
      <c r="B130" s="324" t="s">
        <v>89</v>
      </c>
      <c r="C130" s="345" t="s">
        <v>113</v>
      </c>
      <c r="D130" s="297"/>
      <c r="E130" s="289">
        <f>'Recaudo Directa Occidente'!F26</f>
        <v>437900</v>
      </c>
      <c r="G130" s="346"/>
      <c r="H130" s="347"/>
      <c r="I130" s="289"/>
      <c r="J130" s="289"/>
      <c r="K130" s="289"/>
      <c r="L130" s="289"/>
      <c r="O130" s="337"/>
      <c r="Q130" s="306"/>
    </row>
    <row r="131" spans="1:18" s="305" customFormat="1" ht="12" thickBot="1" x14ac:dyDescent="0.3">
      <c r="B131" s="348"/>
      <c r="C131" s="349" t="s">
        <v>2</v>
      </c>
      <c r="D131" s="350">
        <f>SUM(D125:D130)</f>
        <v>381197398.85000002</v>
      </c>
      <c r="E131" s="350">
        <f>SUM(E125:E130)</f>
        <v>437900</v>
      </c>
      <c r="F131" s="351"/>
      <c r="G131" s="350">
        <f t="shared" ref="G131" si="55">SUM(G125:G129)</f>
        <v>6119902</v>
      </c>
      <c r="H131" s="350">
        <f>SUM(H125:H130)</f>
        <v>317535380.75</v>
      </c>
      <c r="I131" s="350">
        <f>SUM(I125:I130)</f>
        <v>0</v>
      </c>
      <c r="J131" s="350">
        <f>SUM(J125:J130)</f>
        <v>-13082062.869999999</v>
      </c>
      <c r="K131" s="350">
        <f>SUM(K125:K130)</f>
        <v>7070407</v>
      </c>
      <c r="L131" s="350">
        <f>SUM(L125:L130)</f>
        <v>108246.13</v>
      </c>
      <c r="M131" s="351"/>
      <c r="N131" s="351"/>
      <c r="O131" s="352"/>
      <c r="P131" s="329"/>
      <c r="Q131" s="306"/>
    </row>
    <row r="132" spans="1:18" x14ac:dyDescent="0.25">
      <c r="B132" s="2"/>
      <c r="C132" s="2"/>
      <c r="D132" s="24"/>
      <c r="Q132" s="4"/>
    </row>
    <row r="133" spans="1:18" x14ac:dyDescent="0.25">
      <c r="B133" s="2"/>
      <c r="C133" s="2"/>
      <c r="D133" s="24"/>
      <c r="L133" s="1" t="s">
        <v>1</v>
      </c>
      <c r="Q133" s="4"/>
    </row>
    <row r="134" spans="1:18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5">
      <c r="B142" s="108">
        <v>1</v>
      </c>
      <c r="C142" s="109" t="s">
        <v>10</v>
      </c>
      <c r="D142" s="110">
        <f>D104+N104+D125+E125</f>
        <v>809262203.35000002</v>
      </c>
      <c r="E142" s="110">
        <f>'Recaudo Directa Occidente'!F21</f>
        <v>777254475</v>
      </c>
      <c r="F142" s="110">
        <f>D28+N28</f>
        <v>32007728.350000001</v>
      </c>
      <c r="G142" s="110">
        <f>D66+N66</f>
        <v>-40070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40070</v>
      </c>
      <c r="K142" s="111">
        <f t="shared" si="56"/>
        <v>32007728.350000001</v>
      </c>
      <c r="L142" s="525">
        <f>D142-E142-F142-G142-J142-H142-I142</f>
        <v>2.2351741790771484E-8</v>
      </c>
      <c r="M142" s="1" t="b">
        <f>INT(L142)=0</f>
        <v>1</v>
      </c>
      <c r="O142" s="55"/>
      <c r="P142" s="24"/>
      <c r="Q142" s="35"/>
      <c r="R142" s="24"/>
    </row>
    <row r="143" spans="1:18" x14ac:dyDescent="0.25">
      <c r="B143" s="16">
        <v>2</v>
      </c>
      <c r="C143" s="17" t="s">
        <v>11</v>
      </c>
      <c r="D143" s="18">
        <f>D105+N105+D126+E126</f>
        <v>2295559748.4000001</v>
      </c>
      <c r="E143" s="18">
        <f>'Recaudo Directa Occidente'!F22</f>
        <v>2174422710</v>
      </c>
      <c r="F143" s="18">
        <f>D29+N29</f>
        <v>123776128.39999999</v>
      </c>
      <c r="G143" s="18">
        <f>D67+N67</f>
        <v>-3643056</v>
      </c>
      <c r="H143" s="18">
        <f>D86+N86</f>
        <v>0</v>
      </c>
      <c r="I143" s="18">
        <f>('REPORTE RECAUDO x BANCO'!E76)</f>
        <v>0</v>
      </c>
      <c r="J143" s="18">
        <f t="shared" si="56"/>
        <v>1003966</v>
      </c>
      <c r="K143" s="83">
        <f t="shared" si="56"/>
        <v>123776128.39999999</v>
      </c>
      <c r="L143" s="525">
        <f>D143-E143-F143-G143-J143-H143-I143</f>
        <v>1.0430812835693359E-7</v>
      </c>
      <c r="M143" s="1" t="b">
        <f t="shared" ref="M143:M147" si="57">INT(L143)=0</f>
        <v>1</v>
      </c>
      <c r="O143" s="130"/>
      <c r="P143" s="24"/>
      <c r="Q143" s="35"/>
      <c r="R143" s="24"/>
    </row>
    <row r="144" spans="1:18" x14ac:dyDescent="0.25">
      <c r="B144" s="16">
        <v>3</v>
      </c>
      <c r="C144" s="17" t="s">
        <v>12</v>
      </c>
      <c r="D144" s="18">
        <f>D106+N106+D127+E127</f>
        <v>1576594513.0699999</v>
      </c>
      <c r="E144" s="18">
        <f>'Recaudo Directa Occidente'!F23</f>
        <v>1471237404</v>
      </c>
      <c r="F144" s="18">
        <f>D30+N30</f>
        <v>105357109.06999999</v>
      </c>
      <c r="G144" s="18">
        <f>D68+N68</f>
        <v>0</v>
      </c>
      <c r="H144" s="18">
        <f>D87+N87</f>
        <v>0</v>
      </c>
      <c r="I144" s="18">
        <f>('REPORTE RECAUDO x BANCO'!E77)</f>
        <v>0</v>
      </c>
      <c r="J144" s="18">
        <f t="shared" si="56"/>
        <v>0</v>
      </c>
      <c r="K144" s="83">
        <f t="shared" si="56"/>
        <v>105357109.06999999</v>
      </c>
      <c r="L144" s="525">
        <f>D144-E144-F144-G144-J144-H144-I144</f>
        <v>-5.9604644775390625E-8</v>
      </c>
      <c r="M144" s="1" t="b">
        <f t="shared" si="57"/>
        <v>0</v>
      </c>
      <c r="O144" s="55"/>
      <c r="P144" s="24"/>
      <c r="Q144" s="35"/>
      <c r="R144" s="24"/>
    </row>
    <row r="145" spans="1:20" x14ac:dyDescent="0.25">
      <c r="B145" s="16">
        <v>4</v>
      </c>
      <c r="C145" s="17" t="s">
        <v>13</v>
      </c>
      <c r="D145" s="18">
        <f>D107+N107+D128+E128</f>
        <v>1067348777.24</v>
      </c>
      <c r="E145" s="18">
        <f>'Recaudo Directa Occidente'!F24</f>
        <v>1032337827</v>
      </c>
      <c r="F145" s="18">
        <f>D31+N31</f>
        <v>39334021.109999999</v>
      </c>
      <c r="G145" s="18">
        <f>D69+N69</f>
        <v>-9398936.8699999992</v>
      </c>
      <c r="H145" s="18">
        <f>D88+N88</f>
        <v>0</v>
      </c>
      <c r="I145" s="18">
        <f>('REPORTE RECAUDO x BANCO'!E78)</f>
        <v>0</v>
      </c>
      <c r="J145" s="18">
        <f t="shared" si="56"/>
        <v>5075866</v>
      </c>
      <c r="K145" s="83">
        <f t="shared" si="56"/>
        <v>39334021.109999999</v>
      </c>
      <c r="L145" s="525">
        <f>D145-E145-F145-G145-J145-H145-I145</f>
        <v>9.3132257461547852E-9</v>
      </c>
      <c r="M145" s="1" t="b">
        <f t="shared" si="57"/>
        <v>1</v>
      </c>
      <c r="O145" s="96"/>
      <c r="P145" s="24"/>
      <c r="Q145" s="35"/>
      <c r="R145" s="24"/>
    </row>
    <row r="146" spans="1:20" ht="12" thickBot="1" x14ac:dyDescent="0.3">
      <c r="B146" s="133">
        <v>5</v>
      </c>
      <c r="C146" s="138" t="s">
        <v>14</v>
      </c>
      <c r="D146" s="134">
        <f>D108+N108+D129+E129</f>
        <v>297944084.81999999</v>
      </c>
      <c r="E146" s="18">
        <f>'Recaudo Directa Occidente'!F25</f>
        <v>280883691</v>
      </c>
      <c r="F146" s="134">
        <f>D32+N32</f>
        <v>17060393.82</v>
      </c>
      <c r="G146" s="134">
        <f>D70+N70</f>
        <v>0</v>
      </c>
      <c r="H146" s="134">
        <f>D89+N89</f>
        <v>0</v>
      </c>
      <c r="I146" s="134">
        <f>('REPORTE RECAUDO x BANCO'!E79)</f>
        <v>0</v>
      </c>
      <c r="J146" s="134">
        <f t="shared" si="56"/>
        <v>0</v>
      </c>
      <c r="K146" s="136">
        <f t="shared" si="56"/>
        <v>17060393.82</v>
      </c>
      <c r="L146" s="525">
        <f>D146-E146-F146-G146-J146-H146-I146</f>
        <v>-7.4505805969238281E-9</v>
      </c>
      <c r="M146" s="1" t="b">
        <f t="shared" si="57"/>
        <v>0</v>
      </c>
      <c r="O146" s="55"/>
      <c r="P146" s="24"/>
      <c r="Q146" s="35"/>
      <c r="R146" s="24"/>
    </row>
    <row r="147" spans="1:20" ht="12" thickBot="1" x14ac:dyDescent="0.3">
      <c r="B147" s="21"/>
      <c r="C147" s="22" t="s">
        <v>2</v>
      </c>
      <c r="D147" s="47">
        <f>SUM(D142:D146)</f>
        <v>6046709326.8799992</v>
      </c>
      <c r="E147" s="47">
        <f>SUM(E142:E146)</f>
        <v>5736136107</v>
      </c>
      <c r="F147" s="47">
        <f t="shared" ref="F147:K147" si="58">SUM(F142:F146)</f>
        <v>317535380.75</v>
      </c>
      <c r="G147" s="47">
        <f t="shared" si="58"/>
        <v>-13082062.869999999</v>
      </c>
      <c r="H147" s="47">
        <f t="shared" si="58"/>
        <v>0</v>
      </c>
      <c r="I147" s="47">
        <f t="shared" si="58"/>
        <v>0</v>
      </c>
      <c r="J147" s="47">
        <f t="shared" si="58"/>
        <v>6119902</v>
      </c>
      <c r="K147" s="47">
        <f t="shared" si="58"/>
        <v>317535380.75</v>
      </c>
      <c r="L147" s="525">
        <f>SUM(L142:L146)</f>
        <v>6.891787052154541E-8</v>
      </c>
      <c r="M147" s="1" t="b">
        <f t="shared" si="57"/>
        <v>1</v>
      </c>
      <c r="P147" s="24"/>
      <c r="Q147" s="35"/>
      <c r="R147" s="24"/>
    </row>
    <row r="148" spans="1:20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N152" s="24"/>
      <c r="O152" s="24"/>
      <c r="Q152" s="24"/>
      <c r="T152" s="24"/>
    </row>
    <row r="153" spans="1:20" x14ac:dyDescent="0.25">
      <c r="N153" s="24"/>
      <c r="O153" s="24"/>
      <c r="Q153" s="24"/>
      <c r="T153" s="24"/>
    </row>
    <row r="154" spans="1:20" x14ac:dyDescent="0.25">
      <c r="E154" s="305"/>
      <c r="N154" s="24"/>
      <c r="O154" s="24"/>
      <c r="Q154" s="24"/>
      <c r="T154" s="24"/>
    </row>
    <row r="155" spans="1:20" x14ac:dyDescent="0.25">
      <c r="E155" s="305"/>
      <c r="N155" s="24"/>
      <c r="O155" s="24"/>
      <c r="Q155" s="24"/>
      <c r="T155" s="24"/>
    </row>
    <row r="156" spans="1:20" x14ac:dyDescent="0.25">
      <c r="E156" s="305"/>
      <c r="N156" s="24"/>
      <c r="O156" s="24"/>
      <c r="Q156" s="24"/>
      <c r="T156" s="24"/>
    </row>
    <row r="157" spans="1:20" x14ac:dyDescent="0.25">
      <c r="E157" s="55"/>
      <c r="N157" s="24"/>
      <c r="O157" s="24"/>
      <c r="Q157" s="24"/>
      <c r="T157" s="24"/>
    </row>
    <row r="158" spans="1:20" x14ac:dyDescent="0.25">
      <c r="N158" s="24"/>
      <c r="O158" s="24"/>
      <c r="Q158" s="24"/>
      <c r="T158" s="24"/>
    </row>
    <row r="159" spans="1:20" x14ac:dyDescent="0.25">
      <c r="N159" s="24"/>
      <c r="O159" s="24"/>
      <c r="Q159" s="24"/>
      <c r="T159" s="24"/>
    </row>
    <row r="160" spans="1:20" x14ac:dyDescent="0.25">
      <c r="N160" s="24"/>
      <c r="O160" s="24"/>
      <c r="Q160" s="24"/>
      <c r="T160" s="24"/>
    </row>
    <row r="161" spans="14:20" x14ac:dyDescent="0.25">
      <c r="N161" s="24"/>
      <c r="O161" s="24"/>
      <c r="Q161" s="24"/>
      <c r="T161" s="24"/>
    </row>
    <row r="162" spans="14:20" x14ac:dyDescent="0.25">
      <c r="N162" s="24"/>
      <c r="O162" s="24"/>
      <c r="Q162" s="24"/>
      <c r="T162" s="24"/>
    </row>
    <row r="163" spans="14:20" x14ac:dyDescent="0.25">
      <c r="N163" s="24"/>
      <c r="O163" s="24"/>
      <c r="Q163" s="24"/>
      <c r="T163" s="24"/>
    </row>
    <row r="164" spans="14:20" x14ac:dyDescent="0.25">
      <c r="Q164" s="24"/>
      <c r="T164" s="24"/>
    </row>
    <row r="165" spans="14:20" x14ac:dyDescent="0.25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D4" sqref="D4"/>
    </sheetView>
  </sheetViews>
  <sheetFormatPr baseColWidth="10" defaultRowHeight="12.5" x14ac:dyDescent="0.25"/>
  <cols>
    <col min="1" max="1" width="3" customWidth="1"/>
    <col min="2" max="2" width="4.1796875" bestFit="1" customWidth="1"/>
    <col min="3" max="3" width="16.81640625" customWidth="1"/>
    <col min="4" max="4" width="14.1796875" customWidth="1"/>
    <col min="5" max="7" width="17.81640625" customWidth="1"/>
    <col min="8" max="8" width="18.1796875" customWidth="1"/>
    <col min="9" max="9" width="15.81640625" customWidth="1"/>
    <col min="10" max="10" width="16.453125" customWidth="1"/>
    <col min="11" max="11" width="15.81640625" customWidth="1"/>
    <col min="12" max="13" width="18.1796875" customWidth="1"/>
    <col min="14" max="14" width="15.81640625" customWidth="1"/>
    <col min="15" max="15" width="14.1796875" customWidth="1"/>
    <col min="16" max="16" width="14.453125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Directa Occidente'!F21</f>
        <v>777254475</v>
      </c>
      <c r="D3" s="292">
        <f>'REMUNERACION_OCCIDENTE_ Directa'!G125</f>
        <v>40070</v>
      </c>
      <c r="E3" s="292">
        <f>'REMUNERACION_OCCIDENTE_ Directa'!D28+'REMUNERACION_OCCIDENTE_ Directa'!N28</f>
        <v>32007728.350000001</v>
      </c>
      <c r="F3" s="292">
        <f>'REMUNERACION_OCCIDENTE_ Directa'!I142</f>
        <v>0</v>
      </c>
      <c r="G3" s="292">
        <f>'REMUNERACION_OCCIDENTE_ Directa'!H142</f>
        <v>0</v>
      </c>
      <c r="H3" s="340">
        <f>SUM(C3:G3)</f>
        <v>809302273.35000002</v>
      </c>
      <c r="I3" s="291">
        <f>'REMUNERACION_OCCIDENTE_ Directa'!D104</f>
        <v>754365889.26999998</v>
      </c>
      <c r="J3" s="292">
        <f>'REMUNERACION_OCCIDENTE_ Directa'!N104</f>
        <v>20540038.379999999</v>
      </c>
      <c r="K3" s="292">
        <f>'REMUNERACION_OCCIDENTE_ Directa'!D125</f>
        <v>34356275.700000003</v>
      </c>
      <c r="L3" s="353">
        <f>'REMUNERACION_OCCIDENTE_ Directa'!E125</f>
        <v>0</v>
      </c>
      <c r="M3" s="292">
        <f>-'REMUNERACION_OCCIDENTE_ Directa'!D66-'REMUNERACION_OCCIDENTE_ Directa'!N66</f>
        <v>40070</v>
      </c>
      <c r="N3" s="288">
        <f>SUM(I3:M3)</f>
        <v>809302273.35000002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Directa Occidente'!F22</f>
        <v>2174422710</v>
      </c>
      <c r="D4" s="292">
        <f>'REMUNERACION_OCCIDENTE_ Directa'!G126</f>
        <v>1003966</v>
      </c>
      <c r="E4" s="292">
        <f>'REMUNERACION_OCCIDENTE_ Directa'!D29+'REMUNERACION_OCCIDENTE_ Directa'!N29</f>
        <v>123776128.39999999</v>
      </c>
      <c r="F4" s="292">
        <f>'REMUNERACION_OCCIDENTE_ Directa'!I143</f>
        <v>0</v>
      </c>
      <c r="G4" s="292">
        <f>'REMUNERACION_OCCIDENTE_ Directa'!H143</f>
        <v>0</v>
      </c>
      <c r="H4" s="340">
        <f t="shared" ref="H4:H8" si="1">SUM(C4:G4)</f>
        <v>2299202804.4000001</v>
      </c>
      <c r="I4" s="291">
        <f>'REMUNERACION_OCCIDENTE_ Directa'!D105</f>
        <v>2127930817.8999999</v>
      </c>
      <c r="J4" s="292">
        <f>'REMUNERACION_OCCIDENTE_ Directa'!N105</f>
        <v>50562822.490000002</v>
      </c>
      <c r="K4" s="292">
        <f>'REMUNERACION_OCCIDENTE_ Directa'!D126</f>
        <v>117066108.01000001</v>
      </c>
      <c r="L4" s="353">
        <f>'REMUNERACION_OCCIDENTE_ Directa'!E126</f>
        <v>0</v>
      </c>
      <c r="M4" s="292">
        <f>-'REMUNERACION_OCCIDENTE_ Directa'!D67-'REMUNERACION_OCCIDENTE_ Directa'!N67</f>
        <v>3643056</v>
      </c>
      <c r="N4" s="318">
        <f>SUM(I4:M4)</f>
        <v>2299202804.4000001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Directa Occidente'!F23</f>
        <v>1471237404</v>
      </c>
      <c r="D5" s="292">
        <f>'REMUNERACION_OCCIDENTE_ Directa'!G127</f>
        <v>0</v>
      </c>
      <c r="E5" s="292">
        <f>'REMUNERACION_OCCIDENTE_ Directa'!D30+'REMUNERACION_OCCIDENTE_ Directa'!N30</f>
        <v>105357109.06999999</v>
      </c>
      <c r="F5" s="292">
        <f>'REMUNERACION_OCCIDENTE_ Directa'!I144</f>
        <v>0</v>
      </c>
      <c r="G5" s="292">
        <f>'REMUNERACION_OCCIDENTE_ Directa'!H144</f>
        <v>0</v>
      </c>
      <c r="H5" s="340">
        <f t="shared" si="1"/>
        <v>1576594513.0699999</v>
      </c>
      <c r="I5" s="291">
        <f>'REMUNERACION_OCCIDENTE_ Directa'!D106</f>
        <v>1368200050.3899999</v>
      </c>
      <c r="J5" s="292">
        <f>'REMUNERACION_OCCIDENTE_ Directa'!N106</f>
        <v>18211333.530000001</v>
      </c>
      <c r="K5" s="292">
        <f>'REMUNERACION_OCCIDENTE_ Directa'!D127</f>
        <v>190183129.15000001</v>
      </c>
      <c r="L5" s="353">
        <f>'REMUNERACION_OCCIDENTE_ Directa'!E127</f>
        <v>0</v>
      </c>
      <c r="M5" s="292">
        <f>-'REMUNERACION_OCCIDENTE_ Directa'!D68-'REMUNERACION_OCCIDENTE_ Directa'!N68</f>
        <v>0</v>
      </c>
      <c r="N5" s="318">
        <f>SUM(I5:M5)</f>
        <v>1576594513.0699999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Directa Occidente'!F24</f>
        <v>1032337827</v>
      </c>
      <c r="D6" s="292">
        <f>'REMUNERACION_OCCIDENTE_ Directa'!G128</f>
        <v>5075866</v>
      </c>
      <c r="E6" s="292">
        <f>'REMUNERACION_OCCIDENTE_ Directa'!D31+'REMUNERACION_OCCIDENTE_ Directa'!N31</f>
        <v>39334021.109999999</v>
      </c>
      <c r="F6" s="292">
        <f>'REMUNERACION_OCCIDENTE_ Directa'!I145</f>
        <v>0</v>
      </c>
      <c r="G6" s="292">
        <f>'REMUNERACION_OCCIDENTE_ Directa'!H145</f>
        <v>0</v>
      </c>
      <c r="H6" s="340">
        <f t="shared" si="1"/>
        <v>1076747714.1099999</v>
      </c>
      <c r="I6" s="291">
        <f>'REMUNERACION_OCCIDENTE_ Directa'!D107</f>
        <v>1035550335.84</v>
      </c>
      <c r="J6" s="292">
        <f>'REMUNERACION_OCCIDENTE_ Directa'!N107</f>
        <v>6944413.4099999992</v>
      </c>
      <c r="K6" s="292">
        <f>'REMUNERACION_OCCIDENTE_ Directa'!D128</f>
        <v>24854027.989999998</v>
      </c>
      <c r="L6" s="353">
        <f>'REMUNERACION_OCCIDENTE_ Directa'!E128</f>
        <v>0</v>
      </c>
      <c r="M6" s="292">
        <f>-'REMUNERACION_OCCIDENTE_ Directa'!D69-'REMUNERACION_OCCIDENTE_ Directa'!N69</f>
        <v>9398936.8699999992</v>
      </c>
      <c r="N6" s="318">
        <f t="shared" ref="N6:N7" si="3">SUM(I6:M6)</f>
        <v>1076747714.1099999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Directa Occidente'!F25</f>
        <v>280883691</v>
      </c>
      <c r="D7" s="292">
        <f>'REMUNERACION_OCCIDENTE_ Directa'!G129</f>
        <v>0</v>
      </c>
      <c r="E7" s="292">
        <f>'REMUNERACION_OCCIDENTE_ Directa'!D32+'REMUNERACION_OCCIDENTE_ Directa'!N32</f>
        <v>17060393.82</v>
      </c>
      <c r="F7" s="292">
        <f>'REMUNERACION_OCCIDENTE_ Directa'!I146</f>
        <v>0</v>
      </c>
      <c r="G7" s="292">
        <f>'REMUNERACION_OCCIDENTE_ Directa'!H146</f>
        <v>0</v>
      </c>
      <c r="H7" s="340">
        <f t="shared" si="1"/>
        <v>297944084.81999999</v>
      </c>
      <c r="I7" s="291">
        <f>'REMUNERACION_OCCIDENTE_ Directa'!D108</f>
        <v>280719736.37</v>
      </c>
      <c r="J7" s="292">
        <f>'REMUNERACION_OCCIDENTE_ Directa'!N108</f>
        <v>2486490.4500000002</v>
      </c>
      <c r="K7" s="292">
        <f>'REMUNERACION_OCCIDENTE_ Directa'!D129</f>
        <v>14737858</v>
      </c>
      <c r="L7" s="353">
        <f>'REMUNERACION_OCCIDENTE_ Directa'!E129</f>
        <v>0</v>
      </c>
      <c r="M7" s="292">
        <f>-'REMUNERACION_OCCIDENTE_ Directa'!D70-'REMUNERACION_OCCIDENTE_ Directa'!N70</f>
        <v>0</v>
      </c>
      <c r="N7" s="318">
        <f t="shared" si="3"/>
        <v>297944084.81999999</v>
      </c>
      <c r="O7" s="354">
        <f>H7-N7</f>
        <v>0</v>
      </c>
      <c r="P7" s="1" t="b">
        <f t="shared" si="2"/>
        <v>1</v>
      </c>
    </row>
    <row r="8" spans="2:16" s="355" customFormat="1" ht="13" thickBot="1" x14ac:dyDescent="0.3">
      <c r="B8" s="341" t="s">
        <v>89</v>
      </c>
      <c r="C8" s="317">
        <f>'Recaudo Directa Occidente'!F26</f>
        <v>437900</v>
      </c>
      <c r="D8" s="356">
        <v>0</v>
      </c>
      <c r="E8" s="356">
        <v>0</v>
      </c>
      <c r="F8" s="292"/>
      <c r="G8" s="356">
        <v>0</v>
      </c>
      <c r="H8" s="340">
        <f t="shared" si="1"/>
        <v>437900</v>
      </c>
      <c r="I8" s="357">
        <v>0</v>
      </c>
      <c r="J8" s="343">
        <v>0</v>
      </c>
      <c r="K8" s="343">
        <v>0</v>
      </c>
      <c r="L8" s="353">
        <f>'REMUNERACION_OCCIDENTE_ Directa'!E130</f>
        <v>437900</v>
      </c>
      <c r="M8" s="356">
        <v>0</v>
      </c>
      <c r="N8" s="358">
        <f>SUM(I8:L8)-M8</f>
        <v>437900</v>
      </c>
      <c r="O8" s="354">
        <f t="shared" si="0"/>
        <v>0</v>
      </c>
      <c r="P8" s="1" t="b">
        <f t="shared" si="2"/>
        <v>1</v>
      </c>
    </row>
    <row r="9" spans="2:16" s="355" customFormat="1" ht="13" thickBot="1" x14ac:dyDescent="0.3">
      <c r="B9" s="327"/>
      <c r="C9" s="290">
        <f>SUM(C3:C8)</f>
        <v>5736574007</v>
      </c>
      <c r="D9" s="290">
        <f t="shared" ref="D9:M9" si="4">SUM(D3:D8)</f>
        <v>6119902</v>
      </c>
      <c r="E9" s="290">
        <f>SUM(E3:E8)</f>
        <v>317535380.75</v>
      </c>
      <c r="F9" s="290">
        <f t="shared" si="4"/>
        <v>0</v>
      </c>
      <c r="G9" s="290">
        <f t="shared" si="4"/>
        <v>0</v>
      </c>
      <c r="H9" s="290">
        <f t="shared" si="4"/>
        <v>6060229289.749999</v>
      </c>
      <c r="I9" s="290">
        <f t="shared" si="4"/>
        <v>5566766829.7699995</v>
      </c>
      <c r="J9" s="290">
        <f t="shared" si="4"/>
        <v>98745098.260000005</v>
      </c>
      <c r="K9" s="290">
        <f t="shared" si="4"/>
        <v>381197398.85000002</v>
      </c>
      <c r="L9" s="290">
        <f t="shared" si="4"/>
        <v>437900</v>
      </c>
      <c r="M9" s="290">
        <f t="shared" si="4"/>
        <v>13082062.869999999</v>
      </c>
      <c r="N9" s="290">
        <f>SUM(N3:N8)</f>
        <v>6060229289.749999</v>
      </c>
      <c r="O9" s="359">
        <f>SUM(O3:O8)</f>
        <v>0</v>
      </c>
      <c r="P9" s="1" t="b">
        <f t="shared" si="2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Recaudo'!D10</f>
        <v>5736574007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8" width="16.1796875" style="1" customWidth="1"/>
    <col min="9" max="9" width="20.179687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81640625" style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9.453125" style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8" t="s">
        <v>17</v>
      </c>
      <c r="D6" s="9">
        <f>'REMUNERACION_OCCIDENTE_ Directa'!D101</f>
        <v>46297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8"/>
      <c r="C7" s="598" t="s">
        <v>0</v>
      </c>
      <c r="D7" s="287">
        <f>'REMUNERACION_OCCIDENTE_ Directa'!D102</f>
        <v>0.58333333333333337</v>
      </c>
      <c r="F7" s="2" t="s">
        <v>27</v>
      </c>
      <c r="G7" s="9">
        <f>'REMUNERACION_OCCIDENTE_ Directa'!G102</f>
        <v>46281</v>
      </c>
      <c r="J7" s="2" t="s">
        <v>28</v>
      </c>
      <c r="K7" s="9">
        <f>'REMUNERACION_OCCIDENTE_ Directa'!K102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5">
      <c r="B9" s="14">
        <v>1</v>
      </c>
      <c r="C9" s="61" t="s">
        <v>10</v>
      </c>
      <c r="D9" s="66">
        <f>'REMUNERACION_OCCIDENTE_ Directa'!D104</f>
        <v>754365889.26999998</v>
      </c>
      <c r="E9" s="66">
        <f>'REMUNERACION_OCCIDENTE_ Directa'!E104</f>
        <v>89440497.350000009</v>
      </c>
      <c r="F9" s="66">
        <f>'REMUNERACION_OCCIDENTE_ Directa'!F104</f>
        <v>49800646.469999991</v>
      </c>
      <c r="G9" s="66">
        <f>'REMUNERACION_OCCIDENTE_ Directa'!G104</f>
        <v>26309364.449999999</v>
      </c>
      <c r="H9" s="66">
        <f>'REMUNERACION_OCCIDENTE_ Directa'!H104</f>
        <v>56463891.920000002</v>
      </c>
      <c r="I9" s="66">
        <f>'REMUNERACION_OCCIDENTE_ Directa'!I104</f>
        <v>1729509.6099999999</v>
      </c>
      <c r="J9" s="66">
        <f>'REMUNERACION_OCCIDENTE_ Directa'!J104</f>
        <v>0</v>
      </c>
      <c r="K9" s="30">
        <f>D9-E9-F9-G9-H9-I9-J9</f>
        <v>530621979.46999985</v>
      </c>
      <c r="L9" s="66">
        <f>'REMUNERACION_OCCIDENTE_ Directa'!L104</f>
        <v>0</v>
      </c>
      <c r="M9" s="30">
        <f>K9-L9</f>
        <v>530621979.46999985</v>
      </c>
      <c r="N9" s="66">
        <f>'REMUNERACION_OCCIDENTE_ Directa'!N104</f>
        <v>20540038.379999999</v>
      </c>
      <c r="O9" s="30">
        <f>M9+N9</f>
        <v>551162017.8499999</v>
      </c>
      <c r="Q9" s="4"/>
      <c r="S9" s="14">
        <v>1</v>
      </c>
      <c r="T9" s="61" t="s">
        <v>10</v>
      </c>
      <c r="U9" s="66">
        <f>'REMUNERACION_OCCIDENTE_ Directa'!U104</f>
        <v>15376514.379999997</v>
      </c>
      <c r="V9" s="66">
        <f>'REMUNERACION_OCCIDENTE_ Directa'!V104</f>
        <v>18908195.960000001</v>
      </c>
      <c r="W9" s="66">
        <f>'REMUNERACION_OCCIDENTE_ Directa'!W104</f>
        <v>87267044.820000023</v>
      </c>
      <c r="X9" s="66">
        <f>'REMUNERACION_OCCIDENTE_ Directa'!X104</f>
        <v>244431762.82000002</v>
      </c>
      <c r="Y9" s="66">
        <f>'REMUNERACION_OCCIDENTE_ Directa'!Y104</f>
        <v>2813939.5900000003</v>
      </c>
      <c r="Z9" s="66">
        <f>'REMUNERACION_OCCIDENTE_ Directa'!Z104</f>
        <v>0</v>
      </c>
      <c r="AA9" s="66">
        <f>'REMUNERACION_OCCIDENTE_ Directa'!AA104</f>
        <v>-2062.81</v>
      </c>
      <c r="AB9" s="66">
        <f>'REMUNERACION_OCCIDENTE_ Directa'!AB104</f>
        <v>20540038.379999999</v>
      </c>
      <c r="AC9" s="66">
        <f>'REMUNERACION_OCCIDENTE_ Directa'!AC104</f>
        <v>0.29000000000000004</v>
      </c>
      <c r="AD9" s="66">
        <f>'REMUNERACION_OCCIDENTE_ Directa'!AD104</f>
        <v>161826584.41999999</v>
      </c>
      <c r="AE9" s="66">
        <f>'REMUNERACION_OCCIDENTE_ Directa'!AE104</f>
        <v>161826584.41999999</v>
      </c>
      <c r="AF9" s="69">
        <f>SUM(U9:AD9)</f>
        <v>551162017.85000002</v>
      </c>
      <c r="AG9" s="71">
        <f>AF9-O9</f>
        <v>0</v>
      </c>
      <c r="AH9" s="1" t="b">
        <f>INT(AG9)=0</f>
        <v>1</v>
      </c>
      <c r="AI9" s="4"/>
    </row>
    <row r="10" spans="2:35" x14ac:dyDescent="0.25">
      <c r="B10" s="16">
        <v>2</v>
      </c>
      <c r="C10" s="62" t="s">
        <v>11</v>
      </c>
      <c r="D10" s="66">
        <f>'REMUNERACION_OCCIDENTE_ Directa'!D105</f>
        <v>2127930817.8999999</v>
      </c>
      <c r="E10" s="66">
        <f>'REMUNERACION_OCCIDENTE_ Directa'!E105</f>
        <v>254143868.03</v>
      </c>
      <c r="F10" s="66">
        <f>'REMUNERACION_OCCIDENTE_ Directa'!F105</f>
        <v>141874209.50999999</v>
      </c>
      <c r="G10" s="66">
        <f>'REMUNERACION_OCCIDENTE_ Directa'!G105</f>
        <v>74439082.48999998</v>
      </c>
      <c r="H10" s="66">
        <f>'REMUNERACION_OCCIDENTE_ Directa'!H105</f>
        <v>319658998.97000003</v>
      </c>
      <c r="I10" s="66">
        <f>'REMUNERACION_OCCIDENTE_ Directa'!I105</f>
        <v>8104418.7399999993</v>
      </c>
      <c r="J10" s="66">
        <f>'REMUNERACION_OCCIDENTE_ Directa'!J105</f>
        <v>0</v>
      </c>
      <c r="K10" s="31">
        <f t="shared" ref="K10:K13" si="0">D10-E10-F10-G10-H10-I10-J10</f>
        <v>1329710240.1599998</v>
      </c>
      <c r="L10" s="66">
        <f>'REMUNERACION_OCCIDENTE_ Directa'!L105</f>
        <v>0</v>
      </c>
      <c r="M10" s="31">
        <f>K10-L10</f>
        <v>1329710240.1599998</v>
      </c>
      <c r="N10" s="66">
        <f>'REMUNERACION_OCCIDENTE_ Directa'!N105</f>
        <v>50562822.490000002</v>
      </c>
      <c r="O10" s="31">
        <f t="shared" ref="O10:O13" si="1">M10+N10</f>
        <v>1380273062.6499999</v>
      </c>
      <c r="Q10" s="4"/>
      <c r="S10" s="16">
        <v>2</v>
      </c>
      <c r="T10" s="62" t="s">
        <v>11</v>
      </c>
      <c r="U10" s="66">
        <f>'REMUNERACION_OCCIDENTE_ Directa'!U105</f>
        <v>70984024.13000001</v>
      </c>
      <c r="V10" s="66">
        <f>'REMUNERACION_OCCIDENTE_ Directa'!V105</f>
        <v>97001064.519999996</v>
      </c>
      <c r="W10" s="66">
        <f>'REMUNERACION_OCCIDENTE_ Directa'!W105</f>
        <v>465316000.93000001</v>
      </c>
      <c r="X10" s="66">
        <f>'REMUNERACION_OCCIDENTE_ Directa'!X105</f>
        <v>500003984.74000001</v>
      </c>
      <c r="Y10" s="66">
        <f>'REMUNERACION_OCCIDENTE_ Directa'!Y105</f>
        <v>13278663.869999999</v>
      </c>
      <c r="Z10" s="66">
        <f>'REMUNERACION_OCCIDENTE_ Directa'!Z105</f>
        <v>0</v>
      </c>
      <c r="AA10" s="66">
        <f>'REMUNERACION_OCCIDENTE_ Directa'!AA105</f>
        <v>-2352.27</v>
      </c>
      <c r="AB10" s="66">
        <f>'REMUNERACION_OCCIDENTE_ Directa'!AB105</f>
        <v>50562822.490000002</v>
      </c>
      <c r="AC10" s="66">
        <f>'REMUNERACION_OCCIDENTE_ Directa'!AC105</f>
        <v>296.72999999999996</v>
      </c>
      <c r="AD10" s="66">
        <f>'REMUNERACION_OCCIDENTE_ Directa'!AD105</f>
        <v>183128557.50999999</v>
      </c>
      <c r="AE10" s="66">
        <f>'REMUNERACION_OCCIDENTE_ Directa'!AE105</f>
        <v>183128557.50999999</v>
      </c>
      <c r="AF10" s="70">
        <f>SUM(U10:AD10)</f>
        <v>1380273062.6500001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5">
      <c r="B11" s="16">
        <v>3</v>
      </c>
      <c r="C11" s="62" t="s">
        <v>12</v>
      </c>
      <c r="D11" s="66">
        <f>'REMUNERACION_OCCIDENTE_ Directa'!D106</f>
        <v>1368200050.3899999</v>
      </c>
      <c r="E11" s="66">
        <f>'REMUNERACION_OCCIDENTE_ Directa'!E106</f>
        <v>181198637.28</v>
      </c>
      <c r="F11" s="66">
        <f>'REMUNERACION_OCCIDENTE_ Directa'!F106</f>
        <v>100455587.97</v>
      </c>
      <c r="G11" s="66">
        <f>'REMUNERACION_OCCIDENTE_ Directa'!G106</f>
        <v>53055196.219999999</v>
      </c>
      <c r="H11" s="66">
        <f>'REMUNERACION_OCCIDENTE_ Directa'!H106</f>
        <v>39122109.259999998</v>
      </c>
      <c r="I11" s="66">
        <f>'REMUNERACION_OCCIDENTE_ Directa'!I106</f>
        <v>1182497.04</v>
      </c>
      <c r="J11" s="66">
        <f>'REMUNERACION_OCCIDENTE_ Directa'!J106</f>
        <v>0</v>
      </c>
      <c r="K11" s="31">
        <f t="shared" si="0"/>
        <v>993186022.61999989</v>
      </c>
      <c r="L11" s="66">
        <f>'REMUNERACION_OCCIDENTE_ Directa'!L106</f>
        <v>0</v>
      </c>
      <c r="M11" s="31">
        <f>K11-L11</f>
        <v>993186022.61999989</v>
      </c>
      <c r="N11" s="66">
        <f>'REMUNERACION_OCCIDENTE_ Directa'!N106</f>
        <v>18211333.530000001</v>
      </c>
      <c r="O11" s="31">
        <f t="shared" si="1"/>
        <v>1011397356.1499999</v>
      </c>
      <c r="Q11" s="4"/>
      <c r="S11" s="16">
        <v>3</v>
      </c>
      <c r="T11" s="62" t="s">
        <v>12</v>
      </c>
      <c r="U11" s="66">
        <f>'REMUNERACION_OCCIDENTE_ Directa'!U106</f>
        <v>10284865.6</v>
      </c>
      <c r="V11" s="66">
        <f>'REMUNERACION_OCCIDENTE_ Directa'!V106</f>
        <v>13382841.49</v>
      </c>
      <c r="W11" s="66">
        <f>'REMUNERACION_OCCIDENTE_ Directa'!W106</f>
        <v>60427175.130000003</v>
      </c>
      <c r="X11" s="66">
        <f>'REMUNERACION_OCCIDENTE_ Directa'!X106</f>
        <v>429997101.78000003</v>
      </c>
      <c r="Y11" s="66">
        <f>'REMUNERACION_OCCIDENTE_ Directa'!Y106</f>
        <v>1903821.98</v>
      </c>
      <c r="Z11" s="66">
        <f>'REMUNERACION_OCCIDENTE_ Directa'!Z106</f>
        <v>0</v>
      </c>
      <c r="AA11" s="66">
        <f>'REMUNERACION_OCCIDENTE_ Directa'!AA106</f>
        <v>-2493.87</v>
      </c>
      <c r="AB11" s="66">
        <f>'REMUNERACION_OCCIDENTE_ Directa'!AB106</f>
        <v>18211333.530000001</v>
      </c>
      <c r="AC11" s="66">
        <f>'REMUNERACION_OCCIDENTE_ Directa'!AC106</f>
        <v>1.41</v>
      </c>
      <c r="AD11" s="66">
        <f>'REMUNERACION_OCCIDENTE_ Directa'!AD106</f>
        <v>477192709.10000002</v>
      </c>
      <c r="AE11" s="66">
        <f>'REMUNERACION_OCCIDENTE_ Directa'!AE106</f>
        <v>477192709.10000002</v>
      </c>
      <c r="AF11" s="70">
        <f>SUM(U11:AD11)</f>
        <v>1011397356.1500001</v>
      </c>
      <c r="AG11" s="72">
        <f>AF11-O11</f>
        <v>0</v>
      </c>
      <c r="AH11" s="1" t="b">
        <f t="shared" si="2"/>
        <v>1</v>
      </c>
      <c r="AI11" s="4"/>
    </row>
    <row r="12" spans="2:35" x14ac:dyDescent="0.25">
      <c r="B12" s="16">
        <v>4</v>
      </c>
      <c r="C12" s="62" t="s">
        <v>13</v>
      </c>
      <c r="D12" s="66">
        <f>'REMUNERACION_OCCIDENTE_ Directa'!D107</f>
        <v>1035550335.84</v>
      </c>
      <c r="E12" s="66">
        <f>'REMUNERACION_OCCIDENTE_ Directa'!E107</f>
        <v>100196772.78</v>
      </c>
      <c r="F12" s="66">
        <f>'REMUNERACION_OCCIDENTE_ Directa'!F107</f>
        <v>55821489.119999997</v>
      </c>
      <c r="G12" s="66">
        <f>'REMUNERACION_OCCIDENTE_ Directa'!G107</f>
        <v>29392898.280000001</v>
      </c>
      <c r="H12" s="66">
        <f>'REMUNERACION_OCCIDENTE_ Directa'!H107</f>
        <v>133878975.34999999</v>
      </c>
      <c r="I12" s="66">
        <f>'REMUNERACION_OCCIDENTE_ Directa'!I107</f>
        <v>3575327.6999999997</v>
      </c>
      <c r="J12" s="66">
        <f>'REMUNERACION_OCCIDENTE_ Directa'!J107</f>
        <v>0</v>
      </c>
      <c r="K12" s="31">
        <f t="shared" si="0"/>
        <v>712684872.61000001</v>
      </c>
      <c r="L12" s="66">
        <f>'REMUNERACION_OCCIDENTE_ Directa'!L107</f>
        <v>0</v>
      </c>
      <c r="M12" s="31">
        <f>K12-L12</f>
        <v>712684872.61000001</v>
      </c>
      <c r="N12" s="66">
        <f>'REMUNERACION_OCCIDENTE_ Directa'!N107</f>
        <v>6944413.4099999992</v>
      </c>
      <c r="O12" s="31">
        <f t="shared" si="1"/>
        <v>719629286.01999998</v>
      </c>
      <c r="Q12" s="4"/>
      <c r="S12" s="16">
        <v>4</v>
      </c>
      <c r="T12" s="62" t="s">
        <v>13</v>
      </c>
      <c r="U12" s="66">
        <f>'REMUNERACION_OCCIDENTE_ Directa'!U107</f>
        <v>31374345.899999999</v>
      </c>
      <c r="V12" s="66">
        <f>'REMUNERACION_OCCIDENTE_ Directa'!V107</f>
        <v>42962666.670000002</v>
      </c>
      <c r="W12" s="66">
        <f>'REMUNERACION_OCCIDENTE_ Directa'!W107</f>
        <v>216081773.40000001</v>
      </c>
      <c r="X12" s="66">
        <f>'REMUNERACION_OCCIDENTE_ Directa'!X107</f>
        <v>265560008.06000003</v>
      </c>
      <c r="Y12" s="66">
        <f>'REMUNERACION_OCCIDENTE_ Directa'!Y107</f>
        <v>5810231.9800000004</v>
      </c>
      <c r="Z12" s="66">
        <f>'REMUNERACION_OCCIDENTE_ Directa'!Z107</f>
        <v>0</v>
      </c>
      <c r="AA12" s="66">
        <f>'REMUNERACION_OCCIDENTE_ Directa'!AA107</f>
        <v>-830.65000000000009</v>
      </c>
      <c r="AB12" s="66">
        <f>'REMUNERACION_OCCIDENTE_ Directa'!AB107</f>
        <v>6944413.4099999992</v>
      </c>
      <c r="AC12" s="66">
        <f>'REMUNERACION_OCCIDENTE_ Directa'!AC107</f>
        <v>-5.999999999999997E-2</v>
      </c>
      <c r="AD12" s="66">
        <f>'REMUNERACION_OCCIDENTE_ Directa'!AD107</f>
        <v>150896677.31</v>
      </c>
      <c r="AE12" s="66">
        <f>'REMUNERACION_OCCIDENTE_ Directa'!AE107</f>
        <v>150896677.31</v>
      </c>
      <c r="AF12" s="70">
        <f>SUM(U12:AD12)</f>
        <v>719629286.02000022</v>
      </c>
      <c r="AG12" s="72">
        <f>AF12-O12</f>
        <v>0</v>
      </c>
      <c r="AH12" s="1" t="b">
        <f t="shared" si="2"/>
        <v>1</v>
      </c>
      <c r="AI12" s="4"/>
    </row>
    <row r="13" spans="2:35" ht="12" thickBot="1" x14ac:dyDescent="0.3">
      <c r="B13" s="19">
        <v>5</v>
      </c>
      <c r="C13" s="63" t="s">
        <v>14</v>
      </c>
      <c r="D13" s="66">
        <f>'REMUNERACION_OCCIDENTE_ Directa'!D108</f>
        <v>280719736.37</v>
      </c>
      <c r="E13" s="66">
        <f>'REMUNERACION_OCCIDENTE_ Directa'!E108</f>
        <v>26316530.939999998</v>
      </c>
      <c r="F13" s="66">
        <f>'REMUNERACION_OCCIDENTE_ Directa'!F108</f>
        <v>14445730.540000001</v>
      </c>
      <c r="G13" s="66">
        <f>'REMUNERACION_OCCIDENTE_ Directa'!G108</f>
        <v>7622321.3100000005</v>
      </c>
      <c r="H13" s="66">
        <f>'REMUNERACION_OCCIDENTE_ Directa'!H108</f>
        <v>22384037.880000003</v>
      </c>
      <c r="I13" s="66">
        <f>'REMUNERACION_OCCIDENTE_ Directa'!I108</f>
        <v>1017336.2300000001</v>
      </c>
      <c r="J13" s="66">
        <f>'REMUNERACION_OCCIDENTE_ Directa'!J108</f>
        <v>0</v>
      </c>
      <c r="K13" s="31">
        <f t="shared" si="0"/>
        <v>208933779.47000003</v>
      </c>
      <c r="L13" s="66">
        <f>'REMUNERACION_OCCIDENTE_ Directa'!L108</f>
        <v>0</v>
      </c>
      <c r="M13" s="40">
        <f>K13-L13</f>
        <v>208933779.47000003</v>
      </c>
      <c r="N13" s="66">
        <f>'REMUNERACION_OCCIDENTE_ Directa'!N108</f>
        <v>2486490.4500000002</v>
      </c>
      <c r="O13" s="40">
        <f t="shared" si="1"/>
        <v>211420269.92000002</v>
      </c>
      <c r="Q13" s="4"/>
      <c r="S13" s="19">
        <v>5</v>
      </c>
      <c r="T13" s="63" t="s">
        <v>14</v>
      </c>
      <c r="U13" s="66">
        <f>'REMUNERACION_OCCIDENTE_ Directa'!U108</f>
        <v>8720145.5600000005</v>
      </c>
      <c r="V13" s="66">
        <f>'REMUNERACION_OCCIDENTE_ Directa'!V108</f>
        <v>10188496.610000001</v>
      </c>
      <c r="W13" s="66">
        <f>'REMUNERACION_OCCIDENTE_ Directa'!W108</f>
        <v>50982932.200000003</v>
      </c>
      <c r="X13" s="66">
        <f>'REMUNERACION_OCCIDENTE_ Directa'!X108</f>
        <v>78689686.75</v>
      </c>
      <c r="Y13" s="66">
        <f>'REMUNERACION_OCCIDENTE_ Directa'!Y108</f>
        <v>1674284.81</v>
      </c>
      <c r="Z13" s="66">
        <f>'REMUNERACION_OCCIDENTE_ Directa'!Z108</f>
        <v>0</v>
      </c>
      <c r="AA13" s="66">
        <f>'REMUNERACION_OCCIDENTE_ Directa'!AA108</f>
        <v>-2408.59</v>
      </c>
      <c r="AB13" s="66">
        <f>'REMUNERACION_OCCIDENTE_ Directa'!AB108</f>
        <v>2486490.4500000002</v>
      </c>
      <c r="AC13" s="66">
        <f>'REMUNERACION_OCCIDENTE_ Directa'!AC108</f>
        <v>-35.819999999999993</v>
      </c>
      <c r="AD13" s="66">
        <f>'REMUNERACION_OCCIDENTE_ Directa'!AD108</f>
        <v>58680677.949999996</v>
      </c>
      <c r="AE13" s="66">
        <f>'REMUNERACION_OCCIDENTE_ Directa'!AE108</f>
        <v>58680677.949999996</v>
      </c>
      <c r="AF13" s="70">
        <f>SUM(U13:AD13)</f>
        <v>211420269.91999999</v>
      </c>
      <c r="AG13" s="369">
        <f>AF13-O13</f>
        <v>0</v>
      </c>
      <c r="AH13" s="1" t="b">
        <f t="shared" si="2"/>
        <v>1</v>
      </c>
      <c r="AI13" s="4"/>
    </row>
    <row r="14" spans="2:35" ht="13.5" thickBot="1" x14ac:dyDescent="0.35">
      <c r="B14" s="21"/>
      <c r="C14" s="22" t="s">
        <v>119</v>
      </c>
      <c r="D14" s="43">
        <f t="shared" ref="D14:O14" si="3">SUM(D9:D13)</f>
        <v>5566766829.7699995</v>
      </c>
      <c r="E14" s="43">
        <f t="shared" si="3"/>
        <v>651296306.37999988</v>
      </c>
      <c r="F14" s="43">
        <f t="shared" si="3"/>
        <v>362397663.61000001</v>
      </c>
      <c r="G14" s="43">
        <f t="shared" si="3"/>
        <v>190818862.74999997</v>
      </c>
      <c r="H14" s="43">
        <f t="shared" si="3"/>
        <v>571508013.38</v>
      </c>
      <c r="I14" s="43">
        <f t="shared" si="3"/>
        <v>15609089.32</v>
      </c>
      <c r="J14" s="43">
        <f t="shared" si="3"/>
        <v>0</v>
      </c>
      <c r="K14" s="32">
        <f t="shared" si="3"/>
        <v>3775136894.3299999</v>
      </c>
      <c r="L14" s="23">
        <f t="shared" si="3"/>
        <v>0</v>
      </c>
      <c r="M14" s="76">
        <f t="shared" si="3"/>
        <v>3775136894.3299999</v>
      </c>
      <c r="N14" s="23">
        <f t="shared" si="3"/>
        <v>98745098.260000005</v>
      </c>
      <c r="O14" s="76">
        <f t="shared" si="3"/>
        <v>3873881992.5899997</v>
      </c>
      <c r="P14" s="2"/>
      <c r="Q14" s="4"/>
      <c r="S14" s="21"/>
      <c r="T14" s="22" t="s">
        <v>119</v>
      </c>
      <c r="U14" s="43">
        <f>SUM(U9:U13)</f>
        <v>136739895.56999999</v>
      </c>
      <c r="V14" s="43">
        <f t="shared" ref="V14:AG14" si="4">SUM(V9:V13)</f>
        <v>182443265.25</v>
      </c>
      <c r="W14" s="43">
        <f t="shared" si="4"/>
        <v>880074926.48000002</v>
      </c>
      <c r="X14" s="43">
        <f t="shared" si="4"/>
        <v>1518682544.1500001</v>
      </c>
      <c r="Y14" s="43">
        <f t="shared" si="4"/>
        <v>25480942.229999997</v>
      </c>
      <c r="Z14" s="43">
        <f t="shared" si="4"/>
        <v>0</v>
      </c>
      <c r="AA14" s="43">
        <f t="shared" si="4"/>
        <v>-10148.19</v>
      </c>
      <c r="AB14" s="43">
        <f t="shared" si="4"/>
        <v>98745098.260000005</v>
      </c>
      <c r="AC14" s="43">
        <f t="shared" si="4"/>
        <v>262.55</v>
      </c>
      <c r="AD14" s="43">
        <f t="shared" si="4"/>
        <v>1031725206.29</v>
      </c>
      <c r="AE14" s="43">
        <f>SUM(AE9:AE13)</f>
        <v>1031725206.29</v>
      </c>
      <c r="AF14" s="68">
        <f t="shared" si="4"/>
        <v>3873881992.5900002</v>
      </c>
      <c r="AG14" s="43">
        <f t="shared" si="4"/>
        <v>0</v>
      </c>
      <c r="AH14" s="1" t="b">
        <f t="shared" si="2"/>
        <v>1</v>
      </c>
      <c r="AI14" s="4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2743421573.6799998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2026092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'REMUNERACION_OCCIDENTE_ Directa'!G122</f>
        <v>46281</v>
      </c>
      <c r="J27" s="2" t="s">
        <v>28</v>
      </c>
      <c r="K27" s="9">
        <f>'REMUNERACION_OCCIDENTE_ Directa'!K122</f>
        <v>46295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5">
      <c r="B30" s="108">
        <v>1</v>
      </c>
      <c r="C30" s="109" t="s">
        <v>10</v>
      </c>
      <c r="D30" s="110">
        <f>'REMUNERACION_OCCIDENTE_ Directa'!D125</f>
        <v>34356275.700000003</v>
      </c>
      <c r="E30" s="111">
        <f>'REMUNERACION_OCCIDENTE_ Directa'!E125</f>
        <v>0</v>
      </c>
      <c r="G30" s="336">
        <f>'REMUNERACION_OCCIDENTE_ Directa'!G125</f>
        <v>40070</v>
      </c>
      <c r="H30" s="310">
        <f>'REMUNERACION_OCCIDENTE_ Directa'!H125</f>
        <v>32007728.350000001</v>
      </c>
      <c r="I30" s="309">
        <f>'REMUNERACION_OCCIDENTE_ Directa'!I125</f>
        <v>0</v>
      </c>
      <c r="J30" s="309">
        <f>'REMUNERACION_OCCIDENTE_ Directa'!J125</f>
        <v>-40070</v>
      </c>
      <c r="K30" s="309">
        <f>'REMUNERACION_OCCIDENTE_ Directa'!K125</f>
        <v>0</v>
      </c>
      <c r="L30" s="309">
        <f>'REMUNERACION_OCCIDENTE_ Directa'!L125</f>
        <v>0</v>
      </c>
      <c r="O30" s="44"/>
      <c r="Q30" s="4"/>
    </row>
    <row r="31" spans="1:35" x14ac:dyDescent="0.25">
      <c r="B31" s="16">
        <v>2</v>
      </c>
      <c r="C31" s="17" t="s">
        <v>11</v>
      </c>
      <c r="D31" s="15">
        <f>'REMUNERACION_OCCIDENTE_ Directa'!D126</f>
        <v>117066108.01000001</v>
      </c>
      <c r="E31" s="74">
        <f>'REMUNERACION_OCCIDENTE_ Directa'!E126</f>
        <v>0</v>
      </c>
      <c r="G31" s="339">
        <f>'REMUNERACION_OCCIDENTE_ Directa'!G126</f>
        <v>1003966</v>
      </c>
      <c r="H31" s="340">
        <f>'REMUNERACION_OCCIDENTE_ Directa'!H126</f>
        <v>123776128.39999999</v>
      </c>
      <c r="I31" s="288">
        <f>'REMUNERACION_OCCIDENTE_ Directa'!I126</f>
        <v>0</v>
      </c>
      <c r="J31" s="288">
        <f>'REMUNERACION_OCCIDENTE_ Directa'!J126</f>
        <v>-3643056</v>
      </c>
      <c r="K31" s="288">
        <f>'REMUNERACION_OCCIDENTE_ Directa'!K126</f>
        <v>2673592</v>
      </c>
      <c r="L31" s="288">
        <f>'REMUNERACION_OCCIDENTE_ Directa'!L126</f>
        <v>34502</v>
      </c>
      <c r="O31" s="44"/>
      <c r="Q31" s="4"/>
    </row>
    <row r="32" spans="1:35" x14ac:dyDescent="0.25">
      <c r="B32" s="16">
        <v>3</v>
      </c>
      <c r="C32" s="17" t="s">
        <v>12</v>
      </c>
      <c r="D32" s="15">
        <f>'REMUNERACION_OCCIDENTE_ Directa'!D127</f>
        <v>190183129.15000001</v>
      </c>
      <c r="E32" s="74">
        <f>'REMUNERACION_OCCIDENTE_ Directa'!E127</f>
        <v>0</v>
      </c>
      <c r="G32" s="339">
        <f>'REMUNERACION_OCCIDENTE_ Directa'!G127</f>
        <v>0</v>
      </c>
      <c r="H32" s="340">
        <f>'REMUNERACION_OCCIDENTE_ Directa'!H127</f>
        <v>105357109.06999999</v>
      </c>
      <c r="I32" s="288">
        <f>'REMUNERACION_OCCIDENTE_ Directa'!I127</f>
        <v>0</v>
      </c>
      <c r="J32" s="288">
        <f>'REMUNERACION_OCCIDENTE_ Directa'!J127</f>
        <v>0</v>
      </c>
      <c r="K32" s="288">
        <f>'REMUNERACION_OCCIDENTE_ Directa'!K127</f>
        <v>0</v>
      </c>
      <c r="L32" s="288">
        <f>'REMUNERACION_OCCIDENTE_ Directa'!L127</f>
        <v>0</v>
      </c>
      <c r="O32" s="44"/>
      <c r="Q32" s="4"/>
    </row>
    <row r="33" spans="1:20" x14ac:dyDescent="0.25">
      <c r="B33" s="16">
        <v>4</v>
      </c>
      <c r="C33" s="17" t="s">
        <v>13</v>
      </c>
      <c r="D33" s="15">
        <f>'REMUNERACION_OCCIDENTE_ Directa'!D128</f>
        <v>24854027.989999998</v>
      </c>
      <c r="E33" s="74">
        <f>'REMUNERACION_OCCIDENTE_ Directa'!E128</f>
        <v>0</v>
      </c>
      <c r="G33" s="339">
        <f>'REMUNERACION_OCCIDENTE_ Directa'!G128</f>
        <v>5075866</v>
      </c>
      <c r="H33" s="340">
        <f>'REMUNERACION_OCCIDENTE_ Directa'!H128</f>
        <v>39334021.109999999</v>
      </c>
      <c r="I33" s="288">
        <f>'REMUNERACION_OCCIDENTE_ Directa'!I128</f>
        <v>0</v>
      </c>
      <c r="J33" s="288">
        <f>'REMUNERACION_OCCIDENTE_ Directa'!J128</f>
        <v>-9398936.8699999992</v>
      </c>
      <c r="K33" s="288">
        <f>'REMUNERACION_OCCIDENTE_ Directa'!K128</f>
        <v>4396815</v>
      </c>
      <c r="L33" s="288">
        <f>'REMUNERACION_OCCIDENTE_ Directa'!L128</f>
        <v>73744.13</v>
      </c>
      <c r="O33" s="44"/>
      <c r="Q33" s="4"/>
    </row>
    <row r="34" spans="1:20" x14ac:dyDescent="0.25">
      <c r="B34" s="133">
        <v>5</v>
      </c>
      <c r="C34" s="138" t="s">
        <v>14</v>
      </c>
      <c r="D34" s="135">
        <f>'REMUNERACION_OCCIDENTE_ Directa'!D129</f>
        <v>14737858</v>
      </c>
      <c r="E34" s="139">
        <f>'REMUNERACION_OCCIDENTE_ Directa'!E129</f>
        <v>0</v>
      </c>
      <c r="G34" s="339">
        <f>'REMUNERACION_OCCIDENTE_ Directa'!G129</f>
        <v>0</v>
      </c>
      <c r="H34" s="340">
        <f>'REMUNERACION_OCCIDENTE_ Directa'!H129</f>
        <v>17060393.82</v>
      </c>
      <c r="I34" s="288">
        <f>'REMUNERACION_OCCIDENTE_ Directa'!I129</f>
        <v>0</v>
      </c>
      <c r="J34" s="288">
        <f>'REMUNERACION_OCCIDENTE_ Directa'!J129</f>
        <v>0</v>
      </c>
      <c r="K34" s="288">
        <f>'REMUNERACION_OCCIDENTE_ Directa'!K129</f>
        <v>0</v>
      </c>
      <c r="L34" s="288">
        <f>'REMUNERACION_OCCIDENTE_ Directa'!L129</f>
        <v>0</v>
      </c>
      <c r="O34" s="44"/>
      <c r="Q34" s="4"/>
    </row>
    <row r="35" spans="1:20" ht="12" thickBot="1" x14ac:dyDescent="0.3">
      <c r="B35" s="19" t="s">
        <v>89</v>
      </c>
      <c r="C35" s="20" t="s">
        <v>113</v>
      </c>
      <c r="D35" s="78"/>
      <c r="E35" s="79">
        <f>'REMUNERACION_OCCIDENTE_ Directa'!E130</f>
        <v>437900</v>
      </c>
      <c r="G35" s="346"/>
      <c r="H35" s="347"/>
      <c r="I35" s="289"/>
      <c r="J35" s="289"/>
      <c r="K35" s="289"/>
      <c r="L35" s="289"/>
      <c r="O35" s="44"/>
      <c r="Q35" s="4"/>
    </row>
    <row r="36" spans="1:20" ht="12" thickBot="1" x14ac:dyDescent="0.3">
      <c r="B36" s="95"/>
      <c r="C36" s="106" t="s">
        <v>119</v>
      </c>
      <c r="D36" s="107">
        <f t="shared" ref="D36" si="5">SUM(D30:D34)</f>
        <v>381197398.85000002</v>
      </c>
      <c r="E36" s="107">
        <f>'REMUNERACION_OCCIDENTE_ Directa'!E131</f>
        <v>437900</v>
      </c>
      <c r="F36" s="45"/>
      <c r="G36" s="350">
        <f t="shared" ref="G36:L36" si="6">SUM(G30:G34)</f>
        <v>6119902</v>
      </c>
      <c r="H36" s="350">
        <f t="shared" si="6"/>
        <v>317535380.75</v>
      </c>
      <c r="I36" s="350">
        <f t="shared" si="6"/>
        <v>0</v>
      </c>
      <c r="J36" s="350">
        <f t="shared" si="6"/>
        <v>-13082062.869999999</v>
      </c>
      <c r="K36" s="350">
        <f t="shared" si="6"/>
        <v>7070407</v>
      </c>
      <c r="L36" s="350">
        <f t="shared" si="6"/>
        <v>108246.13</v>
      </c>
      <c r="M36" s="45"/>
      <c r="N36" s="45"/>
      <c r="O36" s="46"/>
      <c r="P36" s="2"/>
      <c r="Q36" s="4"/>
    </row>
    <row r="37" spans="1:20" x14ac:dyDescent="0.25">
      <c r="B37" s="2"/>
      <c r="C37" s="2"/>
      <c r="D37" s="24"/>
      <c r="Q37" s="4"/>
    </row>
    <row r="38" spans="1:20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5">
      <c r="N42" s="24"/>
      <c r="O42" s="24"/>
      <c r="Q42" s="24"/>
      <c r="T42" s="24"/>
    </row>
    <row r="43" spans="1:20" x14ac:dyDescent="0.25">
      <c r="N43" s="24"/>
      <c r="O43" s="24"/>
      <c r="Q43" s="24"/>
      <c r="T43" s="24"/>
    </row>
    <row r="44" spans="1:20" x14ac:dyDescent="0.25">
      <c r="D44" s="267" t="b">
        <f>D14='REMUNERACION_OCCIDENTE_ Directa'!D109</f>
        <v>1</v>
      </c>
      <c r="E44" s="267" t="b">
        <f>E14='REMUNERACION_OCCIDENTE_ Directa'!E109</f>
        <v>1</v>
      </c>
      <c r="F44" s="267" t="b">
        <f>F14='REMUNERACION_OCCIDENTE_ Directa'!F109</f>
        <v>1</v>
      </c>
      <c r="G44" s="267" t="b">
        <f>G14='REMUNERACION_OCCIDENTE_ Directa'!G109</f>
        <v>1</v>
      </c>
      <c r="H44" s="267" t="b">
        <f>H14='REMUNERACION_OCCIDENTE_ Directa'!H109</f>
        <v>1</v>
      </c>
      <c r="I44" s="267" t="b">
        <f>I14='REMUNERACION_OCCIDENTE_ Directa'!I109</f>
        <v>1</v>
      </c>
      <c r="J44" s="267" t="b">
        <f>J14='REMUNERACION_OCCIDENTE_ Directa'!J109</f>
        <v>1</v>
      </c>
      <c r="K44" s="267" t="b">
        <f>K14='REMUNERACION_OCCIDENTE_ Directa'!K109</f>
        <v>1</v>
      </c>
      <c r="L44" s="267" t="b">
        <f>L14='REMUNERACION_OCCIDENTE_ Directa'!L109</f>
        <v>1</v>
      </c>
      <c r="M44" s="267" t="b">
        <f>M14='REMUNERACION_OCCIDENTE_ Directa'!M109</f>
        <v>1</v>
      </c>
      <c r="N44" s="267" t="b">
        <f>N14='REMUNERACION_OCCIDENTE_ Directa'!N109</f>
        <v>1</v>
      </c>
      <c r="O44" s="267" t="b">
        <f>O14='REMUNERACION_OCCIDENTE_ Directa'!O109</f>
        <v>1</v>
      </c>
      <c r="Q44" s="24"/>
      <c r="T44" s="24"/>
    </row>
    <row r="45" spans="1:20" x14ac:dyDescent="0.25">
      <c r="D45" s="267" t="b">
        <f>D36='REMUNERACION_OCCIDENTE_ Directa'!D131</f>
        <v>1</v>
      </c>
      <c r="E45" s="267" t="b">
        <f>E36='REMUNERACION_OCCIDENTE_ Directa'!E131</f>
        <v>1</v>
      </c>
      <c r="F45" s="267" t="b">
        <f>F36='REMUNERACION_OCCIDENTE_ Directa'!F131</f>
        <v>1</v>
      </c>
      <c r="G45" s="267" t="b">
        <f>G36='REMUNERACION_OCCIDENTE_ Directa'!G131</f>
        <v>1</v>
      </c>
      <c r="H45" s="267" t="b">
        <f>H36='REMUNERACION_OCCIDENTE_ Directa'!H131</f>
        <v>1</v>
      </c>
      <c r="I45" s="267" t="b">
        <f>I36='REMUNERACION_OCCIDENTE_ Directa'!I131</f>
        <v>1</v>
      </c>
      <c r="J45" s="267" t="b">
        <f>J36='REMUNERACION_OCCIDENTE_ Directa'!J131</f>
        <v>1</v>
      </c>
      <c r="K45" s="267" t="b">
        <f>K36='REMUNERACION_OCCIDENTE_ Directa'!K131</f>
        <v>1</v>
      </c>
      <c r="L45" s="267" t="b">
        <f>L36='REMUNERACION_OCCIDENTE_ Directa'!L131</f>
        <v>1</v>
      </c>
      <c r="M45" s="267" t="b">
        <f>M36='REMUNERACION_OCCIDENTE_ Directa'!M131</f>
        <v>1</v>
      </c>
      <c r="N45" s="267" t="b">
        <f>N36='REMUNERACION_OCCIDENTE_ Directa'!N131</f>
        <v>1</v>
      </c>
      <c r="O45" s="267" t="b">
        <f>O36='REMUNERACION_OCCIDENTE_ Directa'!O131</f>
        <v>1</v>
      </c>
      <c r="Q45" s="24"/>
      <c r="T45" s="24"/>
    </row>
    <row r="46" spans="1:20" x14ac:dyDescent="0.25">
      <c r="N46" s="24"/>
      <c r="O46" s="24"/>
      <c r="Q46" s="24"/>
      <c r="T46" s="24"/>
    </row>
    <row r="47" spans="1:20" x14ac:dyDescent="0.25">
      <c r="N47" s="24"/>
      <c r="O47" s="24"/>
      <c r="Q47" s="24"/>
      <c r="T47" s="24"/>
    </row>
    <row r="48" spans="1:20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5" zoomScaleNormal="100" workbookViewId="0">
      <selection activeCell="A95" sqref="A95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20" style="1" bestFit="1" customWidth="1"/>
    <col min="13" max="13" width="21" style="1" bestFit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7.54296875" style="1" bestFit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36" width="13.81640625" style="1" bestFit="1" customWidth="1"/>
    <col min="37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5" customFormat="1" x14ac:dyDescent="0.25">
      <c r="B9" s="303">
        <v>1</v>
      </c>
      <c r="C9" s="304" t="s">
        <v>10</v>
      </c>
      <c r="D9" s="291">
        <f>'Reporte Componentes R1'!F71</f>
        <v>0</v>
      </c>
      <c r="E9" s="292">
        <f>'Reporte Componentes R1'!G71</f>
        <v>0</v>
      </c>
      <c r="F9" s="292">
        <f>'Reporte Componentes R1'!H71</f>
        <v>0</v>
      </c>
      <c r="G9" s="292">
        <f>'Reporte Componentes R1'!I71</f>
        <v>0</v>
      </c>
      <c r="H9" s="292">
        <f>'Reporte Componentes R1'!J71</f>
        <v>0</v>
      </c>
      <c r="I9" s="292">
        <f>'Reporte Componentes R1'!K71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R1'!L71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R1'!M71</f>
        <v>0</v>
      </c>
      <c r="V9" s="308">
        <f>'Reporte Componentes R1'!N71</f>
        <v>0</v>
      </c>
      <c r="W9" s="308">
        <f>'Reporte Componentes R1'!O71</f>
        <v>0</v>
      </c>
      <c r="X9" s="308">
        <f>'Reporte Componentes R1'!P71</f>
        <v>0</v>
      </c>
      <c r="Y9" s="309">
        <f>'Reporte Componentes R1'!Q71</f>
        <v>0</v>
      </c>
      <c r="Z9" s="310">
        <f>L9*-1</f>
        <v>0</v>
      </c>
      <c r="AA9" s="311">
        <f>'Reporte Componentes R1'!R71+'Reporte Componentes R1'!S71</f>
        <v>0</v>
      </c>
      <c r="AB9" s="294">
        <f>N9</f>
        <v>0</v>
      </c>
      <c r="AC9" s="311">
        <f>'Reporte Componentes R1'!Z71</f>
        <v>0</v>
      </c>
      <c r="AD9" s="291">
        <f>-J9+AE9</f>
        <v>0</v>
      </c>
      <c r="AE9" s="291">
        <f>'Reporte Componentes R1'!F72</f>
        <v>0</v>
      </c>
      <c r="AF9" s="313">
        <f>SUM(U9:AD9)</f>
        <v>0</v>
      </c>
      <c r="AG9" s="311">
        <f>(AF9-O9)</f>
        <v>0</v>
      </c>
      <c r="AH9" s="305" t="b">
        <f>INT(AG9)=0</f>
        <v>1</v>
      </c>
      <c r="AI9" s="306"/>
    </row>
    <row r="10" spans="2:35" s="305" customFormat="1" x14ac:dyDescent="0.25">
      <c r="B10" s="314">
        <v>2</v>
      </c>
      <c r="C10" s="315" t="s">
        <v>11</v>
      </c>
      <c r="D10" s="291">
        <f>'Reporte Componentes R1'!F225</f>
        <v>0</v>
      </c>
      <c r="E10" s="292">
        <f>'Reporte Componentes R1'!G225</f>
        <v>0</v>
      </c>
      <c r="F10" s="292">
        <f>'Reporte Componentes R1'!H225</f>
        <v>0</v>
      </c>
      <c r="G10" s="292">
        <f>'Reporte Componentes R1'!I225</f>
        <v>0</v>
      </c>
      <c r="H10" s="292">
        <f>'Reporte Componentes R1'!J225</f>
        <v>0</v>
      </c>
      <c r="I10" s="292">
        <f>'Reporte Componentes R1'!K225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R1'!L225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R1'!M225</f>
        <v>0</v>
      </c>
      <c r="V10" s="317">
        <f>'Reporte Componentes R1'!N225</f>
        <v>0</v>
      </c>
      <c r="W10" s="317">
        <f>'Reporte Componentes R1'!O225</f>
        <v>0</v>
      </c>
      <c r="X10" s="317">
        <f>'Reporte Componentes R1'!P225</f>
        <v>0</v>
      </c>
      <c r="Y10" s="318">
        <f>'Reporte Componentes R1'!Q225</f>
        <v>0</v>
      </c>
      <c r="Z10" s="319">
        <f>L10*-1</f>
        <v>0</v>
      </c>
      <c r="AA10" s="320">
        <f>'Reporte Componentes R1'!R225+'Reporte Componentes R1'!S225+'Reporte Componentes R1'!T225</f>
        <v>0</v>
      </c>
      <c r="AB10" s="294">
        <f>N10</f>
        <v>0</v>
      </c>
      <c r="AC10" s="320">
        <f>'Reporte Componentes R1'!Z225</f>
        <v>0</v>
      </c>
      <c r="AD10" s="291">
        <f t="shared" ref="AD10:AD13" si="2">-J10+AE10</f>
        <v>0</v>
      </c>
      <c r="AE10" s="291">
        <f>'Reporte Componentes R1'!F226</f>
        <v>0</v>
      </c>
      <c r="AF10" s="322">
        <f>SUM(U10:AD10)</f>
        <v>0</v>
      </c>
      <c r="AG10" s="323">
        <f>(AF10-O10)</f>
        <v>0</v>
      </c>
      <c r="AH10" s="305" t="b">
        <f t="shared" ref="AH10:AH13" si="3">INT(AG10)=0</f>
        <v>1</v>
      </c>
      <c r="AI10" s="306"/>
    </row>
    <row r="11" spans="2:35" s="305" customFormat="1" x14ac:dyDescent="0.25">
      <c r="B11" s="314">
        <v>3</v>
      </c>
      <c r="C11" s="315" t="s">
        <v>12</v>
      </c>
      <c r="D11" s="291">
        <f>'Reporte Componentes R1'!F364</f>
        <v>0</v>
      </c>
      <c r="E11" s="292">
        <f>'Reporte Componentes R1'!G364</f>
        <v>0</v>
      </c>
      <c r="F11" s="292">
        <f>'Reporte Componentes R1'!H364</f>
        <v>0</v>
      </c>
      <c r="G11" s="292">
        <f>'Reporte Componentes R1'!I364</f>
        <v>0</v>
      </c>
      <c r="H11" s="292">
        <f>'Reporte Componentes R1'!J364</f>
        <v>0</v>
      </c>
      <c r="I11" s="292">
        <f>'Reporte Componentes R1'!K364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R1'!L364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R1'!M364</f>
        <v>0</v>
      </c>
      <c r="V11" s="317">
        <f>'Reporte Componentes R1'!N364</f>
        <v>0</v>
      </c>
      <c r="W11" s="317">
        <f>'Reporte Componentes R1'!O364</f>
        <v>0</v>
      </c>
      <c r="X11" s="317">
        <f>'Reporte Componentes R1'!P364</f>
        <v>0</v>
      </c>
      <c r="Y11" s="318">
        <f>'Reporte Componentes R1'!Q364</f>
        <v>0</v>
      </c>
      <c r="Z11" s="319">
        <f>L11*-1</f>
        <v>0</v>
      </c>
      <c r="AA11" s="320">
        <f>'Reporte Componentes R1'!R364+'Reporte Componentes R1'!S364+'Reporte Componentes R1'!T364</f>
        <v>0</v>
      </c>
      <c r="AB11" s="294">
        <f>N11</f>
        <v>0</v>
      </c>
      <c r="AC11" s="320">
        <f>'Reporte Componentes R1'!X364</f>
        <v>0</v>
      </c>
      <c r="AD11" s="291">
        <f t="shared" si="2"/>
        <v>0</v>
      </c>
      <c r="AE11" s="291">
        <f>'Reporte Componentes R1'!F365</f>
        <v>0</v>
      </c>
      <c r="AF11" s="322">
        <f t="shared" ref="AF11:AF13" si="4">SUM(U11:AD11)</f>
        <v>0</v>
      </c>
      <c r="AG11" s="323">
        <f>(AF11-O11)</f>
        <v>0</v>
      </c>
      <c r="AH11" s="305" t="b">
        <f t="shared" si="3"/>
        <v>1</v>
      </c>
      <c r="AI11" s="306"/>
    </row>
    <row r="12" spans="2:35" s="305" customFormat="1" x14ac:dyDescent="0.25">
      <c r="B12" s="314">
        <v>4</v>
      </c>
      <c r="C12" s="315" t="s">
        <v>13</v>
      </c>
      <c r="D12" s="291">
        <f>'Reporte Componentes R1'!F497</f>
        <v>0</v>
      </c>
      <c r="E12" s="292">
        <f>'Reporte Componentes R1'!G497</f>
        <v>0</v>
      </c>
      <c r="F12" s="292">
        <f>'Reporte Componentes R1'!H497</f>
        <v>0</v>
      </c>
      <c r="G12" s="292">
        <f>'Reporte Componentes R1'!I497</f>
        <v>0</v>
      </c>
      <c r="H12" s="292">
        <f>'Reporte Componentes R1'!J497</f>
        <v>0</v>
      </c>
      <c r="I12" s="292">
        <f>'Reporte Componentes R1'!K497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R1'!L497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R1'!M497</f>
        <v>0</v>
      </c>
      <c r="V12" s="317">
        <f>'Reporte Componentes R1'!N497</f>
        <v>0</v>
      </c>
      <c r="W12" s="317">
        <f>'Reporte Componentes R1'!O497</f>
        <v>0</v>
      </c>
      <c r="X12" s="317">
        <f>'Reporte Componentes R1'!P497</f>
        <v>0</v>
      </c>
      <c r="Y12" s="318">
        <f>'Reporte Componentes R1'!Q497</f>
        <v>0</v>
      </c>
      <c r="Z12" s="319">
        <f>L12*-1</f>
        <v>0</v>
      </c>
      <c r="AA12" s="320">
        <f>'Reporte Componentes R1'!R497+'Reporte Componentes R1'!S497</f>
        <v>0</v>
      </c>
      <c r="AB12" s="294">
        <f>N12</f>
        <v>0</v>
      </c>
      <c r="AC12" s="320">
        <f>'Reporte Componentes R1'!X497</f>
        <v>0</v>
      </c>
      <c r="AD12" s="291">
        <f t="shared" si="2"/>
        <v>0</v>
      </c>
      <c r="AE12" s="291">
        <f>'Reporte Componentes R1'!F498</f>
        <v>0</v>
      </c>
      <c r="AF12" s="322">
        <f t="shared" si="4"/>
        <v>0</v>
      </c>
      <c r="AG12" s="323">
        <f>(AF12-O12)</f>
        <v>0</v>
      </c>
      <c r="AH12" s="305" t="b">
        <f t="shared" si="3"/>
        <v>1</v>
      </c>
      <c r="AI12" s="306"/>
    </row>
    <row r="13" spans="2:35" s="305" customFormat="1" ht="12" thickBot="1" x14ac:dyDescent="0.3">
      <c r="B13" s="324">
        <v>5</v>
      </c>
      <c r="C13" s="325" t="s">
        <v>14</v>
      </c>
      <c r="D13" s="296">
        <f>'Reporte Componentes R1'!F576</f>
        <v>0</v>
      </c>
      <c r="E13" s="297">
        <f>'Reporte Componentes R1'!G576</f>
        <v>0</v>
      </c>
      <c r="F13" s="297">
        <f>'Reporte Componentes R1'!H576</f>
        <v>0</v>
      </c>
      <c r="G13" s="297">
        <f>'Reporte Componentes R1'!I576</f>
        <v>0</v>
      </c>
      <c r="H13" s="297">
        <f>'Reporte Componentes R1'!J576</f>
        <v>0</v>
      </c>
      <c r="I13" s="297">
        <f>'Reporte Componentes R1'!K576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R1'!L576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R1'!M576</f>
        <v>0</v>
      </c>
      <c r="V13" s="297">
        <f>'Reporte Componentes R1'!N576</f>
        <v>0</v>
      </c>
      <c r="W13" s="297">
        <f>'Reporte Componentes R1'!O576</f>
        <v>0</v>
      </c>
      <c r="X13" s="297">
        <f>'Reporte Componentes R1'!P576</f>
        <v>0</v>
      </c>
      <c r="Y13" s="289">
        <f>'Reporte Componentes R1'!Q576</f>
        <v>0</v>
      </c>
      <c r="Z13" s="319">
        <f>L13*-1</f>
        <v>0</v>
      </c>
      <c r="AA13" s="320">
        <f>'Reporte Componentes R1'!R576+'Reporte Componentes R1'!S576+'Reporte Componentes R1'!T576</f>
        <v>0</v>
      </c>
      <c r="AB13" s="294">
        <f>N13</f>
        <v>0</v>
      </c>
      <c r="AC13" s="320">
        <f>'Reporte Componentes R1'!X576</f>
        <v>0</v>
      </c>
      <c r="AD13" s="291">
        <f t="shared" si="2"/>
        <v>0</v>
      </c>
      <c r="AE13" s="291">
        <f>'Reporte Componentes R1'!F577</f>
        <v>0</v>
      </c>
      <c r="AF13" s="322">
        <f t="shared" si="4"/>
        <v>0</v>
      </c>
      <c r="AG13" s="326">
        <f>(AF13-O13)</f>
        <v>0</v>
      </c>
      <c r="AH13" s="305" t="b">
        <f t="shared" si="3"/>
        <v>1</v>
      </c>
      <c r="AI13" s="306"/>
    </row>
    <row r="14" spans="2:35" s="305" customFormat="1" ht="13.5" thickBot="1" x14ac:dyDescent="0.35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305" t="b">
        <f>INT(AG14)=0</f>
        <v>1</v>
      </c>
      <c r="AI14" s="306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5" x14ac:dyDescent="0.35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5" customFormat="1" x14ac:dyDescent="0.25">
      <c r="B28" s="303">
        <v>1</v>
      </c>
      <c r="C28" s="304" t="s">
        <v>10</v>
      </c>
      <c r="D28" s="291">
        <f>'Rem. Anticipos R2'!E58</f>
        <v>0</v>
      </c>
      <c r="E28" s="292">
        <f>'Rem. Anticipos R2'!F58</f>
        <v>0</v>
      </c>
      <c r="F28" s="292">
        <f>'Rem. Anticipos R2'!G58</f>
        <v>0</v>
      </c>
      <c r="G28" s="292">
        <f>'Rem. Anticipos R2'!H58</f>
        <v>0</v>
      </c>
      <c r="H28" s="292">
        <f>'Rem. Anticipos R2'!I58</f>
        <v>0</v>
      </c>
      <c r="I28" s="292">
        <f>'Rem. Anticipos R2'!J58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R2'!K58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R2'!L58</f>
        <v>0</v>
      </c>
      <c r="V28" s="308">
        <f>'Rem. Anticipos R2'!M58</f>
        <v>0</v>
      </c>
      <c r="W28" s="308">
        <f>'Rem. Anticipos R2'!N58</f>
        <v>0</v>
      </c>
      <c r="X28" s="308">
        <f>'Rem. Anticipos R2'!O58</f>
        <v>0</v>
      </c>
      <c r="Y28" s="308">
        <f>'Rem. Anticipos R2'!P58</f>
        <v>0</v>
      </c>
      <c r="Z28" s="310">
        <f>L28*-1</f>
        <v>0</v>
      </c>
      <c r="AA28" s="311">
        <f>'Rem. Anticipos R2'!Q58</f>
        <v>0</v>
      </c>
      <c r="AB28" s="294">
        <f>N28</f>
        <v>0</v>
      </c>
      <c r="AC28" s="311">
        <v>0</v>
      </c>
      <c r="AD28" s="291">
        <f>-J28+AE28</f>
        <v>0</v>
      </c>
      <c r="AE28" s="291">
        <f>'Rem. Anticipos R2'!E59</f>
        <v>0</v>
      </c>
      <c r="AF28" s="313">
        <f>SUM(U28:AD28)</f>
        <v>0</v>
      </c>
      <c r="AG28" s="311">
        <f>(AF28-O28)</f>
        <v>0</v>
      </c>
      <c r="AH28" s="305" t="b">
        <f>INT(AG28)=0</f>
        <v>1</v>
      </c>
      <c r="AI28" s="306"/>
    </row>
    <row r="29" spans="1:35" s="305" customFormat="1" x14ac:dyDescent="0.25">
      <c r="B29" s="314">
        <v>2</v>
      </c>
      <c r="C29" s="315" t="s">
        <v>11</v>
      </c>
      <c r="D29" s="291">
        <f>'Rem. Anticipos R2'!E151</f>
        <v>0</v>
      </c>
      <c r="E29" s="292">
        <f>'Rem. Anticipos R2'!F151</f>
        <v>0</v>
      </c>
      <c r="F29" s="292">
        <f>'Rem. Anticipos R2'!G151</f>
        <v>0</v>
      </c>
      <c r="G29" s="292">
        <f>'Rem. Anticipos R2'!H151</f>
        <v>0</v>
      </c>
      <c r="H29" s="292">
        <f>'Rem. Anticipos R2'!I151</f>
        <v>0</v>
      </c>
      <c r="I29" s="292">
        <f>'Rem. Anticipos R2'!J151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R2'!K151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R2'!L151</f>
        <v>0</v>
      </c>
      <c r="V29" s="317">
        <f>'Rem. Anticipos R2'!M151</f>
        <v>0</v>
      </c>
      <c r="W29" s="317">
        <f>'Rem. Anticipos R2'!N151</f>
        <v>0</v>
      </c>
      <c r="X29" s="317">
        <f>'Rem. Anticipos R2'!O151</f>
        <v>0</v>
      </c>
      <c r="Y29" s="318">
        <f>'Rem. Anticipos R2'!P151</f>
        <v>0</v>
      </c>
      <c r="Z29" s="319">
        <f>L29*-1</f>
        <v>0</v>
      </c>
      <c r="AA29" s="320">
        <f>'Rem. Anticipos R2'!Q151</f>
        <v>0</v>
      </c>
      <c r="AB29" s="294">
        <f>N29</f>
        <v>0</v>
      </c>
      <c r="AC29" s="320">
        <v>0</v>
      </c>
      <c r="AD29" s="291">
        <f>-J29+AE29</f>
        <v>0</v>
      </c>
      <c r="AE29" s="291">
        <f>'Rem. Anticipos R2'!E152</f>
        <v>0</v>
      </c>
      <c r="AF29" s="322">
        <f>SUM(U29:AD29)</f>
        <v>0</v>
      </c>
      <c r="AG29" s="323">
        <f>(AF29-O29)</f>
        <v>0</v>
      </c>
      <c r="AH29" s="305" t="b">
        <f t="shared" ref="AH29:AH32" si="9">INT(AG29)=0</f>
        <v>1</v>
      </c>
      <c r="AI29" s="306"/>
    </row>
    <row r="30" spans="1:35" s="305" customFormat="1" x14ac:dyDescent="0.25">
      <c r="B30" s="314">
        <v>3</v>
      </c>
      <c r="C30" s="315" t="s">
        <v>12</v>
      </c>
      <c r="D30" s="291">
        <f>'Rem. Anticipos R2'!E268</f>
        <v>0</v>
      </c>
      <c r="E30" s="292">
        <f>'Rem. Anticipos R2'!F268</f>
        <v>0</v>
      </c>
      <c r="F30" s="292">
        <f>'Rem. Anticipos R2'!G268</f>
        <v>0</v>
      </c>
      <c r="G30" s="292">
        <f>'Rem. Anticipos R2'!H268</f>
        <v>0</v>
      </c>
      <c r="H30" s="292">
        <f>'Rem. Anticipos R2'!I268</f>
        <v>0</v>
      </c>
      <c r="I30" s="292">
        <f>'Rem. Anticipos R2'!J268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R2'!K268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R2'!L268</f>
        <v>0</v>
      </c>
      <c r="V30" s="317">
        <f>'Rem. Anticipos R2'!M268</f>
        <v>0</v>
      </c>
      <c r="W30" s="317">
        <f>'Rem. Anticipos R2'!N268</f>
        <v>0</v>
      </c>
      <c r="X30" s="317">
        <f>'Rem. Anticipos R2'!O268</f>
        <v>0</v>
      </c>
      <c r="Y30" s="318">
        <f>'Rem. Anticipos R2'!P268</f>
        <v>0</v>
      </c>
      <c r="Z30" s="319">
        <f>L30*-1</f>
        <v>0</v>
      </c>
      <c r="AA30" s="320">
        <f>'Rem. Anticipos R2'!Q268</f>
        <v>0</v>
      </c>
      <c r="AB30" s="294">
        <f>N30</f>
        <v>0</v>
      </c>
      <c r="AC30" s="320">
        <v>0</v>
      </c>
      <c r="AD30" s="291">
        <f t="shared" ref="AD30:AD32" si="10">-J30+AE30</f>
        <v>0</v>
      </c>
      <c r="AE30" s="291">
        <f>'Rem. Anticipos R2'!E269</f>
        <v>0</v>
      </c>
      <c r="AF30" s="322">
        <f>SUM(U30:AD30)</f>
        <v>0</v>
      </c>
      <c r="AG30" s="323">
        <f>(AF30-O30)</f>
        <v>0</v>
      </c>
      <c r="AH30" s="305" t="b">
        <f t="shared" si="9"/>
        <v>1</v>
      </c>
      <c r="AI30" s="306"/>
    </row>
    <row r="31" spans="1:35" s="305" customFormat="1" x14ac:dyDescent="0.25">
      <c r="B31" s="314">
        <v>4</v>
      </c>
      <c r="C31" s="315" t="s">
        <v>13</v>
      </c>
      <c r="D31" s="291">
        <f>'Rem. Anticipos R2'!E367</f>
        <v>0</v>
      </c>
      <c r="E31" s="292">
        <f>'Rem. Anticipos R2'!F367</f>
        <v>0</v>
      </c>
      <c r="F31" s="292">
        <f>'Rem. Anticipos R2'!G367</f>
        <v>0</v>
      </c>
      <c r="G31" s="292">
        <f>'Rem. Anticipos R2'!H367</f>
        <v>0</v>
      </c>
      <c r="H31" s="292">
        <f>'Rem. Anticipos R2'!I367</f>
        <v>0</v>
      </c>
      <c r="I31" s="292">
        <f>'Rem. Anticipos R2'!J367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R2'!K367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R2'!L367</f>
        <v>0</v>
      </c>
      <c r="V31" s="317">
        <f>'Rem. Anticipos R2'!M367</f>
        <v>0</v>
      </c>
      <c r="W31" s="317">
        <f>'Rem. Anticipos R2'!N367</f>
        <v>0</v>
      </c>
      <c r="X31" s="317">
        <f>'Rem. Anticipos R2'!O367</f>
        <v>0</v>
      </c>
      <c r="Y31" s="318">
        <f>'Rem. Anticipos R2'!P367</f>
        <v>0</v>
      </c>
      <c r="Z31" s="319">
        <f>L31*-1</f>
        <v>0</v>
      </c>
      <c r="AA31" s="320">
        <f>'Rem. Anticipos R2'!Q367</f>
        <v>0</v>
      </c>
      <c r="AB31" s="294">
        <f>N31</f>
        <v>0</v>
      </c>
      <c r="AC31" s="320">
        <v>0</v>
      </c>
      <c r="AD31" s="291">
        <f t="shared" si="10"/>
        <v>0</v>
      </c>
      <c r="AE31" s="291">
        <f>'Rem. Anticipos R2'!E368</f>
        <v>0</v>
      </c>
      <c r="AF31" s="322">
        <f>SUM(U31:AD31)</f>
        <v>0</v>
      </c>
      <c r="AG31" s="323">
        <f t="shared" ref="AG31" si="11">(AF31-O31)</f>
        <v>0</v>
      </c>
      <c r="AH31" s="305" t="b">
        <f t="shared" si="9"/>
        <v>1</v>
      </c>
      <c r="AI31" s="306"/>
    </row>
    <row r="32" spans="1:35" s="305" customFormat="1" ht="12" thickBot="1" x14ac:dyDescent="0.3">
      <c r="B32" s="324">
        <v>5</v>
      </c>
      <c r="C32" s="325" t="s">
        <v>14</v>
      </c>
      <c r="D32" s="296">
        <f>'Rem. Anticipos R2'!E447</f>
        <v>0</v>
      </c>
      <c r="E32" s="297">
        <f>'Rem. Anticipos R2'!F447</f>
        <v>0</v>
      </c>
      <c r="F32" s="297">
        <f>'Rem. Anticipos R2'!G447</f>
        <v>0</v>
      </c>
      <c r="G32" s="297">
        <f>'Rem. Anticipos R2'!H447</f>
        <v>0</v>
      </c>
      <c r="H32" s="297">
        <f>'Rem. Anticipos R2'!I447</f>
        <v>0</v>
      </c>
      <c r="I32" s="297">
        <f>'Rem. Anticipos R2'!J447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R2'!K447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R2'!L447</f>
        <v>0</v>
      </c>
      <c r="V32" s="297">
        <f>'Rem. Anticipos R2'!M447</f>
        <v>0</v>
      </c>
      <c r="W32" s="297">
        <f>'Rem. Anticipos R2'!N447</f>
        <v>0</v>
      </c>
      <c r="X32" s="297">
        <f>'Rem. Anticipos R2'!O447</f>
        <v>0</v>
      </c>
      <c r="Y32" s="289">
        <f>'Rem. Anticipos R2'!P447</f>
        <v>0</v>
      </c>
      <c r="Z32" s="319">
        <f>L32*-1</f>
        <v>0</v>
      </c>
      <c r="AA32" s="320">
        <f>'Rem. Anticipos R2'!Q447</f>
        <v>0</v>
      </c>
      <c r="AB32" s="294">
        <f>N32</f>
        <v>0</v>
      </c>
      <c r="AC32" s="320">
        <v>0</v>
      </c>
      <c r="AD32" s="291">
        <f t="shared" si="10"/>
        <v>0</v>
      </c>
      <c r="AE32" s="291">
        <f>'Rem. Anticipos R2'!E448</f>
        <v>0</v>
      </c>
      <c r="AF32" s="322">
        <f>SUM(U32:AD32)</f>
        <v>0</v>
      </c>
      <c r="AG32" s="326">
        <f>(AF32-O32)</f>
        <v>0</v>
      </c>
      <c r="AH32" s="305" t="b">
        <f t="shared" si="9"/>
        <v>1</v>
      </c>
      <c r="AI32" s="306"/>
    </row>
    <row r="33" spans="1:35" s="305" customFormat="1" ht="13.5" thickBot="1" x14ac:dyDescent="0.35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305" t="b">
        <f>INT(AG33)=0</f>
        <v>1</v>
      </c>
      <c r="AI33" s="306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5" x14ac:dyDescent="0.35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5" customFormat="1" x14ac:dyDescent="0.25">
      <c r="B47" s="303">
        <v>1</v>
      </c>
      <c r="C47" s="304" t="s">
        <v>10</v>
      </c>
      <c r="D47" s="291">
        <f>'Reporte Componentes R1'!F73</f>
        <v>0</v>
      </c>
      <c r="E47" s="292">
        <f>'Reporte Componentes R1'!G73</f>
        <v>0</v>
      </c>
      <c r="F47" s="292">
        <f>'Reporte Componentes R1'!H73</f>
        <v>0</v>
      </c>
      <c r="G47" s="292">
        <f>'Reporte Componentes R1'!I73</f>
        <v>0</v>
      </c>
      <c r="H47" s="292">
        <f>'Reporte Componentes R1'!J73</f>
        <v>0</v>
      </c>
      <c r="I47" s="292">
        <f>'Reporte Componentes R1'!K73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R1'!L73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R1'!M73</f>
        <v>0</v>
      </c>
      <c r="V47" s="308">
        <f>'Reporte Componentes R1'!N73</f>
        <v>0</v>
      </c>
      <c r="W47" s="308">
        <f>'Reporte Componentes R1'!O73</f>
        <v>0</v>
      </c>
      <c r="X47" s="308">
        <f>'Reporte Componentes R1'!P73</f>
        <v>0</v>
      </c>
      <c r="Y47" s="309">
        <f>'Reporte Componentes R1'!Q73</f>
        <v>0</v>
      </c>
      <c r="Z47" s="310">
        <f>-L47</f>
        <v>0</v>
      </c>
      <c r="AA47" s="311">
        <f>'Reporte Componentes R1'!R73+'Reporte Componentes R1'!S73</f>
        <v>0</v>
      </c>
      <c r="AB47" s="294">
        <f>N47</f>
        <v>0</v>
      </c>
      <c r="AC47" s="311">
        <v>0</v>
      </c>
      <c r="AD47" s="291">
        <f>-J47+AE47</f>
        <v>0</v>
      </c>
      <c r="AE47" s="291">
        <f>'Reporte Componentes R1'!F74</f>
        <v>0</v>
      </c>
      <c r="AF47" s="313">
        <f>SUM(U47:AD47)</f>
        <v>0</v>
      </c>
      <c r="AG47" s="311">
        <f>(AF47-O47)</f>
        <v>0</v>
      </c>
      <c r="AH47" s="305" t="b">
        <f>INT(AG47)=0</f>
        <v>1</v>
      </c>
      <c r="AI47" s="306"/>
    </row>
    <row r="48" spans="1:35" s="305" customFormat="1" x14ac:dyDescent="0.25">
      <c r="B48" s="314">
        <v>2</v>
      </c>
      <c r="C48" s="315" t="s">
        <v>11</v>
      </c>
      <c r="D48" s="291">
        <f>'Reporte Componentes R1'!F227</f>
        <v>0</v>
      </c>
      <c r="E48" s="292">
        <f>'Reporte Componentes R1'!G227</f>
        <v>0</v>
      </c>
      <c r="F48" s="292">
        <f>'Reporte Componentes R1'!H227</f>
        <v>0</v>
      </c>
      <c r="G48" s="292">
        <f>'Reporte Componentes R1'!I227</f>
        <v>0</v>
      </c>
      <c r="H48" s="292">
        <f>'Reporte Componentes R1'!J227</f>
        <v>0</v>
      </c>
      <c r="I48" s="292">
        <f>'Reporte Componentes R1'!K227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R1'!L227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R1'!M227</f>
        <v>0</v>
      </c>
      <c r="V48" s="317">
        <f>'Reporte Componentes R1'!N227</f>
        <v>0</v>
      </c>
      <c r="W48" s="317">
        <f>'Reporte Componentes R1'!O227</f>
        <v>0</v>
      </c>
      <c r="X48" s="317">
        <f>'Reporte Componentes R1'!P227</f>
        <v>0</v>
      </c>
      <c r="Y48" s="318">
        <f>'Reporte Componentes R1'!Q227</f>
        <v>0</v>
      </c>
      <c r="Z48" s="319">
        <f>-L48</f>
        <v>0</v>
      </c>
      <c r="AA48" s="320">
        <f>'Reporte Componentes R1'!R227+'Reporte Componentes R1'!S227+'Reporte Componentes R1'!T227</f>
        <v>0</v>
      </c>
      <c r="AB48" s="294">
        <f>N48</f>
        <v>0</v>
      </c>
      <c r="AC48" s="320">
        <v>0</v>
      </c>
      <c r="AD48" s="291">
        <f t="shared" ref="AD48:AD51" si="16">-J48+AE48</f>
        <v>0</v>
      </c>
      <c r="AE48" s="291">
        <f>'Reporte Componentes R1'!F228</f>
        <v>0</v>
      </c>
      <c r="AF48" s="322">
        <f>SUM(U48:AD48)</f>
        <v>0</v>
      </c>
      <c r="AG48" s="323">
        <f>(AF48-O48)</f>
        <v>0</v>
      </c>
      <c r="AH48" s="305" t="b">
        <f t="shared" ref="AH48:AH51" si="17">INT(AG48)=0</f>
        <v>1</v>
      </c>
      <c r="AI48" s="306"/>
    </row>
    <row r="49" spans="1:35" s="305" customFormat="1" x14ac:dyDescent="0.25">
      <c r="B49" s="314">
        <v>3</v>
      </c>
      <c r="C49" s="315" t="s">
        <v>12</v>
      </c>
      <c r="D49" s="291">
        <f>'Reporte Componentes R1'!F366</f>
        <v>0</v>
      </c>
      <c r="E49" s="292">
        <f>'Reporte Componentes R1'!G366</f>
        <v>0</v>
      </c>
      <c r="F49" s="292">
        <f>'Reporte Componentes R1'!H366</f>
        <v>0</v>
      </c>
      <c r="G49" s="292">
        <f>'Reporte Componentes R1'!I366</f>
        <v>0</v>
      </c>
      <c r="H49" s="292">
        <f>'Reporte Componentes R1'!J366</f>
        <v>0</v>
      </c>
      <c r="I49" s="292">
        <f>'Reporte Componentes R1'!K366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R1'!L366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R1'!M366</f>
        <v>0</v>
      </c>
      <c r="V49" s="317">
        <f>'Reporte Componentes R1'!N366</f>
        <v>0</v>
      </c>
      <c r="W49" s="317">
        <f>'Reporte Componentes R1'!O366</f>
        <v>0</v>
      </c>
      <c r="X49" s="317">
        <f>'Reporte Componentes R1'!P366</f>
        <v>0</v>
      </c>
      <c r="Y49" s="318">
        <f>'Reporte Componentes R1'!Q366</f>
        <v>0</v>
      </c>
      <c r="Z49" s="319">
        <f>-L49</f>
        <v>0</v>
      </c>
      <c r="AA49" s="320">
        <f>'Reporte Componentes R1'!R366+'Reporte Componentes R1'!S366+'Reporte Componentes R1'!T366</f>
        <v>0</v>
      </c>
      <c r="AB49" s="294">
        <f>N49</f>
        <v>0</v>
      </c>
      <c r="AC49" s="320">
        <v>0</v>
      </c>
      <c r="AD49" s="291">
        <f t="shared" si="16"/>
        <v>0</v>
      </c>
      <c r="AE49" s="291">
        <f>'Reporte Componentes R1'!F367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305" t="b">
        <f t="shared" si="17"/>
        <v>1</v>
      </c>
      <c r="AI49" s="306"/>
    </row>
    <row r="50" spans="1:35" s="305" customFormat="1" x14ac:dyDescent="0.25">
      <c r="B50" s="314">
        <v>4</v>
      </c>
      <c r="C50" s="315" t="s">
        <v>13</v>
      </c>
      <c r="D50" s="291">
        <f>'Reporte Componentes R1'!F499</f>
        <v>0</v>
      </c>
      <c r="E50" s="292">
        <f>'Reporte Componentes R1'!G499</f>
        <v>0</v>
      </c>
      <c r="F50" s="292">
        <f>'Reporte Componentes R1'!H499</f>
        <v>0</v>
      </c>
      <c r="G50" s="292">
        <f>'Reporte Componentes R1'!I499</f>
        <v>0</v>
      </c>
      <c r="H50" s="292">
        <f>'Reporte Componentes R1'!J499</f>
        <v>0</v>
      </c>
      <c r="I50" s="292">
        <f>'Reporte Componentes R1'!K499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R1'!L499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R1'!M499</f>
        <v>0</v>
      </c>
      <c r="V50" s="317">
        <f>'Reporte Componentes R1'!N499</f>
        <v>0</v>
      </c>
      <c r="W50" s="317">
        <f>'Reporte Componentes R1'!O499</f>
        <v>0</v>
      </c>
      <c r="X50" s="317">
        <f>'Reporte Componentes R1'!P499</f>
        <v>0</v>
      </c>
      <c r="Y50" s="318">
        <f>'Reporte Componentes R1'!Q499</f>
        <v>0</v>
      </c>
      <c r="Z50" s="319">
        <f>-L50</f>
        <v>0</v>
      </c>
      <c r="AA50" s="320">
        <f>'Reporte Componentes R1'!R499+'Reporte Componentes R1'!S499</f>
        <v>0</v>
      </c>
      <c r="AB50" s="294">
        <f>N50</f>
        <v>0</v>
      </c>
      <c r="AC50" s="320">
        <v>0</v>
      </c>
      <c r="AD50" s="291">
        <f t="shared" si="16"/>
        <v>0</v>
      </c>
      <c r="AE50" s="291">
        <f>'Reporte Componentes R1'!F500</f>
        <v>0</v>
      </c>
      <c r="AF50" s="322">
        <f t="shared" si="18"/>
        <v>0</v>
      </c>
      <c r="AG50" s="323">
        <f t="shared" si="19"/>
        <v>0</v>
      </c>
      <c r="AH50" s="305" t="b">
        <f t="shared" si="17"/>
        <v>1</v>
      </c>
      <c r="AI50" s="306"/>
    </row>
    <row r="51" spans="1:35" s="305" customFormat="1" ht="12" thickBot="1" x14ac:dyDescent="0.3">
      <c r="B51" s="324">
        <v>5</v>
      </c>
      <c r="C51" s="325" t="s">
        <v>14</v>
      </c>
      <c r="D51" s="296">
        <f>'Reporte Componentes R1'!F578</f>
        <v>0</v>
      </c>
      <c r="E51" s="297">
        <f>'Reporte Componentes R1'!G578</f>
        <v>0</v>
      </c>
      <c r="F51" s="297">
        <f>'Reporte Componentes R1'!H578</f>
        <v>0</v>
      </c>
      <c r="G51" s="297">
        <f>'Reporte Componentes R1'!I578</f>
        <v>0</v>
      </c>
      <c r="H51" s="297">
        <f>'Reporte Componentes R1'!J578</f>
        <v>0</v>
      </c>
      <c r="I51" s="297">
        <f>'Reporte Componentes R1'!K578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R1'!L578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R1'!M578</f>
        <v>0</v>
      </c>
      <c r="V51" s="297">
        <f>'Reporte Componentes R1'!N578</f>
        <v>0</v>
      </c>
      <c r="W51" s="297">
        <f>'Reporte Componentes R1'!O578</f>
        <v>0</v>
      </c>
      <c r="X51" s="297">
        <f>'Reporte Componentes R1'!P578</f>
        <v>0</v>
      </c>
      <c r="Y51" s="289">
        <f>'Reporte Componentes R1'!Q578</f>
        <v>0</v>
      </c>
      <c r="Z51" s="319">
        <f>-L51</f>
        <v>0</v>
      </c>
      <c r="AA51" s="320">
        <f>'Reporte Componentes R1'!R578+'Reporte Componentes R1'!S578+'Reporte Componentes R1'!T578</f>
        <v>0</v>
      </c>
      <c r="AB51" s="294">
        <f>N51</f>
        <v>0</v>
      </c>
      <c r="AC51" s="320">
        <v>0</v>
      </c>
      <c r="AD51" s="291">
        <f t="shared" si="16"/>
        <v>0</v>
      </c>
      <c r="AE51" s="291">
        <f>'Reporte Componentes R1'!F579</f>
        <v>0</v>
      </c>
      <c r="AF51" s="322">
        <f t="shared" si="18"/>
        <v>0</v>
      </c>
      <c r="AG51" s="326">
        <f t="shared" si="19"/>
        <v>0</v>
      </c>
      <c r="AH51" s="305" t="b">
        <f t="shared" si="17"/>
        <v>1</v>
      </c>
      <c r="AI51" s="306"/>
    </row>
    <row r="52" spans="1:35" s="305" customFormat="1" ht="13.5" thickBot="1" x14ac:dyDescent="0.35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305" t="b">
        <f>INT(AG52)=0</f>
        <v>1</v>
      </c>
      <c r="AI52" s="306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5" x14ac:dyDescent="0.35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5" customFormat="1" x14ac:dyDescent="0.25">
      <c r="B66" s="303">
        <v>1</v>
      </c>
      <c r="C66" s="304" t="s">
        <v>10</v>
      </c>
      <c r="D66" s="291">
        <f>'Reversion Pagos R4'!D85</f>
        <v>0</v>
      </c>
      <c r="E66" s="292">
        <f>'Reversion Pagos R4'!E85</f>
        <v>0</v>
      </c>
      <c r="F66" s="292">
        <f>'Reversion Pagos R4'!F85</f>
        <v>0</v>
      </c>
      <c r="G66" s="292">
        <f>'Reversion Pagos R4'!G85</f>
        <v>0</v>
      </c>
      <c r="H66" s="292">
        <f>'Reversion Pagos R4'!H85</f>
        <v>0</v>
      </c>
      <c r="I66" s="292">
        <f>'Reversion Pagos R4'!I85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R4'!P85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R4'!J85</f>
        <v>0</v>
      </c>
      <c r="V66" s="308">
        <f>'Reversion Pagos R4'!K85</f>
        <v>0</v>
      </c>
      <c r="W66" s="308">
        <f>'Reversion Pagos R4'!L85</f>
        <v>0</v>
      </c>
      <c r="X66" s="308">
        <f>'Reversion Pagos R4'!M85</f>
        <v>0</v>
      </c>
      <c r="Y66" s="308">
        <f>'Reversion Pagos R4'!N85</f>
        <v>0</v>
      </c>
      <c r="Z66" s="310">
        <f>-L66</f>
        <v>0</v>
      </c>
      <c r="AA66" s="311">
        <f>'Reversion Pagos R4'!O85+'Reversion Pagos R4'!Q85</f>
        <v>0</v>
      </c>
      <c r="AB66" s="294">
        <f>N66</f>
        <v>0</v>
      </c>
      <c r="AC66" s="311">
        <v>0</v>
      </c>
      <c r="AD66" s="291">
        <f>-J66+AE66</f>
        <v>0</v>
      </c>
      <c r="AE66" s="291">
        <f>'Reversion Pagos R4'!D86</f>
        <v>0</v>
      </c>
      <c r="AF66" s="313">
        <f>SUM(U66:AD66)</f>
        <v>0</v>
      </c>
      <c r="AG66" s="311">
        <f>(AF66-O66)</f>
        <v>0</v>
      </c>
      <c r="AH66" s="305" t="b">
        <f>INT(AG66)=0</f>
        <v>1</v>
      </c>
      <c r="AI66" s="306"/>
    </row>
    <row r="67" spans="1:35" s="305" customFormat="1" x14ac:dyDescent="0.25">
      <c r="B67" s="314">
        <v>2</v>
      </c>
      <c r="C67" s="315" t="s">
        <v>11</v>
      </c>
      <c r="D67" s="291">
        <f>'Reversion Pagos R4'!D185</f>
        <v>0</v>
      </c>
      <c r="E67" s="292">
        <f>'Reversion Pagos R4'!E185</f>
        <v>0</v>
      </c>
      <c r="F67" s="292">
        <f>'Reversion Pagos R4'!F185</f>
        <v>0</v>
      </c>
      <c r="G67" s="292">
        <f>'Reversion Pagos R4'!G185</f>
        <v>0</v>
      </c>
      <c r="H67" s="292">
        <f>'Reversion Pagos R4'!H185</f>
        <v>0</v>
      </c>
      <c r="I67" s="292">
        <f>'Reversion Pagos R4'!I185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R4'!P185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R4'!J185</f>
        <v>0</v>
      </c>
      <c r="V67" s="317">
        <f>'Reversion Pagos R4'!K185</f>
        <v>0</v>
      </c>
      <c r="W67" s="317">
        <f>'Reversion Pagos R4'!L185</f>
        <v>0</v>
      </c>
      <c r="X67" s="317">
        <f>'Reversion Pagos R4'!M185</f>
        <v>0</v>
      </c>
      <c r="Y67" s="318">
        <f>'Reversion Pagos R4'!N185</f>
        <v>0</v>
      </c>
      <c r="Z67" s="319">
        <f t="shared" ref="Z67:Z70" si="26">-L67</f>
        <v>0</v>
      </c>
      <c r="AA67" s="320">
        <f>'Reversion Pagos R4'!O185</f>
        <v>0</v>
      </c>
      <c r="AB67" s="294">
        <f t="shared" ref="AB67:AB70" si="27">N67</f>
        <v>0</v>
      </c>
      <c r="AC67" s="320">
        <v>0</v>
      </c>
      <c r="AD67" s="291">
        <f t="shared" ref="AD67:AD70" si="28">-J67+AE67</f>
        <v>0</v>
      </c>
      <c r="AE67" s="291">
        <f>'Reversion Pagos R4'!D186</f>
        <v>0</v>
      </c>
      <c r="AF67" s="322">
        <f>SUM(U67:AD67)</f>
        <v>0</v>
      </c>
      <c r="AG67" s="323">
        <f>(AF67-O67)</f>
        <v>0</v>
      </c>
      <c r="AH67" s="305" t="b">
        <f t="shared" ref="AH67:AH70" si="29">INT(AG67)=0</f>
        <v>1</v>
      </c>
      <c r="AI67" s="306"/>
    </row>
    <row r="68" spans="1:35" s="305" customFormat="1" x14ac:dyDescent="0.25">
      <c r="B68" s="314">
        <v>3</v>
      </c>
      <c r="C68" s="315" t="s">
        <v>12</v>
      </c>
      <c r="D68" s="291">
        <f>'Reversion Pagos R4'!D216</f>
        <v>0</v>
      </c>
      <c r="E68" s="292">
        <f>'Reversion Pagos R4'!E216</f>
        <v>0</v>
      </c>
      <c r="F68" s="292">
        <f>'Reversion Pagos R4'!F216</f>
        <v>0</v>
      </c>
      <c r="G68" s="292">
        <f>'Reversion Pagos R4'!G216</f>
        <v>0</v>
      </c>
      <c r="H68" s="292">
        <f>'Reversion Pagos R4'!H216</f>
        <v>0</v>
      </c>
      <c r="I68" s="292">
        <f>'Reversion Pagos R4'!I216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R4'!P216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R4'!J216</f>
        <v>0</v>
      </c>
      <c r="V68" s="317">
        <f>'Reversion Pagos R4'!K216</f>
        <v>0</v>
      </c>
      <c r="W68" s="317">
        <f>'Reversion Pagos R4'!L216</f>
        <v>0</v>
      </c>
      <c r="X68" s="317">
        <f>'Reversion Pagos R4'!M216</f>
        <v>0</v>
      </c>
      <c r="Y68" s="318">
        <f>'Reversion Pagos R4'!N216</f>
        <v>0</v>
      </c>
      <c r="Z68" s="319">
        <f t="shared" si="26"/>
        <v>0</v>
      </c>
      <c r="AA68" s="320">
        <f>'Reversion Pagos R4'!O216</f>
        <v>0</v>
      </c>
      <c r="AB68" s="294">
        <f t="shared" si="27"/>
        <v>0</v>
      </c>
      <c r="AC68" s="320">
        <v>0</v>
      </c>
      <c r="AD68" s="291">
        <f t="shared" si="28"/>
        <v>0</v>
      </c>
      <c r="AE68" s="291">
        <f>'Reversion Pagos R4'!D217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305" t="b">
        <f t="shared" si="29"/>
        <v>1</v>
      </c>
      <c r="AI68" s="306"/>
    </row>
    <row r="69" spans="1:35" s="305" customFormat="1" x14ac:dyDescent="0.25">
      <c r="B69" s="314">
        <v>4</v>
      </c>
      <c r="C69" s="315" t="s">
        <v>13</v>
      </c>
      <c r="D69" s="291">
        <f>'Reversion Pagos R4'!D331</f>
        <v>0</v>
      </c>
      <c r="E69" s="292">
        <f>'Reversion Pagos R4'!E331</f>
        <v>0</v>
      </c>
      <c r="F69" s="292">
        <f>'Reversion Pagos R4'!F331</f>
        <v>0</v>
      </c>
      <c r="G69" s="292">
        <f>'Reversion Pagos R4'!G331</f>
        <v>0</v>
      </c>
      <c r="H69" s="292">
        <f>'Reversion Pagos R4'!H331</f>
        <v>0</v>
      </c>
      <c r="I69" s="292">
        <f>'Reversion Pagos R4'!I331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R4'!P331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R4'!J331</f>
        <v>0</v>
      </c>
      <c r="V69" s="317">
        <f>'Reversion Pagos R4'!K331</f>
        <v>0</v>
      </c>
      <c r="W69" s="317">
        <f>'Reversion Pagos R4'!L331</f>
        <v>0</v>
      </c>
      <c r="X69" s="317">
        <f>'Reversion Pagos R4'!M331</f>
        <v>0</v>
      </c>
      <c r="Y69" s="318">
        <f>'Reversion Pagos R4'!N331</f>
        <v>0</v>
      </c>
      <c r="Z69" s="319">
        <f t="shared" si="26"/>
        <v>0</v>
      </c>
      <c r="AA69" s="320">
        <f>'Reversion Pagos R4'!O331</f>
        <v>0</v>
      </c>
      <c r="AB69" s="294">
        <f t="shared" si="27"/>
        <v>0</v>
      </c>
      <c r="AC69" s="320">
        <v>0</v>
      </c>
      <c r="AD69" s="291">
        <f t="shared" si="28"/>
        <v>0</v>
      </c>
      <c r="AE69" s="291">
        <f>'Reversion Pagos R4'!D332</f>
        <v>0</v>
      </c>
      <c r="AF69" s="322">
        <f>SUM(U69:AD69)</f>
        <v>0</v>
      </c>
      <c r="AG69" s="323">
        <f>(AF69-O69)</f>
        <v>0</v>
      </c>
      <c r="AH69" s="305" t="b">
        <f t="shared" si="29"/>
        <v>1</v>
      </c>
      <c r="AI69" s="306"/>
    </row>
    <row r="70" spans="1:35" s="305" customFormat="1" ht="12" thickBot="1" x14ac:dyDescent="0.3">
      <c r="B70" s="324">
        <v>5</v>
      </c>
      <c r="C70" s="325" t="s">
        <v>14</v>
      </c>
      <c r="D70" s="296">
        <f>'Reversion Pagos R4'!D360</f>
        <v>0</v>
      </c>
      <c r="E70" s="297">
        <f>'Reversion Pagos R4'!E360</f>
        <v>0</v>
      </c>
      <c r="F70" s="297">
        <f>'Reversion Pagos R4'!F360</f>
        <v>0</v>
      </c>
      <c r="G70" s="297">
        <f>'Reversion Pagos R4'!G360</f>
        <v>0</v>
      </c>
      <c r="H70" s="297">
        <f>'Reversion Pagos R4'!H360</f>
        <v>0</v>
      </c>
      <c r="I70" s="297">
        <f>'Reversion Pagos R4'!I360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R4'!P360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R4'!J360</f>
        <v>0</v>
      </c>
      <c r="V70" s="297">
        <f>'Reversion Pagos R4'!K360</f>
        <v>0</v>
      </c>
      <c r="W70" s="297">
        <f>'Reversion Pagos R4'!L360</f>
        <v>0</v>
      </c>
      <c r="X70" s="297">
        <f>'Reversion Pagos R4'!M360</f>
        <v>0</v>
      </c>
      <c r="Y70" s="289">
        <f>'Reversion Pagos R4'!N360</f>
        <v>0</v>
      </c>
      <c r="Z70" s="319">
        <f t="shared" si="26"/>
        <v>0</v>
      </c>
      <c r="AA70" s="320">
        <f>'Reversion Pagos R4'!O360</f>
        <v>0</v>
      </c>
      <c r="AB70" s="294">
        <f t="shared" si="27"/>
        <v>0</v>
      </c>
      <c r="AC70" s="320">
        <v>0</v>
      </c>
      <c r="AD70" s="291">
        <f t="shared" si="28"/>
        <v>0</v>
      </c>
      <c r="AE70" s="291">
        <f>'Reversion Pagos R4'!D361</f>
        <v>0</v>
      </c>
      <c r="AF70" s="322">
        <f t="shared" si="30"/>
        <v>0</v>
      </c>
      <c r="AG70" s="326">
        <f t="shared" si="31"/>
        <v>0</v>
      </c>
      <c r="AH70" s="305" t="b">
        <f t="shared" si="29"/>
        <v>1</v>
      </c>
      <c r="AI70" s="306"/>
    </row>
    <row r="71" spans="1:35" s="305" customFormat="1" ht="13.5" thickBot="1" x14ac:dyDescent="0.35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305" t="b">
        <f>INT(AG71)=0</f>
        <v>1</v>
      </c>
      <c r="AI71" s="306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5" x14ac:dyDescent="0.35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311">
        <f>AF85-O85</f>
        <v>0</v>
      </c>
      <c r="AH85" s="305" t="b">
        <f>INT(AG85)=0</f>
        <v>1</v>
      </c>
      <c r="AI85" s="306"/>
    </row>
    <row r="86" spans="1:35" s="305" customFormat="1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f>-L86</f>
        <v>0</v>
      </c>
      <c r="AA86" s="320">
        <v>0</v>
      </c>
      <c r="AB86" s="294">
        <f>N86</f>
        <v>0</v>
      </c>
      <c r="AC86" s="320">
        <v>0</v>
      </c>
      <c r="AD86" s="291">
        <f t="shared" ref="AD86:AD89" si="36">-J86+AE86</f>
        <v>0</v>
      </c>
      <c r="AE86" s="291">
        <v>0</v>
      </c>
      <c r="AF86" s="322">
        <f>SUM(U86:AD86)</f>
        <v>0</v>
      </c>
      <c r="AG86" s="323">
        <f>AF86-O86</f>
        <v>0</v>
      </c>
      <c r="AH86" s="305" t="b">
        <f t="shared" ref="AH86:AH89" si="37">INT(AG86)=0</f>
        <v>1</v>
      </c>
      <c r="AI86" s="306"/>
    </row>
    <row r="87" spans="1:35" s="305" customFormat="1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f>-L87</f>
        <v>0</v>
      </c>
      <c r="AA87" s="320">
        <v>0</v>
      </c>
      <c r="AB87" s="294">
        <f>N87</f>
        <v>0</v>
      </c>
      <c r="AC87" s="320">
        <v>0</v>
      </c>
      <c r="AD87" s="291">
        <f t="shared" si="36"/>
        <v>0</v>
      </c>
      <c r="AE87" s="291">
        <v>0</v>
      </c>
      <c r="AF87" s="322">
        <f t="shared" ref="AF87:AF89" si="38">SUM(U87:AD87)</f>
        <v>0</v>
      </c>
      <c r="AG87" s="323">
        <f>AF87-O87</f>
        <v>0</v>
      </c>
      <c r="AH87" s="305" t="b">
        <f t="shared" si="37"/>
        <v>1</v>
      </c>
      <c r="AI87" s="306"/>
    </row>
    <row r="88" spans="1:35" s="305" customFormat="1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f>-L88</f>
        <v>0</v>
      </c>
      <c r="AA88" s="320">
        <v>0</v>
      </c>
      <c r="AB88" s="294">
        <f>N88</f>
        <v>0</v>
      </c>
      <c r="AC88" s="320">
        <v>0</v>
      </c>
      <c r="AD88" s="291">
        <f t="shared" si="36"/>
        <v>0</v>
      </c>
      <c r="AE88" s="291">
        <v>0</v>
      </c>
      <c r="AF88" s="322">
        <f t="shared" si="38"/>
        <v>0</v>
      </c>
      <c r="AG88" s="323">
        <f>AF88-O88</f>
        <v>0</v>
      </c>
      <c r="AH88" s="305" t="b">
        <f t="shared" si="37"/>
        <v>1</v>
      </c>
      <c r="AI88" s="306"/>
    </row>
    <row r="89" spans="1:35" s="305" customFormat="1" ht="12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f>-L89</f>
        <v>0</v>
      </c>
      <c r="AA89" s="320">
        <v>0</v>
      </c>
      <c r="AB89" s="294">
        <f>N89</f>
        <v>0</v>
      </c>
      <c r="AC89" s="320">
        <v>0</v>
      </c>
      <c r="AD89" s="291">
        <f t="shared" si="36"/>
        <v>0</v>
      </c>
      <c r="AE89" s="291">
        <v>0</v>
      </c>
      <c r="AF89" s="322">
        <f t="shared" si="38"/>
        <v>0</v>
      </c>
      <c r="AG89" s="326">
        <f>AF89-O89</f>
        <v>0</v>
      </c>
      <c r="AH89" s="305" t="b">
        <f t="shared" si="37"/>
        <v>1</v>
      </c>
      <c r="AI89" s="306"/>
    </row>
    <row r="90" spans="1:35" s="305" customFormat="1" ht="13.5" thickBot="1" x14ac:dyDescent="0.35">
      <c r="B90" s="327"/>
      <c r="C90" s="328" t="s">
        <v>2</v>
      </c>
      <c r="D90" s="290">
        <f t="shared" ref="D90:O90" si="39">SUM(D85:D89)</f>
        <v>0</v>
      </c>
      <c r="E90" s="290">
        <f t="shared" si="39"/>
        <v>0</v>
      </c>
      <c r="F90" s="290">
        <f t="shared" si="39"/>
        <v>0</v>
      </c>
      <c r="G90" s="290">
        <f t="shared" si="39"/>
        <v>0</v>
      </c>
      <c r="H90" s="290">
        <f t="shared" si="39"/>
        <v>0</v>
      </c>
      <c r="I90" s="290">
        <f t="shared" si="39"/>
        <v>0</v>
      </c>
      <c r="J90" s="290">
        <f t="shared" si="39"/>
        <v>0</v>
      </c>
      <c r="K90" s="300">
        <f t="shared" si="39"/>
        <v>0</v>
      </c>
      <c r="L90" s="301">
        <f t="shared" si="39"/>
        <v>0</v>
      </c>
      <c r="M90" s="302">
        <f t="shared" si="39"/>
        <v>0</v>
      </c>
      <c r="N90" s="301">
        <f t="shared" si="39"/>
        <v>0</v>
      </c>
      <c r="O90" s="302">
        <f t="shared" si="39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0">SUM(V85:V89)</f>
        <v>0</v>
      </c>
      <c r="W90" s="330">
        <f t="shared" si="40"/>
        <v>0</v>
      </c>
      <c r="X90" s="330">
        <f t="shared" si="40"/>
        <v>0</v>
      </c>
      <c r="Y90" s="330">
        <f t="shared" si="40"/>
        <v>0</v>
      </c>
      <c r="Z90" s="290">
        <f t="shared" si="40"/>
        <v>0</v>
      </c>
      <c r="AA90" s="290">
        <f t="shared" si="40"/>
        <v>0</v>
      </c>
      <c r="AB90" s="290">
        <f t="shared" si="40"/>
        <v>0</v>
      </c>
      <c r="AC90" s="290">
        <f t="shared" si="40"/>
        <v>0</v>
      </c>
      <c r="AD90" s="290">
        <f t="shared" si="40"/>
        <v>0</v>
      </c>
      <c r="AE90" s="290">
        <f t="shared" si="40"/>
        <v>0</v>
      </c>
      <c r="AF90" s="331">
        <f t="shared" si="40"/>
        <v>0</v>
      </c>
      <c r="AG90" s="332">
        <f t="shared" si="40"/>
        <v>0</v>
      </c>
      <c r="AH90" s="305" t="b">
        <f>INT(AG90)=0</f>
        <v>1</v>
      </c>
      <c r="AI90" s="306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3">
      <c r="Q96" s="4"/>
      <c r="AI96" s="4"/>
    </row>
    <row r="97" spans="2:36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"/>
      <c r="AI98" s="4"/>
    </row>
    <row r="99" spans="2:36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4" x14ac:dyDescent="0.3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5" x14ac:dyDescent="0.35">
      <c r="B101" s="8"/>
      <c r="C101" s="598" t="s">
        <v>17</v>
      </c>
      <c r="D101" s="9">
        <f>D6</f>
        <v>46297</v>
      </c>
      <c r="F101" s="58" t="s">
        <v>220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5">
      <c r="B104" s="303">
        <v>1</v>
      </c>
      <c r="C104" s="304" t="s">
        <v>10</v>
      </c>
      <c r="D104" s="291">
        <f t="shared" ref="D104:J108" si="41">D9+D28+D47+D66+D85</f>
        <v>0</v>
      </c>
      <c r="E104" s="292">
        <f t="shared" si="41"/>
        <v>0</v>
      </c>
      <c r="F104" s="292">
        <f t="shared" si="41"/>
        <v>0</v>
      </c>
      <c r="G104" s="292">
        <f t="shared" si="41"/>
        <v>0</v>
      </c>
      <c r="H104" s="292">
        <f t="shared" si="41"/>
        <v>0</v>
      </c>
      <c r="I104" s="292">
        <f t="shared" si="41"/>
        <v>0</v>
      </c>
      <c r="J104" s="288">
        <f t="shared" si="41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2">U9+U28+U47+U66+U85</f>
        <v>0</v>
      </c>
      <c r="V104" s="308">
        <f t="shared" si="42"/>
        <v>0</v>
      </c>
      <c r="W104" s="308">
        <f t="shared" si="42"/>
        <v>0</v>
      </c>
      <c r="X104" s="308">
        <f t="shared" si="42"/>
        <v>0</v>
      </c>
      <c r="Y104" s="309">
        <f t="shared" si="42"/>
        <v>0</v>
      </c>
      <c r="Z104" s="310">
        <f t="shared" si="42"/>
        <v>0</v>
      </c>
      <c r="AA104" s="311">
        <f t="shared" si="42"/>
        <v>0</v>
      </c>
      <c r="AB104" s="294">
        <f t="shared" si="42"/>
        <v>0</v>
      </c>
      <c r="AC104" s="311">
        <f t="shared" ref="AC104" si="43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 t="shared" ref="AH104:AH109" si="44">INT(ABS(AG104))=0</f>
        <v>1</v>
      </c>
      <c r="AI104" s="306"/>
    </row>
    <row r="105" spans="2:36" s="305" customFormat="1" x14ac:dyDescent="0.25">
      <c r="B105" s="314">
        <v>2</v>
      </c>
      <c r="C105" s="315" t="s">
        <v>11</v>
      </c>
      <c r="D105" s="291">
        <f t="shared" si="41"/>
        <v>0</v>
      </c>
      <c r="E105" s="292">
        <f t="shared" si="41"/>
        <v>0</v>
      </c>
      <c r="F105" s="292">
        <f t="shared" si="41"/>
        <v>0</v>
      </c>
      <c r="G105" s="292">
        <f t="shared" si="41"/>
        <v>0</v>
      </c>
      <c r="H105" s="292">
        <f t="shared" si="41"/>
        <v>0</v>
      </c>
      <c r="I105" s="292">
        <f t="shared" si="41"/>
        <v>0</v>
      </c>
      <c r="J105" s="288">
        <f t="shared" si="41"/>
        <v>0</v>
      </c>
      <c r="K105" s="295">
        <f t="shared" ref="K105:K108" si="45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6">M105+N105</f>
        <v>0</v>
      </c>
      <c r="Q105" s="306"/>
      <c r="S105" s="314">
        <v>2</v>
      </c>
      <c r="T105" s="315" t="s">
        <v>11</v>
      </c>
      <c r="U105" s="316">
        <f t="shared" si="42"/>
        <v>0</v>
      </c>
      <c r="V105" s="317">
        <f t="shared" si="42"/>
        <v>0</v>
      </c>
      <c r="W105" s="317">
        <f t="shared" si="42"/>
        <v>0</v>
      </c>
      <c r="X105" s="317">
        <f t="shared" si="42"/>
        <v>0</v>
      </c>
      <c r="Y105" s="318">
        <f t="shared" si="42"/>
        <v>0</v>
      </c>
      <c r="Z105" s="319">
        <f t="shared" si="42"/>
        <v>0</v>
      </c>
      <c r="AA105" s="320">
        <f t="shared" si="42"/>
        <v>0</v>
      </c>
      <c r="AB105" s="294">
        <f t="shared" si="42"/>
        <v>0</v>
      </c>
      <c r="AC105" s="320">
        <f t="shared" ref="AC105" si="47">AC10+AC29+AC48+AC67+AC86</f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si="44"/>
        <v>1</v>
      </c>
      <c r="AI105" s="306"/>
    </row>
    <row r="106" spans="2:36" s="305" customFormat="1" x14ac:dyDescent="0.25">
      <c r="B106" s="314">
        <v>3</v>
      </c>
      <c r="C106" s="315" t="s">
        <v>12</v>
      </c>
      <c r="D106" s="291">
        <f t="shared" si="41"/>
        <v>0</v>
      </c>
      <c r="E106" s="292">
        <f t="shared" si="41"/>
        <v>0</v>
      </c>
      <c r="F106" s="292">
        <f t="shared" si="41"/>
        <v>0</v>
      </c>
      <c r="G106" s="292">
        <f t="shared" si="41"/>
        <v>0</v>
      </c>
      <c r="H106" s="292">
        <f t="shared" si="41"/>
        <v>0</v>
      </c>
      <c r="I106" s="292">
        <f t="shared" si="41"/>
        <v>0</v>
      </c>
      <c r="J106" s="288">
        <f t="shared" si="41"/>
        <v>0</v>
      </c>
      <c r="K106" s="295">
        <f t="shared" si="45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6"/>
        <v>0</v>
      </c>
      <c r="Q106" s="306"/>
      <c r="S106" s="314">
        <v>3</v>
      </c>
      <c r="T106" s="315" t="s">
        <v>12</v>
      </c>
      <c r="U106" s="316">
        <f t="shared" si="42"/>
        <v>0</v>
      </c>
      <c r="V106" s="317">
        <f t="shared" si="42"/>
        <v>0</v>
      </c>
      <c r="W106" s="317">
        <f t="shared" si="42"/>
        <v>0</v>
      </c>
      <c r="X106" s="317">
        <f t="shared" si="42"/>
        <v>0</v>
      </c>
      <c r="Y106" s="318">
        <f t="shared" si="42"/>
        <v>0</v>
      </c>
      <c r="Z106" s="319">
        <f t="shared" si="42"/>
        <v>0</v>
      </c>
      <c r="AA106" s="320">
        <f t="shared" si="42"/>
        <v>0</v>
      </c>
      <c r="AB106" s="294">
        <f t="shared" si="42"/>
        <v>0</v>
      </c>
      <c r="AC106" s="320">
        <f t="shared" ref="AC106" si="49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4"/>
        <v>1</v>
      </c>
      <c r="AI106" s="306"/>
    </row>
    <row r="107" spans="2:36" s="305" customFormat="1" x14ac:dyDescent="0.25">
      <c r="B107" s="314">
        <v>4</v>
      </c>
      <c r="C107" s="315" t="s">
        <v>13</v>
      </c>
      <c r="D107" s="291">
        <f t="shared" si="41"/>
        <v>0</v>
      </c>
      <c r="E107" s="292">
        <f t="shared" si="41"/>
        <v>0</v>
      </c>
      <c r="F107" s="292">
        <f t="shared" si="41"/>
        <v>0</v>
      </c>
      <c r="G107" s="292">
        <f t="shared" si="41"/>
        <v>0</v>
      </c>
      <c r="H107" s="292">
        <f t="shared" si="41"/>
        <v>0</v>
      </c>
      <c r="I107" s="292">
        <f t="shared" si="41"/>
        <v>0</v>
      </c>
      <c r="J107" s="288">
        <f t="shared" si="41"/>
        <v>0</v>
      </c>
      <c r="K107" s="295">
        <f t="shared" si="45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6"/>
        <v>0</v>
      </c>
      <c r="Q107" s="306"/>
      <c r="S107" s="314">
        <v>4</v>
      </c>
      <c r="T107" s="315" t="s">
        <v>13</v>
      </c>
      <c r="U107" s="316">
        <f t="shared" si="42"/>
        <v>0</v>
      </c>
      <c r="V107" s="317">
        <f t="shared" si="42"/>
        <v>0</v>
      </c>
      <c r="W107" s="317">
        <f t="shared" si="42"/>
        <v>0</v>
      </c>
      <c r="X107" s="317">
        <f t="shared" si="42"/>
        <v>0</v>
      </c>
      <c r="Y107" s="318">
        <f t="shared" si="42"/>
        <v>0</v>
      </c>
      <c r="Z107" s="319">
        <f t="shared" si="42"/>
        <v>0</v>
      </c>
      <c r="AA107" s="320">
        <f t="shared" si="42"/>
        <v>0</v>
      </c>
      <c r="AB107" s="294">
        <f t="shared" si="42"/>
        <v>0</v>
      </c>
      <c r="AC107" s="320">
        <f t="shared" ref="AC107" si="50">AC12+AC31+AC50+AC69+AC88</f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4"/>
        <v>1</v>
      </c>
      <c r="AI107" s="306"/>
    </row>
    <row r="108" spans="2:36" s="305" customFormat="1" ht="12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1"/>
        <v>0</v>
      </c>
      <c r="F108" s="297">
        <f t="shared" si="41"/>
        <v>0</v>
      </c>
      <c r="G108" s="297">
        <f t="shared" si="41"/>
        <v>0</v>
      </c>
      <c r="H108" s="297">
        <f t="shared" si="41"/>
        <v>0</v>
      </c>
      <c r="I108" s="297">
        <f t="shared" si="41"/>
        <v>0</v>
      </c>
      <c r="J108" s="289">
        <f t="shared" si="41"/>
        <v>0</v>
      </c>
      <c r="K108" s="295">
        <f t="shared" si="45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6"/>
        <v>0</v>
      </c>
      <c r="Q108" s="306"/>
      <c r="S108" s="324">
        <v>5</v>
      </c>
      <c r="T108" s="325" t="s">
        <v>14</v>
      </c>
      <c r="U108" s="296">
        <f t="shared" si="42"/>
        <v>0</v>
      </c>
      <c r="V108" s="297">
        <f t="shared" si="42"/>
        <v>0</v>
      </c>
      <c r="W108" s="297">
        <f t="shared" si="42"/>
        <v>0</v>
      </c>
      <c r="X108" s="297">
        <f t="shared" si="42"/>
        <v>0</v>
      </c>
      <c r="Y108" s="289">
        <f t="shared" si="42"/>
        <v>0</v>
      </c>
      <c r="Z108" s="319">
        <f t="shared" si="42"/>
        <v>0</v>
      </c>
      <c r="AA108" s="320">
        <f t="shared" si="42"/>
        <v>0</v>
      </c>
      <c r="AB108" s="294">
        <f t="shared" si="42"/>
        <v>0</v>
      </c>
      <c r="AC108" s="320">
        <f t="shared" ref="AC108" si="51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4"/>
        <v>1</v>
      </c>
      <c r="AI108" s="306"/>
    </row>
    <row r="109" spans="2:36" s="305" customFormat="1" ht="13.5" thickBot="1" x14ac:dyDescent="0.35">
      <c r="B109" s="327"/>
      <c r="C109" s="328" t="s">
        <v>2</v>
      </c>
      <c r="D109" s="290">
        <f t="shared" ref="D109:O109" si="52">SUM(D104:D108)</f>
        <v>0</v>
      </c>
      <c r="E109" s="290">
        <f t="shared" si="52"/>
        <v>0</v>
      </c>
      <c r="F109" s="290">
        <f t="shared" si="52"/>
        <v>0</v>
      </c>
      <c r="G109" s="290">
        <f t="shared" si="52"/>
        <v>0</v>
      </c>
      <c r="H109" s="290">
        <f t="shared" si="52"/>
        <v>0</v>
      </c>
      <c r="I109" s="290">
        <f t="shared" si="52"/>
        <v>0</v>
      </c>
      <c r="J109" s="290">
        <f t="shared" si="52"/>
        <v>0</v>
      </c>
      <c r="K109" s="300">
        <f t="shared" si="52"/>
        <v>0</v>
      </c>
      <c r="L109" s="301">
        <f t="shared" si="52"/>
        <v>0</v>
      </c>
      <c r="M109" s="302">
        <f t="shared" si="52"/>
        <v>0</v>
      </c>
      <c r="N109" s="301">
        <f t="shared" si="52"/>
        <v>0</v>
      </c>
      <c r="O109" s="302">
        <f t="shared" si="52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3">SUM(V104:V108)</f>
        <v>0</v>
      </c>
      <c r="W109" s="330">
        <f t="shared" si="53"/>
        <v>0</v>
      </c>
      <c r="X109" s="330">
        <f t="shared" si="53"/>
        <v>0</v>
      </c>
      <c r="Y109" s="330">
        <f t="shared" si="53"/>
        <v>0</v>
      </c>
      <c r="Z109" s="290">
        <f t="shared" si="53"/>
        <v>0</v>
      </c>
      <c r="AA109" s="290">
        <f t="shared" si="53"/>
        <v>0</v>
      </c>
      <c r="AB109" s="290">
        <f t="shared" si="53"/>
        <v>0</v>
      </c>
      <c r="AC109" s="290">
        <f t="shared" ref="AC109" si="54">SUM(AC104:AC108)</f>
        <v>0</v>
      </c>
      <c r="AD109" s="290">
        <f t="shared" si="53"/>
        <v>0</v>
      </c>
      <c r="AE109" s="290">
        <f>SUM(AE104:AE108)</f>
        <v>0</v>
      </c>
      <c r="AF109" s="331">
        <f t="shared" si="53"/>
        <v>0</v>
      </c>
      <c r="AG109" s="332">
        <f>SUM(AG104:AG108)</f>
        <v>0</v>
      </c>
      <c r="AH109" s="1" t="b">
        <f t="shared" si="44"/>
        <v>1</v>
      </c>
      <c r="AI109" s="306"/>
    </row>
    <row r="110" spans="2:36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190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5">
      <c r="B120" s="8"/>
      <c r="I120" s="2"/>
      <c r="J120" s="2"/>
      <c r="O120" s="10"/>
      <c r="P120" s="2"/>
      <c r="Q120" s="4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x14ac:dyDescent="0.25">
      <c r="B125" s="334">
        <v>1</v>
      </c>
      <c r="C125" s="335" t="s">
        <v>10</v>
      </c>
      <c r="D125" s="308">
        <f>'ANTICIPOS USUARIOS'!R3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USUARIOS'!R12</f>
        <v>0</v>
      </c>
      <c r="L125" s="309">
        <f>-'ANTICIPOS USUARIOS'!R21</f>
        <v>0</v>
      </c>
      <c r="O125" s="337"/>
      <c r="Q125" s="306"/>
    </row>
    <row r="126" spans="1:35" s="305" customFormat="1" x14ac:dyDescent="0.25">
      <c r="B126" s="314">
        <v>2</v>
      </c>
      <c r="C126" s="338" t="s">
        <v>11</v>
      </c>
      <c r="D126" s="292">
        <f>'ANTICIPOS USUARIOS'!R4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5">D67+N67</f>
        <v>0</v>
      </c>
      <c r="K126" s="288">
        <f>'ANTICIPOS USUARIOS'!R13</f>
        <v>0</v>
      </c>
      <c r="L126" s="288">
        <f>-'ANTICIPOS USUARIOS'!R22</f>
        <v>0</v>
      </c>
      <c r="O126" s="337"/>
      <c r="Q126" s="306"/>
    </row>
    <row r="127" spans="1:35" s="305" customFormat="1" x14ac:dyDescent="0.25">
      <c r="B127" s="314">
        <v>3</v>
      </c>
      <c r="C127" s="338" t="s">
        <v>12</v>
      </c>
      <c r="D127" s="292">
        <f>'ANTICIPOS USUARIOS'!R5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5"/>
        <v>0</v>
      </c>
      <c r="K127" s="288">
        <f>'ANTICIPOS USUARIOS'!R14</f>
        <v>0</v>
      </c>
      <c r="L127" s="288">
        <f>-'ANTICIPOS USUARIOS'!R23</f>
        <v>0</v>
      </c>
      <c r="O127" s="337"/>
      <c r="Q127" s="306"/>
    </row>
    <row r="128" spans="1:35" s="305" customFormat="1" x14ac:dyDescent="0.25">
      <c r="B128" s="314">
        <v>4</v>
      </c>
      <c r="C128" s="338" t="s">
        <v>13</v>
      </c>
      <c r="D128" s="292">
        <f>'ANTICIPOS USUARIOS'!R6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5"/>
        <v>0</v>
      </c>
      <c r="K128" s="288">
        <f>'ANTICIPOS USUARIOS'!R15</f>
        <v>0</v>
      </c>
      <c r="L128" s="288">
        <f>-'ANTICIPOS USUARIOS'!R24</f>
        <v>0</v>
      </c>
      <c r="O128" s="337"/>
      <c r="Q128" s="306"/>
    </row>
    <row r="129" spans="1:19" s="305" customFormat="1" x14ac:dyDescent="0.25">
      <c r="B129" s="341">
        <v>5</v>
      </c>
      <c r="C129" s="342" t="s">
        <v>14</v>
      </c>
      <c r="D129" s="292">
        <f>'ANTICIPOS USUARIOS'!R7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5"/>
        <v>0</v>
      </c>
      <c r="K129" s="288">
        <f>'ANTICIPOS USUARIOS'!R16</f>
        <v>0</v>
      </c>
      <c r="L129" s="288">
        <f>-'ANTICIPOS USUARIOS'!R25</f>
        <v>0</v>
      </c>
      <c r="O129" s="337"/>
      <c r="Q129" s="306"/>
    </row>
    <row r="130" spans="1:19" s="305" customFormat="1" ht="12" thickBot="1" x14ac:dyDescent="0.3">
      <c r="B130" s="324" t="s">
        <v>89</v>
      </c>
      <c r="C130" s="345" t="s">
        <v>113</v>
      </c>
      <c r="D130" s="297"/>
      <c r="E130" s="289">
        <f>'Recaudo EAAB + Ciud Limp'!D26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9" s="305" customFormat="1" ht="12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6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9" x14ac:dyDescent="0.25">
      <c r="B132" s="2"/>
      <c r="C132" s="2"/>
      <c r="D132" s="24"/>
      <c r="Q132" s="4"/>
    </row>
    <row r="133" spans="1:19" x14ac:dyDescent="0.25">
      <c r="B133" s="2"/>
      <c r="C133" s="2"/>
      <c r="D133" s="24"/>
      <c r="L133" s="1" t="s">
        <v>1</v>
      </c>
      <c r="Q133" s="4"/>
    </row>
    <row r="134" spans="1:19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5" customFormat="1" x14ac:dyDescent="0.25">
      <c r="B142" s="334">
        <v>1</v>
      </c>
      <c r="C142" s="335" t="s">
        <v>10</v>
      </c>
      <c r="D142" s="308">
        <f>D104+N104+D125+E125</f>
        <v>0</v>
      </c>
      <c r="E142" s="308">
        <f>'Recaudo EAAB + Ciud Limp'!D21</f>
        <v>0</v>
      </c>
      <c r="F142" s="308">
        <f>D28+N28</f>
        <v>0</v>
      </c>
      <c r="G142" s="308">
        <f>D66+N66</f>
        <v>0</v>
      </c>
      <c r="H142" s="308">
        <f>D85+N85</f>
        <v>0</v>
      </c>
      <c r="I142" s="308">
        <v>0</v>
      </c>
      <c r="J142" s="308">
        <f t="shared" ref="J142:K146" si="57">G125</f>
        <v>0</v>
      </c>
      <c r="K142" s="309">
        <f t="shared" si="57"/>
        <v>0</v>
      </c>
      <c r="L142" s="525">
        <f>D142-E142-F142-G142-J142-H142-I142</f>
        <v>0</v>
      </c>
      <c r="M142" s="1" t="b">
        <f t="shared" ref="M142:M147" si="58">INT(ABS(L142))=0</f>
        <v>1</v>
      </c>
      <c r="P142" s="360"/>
      <c r="Q142" s="361"/>
      <c r="R142" s="360"/>
      <c r="S142" s="1"/>
    </row>
    <row r="143" spans="1:19" s="305" customFormat="1" x14ac:dyDescent="0.25">
      <c r="B143" s="314">
        <v>2</v>
      </c>
      <c r="C143" s="338" t="s">
        <v>11</v>
      </c>
      <c r="D143" s="317">
        <f>D105+N105+D126+E126</f>
        <v>0</v>
      </c>
      <c r="E143" s="317">
        <f>'Recaudo EAAB + Ciud Limp'!D22</f>
        <v>0</v>
      </c>
      <c r="F143" s="317">
        <f>D29+N29</f>
        <v>0</v>
      </c>
      <c r="G143" s="317">
        <f>D67+N67</f>
        <v>0</v>
      </c>
      <c r="H143" s="317">
        <f>D86+N86</f>
        <v>0</v>
      </c>
      <c r="I143" s="317">
        <v>0</v>
      </c>
      <c r="J143" s="317">
        <f t="shared" si="57"/>
        <v>0</v>
      </c>
      <c r="K143" s="318">
        <f t="shared" si="57"/>
        <v>0</v>
      </c>
      <c r="L143" s="525">
        <f>D143-E143-F143-G143-J143-H143-I143</f>
        <v>0</v>
      </c>
      <c r="M143" s="1" t="b">
        <f t="shared" si="58"/>
        <v>1</v>
      </c>
      <c r="P143" s="360"/>
      <c r="Q143" s="361"/>
      <c r="R143" s="360"/>
      <c r="S143" s="1"/>
    </row>
    <row r="144" spans="1:19" s="305" customFormat="1" x14ac:dyDescent="0.25">
      <c r="B144" s="314">
        <v>3</v>
      </c>
      <c r="C144" s="338" t="s">
        <v>12</v>
      </c>
      <c r="D144" s="317">
        <f>D106+N106+D127+E127</f>
        <v>0</v>
      </c>
      <c r="E144" s="317">
        <f>'Recaudo EAAB + Ciud Limp'!D23</f>
        <v>0</v>
      </c>
      <c r="F144" s="317">
        <f>D30+N30</f>
        <v>0</v>
      </c>
      <c r="G144" s="317">
        <f>D68+N68</f>
        <v>0</v>
      </c>
      <c r="H144" s="317">
        <f>D87+N87</f>
        <v>0</v>
      </c>
      <c r="I144" s="317">
        <v>0</v>
      </c>
      <c r="J144" s="317">
        <f t="shared" si="57"/>
        <v>0</v>
      </c>
      <c r="K144" s="318">
        <f t="shared" si="57"/>
        <v>0</v>
      </c>
      <c r="L144" s="525">
        <f>D144-E144-F144-G144-J144-H144-I144</f>
        <v>0</v>
      </c>
      <c r="M144" s="1" t="b">
        <f t="shared" si="58"/>
        <v>1</v>
      </c>
      <c r="P144" s="360"/>
      <c r="Q144" s="361"/>
      <c r="R144" s="360"/>
      <c r="S144" s="1"/>
    </row>
    <row r="145" spans="1:20" s="305" customFormat="1" x14ac:dyDescent="0.25">
      <c r="B145" s="314">
        <v>4</v>
      </c>
      <c r="C145" s="338" t="s">
        <v>13</v>
      </c>
      <c r="D145" s="317">
        <f>D107+N107+D128+E128</f>
        <v>0</v>
      </c>
      <c r="E145" s="317">
        <f>'Recaudo EAAB + Ciud Limp'!D24</f>
        <v>0</v>
      </c>
      <c r="F145" s="317">
        <f>D31+N31</f>
        <v>0</v>
      </c>
      <c r="G145" s="317">
        <f>D69+N69</f>
        <v>0</v>
      </c>
      <c r="H145" s="317">
        <f>D88+N88</f>
        <v>0</v>
      </c>
      <c r="I145" s="317">
        <v>0</v>
      </c>
      <c r="J145" s="317">
        <f t="shared" si="57"/>
        <v>0</v>
      </c>
      <c r="K145" s="318">
        <f t="shared" si="57"/>
        <v>0</v>
      </c>
      <c r="L145" s="525">
        <f>D145-E145-F145-G145-J145-H145-I145</f>
        <v>0</v>
      </c>
      <c r="M145" s="1" t="b">
        <f t="shared" si="58"/>
        <v>1</v>
      </c>
      <c r="P145" s="360"/>
      <c r="Q145" s="361"/>
      <c r="R145" s="360"/>
      <c r="S145" s="1"/>
    </row>
    <row r="146" spans="1:20" s="305" customFormat="1" ht="12" thickBot="1" x14ac:dyDescent="0.3">
      <c r="B146" s="341">
        <v>5</v>
      </c>
      <c r="C146" s="342" t="s">
        <v>14</v>
      </c>
      <c r="D146" s="356">
        <f>D108+N108+D129+E129</f>
        <v>0</v>
      </c>
      <c r="E146" s="317">
        <f>'Recaudo EAAB + Ciud Limp'!D25</f>
        <v>0</v>
      </c>
      <c r="F146" s="356">
        <f>D32+N32</f>
        <v>0</v>
      </c>
      <c r="G146" s="356">
        <f>D70+N70</f>
        <v>0</v>
      </c>
      <c r="H146" s="356">
        <f>D89+N89</f>
        <v>0</v>
      </c>
      <c r="I146" s="356">
        <v>0</v>
      </c>
      <c r="J146" s="356">
        <f t="shared" si="57"/>
        <v>0</v>
      </c>
      <c r="K146" s="358">
        <f t="shared" si="57"/>
        <v>0</v>
      </c>
      <c r="L146" s="525">
        <f>D146-E146-F146-G146-J146-H146-I146</f>
        <v>0</v>
      </c>
      <c r="M146" s="1" t="b">
        <f t="shared" si="58"/>
        <v>1</v>
      </c>
      <c r="P146" s="360"/>
      <c r="Q146" s="361"/>
      <c r="R146" s="360"/>
      <c r="S146" s="1"/>
    </row>
    <row r="147" spans="1:20" s="305" customFormat="1" ht="12" thickBot="1" x14ac:dyDescent="0.3">
      <c r="B147" s="327"/>
      <c r="C147" s="328" t="s">
        <v>2</v>
      </c>
      <c r="D147" s="362">
        <f>SUM(D142:D146)</f>
        <v>0</v>
      </c>
      <c r="E147" s="362">
        <f>SUM(E142:E146)</f>
        <v>0</v>
      </c>
      <c r="F147" s="362">
        <f t="shared" ref="F147:K147" si="59">SUM(F142:F146)</f>
        <v>0</v>
      </c>
      <c r="G147" s="362">
        <f t="shared" si="59"/>
        <v>0</v>
      </c>
      <c r="H147" s="362">
        <f t="shared" si="59"/>
        <v>0</v>
      </c>
      <c r="I147" s="362">
        <f t="shared" si="59"/>
        <v>0</v>
      </c>
      <c r="J147" s="362">
        <f t="shared" si="59"/>
        <v>0</v>
      </c>
      <c r="K147" s="362">
        <f t="shared" si="59"/>
        <v>0</v>
      </c>
      <c r="L147" s="525">
        <f>SUM(L142:L146)</f>
        <v>0</v>
      </c>
      <c r="M147" s="1" t="b">
        <f t="shared" si="58"/>
        <v>1</v>
      </c>
      <c r="P147" s="360"/>
      <c r="Q147" s="361"/>
      <c r="R147" s="360"/>
      <c r="S147" s="1"/>
    </row>
    <row r="148" spans="1:20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N152" s="24"/>
      <c r="O152" s="24"/>
      <c r="Q152" s="24"/>
      <c r="T152" s="24"/>
    </row>
    <row r="153" spans="1:20" x14ac:dyDescent="0.25">
      <c r="N153" s="24"/>
      <c r="O153" s="24"/>
      <c r="Q153" s="24"/>
      <c r="T153" s="24"/>
    </row>
    <row r="154" spans="1:20" x14ac:dyDescent="0.25">
      <c r="N154" s="24"/>
      <c r="O154" s="24"/>
      <c r="Q154" s="24"/>
      <c r="T154" s="24"/>
    </row>
    <row r="155" spans="1:20" x14ac:dyDescent="0.25">
      <c r="N155" s="24"/>
      <c r="O155" s="24"/>
      <c r="Q155" s="24"/>
      <c r="T155" s="24"/>
    </row>
    <row r="156" spans="1:20" x14ac:dyDescent="0.25">
      <c r="N156" s="24"/>
      <c r="O156" s="24"/>
      <c r="Q156" s="24"/>
      <c r="T156" s="24"/>
    </row>
    <row r="157" spans="1:20" x14ac:dyDescent="0.25">
      <c r="N157" s="24"/>
      <c r="O157" s="24"/>
      <c r="Q157" s="24"/>
      <c r="T157" s="24"/>
    </row>
    <row r="158" spans="1:20" x14ac:dyDescent="0.25">
      <c r="N158" s="24"/>
      <c r="O158" s="24"/>
      <c r="Q158" s="24"/>
      <c r="T158" s="24"/>
    </row>
    <row r="159" spans="1:20" x14ac:dyDescent="0.25">
      <c r="N159" s="24"/>
      <c r="O159" s="24"/>
      <c r="Q159" s="24"/>
      <c r="T159" s="24"/>
    </row>
    <row r="160" spans="1:20" x14ac:dyDescent="0.25">
      <c r="N160" s="24"/>
      <c r="O160" s="24"/>
      <c r="Q160" s="24"/>
      <c r="T160" s="24"/>
    </row>
    <row r="161" spans="14:20" x14ac:dyDescent="0.25">
      <c r="N161" s="24"/>
      <c r="O161" s="24"/>
      <c r="Q161" s="24"/>
      <c r="T161" s="24"/>
    </row>
    <row r="162" spans="14:20" x14ac:dyDescent="0.25">
      <c r="N162" s="24"/>
      <c r="O162" s="24"/>
      <c r="Q162" s="24"/>
      <c r="T162" s="24"/>
    </row>
    <row r="163" spans="14:20" x14ac:dyDescent="0.25">
      <c r="N163" s="24"/>
      <c r="O163" s="24"/>
      <c r="Q163" s="24"/>
      <c r="T163" s="24"/>
    </row>
    <row r="164" spans="14:20" x14ac:dyDescent="0.25">
      <c r="N164" s="24"/>
      <c r="O164" s="24"/>
      <c r="Q164" s="24"/>
      <c r="T164" s="24"/>
    </row>
    <row r="165" spans="14:20" x14ac:dyDescent="0.25">
      <c r="N165" s="24"/>
      <c r="O165" s="24"/>
      <c r="Q165" s="24"/>
      <c r="T165" s="24"/>
    </row>
    <row r="166" spans="14:20" x14ac:dyDescent="0.25">
      <c r="Q166" s="24"/>
      <c r="T166" s="24"/>
    </row>
    <row r="167" spans="14:20" x14ac:dyDescent="0.25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C9" sqref="C9"/>
    </sheetView>
  </sheetViews>
  <sheetFormatPr baseColWidth="10" defaultRowHeight="12.5" x14ac:dyDescent="0.25"/>
  <cols>
    <col min="1" max="1" width="3" customWidth="1"/>
    <col min="2" max="2" width="4.1796875" bestFit="1" customWidth="1"/>
    <col min="3" max="3" width="16.81640625" customWidth="1"/>
    <col min="4" max="4" width="14.1796875" customWidth="1"/>
    <col min="5" max="7" width="17.81640625" customWidth="1"/>
    <col min="8" max="8" width="18.1796875" customWidth="1"/>
    <col min="9" max="9" width="15.81640625" customWidth="1"/>
    <col min="10" max="10" width="16.453125" customWidth="1"/>
    <col min="11" max="11" width="15.81640625" customWidth="1"/>
    <col min="12" max="13" width="18.1796875" customWidth="1"/>
    <col min="14" max="14" width="15.81640625" customWidth="1"/>
    <col min="15" max="15" width="14.1796875" customWidth="1"/>
    <col min="16" max="16" width="14.453125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+ Ciud Limp'!D21</f>
        <v>0</v>
      </c>
      <c r="D3" s="292">
        <f>'REMUNERACION_EAAB-CL'!G125</f>
        <v>0</v>
      </c>
      <c r="E3" s="292">
        <f>'REMUNERACION_EAAB-CL'!H125</f>
        <v>0</v>
      </c>
      <c r="F3" s="292">
        <v>0</v>
      </c>
      <c r="G3" s="292">
        <f>'REMUNERACION_EAAB-CL'!I125</f>
        <v>0</v>
      </c>
      <c r="H3" s="340">
        <f t="shared" ref="H3:H8" si="0">SUM(C3:G3)</f>
        <v>0</v>
      </c>
      <c r="I3" s="291">
        <f>'REMUNERACION_EAAB-CL'!D104</f>
        <v>0</v>
      </c>
      <c r="J3" s="292">
        <f>'REMUNERACION_EAAB-CL'!N104</f>
        <v>0</v>
      </c>
      <c r="K3" s="292">
        <f>'REMUNERACION_EAAB-CL'!D125</f>
        <v>0</v>
      </c>
      <c r="L3" s="353">
        <f>'REMUNERACION_EAAB-CL'!E125</f>
        <v>0</v>
      </c>
      <c r="M3" s="292">
        <f>-'REMUNERACION_EAAB-CL'!D66+'REMUNERACION_EAAB-CL'!N66</f>
        <v>0</v>
      </c>
      <c r="N3" s="288">
        <f>SUM(I3:M3)</f>
        <v>0</v>
      </c>
      <c r="O3" s="354">
        <f t="shared" ref="O3:O8" si="1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+ Ciud Limp'!D22</f>
        <v>0</v>
      </c>
      <c r="D4" s="292">
        <f>'REMUNERACION_EAAB-CL'!G126</f>
        <v>0</v>
      </c>
      <c r="E4" s="292">
        <f>'REMUNERACION_EAAB-CL'!H126</f>
        <v>0</v>
      </c>
      <c r="F4" s="292">
        <v>0</v>
      </c>
      <c r="G4" s="292">
        <f>'REMUNERACION_EAAB-CL'!I126</f>
        <v>0</v>
      </c>
      <c r="H4" s="340">
        <f t="shared" si="0"/>
        <v>0</v>
      </c>
      <c r="I4" s="291">
        <f>'REMUNERACION_EAAB-CL'!D105</f>
        <v>0</v>
      </c>
      <c r="J4" s="292">
        <f>'REMUNERACION_EAAB-CL'!N105</f>
        <v>0</v>
      </c>
      <c r="K4" s="292">
        <f>'REMUNERACION_EAAB-CL'!D126</f>
        <v>0</v>
      </c>
      <c r="L4" s="353">
        <f>'REMUNERACION_EAAB-CL'!E126</f>
        <v>0</v>
      </c>
      <c r="M4" s="292">
        <f>-'REMUNERACION_EAAB-CL'!D67+'REMUNERACION_EAAB-CL'!N67</f>
        <v>0</v>
      </c>
      <c r="N4" s="318">
        <f>SUM(I4:M4)</f>
        <v>0</v>
      </c>
      <c r="O4" s="354">
        <f t="shared" si="1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+ Ciud Limp'!D23</f>
        <v>0</v>
      </c>
      <c r="D5" s="292">
        <f>'REMUNERACION_EAAB-CL'!G127</f>
        <v>0</v>
      </c>
      <c r="E5" s="292">
        <f>'REMUNERACION_EAAB-CL'!H127</f>
        <v>0</v>
      </c>
      <c r="F5" s="292">
        <v>0</v>
      </c>
      <c r="G5" s="292">
        <f>'REMUNERACION_EAAB-CL'!I127</f>
        <v>0</v>
      </c>
      <c r="H5" s="340">
        <f t="shared" si="0"/>
        <v>0</v>
      </c>
      <c r="I5" s="291">
        <f>'REMUNERACION_EAAB-CL'!D106</f>
        <v>0</v>
      </c>
      <c r="J5" s="292">
        <f>'REMUNERACION_EAAB-CL'!N106</f>
        <v>0</v>
      </c>
      <c r="K5" s="292">
        <f>'REMUNERACION_EAAB-CL'!D127</f>
        <v>0</v>
      </c>
      <c r="L5" s="353">
        <f>'REMUNERACION_EAAB-CL'!E127</f>
        <v>0</v>
      </c>
      <c r="M5" s="292">
        <f>-'REMUNERACION_EAAB-CL'!D68+'REMUNERACION_EAAB-CL'!N68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+ Ciud Limp'!D24</f>
        <v>0</v>
      </c>
      <c r="D6" s="292">
        <f>'REMUNERACION_EAAB-CL'!G128</f>
        <v>0</v>
      </c>
      <c r="E6" s="292">
        <f>'REMUNERACION_EAAB-CL'!H128</f>
        <v>0</v>
      </c>
      <c r="F6" s="292">
        <v>0</v>
      </c>
      <c r="G6" s="292">
        <f>'REMUNERACION_EAAB-CL'!I128</f>
        <v>0</v>
      </c>
      <c r="H6" s="340">
        <f t="shared" si="0"/>
        <v>0</v>
      </c>
      <c r="I6" s="291">
        <f>'REMUNERACION_EAAB-CL'!D107</f>
        <v>0</v>
      </c>
      <c r="J6" s="292">
        <f>'REMUNERACION_EAAB-CL'!N107</f>
        <v>0</v>
      </c>
      <c r="K6" s="292">
        <f>'REMUNERACION_EAAB-CL'!D128</f>
        <v>0</v>
      </c>
      <c r="L6" s="353">
        <f>'REMUNERACION_EAAB-CL'!E128</f>
        <v>0</v>
      </c>
      <c r="M6" s="292">
        <f>-'REMUNERACION_EAAB-CL'!D69+'REMUNERACION_EAAB-CL'!N69</f>
        <v>0</v>
      </c>
      <c r="N6" s="318">
        <f t="shared" ref="N6:N7" si="3">SUM(I6:M6)</f>
        <v>0</v>
      </c>
      <c r="O6" s="354">
        <f t="shared" si="1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+ Ciud Limp'!D25</f>
        <v>0</v>
      </c>
      <c r="D7" s="292">
        <f>'REMUNERACION_EAAB-CL'!G129</f>
        <v>0</v>
      </c>
      <c r="E7" s="292">
        <f>'REMUNERACION_EAAB-CL'!H129</f>
        <v>0</v>
      </c>
      <c r="F7" s="292">
        <v>0</v>
      </c>
      <c r="G7" s="292">
        <f>'REMUNERACION_EAAB-CL'!I129</f>
        <v>0</v>
      </c>
      <c r="H7" s="340">
        <f t="shared" si="0"/>
        <v>0</v>
      </c>
      <c r="I7" s="291">
        <f>'REMUNERACION_EAAB-CL'!D108</f>
        <v>0</v>
      </c>
      <c r="J7" s="292">
        <f>'REMUNERACION_EAAB-CL'!N108</f>
        <v>0</v>
      </c>
      <c r="K7" s="292">
        <f>'REMUNERACION_EAAB-CL'!D129</f>
        <v>0</v>
      </c>
      <c r="L7" s="353">
        <f>'REMUNERACION_EAAB-CL'!E129</f>
        <v>0</v>
      </c>
      <c r="M7" s="292">
        <f>-'REMUNERACION_EAAB-CL'!D70+'REMUNERACION_EAAB-CL'!N70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" thickBot="1" x14ac:dyDescent="0.3">
      <c r="B8" s="341" t="s">
        <v>89</v>
      </c>
      <c r="C8" s="317">
        <f>'Recaudo EAAB + Ciud Limp'!F26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0"/>
        <v>0</v>
      </c>
      <c r="I8" s="357">
        <v>0</v>
      </c>
      <c r="J8" s="343">
        <v>0</v>
      </c>
      <c r="K8" s="343">
        <v>0</v>
      </c>
      <c r="L8" s="353">
        <f>'REMUNERACION_EAAB-CL'!E130</f>
        <v>0</v>
      </c>
      <c r="M8" s="292">
        <v>0</v>
      </c>
      <c r="N8" s="358">
        <f>SUM(I8:L8)-M8</f>
        <v>0</v>
      </c>
      <c r="O8" s="354">
        <f t="shared" si="1"/>
        <v>0</v>
      </c>
      <c r="P8" s="1" t="b">
        <f t="shared" si="2"/>
        <v>1</v>
      </c>
    </row>
    <row r="9" spans="2:16" s="355" customFormat="1" ht="13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03" t="s">
        <v>1</v>
      </c>
    </row>
    <row r="14" spans="2:16" x14ac:dyDescent="0.25">
      <c r="C14" s="245">
        <f>'Valida - Control Recaudo'!E3+'Valida - Control Recaudo'!E5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zoomScale="98" zoomScaleNormal="98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8" width="16.1796875" style="1" customWidth="1"/>
    <col min="9" max="9" width="20.179687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81640625" style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9.453125" style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8" t="s">
        <v>17</v>
      </c>
      <c r="D6" s="9">
        <f>'CONSOLIDADO_TOTAL RECAUDO'!D101</f>
        <v>46297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46281</v>
      </c>
      <c r="J7" s="2" t="s">
        <v>28</v>
      </c>
      <c r="K7" s="9">
        <f>'CONSOLIDADO_TOTAL RECAUDO'!K102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5" customFormat="1" x14ac:dyDescent="0.25">
      <c r="B9" s="303">
        <v>1</v>
      </c>
      <c r="C9" s="304" t="s">
        <v>10</v>
      </c>
      <c r="D9" s="291">
        <f>'REMUNERACION_EAAB-CL'!D104</f>
        <v>0</v>
      </c>
      <c r="E9" s="291">
        <f>'REMUNERACION_EAAB-CL'!E104</f>
        <v>0</v>
      </c>
      <c r="F9" s="291">
        <f>'REMUNERACION_EAAB-CL'!F104</f>
        <v>0</v>
      </c>
      <c r="G9" s="291">
        <f>'REMUNERACION_EAAB-CL'!G104</f>
        <v>0</v>
      </c>
      <c r="H9" s="291">
        <f>'REMUNERACION_EAAB-CL'!H104</f>
        <v>0</v>
      </c>
      <c r="I9" s="291">
        <f>'REMUNERACION_EAAB-CL'!I104</f>
        <v>0</v>
      </c>
      <c r="J9" s="291">
        <f>'REMUNERACION_EAAB-CL'!J104</f>
        <v>0</v>
      </c>
      <c r="K9" s="293">
        <f>D9-E9-F9-G9-H9-I9-J9</f>
        <v>0</v>
      </c>
      <c r="L9" s="291">
        <f>'REMUNERACION_EAAB-CL'!L104</f>
        <v>0</v>
      </c>
      <c r="M9" s="293">
        <f>K9-L9</f>
        <v>0</v>
      </c>
      <c r="N9" s="291">
        <f>'REMUNERACION_EAAB-CL'!N104</f>
        <v>0</v>
      </c>
      <c r="O9" s="293">
        <f>M9+N9</f>
        <v>0</v>
      </c>
      <c r="Q9" s="306"/>
      <c r="S9" s="303">
        <v>1</v>
      </c>
      <c r="T9" s="304" t="s">
        <v>10</v>
      </c>
      <c r="U9" s="291">
        <f>'REMUNERACION_EAAB-CL'!U104</f>
        <v>0</v>
      </c>
      <c r="V9" s="291">
        <f>'REMUNERACION_EAAB-CL'!V104</f>
        <v>0</v>
      </c>
      <c r="W9" s="291">
        <f>'REMUNERACION_EAAB-CL'!W104</f>
        <v>0</v>
      </c>
      <c r="X9" s="291">
        <f>'REMUNERACION_EAAB-CL'!X104</f>
        <v>0</v>
      </c>
      <c r="Y9" s="291">
        <f>'REMUNERACION_EAAB-CL'!Y104</f>
        <v>0</v>
      </c>
      <c r="Z9" s="291">
        <f>'REMUNERACION_EAAB-CL'!Z104</f>
        <v>0</v>
      </c>
      <c r="AA9" s="291">
        <f>'REMUNERACION_EAAB-CL'!AA104</f>
        <v>0</v>
      </c>
      <c r="AB9" s="291">
        <f>'REMUNERACION_EAAB-CL'!AB104</f>
        <v>0</v>
      </c>
      <c r="AC9" s="291">
        <f>'REMUNERACION_EAAB-CL'!AC104</f>
        <v>0</v>
      </c>
      <c r="AD9" s="291">
        <f>'REMUNERACION_EAAB-CL'!AD104</f>
        <v>0</v>
      </c>
      <c r="AE9" s="291">
        <f>'REMUNERACION_EAAB-CL'!AE104</f>
        <v>0</v>
      </c>
      <c r="AF9" s="363">
        <f>SUM(U9:AD9)</f>
        <v>0</v>
      </c>
      <c r="AG9" s="364">
        <f>AF9-O9</f>
        <v>0</v>
      </c>
      <c r="AH9" s="1" t="b">
        <f>INT(AG9)=0</f>
        <v>1</v>
      </c>
      <c r="AI9" s="306"/>
    </row>
    <row r="10" spans="2:35" s="305" customFormat="1" x14ac:dyDescent="0.25">
      <c r="B10" s="314">
        <v>2</v>
      </c>
      <c r="C10" s="315" t="s">
        <v>11</v>
      </c>
      <c r="D10" s="291">
        <f>'REMUNERACION_EAAB-CL'!D105</f>
        <v>0</v>
      </c>
      <c r="E10" s="291">
        <f>'REMUNERACION_EAAB-CL'!E105</f>
        <v>0</v>
      </c>
      <c r="F10" s="291">
        <f>'REMUNERACION_EAAB-CL'!F105</f>
        <v>0</v>
      </c>
      <c r="G10" s="291">
        <f>'REMUNERACION_EAAB-CL'!G105</f>
        <v>0</v>
      </c>
      <c r="H10" s="291">
        <f>'REMUNERACION_EAAB-CL'!H105</f>
        <v>0</v>
      </c>
      <c r="I10" s="291">
        <f>'REMUNERACION_EAAB-CL'!I105</f>
        <v>0</v>
      </c>
      <c r="J10" s="291">
        <f>'REMUNERACION_EAAB-CL'!J105</f>
        <v>0</v>
      </c>
      <c r="K10" s="295">
        <f t="shared" ref="K10:K13" si="0">D10-E10-F10-G10-H10-I10-J10</f>
        <v>0</v>
      </c>
      <c r="L10" s="291">
        <f>'REMUNERACION_EAAB-CL'!L105</f>
        <v>0</v>
      </c>
      <c r="M10" s="295">
        <f>K10-L10</f>
        <v>0</v>
      </c>
      <c r="N10" s="291">
        <f>'REMUNERACION_EAAB-CL'!N105</f>
        <v>0</v>
      </c>
      <c r="O10" s="295">
        <f t="shared" ref="O10:O13" si="1">M10+N10</f>
        <v>0</v>
      </c>
      <c r="Q10" s="306"/>
      <c r="S10" s="314">
        <v>2</v>
      </c>
      <c r="T10" s="315" t="s">
        <v>11</v>
      </c>
      <c r="U10" s="291">
        <f>'REMUNERACION_EAAB-CL'!U105</f>
        <v>0</v>
      </c>
      <c r="V10" s="291">
        <f>'REMUNERACION_EAAB-CL'!V105</f>
        <v>0</v>
      </c>
      <c r="W10" s="291">
        <f>'REMUNERACION_EAAB-CL'!W105</f>
        <v>0</v>
      </c>
      <c r="X10" s="291">
        <f>'REMUNERACION_EAAB-CL'!X105</f>
        <v>0</v>
      </c>
      <c r="Y10" s="291">
        <f>'REMUNERACION_EAAB-CL'!Y105</f>
        <v>0</v>
      </c>
      <c r="Z10" s="291">
        <f>'REMUNERACION_EAAB-CL'!Z105</f>
        <v>0</v>
      </c>
      <c r="AA10" s="291">
        <f>'REMUNERACION_EAAB-CL'!AA105</f>
        <v>0</v>
      </c>
      <c r="AB10" s="291">
        <f>'REMUNERACION_EAAB-CL'!AB105</f>
        <v>0</v>
      </c>
      <c r="AC10" s="291">
        <f>'REMUNERACION_EAAB-CL'!AC105</f>
        <v>0</v>
      </c>
      <c r="AD10" s="291">
        <f>'REMUNERACION_EAAB-CL'!AD105</f>
        <v>0</v>
      </c>
      <c r="AE10" s="291">
        <f>'REMUNERACION_EAAB-CL'!AE105</f>
        <v>0</v>
      </c>
      <c r="AF10" s="365">
        <f>SUM(U10:AD10)</f>
        <v>0</v>
      </c>
      <c r="AG10" s="366">
        <f>AF10-O10</f>
        <v>0</v>
      </c>
      <c r="AH10" s="1" t="b">
        <f t="shared" ref="AH10:AH14" si="2">INT(AG10)=0</f>
        <v>1</v>
      </c>
      <c r="AI10" s="306"/>
    </row>
    <row r="11" spans="2:35" s="305" customFormat="1" x14ac:dyDescent="0.25">
      <c r="B11" s="314">
        <v>3</v>
      </c>
      <c r="C11" s="315" t="s">
        <v>12</v>
      </c>
      <c r="D11" s="291">
        <f>'REMUNERACION_EAAB-CL'!D106</f>
        <v>0</v>
      </c>
      <c r="E11" s="291">
        <f>'REMUNERACION_EAAB-CL'!E106</f>
        <v>0</v>
      </c>
      <c r="F11" s="291">
        <f>'REMUNERACION_EAAB-CL'!F106</f>
        <v>0</v>
      </c>
      <c r="G11" s="291">
        <f>'REMUNERACION_EAAB-CL'!G106</f>
        <v>0</v>
      </c>
      <c r="H11" s="291">
        <f>'REMUNERACION_EAAB-CL'!H106</f>
        <v>0</v>
      </c>
      <c r="I11" s="291">
        <f>'REMUNERACION_EAAB-CL'!I106</f>
        <v>0</v>
      </c>
      <c r="J11" s="291">
        <f>'REMUNERACION_EAAB-CL'!J106</f>
        <v>0</v>
      </c>
      <c r="K11" s="295">
        <f t="shared" si="0"/>
        <v>0</v>
      </c>
      <c r="L11" s="291">
        <f>'REMUNERACION_EAAB-CL'!L106</f>
        <v>0</v>
      </c>
      <c r="M11" s="295">
        <f>K11-L11</f>
        <v>0</v>
      </c>
      <c r="N11" s="291">
        <f>'REMUNERACION_EAAB-CL'!N106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291">
        <f>'REMUNERACION_EAAB-CL'!U106</f>
        <v>0</v>
      </c>
      <c r="V11" s="291">
        <f>'REMUNERACION_EAAB-CL'!V106</f>
        <v>0</v>
      </c>
      <c r="W11" s="291">
        <f>'REMUNERACION_EAAB-CL'!W106</f>
        <v>0</v>
      </c>
      <c r="X11" s="291">
        <f>'REMUNERACION_EAAB-CL'!X106</f>
        <v>0</v>
      </c>
      <c r="Y11" s="291">
        <f>'REMUNERACION_EAAB-CL'!Y106</f>
        <v>0</v>
      </c>
      <c r="Z11" s="291">
        <f>'REMUNERACION_EAAB-CL'!Z106</f>
        <v>0</v>
      </c>
      <c r="AA11" s="291">
        <f>'REMUNERACION_EAAB-CL'!AA106</f>
        <v>0</v>
      </c>
      <c r="AB11" s="291">
        <f>'REMUNERACION_EAAB-CL'!AB106</f>
        <v>0</v>
      </c>
      <c r="AC11" s="291">
        <f>'REMUNERACION_EAAB-CL'!AC106</f>
        <v>0</v>
      </c>
      <c r="AD11" s="291">
        <f>'REMUNERACION_EAAB-CL'!AD106</f>
        <v>0</v>
      </c>
      <c r="AE11" s="291">
        <f>'REMUNERACION_EAAB-CL'!AE106</f>
        <v>0</v>
      </c>
      <c r="AF11" s="365">
        <f>SUM(U11:AD11)</f>
        <v>0</v>
      </c>
      <c r="AG11" s="366">
        <f>AF11-O11</f>
        <v>0</v>
      </c>
      <c r="AH11" s="1" t="b">
        <f t="shared" si="2"/>
        <v>1</v>
      </c>
      <c r="AI11" s="306"/>
    </row>
    <row r="12" spans="2:35" s="305" customFormat="1" x14ac:dyDescent="0.25">
      <c r="B12" s="314">
        <v>4</v>
      </c>
      <c r="C12" s="315" t="s">
        <v>13</v>
      </c>
      <c r="D12" s="291">
        <f>'REMUNERACION_EAAB-CL'!D107</f>
        <v>0</v>
      </c>
      <c r="E12" s="291">
        <f>'REMUNERACION_EAAB-CL'!E107</f>
        <v>0</v>
      </c>
      <c r="F12" s="291">
        <f>'REMUNERACION_EAAB-CL'!F107</f>
        <v>0</v>
      </c>
      <c r="G12" s="291">
        <f>'REMUNERACION_EAAB-CL'!G107</f>
        <v>0</v>
      </c>
      <c r="H12" s="291">
        <f>'REMUNERACION_EAAB-CL'!H107</f>
        <v>0</v>
      </c>
      <c r="I12" s="291">
        <f>'REMUNERACION_EAAB-CL'!I107</f>
        <v>0</v>
      </c>
      <c r="J12" s="291">
        <f>'REMUNERACION_EAAB-CL'!J107</f>
        <v>0</v>
      </c>
      <c r="K12" s="295">
        <f t="shared" si="0"/>
        <v>0</v>
      </c>
      <c r="L12" s="291">
        <f>'REMUNERACION_EAAB-CL'!L107</f>
        <v>0</v>
      </c>
      <c r="M12" s="295">
        <f>K12-L12</f>
        <v>0</v>
      </c>
      <c r="N12" s="291">
        <f>'REMUNERACION_EAAB-CL'!N107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291">
        <f>'REMUNERACION_EAAB-CL'!U107</f>
        <v>0</v>
      </c>
      <c r="V12" s="291">
        <f>'REMUNERACION_EAAB-CL'!V107</f>
        <v>0</v>
      </c>
      <c r="W12" s="291">
        <f>'REMUNERACION_EAAB-CL'!W107</f>
        <v>0</v>
      </c>
      <c r="X12" s="291">
        <f>'REMUNERACION_EAAB-CL'!X107</f>
        <v>0</v>
      </c>
      <c r="Y12" s="291">
        <f>'REMUNERACION_EAAB-CL'!Y107</f>
        <v>0</v>
      </c>
      <c r="Z12" s="291">
        <f>'REMUNERACION_EAAB-CL'!Z107</f>
        <v>0</v>
      </c>
      <c r="AA12" s="291">
        <f>'REMUNERACION_EAAB-CL'!AA107</f>
        <v>0</v>
      </c>
      <c r="AB12" s="291">
        <f>'REMUNERACION_EAAB-CL'!AB107</f>
        <v>0</v>
      </c>
      <c r="AC12" s="291">
        <f>'REMUNERACION_EAAB-CL'!AC107</f>
        <v>0</v>
      </c>
      <c r="AD12" s="291">
        <f>'REMUNERACION_EAAB-CL'!AD107</f>
        <v>0</v>
      </c>
      <c r="AE12" s="291">
        <f>'REMUNERACION_EAAB-CL'!AE107</f>
        <v>0</v>
      </c>
      <c r="AF12" s="365">
        <f>SUM(U12:AD12)</f>
        <v>0</v>
      </c>
      <c r="AG12" s="366">
        <f>AF12-O12</f>
        <v>0</v>
      </c>
      <c r="AH12" s="1" t="b">
        <f t="shared" si="2"/>
        <v>1</v>
      </c>
      <c r="AI12" s="306"/>
    </row>
    <row r="13" spans="2:35" s="305" customFormat="1" ht="12" thickBot="1" x14ac:dyDescent="0.3">
      <c r="B13" s="324">
        <v>5</v>
      </c>
      <c r="C13" s="325" t="s">
        <v>14</v>
      </c>
      <c r="D13" s="291">
        <f>'REMUNERACION_EAAB-CL'!D108</f>
        <v>0</v>
      </c>
      <c r="E13" s="291">
        <f>'REMUNERACION_EAAB-CL'!E108</f>
        <v>0</v>
      </c>
      <c r="F13" s="291">
        <f>'REMUNERACION_EAAB-CL'!F108</f>
        <v>0</v>
      </c>
      <c r="G13" s="291">
        <f>'REMUNERACION_EAAB-CL'!G108</f>
        <v>0</v>
      </c>
      <c r="H13" s="291">
        <f>'REMUNERACION_EAAB-CL'!H108</f>
        <v>0</v>
      </c>
      <c r="I13" s="291">
        <f>'REMUNERACION_EAAB-CL'!I108</f>
        <v>0</v>
      </c>
      <c r="J13" s="291">
        <f>'REMUNERACION_EAAB-CL'!J108</f>
        <v>0</v>
      </c>
      <c r="K13" s="295">
        <f t="shared" si="0"/>
        <v>0</v>
      </c>
      <c r="L13" s="291">
        <f>'REMUNERACION_EAAB-CL'!L108</f>
        <v>0</v>
      </c>
      <c r="M13" s="298">
        <f>K13-L13</f>
        <v>0</v>
      </c>
      <c r="N13" s="291">
        <f>'REMUNERACION_EAAB-CL'!N108</f>
        <v>0</v>
      </c>
      <c r="O13" s="298">
        <f t="shared" si="1"/>
        <v>0</v>
      </c>
      <c r="Q13" s="306"/>
      <c r="S13" s="324">
        <v>5</v>
      </c>
      <c r="T13" s="325" t="s">
        <v>14</v>
      </c>
      <c r="U13" s="291">
        <f>'REMUNERACION_EAAB-CL'!U108</f>
        <v>0</v>
      </c>
      <c r="V13" s="291">
        <f>'REMUNERACION_EAAB-CL'!V108</f>
        <v>0</v>
      </c>
      <c r="W13" s="291">
        <f>'REMUNERACION_EAAB-CL'!W108</f>
        <v>0</v>
      </c>
      <c r="X13" s="291">
        <f>'REMUNERACION_EAAB-CL'!X108</f>
        <v>0</v>
      </c>
      <c r="Y13" s="291">
        <f>'REMUNERACION_EAAB-CL'!Y108</f>
        <v>0</v>
      </c>
      <c r="Z13" s="291">
        <f>'REMUNERACION_EAAB-CL'!Z108</f>
        <v>0</v>
      </c>
      <c r="AA13" s="291">
        <f>'REMUNERACION_EAAB-CL'!AA108</f>
        <v>0</v>
      </c>
      <c r="AB13" s="291">
        <f>'REMUNERACION_EAAB-CL'!AB108</f>
        <v>0</v>
      </c>
      <c r="AC13" s="291">
        <f>'REMUNERACION_EAAB-CL'!AC108</f>
        <v>0</v>
      </c>
      <c r="AD13" s="291">
        <f>'REMUNERACION_EAAB-CL'!AD108</f>
        <v>0</v>
      </c>
      <c r="AE13" s="291">
        <f>'REMUNERACION_EAAB-CL'!AE108</f>
        <v>0</v>
      </c>
      <c r="AF13" s="365">
        <f>SUM(U13:AD13)</f>
        <v>0</v>
      </c>
      <c r="AG13" s="366">
        <f>AF13-O13</f>
        <v>0</v>
      </c>
      <c r="AH13" s="1" t="b">
        <f t="shared" si="2"/>
        <v>1</v>
      </c>
      <c r="AI13" s="306"/>
    </row>
    <row r="14" spans="2:35" s="305" customFormat="1" ht="13.5" thickBot="1" x14ac:dyDescent="0.35">
      <c r="B14" s="327"/>
      <c r="C14" s="328" t="s">
        <v>2</v>
      </c>
      <c r="D14" s="290">
        <f t="shared" ref="D14:O14" si="3">SUM(D9:D13)</f>
        <v>0</v>
      </c>
      <c r="E14" s="290">
        <f t="shared" si="3"/>
        <v>0</v>
      </c>
      <c r="F14" s="290">
        <f t="shared" si="3"/>
        <v>0</v>
      </c>
      <c r="G14" s="290">
        <f t="shared" si="3"/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 t="shared" si="3"/>
        <v>0</v>
      </c>
      <c r="L14" s="301">
        <f t="shared" si="3"/>
        <v>0</v>
      </c>
      <c r="M14" s="302">
        <f t="shared" si="3"/>
        <v>0</v>
      </c>
      <c r="N14" s="301">
        <f t="shared" si="3"/>
        <v>0</v>
      </c>
      <c r="O14" s="302">
        <f t="shared" si="3"/>
        <v>0</v>
      </c>
      <c r="P14" s="329"/>
      <c r="Q14" s="306"/>
      <c r="S14" s="327"/>
      <c r="T14" s="328" t="s">
        <v>2</v>
      </c>
      <c r="U14" s="290">
        <f>SUM(U9:U13)</f>
        <v>0</v>
      </c>
      <c r="V14" s="290">
        <f t="shared" ref="V14:AG14" si="4">SUM(V9:V13)</f>
        <v>0</v>
      </c>
      <c r="W14" s="290">
        <f t="shared" si="4"/>
        <v>0</v>
      </c>
      <c r="X14" s="290">
        <f t="shared" si="4"/>
        <v>0</v>
      </c>
      <c r="Y14" s="290">
        <f t="shared" si="4"/>
        <v>0</v>
      </c>
      <c r="Z14" s="290">
        <f t="shared" si="4"/>
        <v>0</v>
      </c>
      <c r="AA14" s="290">
        <f t="shared" si="4"/>
        <v>0</v>
      </c>
      <c r="AB14" s="290">
        <f t="shared" si="4"/>
        <v>0</v>
      </c>
      <c r="AC14" s="290">
        <f t="shared" si="4"/>
        <v>0</v>
      </c>
      <c r="AD14" s="290">
        <f t="shared" si="4"/>
        <v>0</v>
      </c>
      <c r="AE14" s="290">
        <f>SUM(AE9:AE13)</f>
        <v>0</v>
      </c>
      <c r="AF14" s="331">
        <f t="shared" si="4"/>
        <v>0</v>
      </c>
      <c r="AG14" s="290">
        <f t="shared" si="4"/>
        <v>0</v>
      </c>
      <c r="AH14" s="1" t="b">
        <f t="shared" si="2"/>
        <v>1</v>
      </c>
      <c r="AI14" s="306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190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2026092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'CONSOLIDADO_TOTAL RECAUDO'!G122</f>
        <v>46281</v>
      </c>
      <c r="J27" s="2" t="s">
        <v>28</v>
      </c>
      <c r="K27" s="9">
        <f>'CONSOLIDADO_TOTAL RECAUDO'!K122</f>
        <v>46295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s="305" customFormat="1" x14ac:dyDescent="0.25">
      <c r="B30" s="334">
        <v>1</v>
      </c>
      <c r="C30" s="367" t="s">
        <v>10</v>
      </c>
      <c r="D30" s="307">
        <f>'REMUNERACION_EAAB-CL'!D125</f>
        <v>0</v>
      </c>
      <c r="E30" s="309">
        <f>'REMUNERACION_EAAB-CL'!E125</f>
        <v>0</v>
      </c>
      <c r="G30" s="336">
        <f>'REMUNERACION_EAAB-CL'!G125</f>
        <v>0</v>
      </c>
      <c r="H30" s="310">
        <f>'REMUNERACION_EAAB-CL'!H125</f>
        <v>0</v>
      </c>
      <c r="I30" s="309">
        <f>'REMUNERACION_EAAB-CL'!I125</f>
        <v>0</v>
      </c>
      <c r="J30" s="309">
        <f>'REMUNERACION_EAAB-CL'!J125</f>
        <v>0</v>
      </c>
      <c r="K30" s="309">
        <f>'REMUNERACION_EAAB-CL'!K125</f>
        <v>0</v>
      </c>
      <c r="L30" s="309">
        <f>'REMUNERACION_EAAB-CL'!L125</f>
        <v>0</v>
      </c>
      <c r="O30" s="337"/>
      <c r="Q30" s="306"/>
    </row>
    <row r="31" spans="1:35" s="305" customFormat="1" x14ac:dyDescent="0.25">
      <c r="B31" s="314">
        <v>2</v>
      </c>
      <c r="C31" s="315" t="s">
        <v>11</v>
      </c>
      <c r="D31" s="316">
        <f>'REMUNERACION_EAAB-CL'!D126</f>
        <v>0</v>
      </c>
      <c r="E31" s="318">
        <f>'REMUNERACION_EAAB-CL'!E126</f>
        <v>0</v>
      </c>
      <c r="G31" s="339">
        <f>'REMUNERACION_EAAB-CL'!G126</f>
        <v>0</v>
      </c>
      <c r="H31" s="340">
        <f>'REMUNERACION_EAAB-CL'!H126</f>
        <v>0</v>
      </c>
      <c r="I31" s="288">
        <f>'REMUNERACION_EAAB-CL'!I126</f>
        <v>0</v>
      </c>
      <c r="J31" s="288">
        <f>'REMUNERACION_EAAB-CL'!J126</f>
        <v>0</v>
      </c>
      <c r="K31" s="288">
        <f>'REMUNERACION_EAAB-CL'!K126</f>
        <v>0</v>
      </c>
      <c r="L31" s="288">
        <f>'REMUNERACION_EAAB-CL'!L126</f>
        <v>0</v>
      </c>
      <c r="O31" s="337"/>
      <c r="Q31" s="306"/>
    </row>
    <row r="32" spans="1:35" s="305" customFormat="1" x14ac:dyDescent="0.25">
      <c r="B32" s="314">
        <v>3</v>
      </c>
      <c r="C32" s="315" t="s">
        <v>12</v>
      </c>
      <c r="D32" s="316">
        <f>'REMUNERACION_EAAB-CL'!D127</f>
        <v>0</v>
      </c>
      <c r="E32" s="318">
        <f>'REMUNERACION_EAAB-CL'!E127</f>
        <v>0</v>
      </c>
      <c r="G32" s="339">
        <f>'REMUNERACION_EAAB-CL'!G127</f>
        <v>0</v>
      </c>
      <c r="H32" s="340">
        <f>'REMUNERACION_EAAB-CL'!H127</f>
        <v>0</v>
      </c>
      <c r="I32" s="288">
        <f>'REMUNERACION_EAAB-CL'!I127</f>
        <v>0</v>
      </c>
      <c r="J32" s="288">
        <f>'REMUNERACION_EAAB-CL'!J127</f>
        <v>0</v>
      </c>
      <c r="K32" s="288">
        <f>'REMUNERACION_EAAB-CL'!K127</f>
        <v>0</v>
      </c>
      <c r="L32" s="288">
        <f>'REMUNERACION_EAAB-CL'!L127</f>
        <v>0</v>
      </c>
      <c r="O32" s="337"/>
      <c r="Q32" s="306"/>
    </row>
    <row r="33" spans="1:35" s="305" customFormat="1" x14ac:dyDescent="0.25">
      <c r="B33" s="314">
        <v>4</v>
      </c>
      <c r="C33" s="315" t="s">
        <v>13</v>
      </c>
      <c r="D33" s="316">
        <f>'REMUNERACION_EAAB-CL'!D128</f>
        <v>0</v>
      </c>
      <c r="E33" s="318">
        <f>'REMUNERACION_EAAB-CL'!E128</f>
        <v>0</v>
      </c>
      <c r="G33" s="339">
        <f>'REMUNERACION_EAAB-CL'!G128</f>
        <v>0</v>
      </c>
      <c r="H33" s="340">
        <f>'REMUNERACION_EAAB-CL'!H128</f>
        <v>0</v>
      </c>
      <c r="I33" s="288">
        <f>'REMUNERACION_EAAB-CL'!I128</f>
        <v>0</v>
      </c>
      <c r="J33" s="288">
        <f>'REMUNERACION_EAAB-CL'!J128</f>
        <v>0</v>
      </c>
      <c r="K33" s="288">
        <f>'REMUNERACION_EAAB-CL'!K128</f>
        <v>0</v>
      </c>
      <c r="L33" s="288">
        <f>'REMUNERACION_EAAB-CL'!L128</f>
        <v>0</v>
      </c>
      <c r="O33" s="337"/>
      <c r="Q33" s="306"/>
    </row>
    <row r="34" spans="1:35" s="305" customFormat="1" x14ac:dyDescent="0.25">
      <c r="B34" s="341">
        <v>5</v>
      </c>
      <c r="C34" s="368" t="s">
        <v>14</v>
      </c>
      <c r="D34" s="316">
        <f>'REMUNERACION_EAAB-CL'!D129</f>
        <v>0</v>
      </c>
      <c r="E34" s="318">
        <f>'REMUNERACION_EAAB-CL'!E129</f>
        <v>0</v>
      </c>
      <c r="G34" s="339">
        <f>'REMUNERACION_EAAB-CL'!G129</f>
        <v>0</v>
      </c>
      <c r="H34" s="340">
        <f>'REMUNERACION_EAAB-CL'!H129</f>
        <v>0</v>
      </c>
      <c r="I34" s="288">
        <f>'REMUNERACION_EAAB-CL'!I129</f>
        <v>0</v>
      </c>
      <c r="J34" s="288">
        <f>'REMUNERACION_EAAB-CL'!J129</f>
        <v>0</v>
      </c>
      <c r="K34" s="288">
        <f>'REMUNERACION_EAAB-CL'!K129</f>
        <v>0</v>
      </c>
      <c r="L34" s="288">
        <f>'REMUNERACION_EAAB-CL'!L129</f>
        <v>0</v>
      </c>
      <c r="O34" s="337"/>
      <c r="Q34" s="306"/>
    </row>
    <row r="35" spans="1:35" s="305" customFormat="1" ht="12" thickBot="1" x14ac:dyDescent="0.3">
      <c r="B35" s="324" t="s">
        <v>89</v>
      </c>
      <c r="C35" s="325" t="s">
        <v>113</v>
      </c>
      <c r="D35" s="296">
        <f>'REMUNERACION_EAAB-CL'!D130</f>
        <v>0</v>
      </c>
      <c r="E35" s="289">
        <f>'REMUNERACION_EAAB-CL'!E130</f>
        <v>0</v>
      </c>
      <c r="G35" s="346"/>
      <c r="H35" s="347"/>
      <c r="I35" s="289"/>
      <c r="J35" s="289"/>
      <c r="K35" s="289"/>
      <c r="L35" s="289"/>
      <c r="O35" s="337"/>
      <c r="Q35" s="306"/>
    </row>
    <row r="36" spans="1:35" s="305" customFormat="1" ht="12" thickBot="1" x14ac:dyDescent="0.3">
      <c r="B36" s="348"/>
      <c r="C36" s="349" t="s">
        <v>2</v>
      </c>
      <c r="D36" s="350">
        <f t="shared" ref="D36:E36" si="5">SUM(D30:D34)</f>
        <v>0</v>
      </c>
      <c r="E36" s="350">
        <f t="shared" si="5"/>
        <v>0</v>
      </c>
      <c r="F36" s="351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351"/>
      <c r="N36" s="351"/>
      <c r="O36" s="352"/>
      <c r="P36" s="329"/>
      <c r="Q36" s="306"/>
    </row>
    <row r="37" spans="1:35" x14ac:dyDescent="0.25">
      <c r="B37" s="2"/>
      <c r="C37" s="2"/>
      <c r="D37" s="24"/>
      <c r="Q37" s="4"/>
      <c r="AI37" s="305"/>
    </row>
    <row r="38" spans="1:35" x14ac:dyDescent="0.25">
      <c r="B38" s="2"/>
      <c r="C38" s="2"/>
      <c r="D38" s="24"/>
      <c r="L38" s="1" t="s">
        <v>1</v>
      </c>
      <c r="Q38" s="4"/>
      <c r="AI38" s="305"/>
    </row>
    <row r="39" spans="1:35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5"/>
    </row>
    <row r="40" spans="1:35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5">
      <c r="N42" s="24"/>
      <c r="O42" s="24"/>
      <c r="Q42" s="24"/>
      <c r="T42" s="24"/>
    </row>
    <row r="43" spans="1:35" x14ac:dyDescent="0.25">
      <c r="N43" s="24"/>
      <c r="O43" s="24"/>
      <c r="Q43" s="24"/>
      <c r="T43" s="24"/>
    </row>
    <row r="44" spans="1:35" x14ac:dyDescent="0.25">
      <c r="D44" s="267" t="b">
        <f>D14='REMUNERACION_EAAB-CL'!D109</f>
        <v>1</v>
      </c>
      <c r="E44" s="267" t="b">
        <f>E14='REMUNERACION_EAAB-CL'!E109</f>
        <v>1</v>
      </c>
      <c r="F44" s="267" t="b">
        <f>F14='REMUNERACION_EAAB-CL'!F109</f>
        <v>1</v>
      </c>
      <c r="G44" s="267" t="b">
        <f>G14='REMUNERACION_EAAB-CL'!G109</f>
        <v>1</v>
      </c>
      <c r="H44" s="267" t="b">
        <f>H14='REMUNERACION_EAAB-CL'!H109</f>
        <v>1</v>
      </c>
      <c r="I44" s="267" t="b">
        <f>I14='REMUNERACION_EAAB-CL'!I109</f>
        <v>1</v>
      </c>
      <c r="J44" s="267" t="b">
        <f>J14='REMUNERACION_EAAB-CL'!J109</f>
        <v>1</v>
      </c>
      <c r="K44" s="267" t="b">
        <f>K14='REMUNERACION_EAAB-CL'!K109</f>
        <v>1</v>
      </c>
      <c r="L44" s="267" t="b">
        <f>L14='REMUNERACION_EAAB-CL'!L109</f>
        <v>1</v>
      </c>
      <c r="M44" s="267" t="b">
        <f>M14='REMUNERACION_EAAB-CL'!M109</f>
        <v>1</v>
      </c>
      <c r="N44" s="267" t="b">
        <f>N14='REMUNERACION_EAAB-CL'!N109</f>
        <v>1</v>
      </c>
      <c r="O44" s="267" t="b">
        <f>O14='REMUNERACION_EAAB-CL'!O109</f>
        <v>1</v>
      </c>
      <c r="Q44" s="24"/>
      <c r="T44" s="24"/>
    </row>
    <row r="45" spans="1:35" x14ac:dyDescent="0.25">
      <c r="D45" s="267" t="b">
        <f>D36='REMUNERACION_EAAB-CL'!D131</f>
        <v>1</v>
      </c>
      <c r="E45" s="267" t="b">
        <f>E36='REMUNERACION_EAAB-CL'!E131</f>
        <v>1</v>
      </c>
      <c r="F45" s="267" t="b">
        <f>F36='REMUNERACION_EAAB-CL'!F131</f>
        <v>1</v>
      </c>
      <c r="G45" s="267" t="b">
        <f>G36='REMUNERACION_EAAB-CL'!G131</f>
        <v>1</v>
      </c>
      <c r="H45" s="267" t="b">
        <f>H36='REMUNERACION_EAAB-CL'!H131</f>
        <v>1</v>
      </c>
      <c r="I45" s="267" t="b">
        <f>I36='REMUNERACION_EAAB-CL'!I131</f>
        <v>1</v>
      </c>
      <c r="J45" s="267" t="b">
        <f>J36='REMUNERACION_EAAB-CL'!J131</f>
        <v>1</v>
      </c>
      <c r="K45" s="267" t="b">
        <f>K36='REMUNERACION_EAAB-CL'!K131</f>
        <v>1</v>
      </c>
      <c r="L45" s="267" t="b">
        <f>L36='REMUNERACION_EAAB-CL'!L131</f>
        <v>1</v>
      </c>
      <c r="M45" s="267" t="b">
        <f>M36='REMUNERACION_EAAB-CL'!M131</f>
        <v>1</v>
      </c>
      <c r="N45" s="267" t="b">
        <f>N36='REMUNERACION_EAAB-CL'!N131</f>
        <v>1</v>
      </c>
      <c r="O45" s="267" t="b">
        <f>O36='REMUNERACION_EAAB-CL'!O131</f>
        <v>1</v>
      </c>
      <c r="Q45" s="24"/>
      <c r="T45" s="24"/>
    </row>
    <row r="46" spans="1:35" x14ac:dyDescent="0.25">
      <c r="N46" s="24"/>
      <c r="O46" s="24"/>
      <c r="Q46" s="24"/>
      <c r="T46" s="24"/>
    </row>
    <row r="47" spans="1:35" x14ac:dyDescent="0.25">
      <c r="N47" s="24"/>
      <c r="O47" s="24"/>
      <c r="Q47" s="24"/>
      <c r="T47" s="24"/>
    </row>
    <row r="48" spans="1:35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workbookViewId="0"/>
  </sheetViews>
  <sheetFormatPr baseColWidth="10" defaultColWidth="11.453125" defaultRowHeight="14.5" x14ac:dyDescent="0.35"/>
  <cols>
    <col min="1" max="1" width="2.81640625" style="609" customWidth="1"/>
    <col min="2" max="2" width="7.1796875" style="609" customWidth="1"/>
    <col min="3" max="3" width="42.81640625" style="609" customWidth="1"/>
    <col min="4" max="15" width="28.54296875" style="609" customWidth="1"/>
    <col min="16" max="16384" width="11.453125" style="609"/>
  </cols>
  <sheetData>
    <row r="1" spans="2:20" customFormat="1" ht="12.5" x14ac:dyDescent="0.25"/>
    <row r="2" spans="2:20" customFormat="1" ht="12.5" x14ac:dyDescent="0.25">
      <c r="T2" s="142" t="s">
        <v>329</v>
      </c>
    </row>
    <row r="3" spans="2:20" customFormat="1" x14ac:dyDescent="0.25">
      <c r="F3" s="660" t="s">
        <v>8</v>
      </c>
      <c r="H3" s="660" t="s">
        <v>16</v>
      </c>
      <c r="L3" s="660" t="s">
        <v>227</v>
      </c>
      <c r="M3" s="660" t="s">
        <v>341</v>
      </c>
      <c r="T3" s="142"/>
    </row>
    <row r="4" spans="2:20" customFormat="1" x14ac:dyDescent="0.25">
      <c r="F4" s="660" t="s">
        <v>29</v>
      </c>
    </row>
    <row r="5" spans="2:20" customFormat="1" x14ac:dyDescent="0.25">
      <c r="F5" s="660" t="s">
        <v>228</v>
      </c>
    </row>
    <row r="6" spans="2:20" customFormat="1" x14ac:dyDescent="0.25">
      <c r="C6" s="660" t="s">
        <v>229</v>
      </c>
      <c r="D6" s="660" t="s">
        <v>342</v>
      </c>
      <c r="F6" s="660" t="s">
        <v>230</v>
      </c>
    </row>
    <row r="7" spans="2:20" customFormat="1" x14ac:dyDescent="0.25">
      <c r="C7" s="660" t="s">
        <v>231</v>
      </c>
      <c r="D7" s="660" t="s">
        <v>343</v>
      </c>
      <c r="F7" s="660" t="s">
        <v>27</v>
      </c>
      <c r="G7" s="660" t="s">
        <v>344</v>
      </c>
      <c r="I7" s="660" t="s">
        <v>232</v>
      </c>
      <c r="J7" s="660" t="s">
        <v>345</v>
      </c>
    </row>
    <row r="8" spans="2:20" customFormat="1" ht="43.5" x14ac:dyDescent="0.25">
      <c r="B8" s="661" t="s">
        <v>3</v>
      </c>
      <c r="C8" s="661" t="s">
        <v>233</v>
      </c>
      <c r="D8" s="661" t="s">
        <v>234</v>
      </c>
      <c r="E8" s="661" t="s">
        <v>235</v>
      </c>
      <c r="F8" s="661" t="s">
        <v>236</v>
      </c>
      <c r="G8" s="661" t="s">
        <v>237</v>
      </c>
      <c r="H8" s="661" t="s">
        <v>238</v>
      </c>
      <c r="I8" s="661" t="s">
        <v>239</v>
      </c>
      <c r="J8" s="661" t="s">
        <v>240</v>
      </c>
      <c r="K8" s="661" t="s">
        <v>241</v>
      </c>
      <c r="L8" s="661" t="s">
        <v>242</v>
      </c>
      <c r="M8" s="661" t="s">
        <v>243</v>
      </c>
      <c r="N8" s="661" t="s">
        <v>244</v>
      </c>
      <c r="O8" s="661" t="s">
        <v>245</v>
      </c>
    </row>
    <row r="9" spans="2:20" customFormat="1" ht="12.5" x14ac:dyDescent="0.25">
      <c r="B9" s="641" t="s">
        <v>115</v>
      </c>
      <c r="C9" s="641" t="s">
        <v>10</v>
      </c>
      <c r="D9" s="642">
        <v>16057292250</v>
      </c>
      <c r="E9" s="642">
        <v>818779939</v>
      </c>
      <c r="F9" s="642">
        <v>456179957</v>
      </c>
      <c r="G9" s="642">
        <v>241956320</v>
      </c>
      <c r="H9" s="642">
        <v>3323333269</v>
      </c>
      <c r="I9" s="642">
        <v>124464164</v>
      </c>
      <c r="J9" s="642">
        <v>-4501501560</v>
      </c>
      <c r="K9" s="642">
        <v>15594080161</v>
      </c>
      <c r="L9" s="642">
        <v>189185988</v>
      </c>
      <c r="M9" s="642">
        <v>15404894173</v>
      </c>
      <c r="N9" s="642">
        <v>29440960</v>
      </c>
      <c r="O9" s="642">
        <v>15434335133</v>
      </c>
    </row>
    <row r="10" spans="2:20" customFormat="1" ht="12.5" x14ac:dyDescent="0.25">
      <c r="B10" s="641" t="s">
        <v>116</v>
      </c>
      <c r="C10" s="641" t="s">
        <v>11</v>
      </c>
      <c r="D10" s="642">
        <v>22321351879</v>
      </c>
      <c r="E10" s="642">
        <v>1703762098</v>
      </c>
      <c r="F10" s="642">
        <v>943493228</v>
      </c>
      <c r="G10" s="642">
        <v>498443225</v>
      </c>
      <c r="H10" s="642">
        <v>6843469381</v>
      </c>
      <c r="I10" s="642">
        <v>238621910</v>
      </c>
      <c r="J10" s="642">
        <v>-3550307908</v>
      </c>
      <c r="K10" s="642">
        <v>15643869945</v>
      </c>
      <c r="L10" s="642">
        <v>266580256</v>
      </c>
      <c r="M10" s="642">
        <v>15377289689</v>
      </c>
      <c r="N10" s="642">
        <v>74146483</v>
      </c>
      <c r="O10" s="642">
        <v>15451436171</v>
      </c>
    </row>
    <row r="11" spans="2:20" customFormat="1" ht="12.5" x14ac:dyDescent="0.25">
      <c r="B11" s="641" t="s">
        <v>117</v>
      </c>
      <c r="C11" s="641" t="s">
        <v>246</v>
      </c>
      <c r="D11" s="642">
        <v>15232768360</v>
      </c>
      <c r="E11" s="642">
        <v>1138837288</v>
      </c>
      <c r="F11" s="642">
        <v>633894873</v>
      </c>
      <c r="G11" s="642">
        <v>336797543</v>
      </c>
      <c r="H11" s="642">
        <v>3483395445</v>
      </c>
      <c r="I11" s="642">
        <v>126710881</v>
      </c>
      <c r="J11" s="642">
        <v>-750589760</v>
      </c>
      <c r="K11" s="642">
        <v>10263722089</v>
      </c>
      <c r="L11" s="642">
        <v>154788536</v>
      </c>
      <c r="M11" s="642">
        <v>10108933553</v>
      </c>
      <c r="N11" s="642">
        <v>37171035</v>
      </c>
      <c r="O11" s="642">
        <v>10146104588</v>
      </c>
    </row>
    <row r="12" spans="2:20" customFormat="1" ht="12.5" x14ac:dyDescent="0.25">
      <c r="B12" s="641" t="s">
        <v>247</v>
      </c>
      <c r="C12" s="641" t="s">
        <v>13</v>
      </c>
      <c r="D12" s="642">
        <v>7675362502</v>
      </c>
      <c r="E12" s="642">
        <v>477094942</v>
      </c>
      <c r="F12" s="642">
        <v>265060637</v>
      </c>
      <c r="G12" s="642">
        <v>140590574</v>
      </c>
      <c r="H12" s="642">
        <v>1777041417</v>
      </c>
      <c r="I12" s="642">
        <v>61139285</v>
      </c>
      <c r="J12" s="642">
        <v>-714140939</v>
      </c>
      <c r="K12" s="642">
        <v>5668576587</v>
      </c>
      <c r="L12" s="642">
        <v>120391083</v>
      </c>
      <c r="M12" s="642">
        <v>5548185504</v>
      </c>
      <c r="N12" s="642">
        <v>10876690</v>
      </c>
      <c r="O12" s="642">
        <v>5559062193</v>
      </c>
    </row>
    <row r="13" spans="2:20" customFormat="1" ht="12.5" x14ac:dyDescent="0.25">
      <c r="B13" s="641" t="s">
        <v>118</v>
      </c>
      <c r="C13" s="641" t="s">
        <v>14</v>
      </c>
      <c r="D13" s="642">
        <v>12354444480</v>
      </c>
      <c r="E13" s="642">
        <v>699550366</v>
      </c>
      <c r="F13" s="642">
        <v>389426701</v>
      </c>
      <c r="G13" s="642">
        <v>207027249</v>
      </c>
      <c r="H13" s="642">
        <v>3261769826</v>
      </c>
      <c r="I13" s="642">
        <v>106226760</v>
      </c>
      <c r="J13" s="642">
        <v>-98238892</v>
      </c>
      <c r="K13" s="642">
        <v>7788682469</v>
      </c>
      <c r="L13" s="642">
        <v>128990446</v>
      </c>
      <c r="M13" s="642">
        <v>7659692023</v>
      </c>
      <c r="N13" s="642">
        <v>12729251</v>
      </c>
      <c r="O13" s="642">
        <v>7672421274</v>
      </c>
    </row>
    <row r="14" spans="2:20" customFormat="1" ht="12.5" x14ac:dyDescent="0.25">
      <c r="B14" s="641" t="s">
        <v>248</v>
      </c>
      <c r="C14" s="641" t="s">
        <v>70</v>
      </c>
      <c r="D14" s="642">
        <v>73641219471</v>
      </c>
      <c r="E14" s="642">
        <v>4838024633</v>
      </c>
      <c r="F14" s="642">
        <v>2688055396</v>
      </c>
      <c r="G14" s="642">
        <v>1424814911</v>
      </c>
      <c r="H14" s="642">
        <v>18689009338</v>
      </c>
      <c r="I14" s="642">
        <v>657163000</v>
      </c>
      <c r="J14" s="642">
        <v>-9614779059</v>
      </c>
      <c r="K14" s="642">
        <v>54958931251</v>
      </c>
      <c r="L14" s="642">
        <v>859936309</v>
      </c>
      <c r="M14" s="642">
        <v>54098994942</v>
      </c>
      <c r="N14" s="642">
        <v>164364419</v>
      </c>
      <c r="O14" s="642">
        <v>54263359359</v>
      </c>
    </row>
    <row r="15" spans="2:20" customFormat="1" ht="12.5" x14ac:dyDescent="0.25"/>
    <row r="16" spans="2:20" customFormat="1" ht="12.5" x14ac:dyDescent="0.25">
      <c r="C16" s="662" t="s">
        <v>323</v>
      </c>
    </row>
    <row r="18" spans="2:15" x14ac:dyDescent="0.35">
      <c r="E18" s="611" t="s">
        <v>249</v>
      </c>
    </row>
    <row r="19" spans="2:15" x14ac:dyDescent="0.35">
      <c r="F19" s="611" t="s">
        <v>25</v>
      </c>
    </row>
    <row r="22" spans="2:15" ht="34.5" x14ac:dyDescent="0.35">
      <c r="C22" s="646" t="s">
        <v>9</v>
      </c>
      <c r="D22" s="646" t="s">
        <v>4</v>
      </c>
      <c r="E22" s="646" t="s">
        <v>5</v>
      </c>
      <c r="F22" s="646" t="s">
        <v>6</v>
      </c>
      <c r="G22" s="646" t="s">
        <v>159</v>
      </c>
      <c r="H22" s="646" t="s">
        <v>18</v>
      </c>
      <c r="I22" s="646" t="s">
        <v>24</v>
      </c>
      <c r="J22" s="646" t="s">
        <v>19</v>
      </c>
      <c r="K22" s="647" t="s">
        <v>20</v>
      </c>
      <c r="L22" s="646" t="s">
        <v>21</v>
      </c>
      <c r="M22" s="647" t="s">
        <v>22</v>
      </c>
      <c r="N22" s="646" t="s">
        <v>7</v>
      </c>
      <c r="O22" s="647" t="s">
        <v>23</v>
      </c>
    </row>
    <row r="23" spans="2:15" x14ac:dyDescent="0.35">
      <c r="B23" s="610" t="s">
        <v>115</v>
      </c>
      <c r="C23" s="610" t="s">
        <v>10</v>
      </c>
      <c r="D23" s="648">
        <f>D9-'CONSOLIDADO_TOTAL RECAUDO'!D104</f>
        <v>-4.000091552734375E-2</v>
      </c>
      <c r="E23" s="648">
        <f>E9-'CONSOLIDADO_TOTAL RECAUDO'!E104</f>
        <v>-0.45000004768371582</v>
      </c>
      <c r="F23" s="648">
        <f>F9-'CONSOLIDADO_TOTAL RECAUDO'!F104</f>
        <v>0.46999996900558472</v>
      </c>
      <c r="G23" s="648">
        <f>G9-'CONSOLIDADO_TOTAL RECAUDO'!G104</f>
        <v>-0.33000001311302185</v>
      </c>
      <c r="H23" s="648">
        <f>H9-'CONSOLIDADO_TOTAL RECAUDO'!H104</f>
        <v>-0.42999982833862305</v>
      </c>
      <c r="I23" s="648">
        <f>I9-'CONSOLIDADO_TOTAL RECAUDO'!I104</f>
        <v>0.47999998927116394</v>
      </c>
      <c r="J23" s="648">
        <f>J9-'CONSOLIDADO_TOTAL RECAUDO'!J104</f>
        <v>0.34999942779541016</v>
      </c>
      <c r="K23" s="648">
        <f>K9-'CONSOLIDADO_TOTAL RECAUDO'!K104</f>
        <v>-0.12999725341796875</v>
      </c>
      <c r="L23" s="648">
        <f>L9-'CONSOLIDADO_TOTAL RECAUDO'!L104</f>
        <v>0</v>
      </c>
      <c r="M23" s="648">
        <f>M9-'CONSOLIDADO_TOTAL RECAUDO'!M104</f>
        <v>-0.12999725341796875</v>
      </c>
      <c r="N23" s="648">
        <f>N9-'CONSOLIDADO_TOTAL RECAUDO'!N104</f>
        <v>-0.19999999925494194</v>
      </c>
      <c r="O23" s="648">
        <f>O9-'CONSOLIDADO_TOTAL RECAUDO'!O104</f>
        <v>-0.32999801635742188</v>
      </c>
    </row>
    <row r="24" spans="2:15" x14ac:dyDescent="0.35">
      <c r="B24" s="610" t="s">
        <v>116</v>
      </c>
      <c r="C24" s="610" t="s">
        <v>11</v>
      </c>
      <c r="D24" s="648">
        <f>D10-'CONSOLIDADO_TOTAL RECAUDO'!D105</f>
        <v>0.43999862670898438</v>
      </c>
      <c r="E24" s="648">
        <f>E10-'CONSOLIDADO_TOTAL RECAUDO'!E105</f>
        <v>-0.30000019073486328</v>
      </c>
      <c r="F24" s="648">
        <f>F10-'CONSOLIDADO_TOTAL RECAUDO'!F105</f>
        <v>-0.44000005722045898</v>
      </c>
      <c r="G24" s="648">
        <f>G10-'CONSOLIDADO_TOTAL RECAUDO'!G105</f>
        <v>0.43000000715255737</v>
      </c>
      <c r="H24" s="648">
        <f>H10-'CONSOLIDADO_TOTAL RECAUDO'!H105</f>
        <v>0.40000057220458984</v>
      </c>
      <c r="I24" s="648">
        <f>I10-'CONSOLIDADO_TOTAL RECAUDO'!I105</f>
        <v>-0.31000003218650818</v>
      </c>
      <c r="J24" s="648">
        <f>J10-'CONSOLIDADO_TOTAL RECAUDO'!J105</f>
        <v>0.48000049591064453</v>
      </c>
      <c r="K24" s="648">
        <f>K10-'CONSOLIDADO_TOTAL RECAUDO'!K105</f>
        <v>0.17999267578125</v>
      </c>
      <c r="L24" s="648">
        <f>L10-'CONSOLIDADO_TOTAL RECAUDO'!L105</f>
        <v>0</v>
      </c>
      <c r="M24" s="648">
        <f>M10-'CONSOLIDADO_TOTAL RECAUDO'!M105</f>
        <v>0.17999267578125</v>
      </c>
      <c r="N24" s="648">
        <f>N10-'CONSOLIDADO_TOTAL RECAUDO'!N105</f>
        <v>0.43999999761581421</v>
      </c>
      <c r="O24" s="648">
        <f>O10-'CONSOLIDADO_TOTAL RECAUDO'!O105</f>
        <v>-0.38000679016113281</v>
      </c>
    </row>
    <row r="25" spans="2:15" x14ac:dyDescent="0.35">
      <c r="B25" s="610" t="s">
        <v>117</v>
      </c>
      <c r="C25" s="610" t="s">
        <v>246</v>
      </c>
      <c r="D25" s="648">
        <f>D11-'CONSOLIDADO_TOTAL RECAUDO'!D106</f>
        <v>1.0004043579101563E-2</v>
      </c>
      <c r="E25" s="648">
        <f>E11-'CONSOLIDADO_TOTAL RECAUDO'!E106</f>
        <v>-0.41000008583068848</v>
      </c>
      <c r="F25" s="648">
        <f>F11-'CONSOLIDADO_TOTAL RECAUDO'!F106</f>
        <v>-0.40999996662139893</v>
      </c>
      <c r="G25" s="648">
        <f>G11-'CONSOLIDADO_TOTAL RECAUDO'!G106</f>
        <v>-0.43999999761581421</v>
      </c>
      <c r="H25" s="648">
        <f>H11-'CONSOLIDADO_TOTAL RECAUDO'!H106</f>
        <v>0.2500004768371582</v>
      </c>
      <c r="I25" s="648">
        <f>I11-'CONSOLIDADO_TOTAL RECAUDO'!I106</f>
        <v>0.49000000953674316</v>
      </c>
      <c r="J25" s="648">
        <f>J11-'CONSOLIDADO_TOTAL RECAUDO'!J106</f>
        <v>-0.40000009536743164</v>
      </c>
      <c r="K25" s="648">
        <f>K11-'CONSOLIDADO_TOTAL RECAUDO'!K106</f>
        <v>-6.9995880126953125E-2</v>
      </c>
      <c r="L25" s="648">
        <f>L11-'CONSOLIDADO_TOTAL RECAUDO'!L106</f>
        <v>0</v>
      </c>
      <c r="M25" s="648">
        <f>M11-'CONSOLIDADO_TOTAL RECAUDO'!M106</f>
        <v>-6.9995880126953125E-2</v>
      </c>
      <c r="N25" s="648">
        <f>N11-'CONSOLIDADO_TOTAL RECAUDO'!N106</f>
        <v>0.15000000596046448</v>
      </c>
      <c r="O25" s="648">
        <f>O11-'CONSOLIDADO_TOTAL RECAUDO'!O106</f>
        <v>8.0003738403320313E-2</v>
      </c>
    </row>
    <row r="26" spans="2:15" x14ac:dyDescent="0.35">
      <c r="B26" s="610" t="s">
        <v>247</v>
      </c>
      <c r="C26" s="610" t="s">
        <v>13</v>
      </c>
      <c r="D26" s="648">
        <f>D12-'CONSOLIDADO_TOTAL RECAUDO'!D107</f>
        <v>3.9998054504394531E-2</v>
      </c>
      <c r="E26" s="648">
        <f>E12-'CONSOLIDADO_TOTAL RECAUDO'!E107</f>
        <v>0.34999996423721313</v>
      </c>
      <c r="F26" s="648">
        <f>F12-'CONSOLIDADO_TOTAL RECAUDO'!F107</f>
        <v>-0.15999999642372131</v>
      </c>
      <c r="G26" s="648">
        <f>G12-'CONSOLIDADO_TOTAL RECAUDO'!G107</f>
        <v>0.3200000524520874</v>
      </c>
      <c r="H26" s="648">
        <f>H12-'CONSOLIDADO_TOTAL RECAUDO'!H107</f>
        <v>0.29999995231628418</v>
      </c>
      <c r="I26" s="648">
        <f>I12-'CONSOLIDADO_TOTAL RECAUDO'!I107</f>
        <v>-0.35999999940395355</v>
      </c>
      <c r="J26" s="648">
        <f>J12-'CONSOLIDADO_TOTAL RECAUDO'!J107</f>
        <v>0.3599998950958252</v>
      </c>
      <c r="K26" s="648">
        <f>K12-'CONSOLIDADO_TOTAL RECAUDO'!K107</f>
        <v>0.22999763488769531</v>
      </c>
      <c r="L26" s="648">
        <f>L12-'CONSOLIDADO_TOTAL RECAUDO'!L107</f>
        <v>0</v>
      </c>
      <c r="M26" s="648">
        <f>M12-'CONSOLIDADO_TOTAL RECAUDO'!M107</f>
        <v>0.22999763488769531</v>
      </c>
      <c r="N26" s="648">
        <f>N12-'CONSOLIDADO_TOTAL RECAUDO'!N107</f>
        <v>0.3600000012665987</v>
      </c>
      <c r="O26" s="648">
        <f>O12-'CONSOLIDADO_TOTAL RECAUDO'!O107</f>
        <v>-0.41000270843505859</v>
      </c>
    </row>
    <row r="27" spans="2:15" x14ac:dyDescent="0.35">
      <c r="B27" s="610" t="s">
        <v>118</v>
      </c>
      <c r="C27" s="610" t="s">
        <v>14</v>
      </c>
      <c r="D27" s="648">
        <f>D13-'CONSOLIDADO_TOTAL RECAUDO'!D108</f>
        <v>0.32000160217285156</v>
      </c>
      <c r="E27" s="648">
        <f>E13-'CONSOLIDADO_TOTAL RECAUDO'!E108</f>
        <v>0.27999997138977051</v>
      </c>
      <c r="F27" s="648">
        <f>F13-'CONSOLIDADO_TOTAL RECAUDO'!F108</f>
        <v>0.35000002384185791</v>
      </c>
      <c r="G27" s="648">
        <f>G13-'CONSOLIDADO_TOTAL RECAUDO'!G108</f>
        <v>-0.27999997138977051</v>
      </c>
      <c r="H27" s="648">
        <f>H13-'CONSOLIDADO_TOTAL RECAUDO'!H108</f>
        <v>-0.38000059127807617</v>
      </c>
      <c r="I27" s="648">
        <f>I13-'CONSOLIDADO_TOTAL RECAUDO'!I108</f>
        <v>-0.38000001013278961</v>
      </c>
      <c r="J27" s="648">
        <f>J13-'CONSOLIDADO_TOTAL RECAUDO'!J108</f>
        <v>-5.9999942779541016E-2</v>
      </c>
      <c r="K27" s="648">
        <f>K13-'CONSOLIDADO_TOTAL RECAUDO'!K108</f>
        <v>-0.20999717712402344</v>
      </c>
      <c r="L27" s="648">
        <f>L13-'CONSOLIDADO_TOTAL RECAUDO'!L108</f>
        <v>0</v>
      </c>
      <c r="M27" s="648">
        <f>M13-'CONSOLIDADO_TOTAL RECAUDO'!M108</f>
        <v>-0.20999717712402344</v>
      </c>
      <c r="N27" s="648">
        <f>N13-'CONSOLIDADO_TOTAL RECAUDO'!N108</f>
        <v>0.27999999932944775</v>
      </c>
      <c r="O27" s="648">
        <f>O13-'CONSOLIDADO_TOTAL RECAUDO'!O108</f>
        <v>7.0002555847167969E-2</v>
      </c>
    </row>
    <row r="28" spans="2:15" x14ac:dyDescent="0.35">
      <c r="B28" s="610" t="s">
        <v>248</v>
      </c>
      <c r="C28" s="610" t="s">
        <v>70</v>
      </c>
      <c r="D28" s="648">
        <f>D14-'CONSOLIDADO_TOTAL RECAUDO'!D109</f>
        <v>0.7700042724609375</v>
      </c>
      <c r="E28" s="648">
        <f>E14-'CONSOLIDADO_TOTAL RECAUDO'!E109</f>
        <v>-0.52999973297119141</v>
      </c>
      <c r="F28" s="648">
        <f>F14-'CONSOLIDADO_TOTAL RECAUDO'!F109</f>
        <v>-0.19000005722045898</v>
      </c>
      <c r="G28" s="648">
        <f>G14-'CONSOLIDADO_TOTAL RECAUDO'!G109</f>
        <v>-0.29999995231628418</v>
      </c>
      <c r="H28" s="648">
        <f>H14-'CONSOLIDADO_TOTAL RECAUDO'!H109</f>
        <v>0.1399993896484375</v>
      </c>
      <c r="I28" s="648">
        <f>I14-'CONSOLIDADO_TOTAL RECAUDO'!I109</f>
        <v>-8.0000042915344238E-2</v>
      </c>
      <c r="J28" s="648">
        <f>J14-'CONSOLIDADO_TOTAL RECAUDO'!J109</f>
        <v>0.73000144958496094</v>
      </c>
      <c r="K28" s="648">
        <f>K14-'CONSOLIDADO_TOTAL RECAUDO'!K109</f>
        <v>0</v>
      </c>
      <c r="L28" s="648">
        <f>L14-'CONSOLIDADO_TOTAL RECAUDO'!L109</f>
        <v>0</v>
      </c>
      <c r="M28" s="648">
        <f>M14-'CONSOLIDADO_TOTAL RECAUDO'!M109</f>
        <v>0</v>
      </c>
      <c r="N28" s="648">
        <f>N14-'CONSOLIDADO_TOTAL RECAUDO'!N109</f>
        <v>1.0300000011920929</v>
      </c>
      <c r="O28" s="648">
        <f>O14-'CONSOLIDADO_TOTAL RECAUDO'!O109</f>
        <v>-0.97000885009765625</v>
      </c>
    </row>
    <row r="31" spans="2:15" ht="34.5" x14ac:dyDescent="0.35">
      <c r="C31" s="646" t="s">
        <v>9</v>
      </c>
      <c r="D31" s="646" t="s">
        <v>4</v>
      </c>
      <c r="E31" s="646" t="s">
        <v>5</v>
      </c>
      <c r="F31" s="646" t="s">
        <v>6</v>
      </c>
      <c r="G31" s="646" t="s">
        <v>159</v>
      </c>
      <c r="H31" s="646" t="s">
        <v>18</v>
      </c>
      <c r="I31" s="646" t="s">
        <v>24</v>
      </c>
      <c r="J31" s="709" t="s">
        <v>19</v>
      </c>
      <c r="K31" s="647" t="s">
        <v>20</v>
      </c>
      <c r="L31" s="709" t="s">
        <v>21</v>
      </c>
      <c r="M31" s="647" t="s">
        <v>22</v>
      </c>
      <c r="N31" s="646" t="s">
        <v>7</v>
      </c>
      <c r="O31" s="647" t="s">
        <v>23</v>
      </c>
    </row>
    <row r="32" spans="2:15" x14ac:dyDescent="0.35">
      <c r="B32" s="610" t="s">
        <v>115</v>
      </c>
      <c r="C32" s="338" t="s">
        <v>10</v>
      </c>
      <c r="D32" s="651" t="b">
        <f>+D23+'Reporte Componentes R1'!F46+'Rem. Anticipos R2'!E43+'Reversion Pagos R4'!D70+'Reporte Componentes R1'!F48+'AJUSTES - SF-T'!D47=D9</f>
        <v>1</v>
      </c>
      <c r="E32" s="651" t="b">
        <f>+E23+'Reporte Componentes R1'!G46+'Rem. Anticipos R2'!F43+'Reversion Pagos R4'!E70+'Reporte Componentes R1'!G48+'AJUSTES - SF-T'!E47=E9</f>
        <v>1</v>
      </c>
      <c r="F32" s="651" t="b">
        <f>+F23+'Reporte Componentes R1'!H46+'Rem. Anticipos R2'!G43+'Reversion Pagos R4'!F70+'Reporte Componentes R1'!H48+'AJUSTES - SF-T'!F47=F9</f>
        <v>1</v>
      </c>
      <c r="G32" s="651" t="b">
        <f>+G23+'Reporte Componentes R1'!I46+'Rem. Anticipos R2'!H43+'Reversion Pagos R4'!G70+'Reporte Componentes R1'!I48+'AJUSTES - SF-T'!G47=G9</f>
        <v>1</v>
      </c>
      <c r="H32" s="651" t="b">
        <f>+H23+'Reporte Componentes R1'!J46+'Rem. Anticipos R2'!I43+'Reversion Pagos R4'!H70+'Reporte Componentes R1'!J48+'AJUSTES - SF-T'!H47=H9</f>
        <v>1</v>
      </c>
      <c r="I32" s="651" t="b">
        <f>+I23+'Reporte Componentes R1'!K46+'Rem. Anticipos R2'!J43+'Reversion Pagos R4'!I70+'Reporte Componentes R1'!K48+'AJUSTES - SF-T'!I47=I9</f>
        <v>1</v>
      </c>
      <c r="J32" s="651" t="b">
        <f>+'BCE SC POR FACT.'!F3+J23=J9</f>
        <v>1</v>
      </c>
      <c r="K32" s="651" t="b">
        <f>('Reporte Componentes R1'!F46+'Rem. Anticipos R2'!E43+'Reversion Pagos R4'!D70+'Reporte Componentes R1'!F48-('Reporte Componentes R1'!G46+'Rem. Anticipos R2'!F43+'Reversion Pagos R4'!E70+'Reporte Componentes R1'!G48+'Reporte Componentes R1'!H46+'Rem. Anticipos R2'!G43+'Reversion Pagos R4'!F70+'Reporte Componentes R1'!H48+'Reporte Componentes R1'!I46+'Rem. Anticipos R2'!H43+'Reversion Pagos R4'!G70+'Reporte Componentes R1'!I48+'Reporte Componentes R1'!J46+'Rem. Anticipos R2'!I43+'Reversion Pagos R4'!H70+'Reporte Componentes R1'!J48+'Reporte Componentes R1'!K46+'Rem. Anticipos R2'!J43+'Reversion Pagos R4'!I70+'Reporte Componentes R1'!K48+'BCE SC POR FACT.'!F3)+K23)+'AJUSTES - SF-T'!K47=K9</f>
        <v>1</v>
      </c>
      <c r="L32" s="698" t="b">
        <f>INTERVENTORIA!M26+L23=L9</f>
        <v>1</v>
      </c>
      <c r="M32" s="648" t="b">
        <f>((('Reporte Componentes R1'!F46+'Rem. Anticipos R2'!E43+'Reversion Pagos R4'!D70+'Reporte Componentes R1'!F48-('Reporte Componentes R1'!G46+'Rem. Anticipos R2'!F43+'Reversion Pagos R4'!E70+'Reporte Componentes R1'!G48+'Reporte Componentes R1'!H46+'Rem. Anticipos R2'!G43+'Reversion Pagos R4'!F70+'Reporte Componentes R1'!H48+'Reporte Componentes R1'!I46+'Rem. Anticipos R2'!H43+'Reversion Pagos R4'!G70+'Reporte Componentes R1'!I48+'Reporte Componentes R1'!J46+'Rem. Anticipos R2'!I43+'Reversion Pagos R4'!H70+'Reporte Componentes R1'!J48+'Reporte Componentes R1'!K46+'Rem. Anticipos R2'!J43+'Reversion Pagos R4'!I70+'Reporte Componentes R1'!K48+'BCE SC POR FACT.'!F3))-INTERVENTORIA!F15)+M23)+'AJUSTES - SF-T'!M47=M9</f>
        <v>1</v>
      </c>
      <c r="N32" s="648" t="b">
        <f>'Reporte Componentes R1'!L46+'Rem. Anticipos R2'!K43+'Reversion Pagos R4'!P70+'Reporte Componentes R1'!L48+N23=N9</f>
        <v>1</v>
      </c>
      <c r="O32" s="648" t="b">
        <f>((('Reporte Componentes R1'!F46+'Rem. Anticipos R2'!E43+'Reversion Pagos R4'!D70+'Reporte Componentes R1'!F48-('Reporte Componentes R1'!G46+'Rem. Anticipos R2'!F43+'Reversion Pagos R4'!E70+'Reporte Componentes R1'!G48+'Reporte Componentes R1'!H46+'Rem. Anticipos R2'!G43+'Reversion Pagos R4'!F70+'Reporte Componentes R1'!H48+'Reporte Componentes R1'!I46+'Rem. Anticipos R2'!H43+'Reversion Pagos R4'!G70+'Reporte Componentes R1'!I48+'Reporte Componentes R1'!J46+'Rem. Anticipos R2'!I43+'Reversion Pagos R4'!H70+'Reporte Componentes R1'!J48+'Reporte Componentes R1'!K46+'Rem. Anticipos R2'!J43+'Reversion Pagos R4'!I70+'Reporte Componentes R1'!K48+'BCE SC POR FACT.'!F3))-INTERVENTORIA!M26))+'Reporte Componentes R1'!L46+'Rem. Anticipos R2'!K43+'Reversion Pagos R4'!P70+'Reporte Componentes R1'!L48+O23+'AJUSTES - SF-T'!O47=O9</f>
        <v>1</v>
      </c>
    </row>
    <row r="33" spans="2:15" x14ac:dyDescent="0.35">
      <c r="B33" s="610" t="s">
        <v>116</v>
      </c>
      <c r="C33" s="338" t="s">
        <v>11</v>
      </c>
      <c r="D33" s="651" t="b">
        <f>+D24+'Reporte Componentes R1'!F200+'Rem. Anticipos R2'!E136+'Reversion Pagos R4'!D170+'Reporte Componentes R1'!F202+'AJUSTES - SF-T'!D48=D10</f>
        <v>1</v>
      </c>
      <c r="E33" s="651" t="b">
        <f>+E24+'Reporte Componentes R1'!G200+'Rem. Anticipos R2'!F136+'Reversion Pagos R4'!E170+'Reporte Componentes R1'!G202+'AJUSTES - SF-T'!E48=E10</f>
        <v>1</v>
      </c>
      <c r="F33" s="651" t="b">
        <f>+F24+'Reporte Componentes R1'!H200+'Rem. Anticipos R2'!G136+'Reversion Pagos R4'!F170+'Reporte Componentes R1'!H202+'AJUSTES - SF-T'!F48=F10</f>
        <v>1</v>
      </c>
      <c r="G33" s="651" t="b">
        <f>+G24+'Reporte Componentes R1'!I200+'Rem. Anticipos R2'!H136+'Reversion Pagos R4'!G170+'Reporte Componentes R1'!I202+'AJUSTES - SF-T'!G48=G10</f>
        <v>1</v>
      </c>
      <c r="H33" s="651" t="b">
        <f>+H24+'Reporte Componentes R1'!J200+'Rem. Anticipos R2'!I136+'Reversion Pagos R4'!H170+'Reporte Componentes R1'!J202+'AJUSTES - SF-T'!H48=H10</f>
        <v>1</v>
      </c>
      <c r="I33" s="651" t="b">
        <f>+I24+'Reporte Componentes R1'!K200+'Rem. Anticipos R2'!J136+'Reversion Pagos R4'!I170+'Reporte Componentes R1'!K202+'AJUSTES - SF-T'!I48=I10</f>
        <v>1</v>
      </c>
      <c r="J33" s="651" t="b">
        <f>+'BCE SC POR FACT.'!F4+J24=J10</f>
        <v>1</v>
      </c>
      <c r="K33" s="648" t="b">
        <f>('Reporte Componentes R1'!F200+'Rem. Anticipos R2'!E136+'Reversion Pagos R4'!D170+'Reporte Componentes R1'!F202-('Reporte Componentes R1'!G200+'Rem. Anticipos R2'!F136+'Reversion Pagos R4'!E170+'Reporte Componentes R1'!G202+'Reporte Componentes R1'!H200+'Rem. Anticipos R2'!G136+'Reversion Pagos R4'!F170+'Reporte Componentes R1'!H202+'Reporte Componentes R1'!I200+'Rem. Anticipos R2'!H136+'Reversion Pagos R4'!G170+'Reporte Componentes R1'!I202+'Reporte Componentes R1'!J200+'Rem. Anticipos R2'!I136+'Reversion Pagos R4'!H170+'Reporte Componentes R1'!J202+'Reporte Componentes R1'!K200+'Rem. Anticipos R2'!J136+'Reversion Pagos R4'!I170+'Reporte Componentes R1'!K202+'BCE SC POR FACT.'!F4)+K24)+'AJUSTES - SF-T'!K48=K10</f>
        <v>1</v>
      </c>
      <c r="L33" s="698" t="b">
        <f>INTERVENTORIA!M27+L24=L10</f>
        <v>1</v>
      </c>
      <c r="M33" s="648" t="b">
        <f>((('Reporte Componentes R1'!F200+'Rem. Anticipos R2'!E136+'Reversion Pagos R4'!D170+'Reporte Componentes R1'!F202-('Reporte Componentes R1'!G200+'Rem. Anticipos R2'!F136+'Reversion Pagos R4'!E170+'Reporte Componentes R1'!G202+'Reporte Componentes R1'!H200+'Rem. Anticipos R2'!G136+'Reversion Pagos R4'!F170+'Reporte Componentes R1'!H202+'Reporte Componentes R1'!I200+'Rem. Anticipos R2'!H136+'Reversion Pagos R4'!G170+'Reporte Componentes R1'!I202+'Reporte Componentes R1'!J200+'Rem. Anticipos R2'!I136+'Reversion Pagos R4'!H170+'Reporte Componentes R1'!J202+'Reporte Componentes R1'!K200+'Rem. Anticipos R2'!J136+'Reversion Pagos R4'!I170+'Reporte Componentes R1'!K202+'BCE SC POR FACT.'!F4))+M24)-INTERVENTORIA!F16)+'AJUSTES - SF-T'!M48=M10</f>
        <v>1</v>
      </c>
      <c r="N33" s="648" t="b">
        <f>+'Reporte Componentes R1'!L200+'Rem. Anticipos R2'!K136+'Reversion Pagos R4'!P170+'Reporte Componentes R1'!L202+N24=N10</f>
        <v>1</v>
      </c>
      <c r="O33" s="648" t="b">
        <f>((('Reporte Componentes R1'!F200+'Rem. Anticipos R2'!E136+'Reversion Pagos R4'!D170+'Reporte Componentes R1'!F202-('Reporte Componentes R1'!G200+'Rem. Anticipos R2'!F136+'Reversion Pagos R4'!E170+'Reporte Componentes R1'!G202+'Reporte Componentes R1'!H200+'Rem. Anticipos R2'!G136+'Reversion Pagos R4'!F170+'Reporte Componentes R1'!H202+'Reporte Componentes R1'!I200+'Rem. Anticipos R2'!H136+'Reversion Pagos R4'!G170+'Reporte Componentes R1'!I202+'Reporte Componentes R1'!J200+'Rem. Anticipos R2'!I136+'Reversion Pagos R4'!H170+'Reporte Componentes R1'!J202+'Reporte Componentes R1'!K200+'Rem. Anticipos R2'!J136+'Reversion Pagos R4'!I170+'Reporte Componentes R1'!K202+'BCE SC POR FACT.'!F4)))-INTERVENTORIA!M27)+O24+'Reporte Componentes R1'!L200+'Rem. Anticipos R2'!K136+'Reversion Pagos R4'!P170+'Reporte Componentes R1'!L202+'AJUSTES - SF-T'!O48=O10</f>
        <v>1</v>
      </c>
    </row>
    <row r="34" spans="2:15" x14ac:dyDescent="0.35">
      <c r="B34" s="610" t="s">
        <v>117</v>
      </c>
      <c r="C34" s="338" t="s">
        <v>12</v>
      </c>
      <c r="D34" s="651" t="b">
        <f>+'Reporte Componentes R1'!F339+'Reporte Componentes R1'!F341+'Rem. Anticipos R2'!E253+'Reversion Pagos R4'!D201+D25+'AJUSTES - SF-T'!D49=D11</f>
        <v>1</v>
      </c>
      <c r="E34" s="651" t="b">
        <f>+'Reporte Componentes R1'!G339+'Reporte Componentes R1'!G341+'Rem. Anticipos R2'!F253+'Reversion Pagos R4'!E201+E25+'AJUSTES - SF-T'!E49=E11</f>
        <v>1</v>
      </c>
      <c r="F34" s="651" t="b">
        <f>+'Reporte Componentes R1'!H339+'Reporte Componentes R1'!H341+'Rem. Anticipos R2'!G253+'Reversion Pagos R4'!F201+F25+'AJUSTES - SF-T'!F49=F11</f>
        <v>1</v>
      </c>
      <c r="G34" s="651" t="b">
        <f>+'Reporte Componentes R1'!I339+'Reporte Componentes R1'!I341+'Rem. Anticipos R2'!H253+'Reversion Pagos R4'!G201+G25+'AJUSTES - SF-T'!G49=G11</f>
        <v>1</v>
      </c>
      <c r="H34" s="651" t="b">
        <f>+'Reporte Componentes R1'!J339+'Reporte Componentes R1'!J341+'Rem. Anticipos R2'!I253+'Reversion Pagos R4'!H201+H25+'AJUSTES - SF-T'!H49=H11</f>
        <v>1</v>
      </c>
      <c r="I34" s="651" t="b">
        <f>+'Reporte Componentes R1'!K339+'Reporte Componentes R1'!K341+'Rem. Anticipos R2'!J253+'Reversion Pagos R4'!I201+I25+'AJUSTES - SF-T'!I49=I11</f>
        <v>1</v>
      </c>
      <c r="J34" s="651" t="b">
        <f>+'BCE SC POR FACT.'!F5+J25=J11</f>
        <v>1</v>
      </c>
      <c r="K34" s="648" t="b">
        <f>+'Reporte Componentes R1'!F339+'Reporte Componentes R1'!F341+'Rem. Anticipos R2'!E253+'Reversion Pagos R4'!D201-('Reporte Componentes R1'!G339+'Reporte Componentes R1'!G341+'Rem. Anticipos R2'!F253+'Reversion Pagos R4'!E201+'Reporte Componentes R1'!H339+'Reporte Componentes R1'!H341+'Rem. Anticipos R2'!G253+'Reversion Pagos R4'!F201+'Reporte Componentes R1'!I339+'Reporte Componentes R1'!I341+'Rem. Anticipos R2'!H253+'Reversion Pagos R4'!G201+'Reporte Componentes R1'!J339+'Reporte Componentes R1'!J341+'Rem. Anticipos R2'!I253+'Reversion Pagos R4'!H201+'Reporte Componentes R1'!K339+'Reporte Componentes R1'!K341+'Rem. Anticipos R2'!J253+'Reversion Pagos R4'!I201+'BCE SC POR FACT.'!F5)+K25+'AJUSTES - SF-T'!K49=K11</f>
        <v>1</v>
      </c>
      <c r="L34" s="698" t="b">
        <f>INTERVENTORIA!M28+L25=L11</f>
        <v>1</v>
      </c>
      <c r="M34" s="648" t="b">
        <f>((('Reporte Componentes R1'!F339+'Reporte Componentes R1'!F341+'Rem. Anticipos R2'!E253+'Reversion Pagos R4'!D201-('Reporte Componentes R1'!G339+'Reporte Componentes R1'!G341+'Rem. Anticipos R2'!F253+'Reversion Pagos R4'!E201+'Reporte Componentes R1'!H339+'Reporte Componentes R1'!H341+'Rem. Anticipos R2'!G253+'Reversion Pagos R4'!F201+'Reporte Componentes R1'!I339+'Reporte Componentes R1'!I341+'Rem. Anticipos R2'!H253+'Reversion Pagos R4'!G201+'Reporte Componentes R1'!J339+'Reporte Componentes R1'!J341+'Rem. Anticipos R2'!I253+'Reversion Pagos R4'!H201+'Reporte Componentes R1'!K339+'Reporte Componentes R1'!K341+'Rem. Anticipos R2'!J253+'Reversion Pagos R4'!I201+'BCE SC POR FACT.'!F5))+M25)-INTERVENTORIA!F17)+'AJUSTES - SF-T'!M49=M11</f>
        <v>1</v>
      </c>
      <c r="N34" s="648" t="b">
        <f>+'Reporte Componentes R1'!L339+'Reporte Componentes R1'!L341+'Rem. Anticipos R2'!K253+'Reversion Pagos R4'!P201+N25=N11</f>
        <v>1</v>
      </c>
      <c r="O34" s="648" t="b">
        <f>((('Reporte Componentes R1'!F339+'Reporte Componentes R1'!F341+'Rem. Anticipos R2'!E253+'Reversion Pagos R4'!D201-('Reporte Componentes R1'!G339+'Reporte Componentes R1'!G341+'Rem. Anticipos R2'!F253+'Reversion Pagos R4'!E201+'Reporte Componentes R1'!H339+'Reporte Componentes R1'!H341+'Rem. Anticipos R2'!G253+'Reversion Pagos R4'!F201+'Reporte Componentes R1'!I339+'Reporte Componentes R1'!I341+'Rem. Anticipos R2'!H253+'Reversion Pagos R4'!G201+'Reporte Componentes R1'!J339+'Reporte Componentes R1'!J341+'Rem. Anticipos R2'!I253+'Reversion Pagos R4'!H201+'Reporte Componentes R1'!K339+'Reporte Componentes R1'!K341+'Rem. Anticipos R2'!J253+'Reversion Pagos R4'!I201+'BCE SC POR FACT.'!F5)))-INTERVENTORIA!M28)++'Reporte Componentes R1'!L339+'Reporte Componentes R1'!L341+'Rem. Anticipos R2'!K253+'Reversion Pagos R4'!P201+O25+'AJUSTES - SF-T'!O49=O11</f>
        <v>1</v>
      </c>
    </row>
    <row r="35" spans="2:15" x14ac:dyDescent="0.35">
      <c r="B35" s="610" t="s">
        <v>247</v>
      </c>
      <c r="C35" s="338" t="s">
        <v>13</v>
      </c>
      <c r="D35" s="651" t="b">
        <f>+'Reporte Componentes R1'!F472+'Reporte Componentes R1'!F474+'Rem. Anticipos R2'!E352+'Reversion Pagos R4'!D316+D26+'AJUSTES - SF-T'!D50=D12</f>
        <v>1</v>
      </c>
      <c r="E35" s="651" t="b">
        <f>+'Reporte Componentes R1'!G472+'Reporte Componentes R1'!G474+'Rem. Anticipos R2'!F352+'Reversion Pagos R4'!E316+E26+'AJUSTES - SF-T'!E50=E12</f>
        <v>1</v>
      </c>
      <c r="F35" s="651" t="b">
        <f>+'Reporte Componentes R1'!H472+'Reporte Componentes R1'!H474+'Rem. Anticipos R2'!G352+'Reversion Pagos R4'!F316+F26+'AJUSTES - SF-T'!F50=F12</f>
        <v>1</v>
      </c>
      <c r="G35" s="651" t="b">
        <f>+'Reporte Componentes R1'!I472+'Reporte Componentes R1'!I474+'Rem. Anticipos R2'!H352+'Reversion Pagos R4'!G316+G26+'AJUSTES - SF-T'!G50=G12</f>
        <v>1</v>
      </c>
      <c r="H35" s="651" t="b">
        <f>+'Reporte Componentes R1'!J472+'Reporte Componentes R1'!J474+'Rem. Anticipos R2'!I352+'Reversion Pagos R4'!H316+H26+'AJUSTES - SF-T'!H50=H12</f>
        <v>1</v>
      </c>
      <c r="I35" s="651" t="b">
        <f>+'Reporte Componentes R1'!K472+'Reporte Componentes R1'!K474+'Rem. Anticipos R2'!J352+'Reversion Pagos R4'!I316+I26+'AJUSTES - SF-T'!I50=I12</f>
        <v>1</v>
      </c>
      <c r="J35" s="651" t="b">
        <f>+J26+'BCE SC POR FACT.'!F6=J12</f>
        <v>1</v>
      </c>
      <c r="K35" s="648" t="b">
        <f>+'Reporte Componentes R1'!F472+'Reporte Componentes R1'!F474+'Rem. Anticipos R2'!E352+'Reversion Pagos R4'!D316-('Reporte Componentes R1'!G472+'Reporte Componentes R1'!G474+'Rem. Anticipos R2'!F352+'Reversion Pagos R4'!E316+'Reporte Componentes R1'!H472+'Reporte Componentes R1'!H474+'Rem. Anticipos R2'!G352+'Reversion Pagos R4'!F316+'Reporte Componentes R1'!I472+'Reporte Componentes R1'!I474+'Rem. Anticipos R2'!H352+'Reversion Pagos R4'!G316+'Reporte Componentes R1'!J472+'Reporte Componentes R1'!J474+'Rem. Anticipos R2'!I352+'Reversion Pagos R4'!H316+'Reporte Componentes R1'!K472+'Reporte Componentes R1'!K474+'Rem. Anticipos R2'!J352+'Reversion Pagos R4'!I316+'BCE SC POR FACT.'!F6)+K26+'AJUSTES - SF-T'!K50=K12</f>
        <v>1</v>
      </c>
      <c r="L35" s="698" t="b">
        <f>INTERVENTORIA!M29+L26=L12</f>
        <v>1</v>
      </c>
      <c r="M35" s="648" t="b">
        <f>((('Reporte Componentes R1'!F472+'Reporte Componentes R1'!F474+'Rem. Anticipos R2'!E352+'Reversion Pagos R4'!D316-('Reporte Componentes R1'!G472+'Reporte Componentes R1'!G474+'Rem. Anticipos R2'!F352+'Reversion Pagos R4'!E316+'Reporte Componentes R1'!H472+'Reporte Componentes R1'!H474+'Rem. Anticipos R2'!G352+'Reversion Pagos R4'!F316+'Reporte Componentes R1'!I472+'Reporte Componentes R1'!I474+'Rem. Anticipos R2'!H352+'Reversion Pagos R4'!G316+'Reporte Componentes R1'!J472+'Reporte Componentes R1'!J474+'Rem. Anticipos R2'!I352+'Reversion Pagos R4'!H316+'Reporte Componentes R1'!K472+'Reporte Componentes R1'!K474+'Rem. Anticipos R2'!J352+'Reversion Pagos R4'!I316+'BCE SC POR FACT.'!F6))+M26)-INTERVENTORIA!F18)+'AJUSTES - SF-T'!M50=M12</f>
        <v>1</v>
      </c>
      <c r="N35" s="648" t="b">
        <f>+'Reporte Componentes R1'!L472+'Reporte Componentes R1'!L474+'Rem. Anticipos R2'!K352+'Reversion Pagos R4'!P316+N26=N12</f>
        <v>1</v>
      </c>
      <c r="O35" s="648" t="b">
        <f>((('Reporte Componentes R1'!F472+'Reporte Componentes R1'!F474+'Rem. Anticipos R2'!E352+'Reversion Pagos R4'!D316-('Reporte Componentes R1'!G472+'Reporte Componentes R1'!G474+'Rem. Anticipos R2'!F352+'Reversion Pagos R4'!E316+'Reporte Componentes R1'!H472+'Reporte Componentes R1'!H474+'Rem. Anticipos R2'!G352+'Reversion Pagos R4'!F316+'Reporte Componentes R1'!I472+'Reporte Componentes R1'!I474+'Rem. Anticipos R2'!H352+'Reversion Pagos R4'!G316+'Reporte Componentes R1'!J472+'Reporte Componentes R1'!J474+'Rem. Anticipos R2'!I352+'Reversion Pagos R4'!H316+'Reporte Componentes R1'!K472+'Reporte Componentes R1'!K474+'Rem. Anticipos R2'!J352+'Reversion Pagos R4'!I316+'BCE SC POR FACT.'!F6)))-INTERVENTORIA!M29)+'Reporte Componentes R1'!L472+'Reporte Componentes R1'!L474+'Rem. Anticipos R2'!K352+'Reversion Pagos R4'!P316+O26+'AJUSTES - SF-T'!O50=O12</f>
        <v>1</v>
      </c>
    </row>
    <row r="36" spans="2:15" x14ac:dyDescent="0.35">
      <c r="B36" s="610" t="s">
        <v>118</v>
      </c>
      <c r="C36" s="338" t="s">
        <v>14</v>
      </c>
      <c r="D36" s="651" t="b">
        <f>+D27+'Reporte Componentes R1'!F551+'Reporte Componentes R1'!F553+'Rem. Anticipos R2'!E432+'Reversion Pagos R4'!D345+'AJUSTES - SF-T'!D51=D13</f>
        <v>1</v>
      </c>
      <c r="E36" s="651" t="b">
        <f>+E27+'Reporte Componentes R1'!G551+'Reporte Componentes R1'!G553+'Rem. Anticipos R2'!F432+'Reversion Pagos R4'!E345+'AJUSTES - SF-T'!E51=E13</f>
        <v>1</v>
      </c>
      <c r="F36" s="651" t="b">
        <f>+F27+'Reporte Componentes R1'!H551+'Reporte Componentes R1'!H553+'Rem. Anticipos R2'!G432+'Reversion Pagos R4'!F345+'AJUSTES - SF-T'!F51=F13</f>
        <v>1</v>
      </c>
      <c r="G36" s="651" t="b">
        <f>+G27+'Reporte Componentes R1'!I551+'Reporte Componentes R1'!I553+'Rem. Anticipos R2'!H432+'Reversion Pagos R4'!G345+'AJUSTES - SF-T'!G51=G13</f>
        <v>1</v>
      </c>
      <c r="H36" s="651" t="b">
        <f>+H27+'Reporte Componentes R1'!J551+'Reporte Componentes R1'!J553+'Rem. Anticipos R2'!I432+'Reversion Pagos R4'!H345+'AJUSTES - SF-T'!H51=H13</f>
        <v>1</v>
      </c>
      <c r="I36" s="651" t="b">
        <f>+I27+'Reporte Componentes R1'!K551+'Reporte Componentes R1'!K553+'Rem. Anticipos R2'!J432+'Reversion Pagos R4'!I345+'AJUSTES - SF-T'!I51=I13</f>
        <v>1</v>
      </c>
      <c r="J36" s="651" t="b">
        <f>+'BCE SC POR FACT.'!F7+J27=J13</f>
        <v>1</v>
      </c>
      <c r="K36" s="648" t="b">
        <f>+'Reporte Componentes R1'!F551+'Reporte Componentes R1'!F553+'Rem. Anticipos R2'!E432+'Reversion Pagos R4'!D345-('Reporte Componentes R1'!G551+'Reporte Componentes R1'!G553+'Rem. Anticipos R2'!F432+'Reversion Pagos R4'!E345+'Reporte Componentes R1'!H551+'Reporte Componentes R1'!H553+'Rem. Anticipos R2'!G432+'Reversion Pagos R4'!F345+'Reporte Componentes R1'!I551+'Reporte Componentes R1'!I553+'Rem. Anticipos R2'!H432+'Reversion Pagos R4'!G345+'Reporte Componentes R1'!J551+'Reporte Componentes R1'!J553+'Rem. Anticipos R2'!I432+'Reversion Pagos R4'!H345+'Reporte Componentes R1'!K551+'Reporte Componentes R1'!K553+'Rem. Anticipos R2'!J432+'Reversion Pagos R4'!I345+'BCE SC POR FACT.'!F7)+K27+'AJUSTES - SF-T'!K51=K13</f>
        <v>1</v>
      </c>
      <c r="L36" s="698" t="b">
        <f>INTERVENTORIA!M30+L27=L13</f>
        <v>1</v>
      </c>
      <c r="M36" s="648" t="b">
        <f>((('Reporte Componentes R1'!F551+'Reporte Componentes R1'!F553+'Rem. Anticipos R2'!E432+'Reversion Pagos R4'!D345-('Reporte Componentes R1'!G551+'Reporte Componentes R1'!G553+'Rem. Anticipos R2'!F432+'Reversion Pagos R4'!E345+'Reporte Componentes R1'!H551+'Reporte Componentes R1'!H553+'Rem. Anticipos R2'!G432+'Reversion Pagos R4'!F345+'Reporte Componentes R1'!I551+'Reporte Componentes R1'!I553+'Rem. Anticipos R2'!H432+'Reversion Pagos R4'!G345+'Reporte Componentes R1'!J551+'Reporte Componentes R1'!J553+'Rem. Anticipos R2'!I432+'Reversion Pagos R4'!H345+'Reporte Componentes R1'!K551+'Reporte Componentes R1'!K553+'Rem. Anticipos R2'!J432+'Reversion Pagos R4'!I345+'BCE SC POR FACT.'!F7))+M27)-INTERVENTORIA!F19)+'AJUSTES - SF-T'!M51=M13</f>
        <v>1</v>
      </c>
      <c r="N36" s="648" t="b">
        <f>+'Reporte Componentes R1'!L551+'Reporte Componentes R1'!L553+'Rem. Anticipos R2'!K432+'Reversion Pagos R4'!P345+N27=N13</f>
        <v>1</v>
      </c>
      <c r="O36" s="648" t="b">
        <f>((('Reporte Componentes R1'!F551+'Reporte Componentes R1'!F553+'Rem. Anticipos R2'!E432+'Reversion Pagos R4'!D345-('Reporte Componentes R1'!G551+'Reporte Componentes R1'!G553+'Rem. Anticipos R2'!F432+'Reversion Pagos R4'!E345+'Reporte Componentes R1'!H551+'Reporte Componentes R1'!H553+'Rem. Anticipos R2'!G432+'Reversion Pagos R4'!F345+'Reporte Componentes R1'!I551+'Reporte Componentes R1'!I553+'Rem. Anticipos R2'!H432+'Reversion Pagos R4'!G345+'Reporte Componentes R1'!J551+'Reporte Componentes R1'!J553+'Rem. Anticipos R2'!I432+'Reversion Pagos R4'!H345+'Reporte Componentes R1'!K551+'Reporte Componentes R1'!K553+'Rem. Anticipos R2'!J432+'Reversion Pagos R4'!I345+'BCE SC POR FACT.'!F7)))-INTERVENTORIA!M30)+'Reporte Componentes R1'!L551+'Reporte Componentes R1'!L553+'Rem. Anticipos R2'!K432+'Reversion Pagos R4'!P345+O27+'AJUSTES - SF-T'!O51=O13</f>
        <v>1</v>
      </c>
    </row>
    <row r="38" spans="2:15" x14ac:dyDescent="0.35">
      <c r="N38" s="652"/>
    </row>
    <row r="39" spans="2:15" x14ac:dyDescent="0.35">
      <c r="D39" s="652"/>
      <c r="L39" s="697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A8" workbookViewId="0">
      <selection activeCell="A32" sqref="A32"/>
    </sheetView>
  </sheetViews>
  <sheetFormatPr baseColWidth="10" defaultColWidth="11.453125" defaultRowHeight="14.5" x14ac:dyDescent="0.35"/>
  <cols>
    <col min="1" max="1" width="2.81640625" style="609" customWidth="1"/>
    <col min="2" max="2" width="7.1796875" style="609" customWidth="1"/>
    <col min="3" max="3" width="42.81640625" style="609" customWidth="1"/>
    <col min="4" max="15" width="28.54296875" style="609" customWidth="1"/>
    <col min="16" max="16384" width="11.453125" style="609"/>
  </cols>
  <sheetData>
    <row r="1" spans="2:15" customFormat="1" ht="12.5" x14ac:dyDescent="0.25"/>
    <row r="2" spans="2:15" customFormat="1" ht="12.5" x14ac:dyDescent="0.25"/>
    <row r="3" spans="2:15" customFormat="1" x14ac:dyDescent="0.25">
      <c r="F3" s="660" t="s">
        <v>8</v>
      </c>
      <c r="H3" s="660" t="s">
        <v>16</v>
      </c>
      <c r="J3" s="660" t="s">
        <v>227</v>
      </c>
      <c r="K3" s="660" t="s">
        <v>341</v>
      </c>
    </row>
    <row r="4" spans="2:15" customFormat="1" x14ac:dyDescent="0.25">
      <c r="F4" s="660" t="s">
        <v>29</v>
      </c>
    </row>
    <row r="5" spans="2:15" customFormat="1" x14ac:dyDescent="0.25">
      <c r="F5" s="660" t="s">
        <v>228</v>
      </c>
    </row>
    <row r="6" spans="2:15" customFormat="1" x14ac:dyDescent="0.25">
      <c r="C6" s="660" t="s">
        <v>229</v>
      </c>
      <c r="D6" s="660" t="s">
        <v>342</v>
      </c>
      <c r="F6" s="660" t="s">
        <v>230</v>
      </c>
    </row>
    <row r="7" spans="2:15" customFormat="1" x14ac:dyDescent="0.25">
      <c r="C7" s="660" t="s">
        <v>231</v>
      </c>
      <c r="D7" s="660" t="s">
        <v>343</v>
      </c>
      <c r="F7" s="660" t="s">
        <v>27</v>
      </c>
      <c r="G7" s="660" t="s">
        <v>344</v>
      </c>
      <c r="I7" s="660" t="s">
        <v>232</v>
      </c>
      <c r="J7" s="660" t="s">
        <v>345</v>
      </c>
    </row>
    <row r="8" spans="2:15" customFormat="1" ht="43.5" x14ac:dyDescent="0.25">
      <c r="B8" s="661" t="s">
        <v>3</v>
      </c>
      <c r="C8" s="661" t="s">
        <v>233</v>
      </c>
      <c r="D8" s="661" t="s">
        <v>250</v>
      </c>
      <c r="E8" s="661" t="s">
        <v>251</v>
      </c>
      <c r="F8" s="661" t="s">
        <v>252</v>
      </c>
      <c r="G8" s="661" t="s">
        <v>253</v>
      </c>
      <c r="H8" s="661" t="s">
        <v>254</v>
      </c>
      <c r="I8" s="661" t="s">
        <v>255</v>
      </c>
      <c r="J8" s="661" t="s">
        <v>256</v>
      </c>
      <c r="K8" s="661" t="s">
        <v>244</v>
      </c>
      <c r="L8" s="661" t="s">
        <v>257</v>
      </c>
      <c r="M8" s="661" t="s">
        <v>258</v>
      </c>
      <c r="N8" s="661" t="s">
        <v>245</v>
      </c>
      <c r="O8" s="661" t="s">
        <v>259</v>
      </c>
    </row>
    <row r="9" spans="2:15" customFormat="1" ht="12.5" x14ac:dyDescent="0.25">
      <c r="B9" s="641" t="s">
        <v>115</v>
      </c>
      <c r="C9" s="641" t="s">
        <v>10</v>
      </c>
      <c r="D9" s="642">
        <v>1095972719</v>
      </c>
      <c r="E9" s="642">
        <v>1047708574</v>
      </c>
      <c r="F9" s="642">
        <v>4922628703</v>
      </c>
      <c r="G9" s="642">
        <v>2228456528</v>
      </c>
      <c r="H9" s="642">
        <v>202981010</v>
      </c>
      <c r="I9" s="642">
        <v>-189185988</v>
      </c>
      <c r="J9" s="642">
        <v>106579</v>
      </c>
      <c r="K9" s="642">
        <v>29440960</v>
      </c>
      <c r="L9" s="642">
        <v>1594724488</v>
      </c>
      <c r="M9" s="642">
        <v>6096226048</v>
      </c>
      <c r="N9" s="642">
        <v>15434335133</v>
      </c>
      <c r="O9" s="642">
        <v>0</v>
      </c>
    </row>
    <row r="10" spans="2:15" customFormat="1" ht="12.5" x14ac:dyDescent="0.25">
      <c r="B10" s="641" t="s">
        <v>116</v>
      </c>
      <c r="C10" s="641" t="s">
        <v>11</v>
      </c>
      <c r="D10" s="642">
        <v>2090954081</v>
      </c>
      <c r="E10" s="642">
        <v>2076895430</v>
      </c>
      <c r="F10" s="642">
        <v>9754298151</v>
      </c>
      <c r="G10" s="642">
        <v>3352227532</v>
      </c>
      <c r="H10" s="642">
        <v>389637564</v>
      </c>
      <c r="I10" s="642">
        <v>-266580256</v>
      </c>
      <c r="J10" s="642">
        <v>157390</v>
      </c>
      <c r="K10" s="642">
        <v>74146483</v>
      </c>
      <c r="L10" s="642">
        <v>-5570608111</v>
      </c>
      <c r="M10" s="642">
        <v>-2020300203</v>
      </c>
      <c r="N10" s="642">
        <v>15451436171</v>
      </c>
      <c r="O10" s="642">
        <v>0</v>
      </c>
    </row>
    <row r="11" spans="2:15" customFormat="1" ht="12.5" x14ac:dyDescent="0.25">
      <c r="B11" s="641" t="s">
        <v>117</v>
      </c>
      <c r="C11" s="641" t="s">
        <v>246</v>
      </c>
      <c r="D11" s="642">
        <v>1110313251</v>
      </c>
      <c r="E11" s="642">
        <v>1085125225</v>
      </c>
      <c r="F11" s="642">
        <v>5099431876</v>
      </c>
      <c r="G11" s="642">
        <v>2698249103</v>
      </c>
      <c r="H11" s="642">
        <v>206658569</v>
      </c>
      <c r="I11" s="642">
        <v>-154788536</v>
      </c>
      <c r="J11" s="642">
        <v>-129889</v>
      </c>
      <c r="K11" s="642">
        <v>37171035</v>
      </c>
      <c r="L11" s="642">
        <v>-686515805</v>
      </c>
      <c r="M11" s="642">
        <v>64073954</v>
      </c>
      <c r="N11" s="642">
        <v>10146104588</v>
      </c>
      <c r="O11" s="642">
        <v>0</v>
      </c>
    </row>
    <row r="12" spans="2:15" customFormat="1" ht="12.5" x14ac:dyDescent="0.25">
      <c r="B12" s="641" t="s">
        <v>247</v>
      </c>
      <c r="C12" s="641" t="s">
        <v>13</v>
      </c>
      <c r="D12" s="642">
        <v>535029563</v>
      </c>
      <c r="E12" s="642">
        <v>534230841</v>
      </c>
      <c r="F12" s="642">
        <v>2732035013</v>
      </c>
      <c r="G12" s="642">
        <v>1263034477</v>
      </c>
      <c r="H12" s="642">
        <v>99657426</v>
      </c>
      <c r="I12" s="642">
        <v>-120391083</v>
      </c>
      <c r="J12" s="642">
        <v>3328</v>
      </c>
      <c r="K12" s="642">
        <v>10876690</v>
      </c>
      <c r="L12" s="642">
        <v>-209555001</v>
      </c>
      <c r="M12" s="642">
        <v>504585938</v>
      </c>
      <c r="N12" s="642">
        <v>5559062193</v>
      </c>
      <c r="O12" s="642">
        <v>0</v>
      </c>
    </row>
    <row r="13" spans="2:15" customFormat="1" ht="12.5" x14ac:dyDescent="0.25">
      <c r="B13" s="641" t="s">
        <v>118</v>
      </c>
      <c r="C13" s="641" t="s">
        <v>14</v>
      </c>
      <c r="D13" s="642">
        <v>931465283</v>
      </c>
      <c r="E13" s="642">
        <v>905059241</v>
      </c>
      <c r="F13" s="642">
        <v>4616629113</v>
      </c>
      <c r="G13" s="642">
        <v>2079120247</v>
      </c>
      <c r="H13" s="642">
        <v>173340674</v>
      </c>
      <c r="I13" s="642">
        <v>-128990446</v>
      </c>
      <c r="J13" s="642">
        <v>-177103</v>
      </c>
      <c r="K13" s="642">
        <v>12729251</v>
      </c>
      <c r="L13" s="642">
        <v>-1014993879</v>
      </c>
      <c r="M13" s="642">
        <v>-916754987</v>
      </c>
      <c r="N13" s="642">
        <v>7672421274</v>
      </c>
      <c r="O13" s="642">
        <v>0</v>
      </c>
    </row>
    <row r="14" spans="2:15" customFormat="1" ht="12.5" x14ac:dyDescent="0.25">
      <c r="B14" s="641" t="s">
        <v>248</v>
      </c>
      <c r="C14" s="641" t="s">
        <v>70</v>
      </c>
      <c r="D14" s="642">
        <v>5763734897</v>
      </c>
      <c r="E14" s="642">
        <v>5649019311</v>
      </c>
      <c r="F14" s="642">
        <v>27125022856</v>
      </c>
      <c r="G14" s="642">
        <v>11621087887</v>
      </c>
      <c r="H14" s="642">
        <v>1072275243</v>
      </c>
      <c r="I14" s="642">
        <v>-859936309</v>
      </c>
      <c r="J14" s="642">
        <v>-39695</v>
      </c>
      <c r="K14" s="642">
        <v>164364419</v>
      </c>
      <c r="L14" s="642">
        <v>-5886948308</v>
      </c>
      <c r="M14" s="642">
        <v>3727830750</v>
      </c>
      <c r="N14" s="642">
        <v>54263359359</v>
      </c>
      <c r="O14" s="642">
        <v>0</v>
      </c>
    </row>
    <row r="16" spans="2:15" x14ac:dyDescent="0.35">
      <c r="B16" s="610" t="s">
        <v>115</v>
      </c>
      <c r="C16" s="610" t="s">
        <v>10</v>
      </c>
      <c r="D16" s="648">
        <f>D9-'CONSOLIDADO_TOTAL RECAUDO'!U104</f>
        <v>0.41000008583068848</v>
      </c>
      <c r="E16" s="648">
        <f>E9-'CONSOLIDADO_TOTAL RECAUDO'!V104</f>
        <v>-0.19999992847442627</v>
      </c>
      <c r="F16" s="648">
        <f>F9-'CONSOLIDADO_TOTAL RECAUDO'!W104</f>
        <v>-0.15999984741210938</v>
      </c>
      <c r="G16" s="648">
        <f>G9-'CONSOLIDADO_TOTAL RECAUDO'!X104</f>
        <v>-0.49000024795532227</v>
      </c>
      <c r="H16" s="648">
        <f>H9-'CONSOLIDADO_TOTAL RECAUDO'!Y104</f>
        <v>-5.0000011920928955E-2</v>
      </c>
      <c r="I16" s="648">
        <f>I9-'CONSOLIDADO_TOTAL RECAUDO'!Z104</f>
        <v>0</v>
      </c>
      <c r="J16" s="648">
        <f>J9-'CONSOLIDADO_TOTAL RECAUDO'!AA104-'CONSOLIDADO_TOTAL RECAUDO'!AC104</f>
        <v>0.40999999998952319</v>
      </c>
      <c r="K16" s="648">
        <f>K9-'CONSOLIDADO_TOTAL RECAUDO'!AB104</f>
        <v>-0.19999999925494194</v>
      </c>
      <c r="L16" s="648">
        <f>L9-'CONSOLIDADO_TOTAL RECAUDO'!AE104</f>
        <v>0.29999995231628418</v>
      </c>
      <c r="M16" s="648">
        <f>M9-'CONSOLIDADO_TOTAL RECAUDO'!AD104</f>
        <v>-4.9999237060546875E-2</v>
      </c>
      <c r="N16" s="648">
        <f>N9-'CONSOLIDADO_TOTAL RECAUDO'!AF104</f>
        <v>-0.32999992370605469</v>
      </c>
      <c r="O16" s="648">
        <f>O9-'CONSOLIDADO_TOTAL RECAUDO'!AG104</f>
        <v>0</v>
      </c>
    </row>
    <row r="17" spans="2:16" x14ac:dyDescent="0.35">
      <c r="B17" s="610" t="s">
        <v>116</v>
      </c>
      <c r="C17" s="610" t="s">
        <v>11</v>
      </c>
      <c r="D17" s="648">
        <f>D10-'CONSOLIDADO_TOTAL RECAUDO'!U105</f>
        <v>-0.41000008583068848</v>
      </c>
      <c r="E17" s="648">
        <f>E10-'CONSOLIDADO_TOTAL RECAUDO'!V105</f>
        <v>0.22000002861022949</v>
      </c>
      <c r="F17" s="648">
        <f>F10-'CONSOLIDADO_TOTAL RECAUDO'!W105</f>
        <v>-0.3600006103515625</v>
      </c>
      <c r="G17" s="648">
        <f>G10-'CONSOLIDADO_TOTAL RECAUDO'!X105</f>
        <v>0.44999980926513672</v>
      </c>
      <c r="H17" s="648">
        <f>H10-'CONSOLIDADO_TOTAL RECAUDO'!Y105</f>
        <v>0.18000000715255737</v>
      </c>
      <c r="I17" s="648">
        <f>I10-'CONSOLIDADO_TOTAL RECAUDO'!Z105</f>
        <v>0</v>
      </c>
      <c r="J17" s="648">
        <f>J10-'CONSOLIDADO_TOTAL RECAUDO'!AA105-'CONSOLIDADO_TOTAL RECAUDO'!AC105</f>
        <v>0.19000000001051376</v>
      </c>
      <c r="K17" s="648">
        <f>K10-'CONSOLIDADO_TOTAL RECAUDO'!AB105</f>
        <v>0.43999999761581421</v>
      </c>
      <c r="L17" s="648">
        <f>L10-'CONSOLIDADO_TOTAL RECAUDO'!AE105</f>
        <v>0.3899993896484375</v>
      </c>
      <c r="M17" s="648">
        <f>M10-'CONSOLIDADO_TOTAL RECAUDO'!AD105</f>
        <v>-9.0001106262207031E-2</v>
      </c>
      <c r="N17" s="648">
        <f>N10-'CONSOLIDADO_TOTAL RECAUDO'!AF105</f>
        <v>-0.3800048828125</v>
      </c>
      <c r="O17" s="648">
        <f>O10-'CONSOLIDADO_TOTAL RECAUDO'!AG105</f>
        <v>0</v>
      </c>
    </row>
    <row r="18" spans="2:16" x14ac:dyDescent="0.35">
      <c r="B18" s="610" t="s">
        <v>117</v>
      </c>
      <c r="C18" s="610" t="s">
        <v>246</v>
      </c>
      <c r="D18" s="648">
        <f>D11-'CONSOLIDADO_TOTAL RECAUDO'!U106</f>
        <v>4.0000200271606445E-2</v>
      </c>
      <c r="E18" s="648">
        <f>E11-'CONSOLIDADO_TOTAL RECAUDO'!V106</f>
        <v>-3.9999961853027344E-2</v>
      </c>
      <c r="F18" s="648">
        <f>F11-'CONSOLIDADO_TOTAL RECAUDO'!W106</f>
        <v>-1.0001182556152344E-2</v>
      </c>
      <c r="G18" s="648">
        <f>G11-'CONSOLIDADO_TOTAL RECAUDO'!X106</f>
        <v>-0.43000030517578125</v>
      </c>
      <c r="H18" s="648">
        <f>H11-'CONSOLIDADO_TOTAL RECAUDO'!Y106</f>
        <v>0.42999997735023499</v>
      </c>
      <c r="I18" s="648">
        <f>I11-'CONSOLIDADO_TOTAL RECAUDO'!Z106</f>
        <v>0</v>
      </c>
      <c r="J18" s="648">
        <f>J11-'CONSOLIDADO_TOTAL RECAUDO'!AA106-'CONSOLIDADO_TOTAL RECAUDO'!AC106</f>
        <v>0.24000000000232835</v>
      </c>
      <c r="K18" s="648">
        <f>K11-'CONSOLIDADO_TOTAL RECAUDO'!AB106</f>
        <v>0.15000000596046448</v>
      </c>
      <c r="L18" s="648">
        <f>L11-'CONSOLIDADO_TOTAL RECAUDO'!AE106</f>
        <v>0.29999995231628418</v>
      </c>
      <c r="M18" s="648">
        <f>M11-'CONSOLIDADO_TOTAL RECAUDO'!AD106</f>
        <v>-0.29999995231628418</v>
      </c>
      <c r="N18" s="648">
        <f>N11-'CONSOLIDADO_TOTAL RECAUDO'!AF106</f>
        <v>7.9998016357421875E-2</v>
      </c>
      <c r="O18" s="648">
        <f>O11-'CONSOLIDADO_TOTAL RECAUDO'!AG106</f>
        <v>0</v>
      </c>
    </row>
    <row r="19" spans="2:16" x14ac:dyDescent="0.35">
      <c r="B19" s="610" t="s">
        <v>247</v>
      </c>
      <c r="C19" s="610" t="s">
        <v>13</v>
      </c>
      <c r="D19" s="648">
        <f>D12-'CONSOLIDADO_TOTAL RECAUDO'!U107</f>
        <v>-0.30999988317489624</v>
      </c>
      <c r="E19" s="648">
        <f>E12-'CONSOLIDADO_TOTAL RECAUDO'!V107</f>
        <v>-0.36000007390975952</v>
      </c>
      <c r="F19" s="648">
        <f>F12-'CONSOLIDADO_TOTAL RECAUDO'!W107</f>
        <v>-0.19000005722045898</v>
      </c>
      <c r="G19" s="648">
        <f>G12-'CONSOLIDADO_TOTAL RECAUDO'!X107</f>
        <v>1.9999980926513672E-2</v>
      </c>
      <c r="H19" s="648">
        <f>H12-'CONSOLIDADO_TOTAL RECAUDO'!Y107</f>
        <v>0.20000001788139343</v>
      </c>
      <c r="I19" s="648">
        <f>I12-'CONSOLIDADO_TOTAL RECAUDO'!Z107</f>
        <v>0</v>
      </c>
      <c r="J19" s="648">
        <f>J12-'CONSOLIDADO_TOTAL RECAUDO'!AA107-'CONSOLIDADO_TOTAL RECAUDO'!AC107</f>
        <v>-0.23000000000001819</v>
      </c>
      <c r="K19" s="648">
        <f>K12-'CONSOLIDADO_TOTAL RECAUDO'!AB107</f>
        <v>0.3600000012665987</v>
      </c>
      <c r="L19" s="648">
        <f>L12-'CONSOLIDADO_TOTAL RECAUDO'!AE107</f>
        <v>0.46000000834465027</v>
      </c>
      <c r="M19" s="648">
        <f>M12-'CONSOLIDADO_TOTAL RECAUDO'!AD107</f>
        <v>0.10000014305114746</v>
      </c>
      <c r="N19" s="648">
        <f>N12-'CONSOLIDADO_TOTAL RECAUDO'!AF107</f>
        <v>-0.40999984741210938</v>
      </c>
      <c r="O19" s="648">
        <f>O12-'CONSOLIDADO_TOTAL RECAUDO'!AG107</f>
        <v>0</v>
      </c>
    </row>
    <row r="20" spans="2:16" x14ac:dyDescent="0.35">
      <c r="B20" s="610" t="s">
        <v>118</v>
      </c>
      <c r="C20" s="610" t="s">
        <v>14</v>
      </c>
      <c r="D20" s="648">
        <f>D13-'CONSOLIDADO_TOTAL RECAUDO'!U108</f>
        <v>-0.1400001049041748</v>
      </c>
      <c r="E20" s="648">
        <f>E13-'CONSOLIDADO_TOTAL RECAUDO'!V108</f>
        <v>-0.38000011444091797</v>
      </c>
      <c r="F20" s="648">
        <f>F13-'CONSOLIDADO_TOTAL RECAUDO'!W108</f>
        <v>0.27000045776367188</v>
      </c>
      <c r="G20" s="648">
        <f>G13-'CONSOLIDADO_TOTAL RECAUDO'!X108</f>
        <v>-0.45000004768371582</v>
      </c>
      <c r="H20" s="648">
        <f>H13-'CONSOLIDADO_TOTAL RECAUDO'!Y108</f>
        <v>-0.33000001311302185</v>
      </c>
      <c r="I20" s="648">
        <f>I13-'CONSOLIDADO_TOTAL RECAUDO'!Z108</f>
        <v>0</v>
      </c>
      <c r="J20" s="648">
        <f>J13-'CONSOLIDADO_TOTAL RECAUDO'!AA108-'CONSOLIDADO_TOTAL RECAUDO'!AC108</f>
        <v>-0.37999999999067668</v>
      </c>
      <c r="K20" s="648">
        <f>K13-'CONSOLIDADO_TOTAL RECAUDO'!AB108</f>
        <v>0.27999999932944775</v>
      </c>
      <c r="L20" s="648">
        <f>L13-'CONSOLIDADO_TOTAL RECAUDO'!AE108</f>
        <v>0.13999998569488525</v>
      </c>
      <c r="M20" s="648">
        <f>M13-'CONSOLIDADO_TOTAL RECAUDO'!AD108</f>
        <v>0.19999992847442627</v>
      </c>
      <c r="N20" s="648">
        <f>N13-'CONSOLIDADO_TOTAL RECAUDO'!AF108</f>
        <v>6.9998741149902344E-2</v>
      </c>
      <c r="O20" s="648">
        <f>O13-'CONSOLIDADO_TOTAL RECAUDO'!AG108</f>
        <v>0</v>
      </c>
    </row>
    <row r="21" spans="2:16" x14ac:dyDescent="0.35">
      <c r="B21" s="610" t="s">
        <v>248</v>
      </c>
      <c r="C21" s="610" t="s">
        <v>70</v>
      </c>
      <c r="D21" s="648">
        <f>D14-'CONSOLIDADO_TOTAL RECAUDO'!U109</f>
        <v>-0.40999984741210938</v>
      </c>
      <c r="E21" s="648">
        <f>E14-'CONSOLIDADO_TOTAL RECAUDO'!V109</f>
        <v>-0.76000022888183594</v>
      </c>
      <c r="F21" s="648">
        <f>F14-'CONSOLIDADO_TOTAL RECAUDO'!W109</f>
        <v>-0.45000076293945313</v>
      </c>
      <c r="G21" s="648">
        <f>G14-'CONSOLIDADO_TOTAL RECAUDO'!X109</f>
        <v>-0.90000152587890625</v>
      </c>
      <c r="H21" s="648">
        <f>H14-'CONSOLIDADO_TOTAL RECAUDO'!Y109</f>
        <v>0.4299999475479126</v>
      </c>
      <c r="I21" s="648">
        <f>I14-'CONSOLIDADO_TOTAL RECAUDO'!Z109</f>
        <v>0</v>
      </c>
      <c r="J21" s="648">
        <f>J14-'CONSOLIDADO_TOTAL RECAUDO'!AA109-'CONSOLIDADO_TOTAL RECAUDO'!AC109</f>
        <v>0.23000000000126875</v>
      </c>
      <c r="K21" s="648">
        <f>K14-'CONSOLIDADO_TOTAL RECAUDO'!AB109</f>
        <v>1.0300000011920929</v>
      </c>
      <c r="L21" s="648">
        <f>L14-'CONSOLIDADO_TOTAL RECAUDO'!AE109</f>
        <v>1.5900001525878906</v>
      </c>
      <c r="M21" s="648">
        <f>M14-'CONSOLIDADO_TOTAL RECAUDO'!AD109</f>
        <v>-0.14000034332275391</v>
      </c>
      <c r="N21" s="648">
        <f>N14-'CONSOLIDADO_TOTAL RECAUDO'!AF109</f>
        <v>-0.97000885009765625</v>
      </c>
      <c r="O21" s="648">
        <f>O14-'CONSOLIDADO_TOTAL RECAUDO'!AG109</f>
        <v>0</v>
      </c>
    </row>
    <row r="22" spans="2:16" ht="15" thickBot="1" x14ac:dyDescent="0.4">
      <c r="M22" s="652"/>
    </row>
    <row r="23" spans="2:16" ht="35" thickBot="1" x14ac:dyDescent="0.4">
      <c r="C23" s="27" t="s">
        <v>9</v>
      </c>
      <c r="D23" s="162" t="s">
        <v>39</v>
      </c>
      <c r="E23" s="580" t="s">
        <v>40</v>
      </c>
      <c r="F23" s="580" t="s">
        <v>41</v>
      </c>
      <c r="G23" s="163" t="s">
        <v>42</v>
      </c>
      <c r="H23" s="164" t="s">
        <v>43</v>
      </c>
      <c r="I23" s="554" t="s">
        <v>21</v>
      </c>
      <c r="J23" s="65" t="s">
        <v>46</v>
      </c>
      <c r="K23" s="65" t="s">
        <v>7</v>
      </c>
      <c r="L23" s="85" t="s">
        <v>168</v>
      </c>
      <c r="M23" s="121" t="s">
        <v>105</v>
      </c>
      <c r="N23" s="121" t="s">
        <v>104</v>
      </c>
      <c r="O23" s="39" t="s">
        <v>23</v>
      </c>
    </row>
    <row r="24" spans="2:16" x14ac:dyDescent="0.35">
      <c r="B24" s="610" t="s">
        <v>115</v>
      </c>
      <c r="C24" s="338" t="s">
        <v>10</v>
      </c>
      <c r="D24" s="663" t="b">
        <f>+'Reporte Componentes R1'!M46+'Reporte Componentes R1'!M48+'Rem. Anticipos R2'!L43+'Reversion Pagos R4'!J70+D16+'AJUSTES - SF-T'!U47=D9</f>
        <v>1</v>
      </c>
      <c r="E24" s="648" t="b">
        <f>+'Reporte Componentes R1'!N46+'Reporte Componentes R1'!N48+'Rem. Anticipos R2'!M43+'Reversion Pagos R4'!K70+E16+'AJUSTES - SF-T'!V47=E9</f>
        <v>1</v>
      </c>
      <c r="F24" s="648" t="b">
        <f>+'Reporte Componentes R1'!O46+'Reporte Componentes R1'!O48+'Rem. Anticipos R2'!N43+'Reversion Pagos R4'!L70+F16+'AJUSTES - SF-T'!W47=F9</f>
        <v>1</v>
      </c>
      <c r="G24" s="648" t="b">
        <f>+'Reporte Componentes R1'!P46+'Reporte Componentes R1'!P48+'Rem. Anticipos R2'!O43+'Reversion Pagos R4'!M70+G16+'AJUSTES - SF-T'!X47=G9</f>
        <v>1</v>
      </c>
      <c r="H24" s="648" t="b">
        <f>+'Reporte Componentes R1'!Q46+'Reporte Componentes R1'!Q48+'Rem. Anticipos R2'!P43+'Reversion Pagos R4'!N70+H16+'AJUSTES - SF-T'!Y47=H9</f>
        <v>1</v>
      </c>
      <c r="I24" s="698" t="b">
        <f>-INTERVENTORIA!M26+I16=I9</f>
        <v>1</v>
      </c>
      <c r="J24" s="648" t="b">
        <f>'Reporte Componentes R1'!R46+'Reporte Componentes R1'!V46+'Rem. Anticipos R2'!Q43+'Reporte Componentes R1'!R48+'Reporte Componentes R1'!V48+'Reversion Pagos R4'!O70+'Reporte Componentes R1'!T46+'Reporte Componentes R1'!U46+'Reporte Componentes R1'!W46+'Reporte Componentes R1'!X46+'Reporte Componentes R1'!Y46+'Reporte Componentes R1'!Z46+'Reporte Componentes R1'!S46+'Rem. Anticipos R2'!R43+'Reporte Componentes R1'!T48+'Reporte Componentes R1'!U48+'Reporte Componentes R1'!W48+'Reporte Componentes R1'!X48+'Reporte Componentes R1'!Y48+'Reporte Componentes R1'!Z48+'Reporte Componentes R1'!S48+'Reversion Pagos R4'!Q70+'Reversion Pagos R4'!R70+'AJUSTES - SF-T'!AA47+J16=J9</f>
        <v>1</v>
      </c>
      <c r="K24" s="648" t="b">
        <f>+DetRetri2026092!N32</f>
        <v>1</v>
      </c>
      <c r="L24" s="648" t="b">
        <f>'Reporte Componentes R1'!F47+'Rem. Anticipos R2'!E44+'Reporte Componentes R1'!F49+'Reversion Pagos R4'!D71+'AJUSTES - SF-T'!AD47+L16=L9</f>
        <v>1</v>
      </c>
      <c r="M24" s="648" t="b">
        <f>-'BCE SC POR FACT.'!F3+'Reporte Componentes R1'!F47+'Rem. Anticipos R2'!E44+'Reporte Componentes R1'!F49+'Reversion Pagos R4'!D71+'AJUSTES - SF-T'!AD47+M16=M9</f>
        <v>1</v>
      </c>
      <c r="N24" s="648" t="b">
        <f>'Reporte Componentes R1'!F47+'Rem. Anticipos R2'!E44+'Reporte Componentes R1'!F49+'Reversion Pagos R4'!D71+'AJUSTES - SF-T'!AD47+L16=L9</f>
        <v>1</v>
      </c>
      <c r="O24" s="648" t="b">
        <f>'Reporte Componentes R1'!M46+'Reporte Componentes R1'!M48+'Rem. Anticipos R2'!L43+'Reversion Pagos R4'!J70+'Reporte Componentes R1'!N46+'Reporte Componentes R1'!N48+'Rem. Anticipos R2'!M43+'Reversion Pagos R4'!K70+'Reporte Componentes R1'!O46+'Reporte Componentes R1'!O48+'Rem. Anticipos R2'!N43+'Reversion Pagos R4'!L70+'Reporte Componentes R1'!P46+'Reporte Componentes R1'!P48+'Rem. Anticipos R2'!O43+'Reversion Pagos R4'!M70+'Reporte Componentes R1'!Q46+'Reporte Componentes R1'!Q48+'Rem. Anticipos R2'!P43+'Reversion Pagos R4'!N70-INTERVENTORIA!J4+'Reporte Componentes R1'!R46+'Reporte Componentes R1'!V46+'Rem. Anticipos R2'!Q43+'Reporte Componentes R1'!R48+'Reporte Componentes R1'!V48+'Reversion Pagos R4'!O70+'Reporte Componentes R1'!T46+'Reporte Componentes R1'!U46+'Reporte Componentes R1'!W46+'Reporte Componentes R1'!X46+'Reporte Componentes R1'!Y46+'Reporte Componentes R1'!Z46+'Reporte Componentes R1'!S46+'Rem. Anticipos R2'!R43+'Reporte Componentes R1'!T48+'Reporte Componentes R1'!U48+'Reporte Componentes R1'!W48+'Reporte Componentes R1'!X48+'Reporte Componentes R1'!Y48+'Reporte Componentes R1'!Z48+'Reporte Componentes R1'!S48+'Reversion Pagos R4'!Q70+'Reversion Pagos R4'!R70+'AJUSTES - SF-T'!AA47+'Reporte Componentes R1'!L46+'Rem. Anticipos R2'!K43+'Reversion Pagos R4'!P70+'Reporte Componentes R1'!L48-'BCE SC POR FACT.'!F3+'Reporte Componentes R1'!F47+'Rem. Anticipos R2'!E44+'Reporte Componentes R1'!F49+'Reversion Pagos R4'!D71+'AJUSTES - SF-T'!AD47+N16=N9</f>
        <v>0</v>
      </c>
    </row>
    <row r="25" spans="2:16" x14ac:dyDescent="0.35">
      <c r="B25" s="610" t="s">
        <v>116</v>
      </c>
      <c r="C25" s="338" t="s">
        <v>11</v>
      </c>
      <c r="D25" s="654" t="b">
        <f>+'Reporte Componentes R1'!M200+'Rem. Anticipos R2'!L136+'Reversion Pagos R4'!J170+'Reporte Componentes R1'!M202+D17+'AJUSTES - SF-T'!U48=D10</f>
        <v>1</v>
      </c>
      <c r="E25" s="654" t="b">
        <f>+'Reporte Componentes R1'!N200+'Rem. Anticipos R2'!M136+'Reversion Pagos R4'!K170+'Reporte Componentes R1'!N202+E17+'AJUSTES - SF-T'!V48=E10</f>
        <v>1</v>
      </c>
      <c r="F25" s="654" t="b">
        <f>+'Reporte Componentes R1'!O200+'Rem. Anticipos R2'!N136+'Reversion Pagos R4'!L170+'Reporte Componentes R1'!O202+F17+'AJUSTES - SF-T'!W48=F10</f>
        <v>1</v>
      </c>
      <c r="G25" s="654" t="b">
        <f>+'Reporte Componentes R1'!P200+'Rem. Anticipos R2'!O136+'Reversion Pagos R4'!M170+'Reporte Componentes R1'!P202+G17+'AJUSTES - SF-T'!X48=G10</f>
        <v>1</v>
      </c>
      <c r="H25" s="654" t="b">
        <f>+'Reporte Componentes R1'!Q200+'Rem. Anticipos R2'!P136+'Reversion Pagos R4'!N170+'Reporte Componentes R1'!Q202+H17+'AJUSTES - SF-T'!Y48=H10</f>
        <v>1</v>
      </c>
      <c r="I25" s="698" t="b">
        <f>-INTERVENTORIA!M27+I17=I10</f>
        <v>1</v>
      </c>
      <c r="J25" s="654" t="b">
        <f>+'Reporte Componentes R1'!R200+'Reporte Componentes R1'!V200+'Rem. Anticipos R2'!Q136+'Reporte Componentes R1'!R202+'Reporte Componentes R1'!V202+'Reversion Pagos R4'!O170+'Reporte Componentes R1'!T200+'Reporte Componentes R1'!U200+'Reporte Componentes R1'!W200+'Reporte Componentes R1'!X200+'Reporte Componentes R1'!Y200+'Reporte Componentes R1'!Z200+'Reporte Componentes R1'!S200+'Rem. Anticipos R2'!R136+'Reporte Componentes R1'!T202+'Reporte Componentes R1'!U202+'Reporte Componentes R1'!W202+'Reporte Componentes R1'!X202+'Reporte Componentes R1'!Y202+'Reporte Componentes R1'!Z202+'Reporte Componentes R1'!S202+'Reversion Pagos R4'!Q170+'Reversion Pagos R4'!R170+'AJUSTES - SF-T'!AA48+J17=J10</f>
        <v>1</v>
      </c>
      <c r="K25" s="654" t="b">
        <f>+DetRetri2026092!N33</f>
        <v>1</v>
      </c>
      <c r="L25" s="648" t="b">
        <f>+'Reporte Componentes R1'!F201+'Rem. Anticipos R2'!E137+'Reporte Componentes R1'!F203+'Reversion Pagos R4'!D171+'AJUSTES - SF-T'!AD48+L17=L10</f>
        <v>1</v>
      </c>
      <c r="M25" s="715">
        <f>-'BCE SC POR FACT.'!F4+'Reporte Componentes R1'!F201+'Rem. Anticipos R2'!E137+'Reporte Componentes R1'!F203+'Reversion Pagos R4'!D171+'AJUSTES - SF-T'!AD48+M17-M10</f>
        <v>0</v>
      </c>
      <c r="N25" s="648" t="b">
        <f>'Reporte Componentes R1'!F201+'Rem. Anticipos R2'!E137+'Reporte Componentes R1'!F203+'Reversion Pagos R4'!D171+'AJUSTES - SF-T'!AD48+L17=L10</f>
        <v>1</v>
      </c>
      <c r="O25" s="648" t="b">
        <f>'Reporte Componentes R1'!M200+'Rem. Anticipos R2'!L136+'Reversion Pagos R4'!J170+'Reporte Componentes R1'!M202+'Reporte Componentes R1'!N200+'Rem. Anticipos R2'!M136+'Reversion Pagos R4'!K170+'Reporte Componentes R1'!N202+'Reporte Componentes R1'!O200+'Rem. Anticipos R2'!N136+'Reversion Pagos R4'!L170+'Reporte Componentes R1'!O202+'Reporte Componentes R1'!P200+'Rem. Anticipos R2'!O136+'Reversion Pagos R4'!M170+'Reporte Componentes R1'!P202+'Reporte Componentes R1'!Q200+'Rem. Anticipos R2'!P136+'Reversion Pagos R4'!N170+'Reporte Componentes R1'!Q202-INTERVENTORIA!I5+'Reporte Componentes R1'!R200+'Reporte Componentes R1'!V200+'Rem. Anticipos R2'!Q136+'Reporte Componentes R1'!R202+'Reporte Componentes R1'!V202+'Reversion Pagos R4'!O170+'Reporte Componentes R1'!T200+'Reporte Componentes R1'!U200+'Reporte Componentes R1'!W200+'Reporte Componentes R1'!X200+'Reporte Componentes R1'!Y200+'Reporte Componentes R1'!Z200+'Reporte Componentes R1'!S200+'Rem. Anticipos R2'!R136+'Reporte Componentes R1'!T202+'Reporte Componentes R1'!U202+'Reporte Componentes R1'!W202+'Reporte Componentes R1'!X202+'Reporte Componentes R1'!Y202+'Reporte Componentes R1'!Z202+'Reporte Componentes R1'!S202+'Reversion Pagos R4'!Q170+'Reversion Pagos R4'!R170+'AJUSTES - SF-T'!AA48+'Reporte Componentes R1'!L200+'Rem. Anticipos R2'!K136+'Reversion Pagos R4'!P170+'Reporte Componentes R1'!L202-'BCE SC POR FACT.'!F4+'Reporte Componentes R1'!F201+'Rem. Anticipos R2'!E137+'Reporte Componentes R1'!F203+'Reversion Pagos R4'!D171+'AJUSTES - SF-T'!AD48+N17=N10</f>
        <v>0</v>
      </c>
      <c r="P25" s="653"/>
    </row>
    <row r="26" spans="2:16" x14ac:dyDescent="0.35">
      <c r="B26" s="610" t="s">
        <v>117</v>
      </c>
      <c r="C26" s="338" t="s">
        <v>12</v>
      </c>
      <c r="D26" s="648" t="b">
        <f>+'Reporte Componentes R1'!M339+'Reporte Componentes R1'!M341+'Rem. Anticipos R2'!L253+'Reversion Pagos R4'!J201+D18+'AJUSTES - SF-T'!U49=D11</f>
        <v>1</v>
      </c>
      <c r="E26" s="648" t="b">
        <f>+'Reporte Componentes R1'!N339+'Reporte Componentes R1'!N341+'Rem. Anticipos R2'!M253+'Reversion Pagos R4'!K201+E18+'AJUSTES - SF-T'!V49=E11</f>
        <v>1</v>
      </c>
      <c r="F26" s="648" t="b">
        <f>+'Reporte Componentes R1'!O339+'Reporte Componentes R1'!O341+'Rem. Anticipos R2'!N253+'Reversion Pagos R4'!L201+F18+'AJUSTES - SF-T'!W49=F11</f>
        <v>1</v>
      </c>
      <c r="G26" s="648" t="b">
        <f>+'Reporte Componentes R1'!P339+'Reporte Componentes R1'!P341+'Rem. Anticipos R2'!O253+'Reversion Pagos R4'!M201+G18+'AJUSTES - SF-T'!X49=G11</f>
        <v>1</v>
      </c>
      <c r="H26" s="648" t="b">
        <f>+'Reporte Componentes R1'!Q339+'Reporte Componentes R1'!Q341+'Rem. Anticipos R2'!P253+'Reversion Pagos R4'!N201+H18+'AJUSTES - SF-T'!Y49=H11</f>
        <v>1</v>
      </c>
      <c r="I26" s="698" t="b">
        <f>-INTERVENTORIA!M28+I18=I11</f>
        <v>1</v>
      </c>
      <c r="J26" s="648" t="b">
        <f>+'Reporte Componentes R1'!R339+'Reporte Componentes R1'!V339+'Rem. Anticipos R2'!Q253+'Reporte Componentes R1'!R341+'Reporte Componentes R1'!V341+'Reversion Pagos R4'!O201+'Reporte Componentes R1'!T339+'Reporte Componentes R1'!U339+'Reporte Componentes R1'!W339+'Reporte Componentes R1'!X339+'Reporte Componentes R1'!Y339+'Reporte Componentes R1'!Z339+'Reporte Componentes R1'!S339+'Rem. Anticipos R2'!R253+'Reporte Componentes R1'!T341+'Reporte Componentes R1'!U341+'Reporte Componentes R1'!W341+'Reporte Componentes R1'!X341+'Reporte Componentes R1'!Y341+'Reporte Componentes R1'!Z341+'Reporte Componentes R1'!S341+'Reversion Pagos R4'!Q201+'Reversion Pagos R4'!R201+'AJUSTES - SF-T'!AA49+J18=J11</f>
        <v>1</v>
      </c>
      <c r="K26" s="648" t="b">
        <f>+DetRetri2026092!N34</f>
        <v>1</v>
      </c>
      <c r="L26" s="648" t="b">
        <f>+'Reporte Componentes R1'!F340+'Rem. Anticipos R2'!E254+'Reporte Componentes R1'!F342+'Reversion Pagos R4'!D202+'AJUSTES - SF-T'!AD49+L18=L11</f>
        <v>1</v>
      </c>
      <c r="M26" s="715">
        <f>-'BCE SC POR FACT.'!F5+'Reporte Componentes R1'!F340+'Rem. Anticipos R2'!E254+'Reporte Componentes R1'!F342+'Reversion Pagos R4'!D202+'AJUSTES - SF-T'!AD49+M18-M11</f>
        <v>0</v>
      </c>
      <c r="N26" s="648" t="b">
        <f>'Reporte Componentes R1'!F340+'Rem. Anticipos R2'!E254+'Reporte Componentes R1'!F342+'Reversion Pagos R4'!D202+'AJUSTES - SF-T'!AD49+L18=L11</f>
        <v>1</v>
      </c>
      <c r="O26" s="712" t="b">
        <f>'Reporte Componentes R1'!M339+'Reporte Componentes R1'!M341+'Rem. Anticipos R2'!L253+'Reversion Pagos R4'!J201+'Reporte Componentes R1'!N339+'Reporte Componentes R1'!N341+'Rem. Anticipos R2'!M253+'Reversion Pagos R4'!K201+'Reporte Componentes R1'!O339+'Reporte Componentes R1'!O341+'Rem. Anticipos R2'!N253+'Reversion Pagos R4'!L201+'Reporte Componentes R1'!P339+'Reporte Componentes R1'!P341+'Rem. Anticipos R2'!O253+'Reversion Pagos R4'!M201+'Reporte Componentes R1'!Q339+'Reporte Componentes R1'!Q341+'Rem. Anticipos R2'!P253+'Reversion Pagos R4'!N201-INTERVENTORIA!I6+'Reporte Componentes R1'!R339+'Reporte Componentes R1'!V339+'Rem. Anticipos R2'!Q253+'Reporte Componentes R1'!R341+'Reporte Componentes R1'!V341+'Reversion Pagos R4'!O201+'Reporte Componentes R1'!T339+'Reporte Componentes R1'!U339+'Reporte Componentes R1'!W339+'Reporte Componentes R1'!X339+'Reporte Componentes R1'!Y339+'Reporte Componentes R1'!Z339+'Reporte Componentes R1'!S339+'Rem. Anticipos R2'!R253+'Reporte Componentes R1'!T341+'Reporte Componentes R1'!U341+'Reporte Componentes R1'!W341+'Reporte Componentes R1'!X341+'Reporte Componentes R1'!Y341+'Reporte Componentes R1'!Z341+'Reporte Componentes R1'!S341+'Reversion Pagos R4'!Q201+'Reversion Pagos R4'!R201+'AJUSTES - SF-T'!AA49+'Reporte Componentes R1'!L339+'Reporte Componentes R1'!L341+'Rem. Anticipos R2'!K253+'Reversion Pagos R4'!P201-'BCE SC POR FACT.'!F5+'Reporte Componentes R1'!F340+'Rem. Anticipos R2'!E254+'Reporte Componentes R1'!F342+'Reversion Pagos R4'!D202+'AJUSTES - SF-T'!AD49+N18=N11</f>
        <v>0</v>
      </c>
    </row>
    <row r="27" spans="2:16" x14ac:dyDescent="0.35">
      <c r="B27" s="610" t="s">
        <v>247</v>
      </c>
      <c r="C27" s="338" t="s">
        <v>13</v>
      </c>
      <c r="D27" s="648" t="b">
        <f>+'Reporte Componentes R1'!M472+'Reporte Componentes R1'!M474+'Rem. Anticipos R2'!L352+'Reversion Pagos R4'!J316+D19+'AJUSTES - SF-T'!U50=D12</f>
        <v>1</v>
      </c>
      <c r="E27" s="648" t="b">
        <f>+'Reporte Componentes R1'!N472+'Reporte Componentes R1'!N474+'Rem. Anticipos R2'!M352+'Reversion Pagos R4'!K316+E19+'AJUSTES - SF-T'!V50=E12</f>
        <v>1</v>
      </c>
      <c r="F27" s="648" t="b">
        <f>+'Reporte Componentes R1'!O472+'Reporte Componentes R1'!O474+'Rem. Anticipos R2'!N352+'Reversion Pagos R4'!L316+F19+'AJUSTES - SF-T'!W50=F12</f>
        <v>1</v>
      </c>
      <c r="G27" s="648" t="b">
        <f>+'Reporte Componentes R1'!P472+'Reporte Componentes R1'!P474+'Rem. Anticipos R2'!O352+'Reversion Pagos R4'!M316+G19+'AJUSTES - SF-T'!X50=G12</f>
        <v>1</v>
      </c>
      <c r="H27" s="648" t="b">
        <f>+'Reporte Componentes R1'!Q472+'Reporte Componentes R1'!Q474+'Rem. Anticipos R2'!P352+'Reversion Pagos R4'!N316+H19+'AJUSTES - SF-T'!Y50=H12</f>
        <v>1</v>
      </c>
      <c r="I27" s="698" t="b">
        <f>-INTERVENTORIA!M29+I19=I12</f>
        <v>1</v>
      </c>
      <c r="J27" s="648" t="b">
        <f>+'Reporte Componentes R1'!R472+'Reporte Componentes R1'!V472+'Rem. Anticipos R2'!Q352+'Reporte Componentes R1'!R474+'Reporte Componentes R1'!V474+'Reversion Pagos R4'!O316+'Reporte Componentes R1'!T472+'Reporte Componentes R1'!U472+'Reporte Componentes R1'!W472+'Reporte Componentes R1'!X472+'Reporte Componentes R1'!Y472+'Reporte Componentes R1'!Z472+'Reporte Componentes R1'!S472+'Rem. Anticipos R2'!R352+'Reporte Componentes R1'!T474+'Reporte Componentes R1'!U474+'Reporte Componentes R1'!W474+'Reporte Componentes R1'!X474+'Reporte Componentes R1'!Y474+'Reporte Componentes R1'!Z474+'Reporte Componentes R1'!S474+'Reversion Pagos R4'!Q316+'Reversion Pagos R4'!R316+'AJUSTES - SF-T'!AA50+J19=J12</f>
        <v>1</v>
      </c>
      <c r="K27" s="648" t="b">
        <f>+DetRetri2026092!N35</f>
        <v>1</v>
      </c>
      <c r="L27" s="648" t="b">
        <f>+'Reporte Componentes R1'!F473+'Rem. Anticipos R2'!E353+'Reporte Componentes R1'!F475+'Reversion Pagos R4'!D317+'AJUSTES - SF-T'!AD50+L19=L12</f>
        <v>1</v>
      </c>
      <c r="M27" s="715">
        <f>-'BCE SC POR FACT.'!F6+'Reporte Componentes R1'!F473+'Rem. Anticipos R2'!E353+'Reporte Componentes R1'!F475+'Reversion Pagos R4'!D317+'AJUSTES - SF-T'!AD50+M19-M12</f>
        <v>0</v>
      </c>
      <c r="N27" s="648" t="b">
        <f>'Reporte Componentes R1'!F473+'Rem. Anticipos R2'!E353+'Reporte Componentes R1'!F475+'Reversion Pagos R4'!D317+'AJUSTES - SF-T'!AD50+L19=L12</f>
        <v>1</v>
      </c>
      <c r="O27" s="712" t="b">
        <f>'Reporte Componentes R1'!M472+'Reporte Componentes R1'!M474+'Rem. Anticipos R2'!L352+'Reversion Pagos R4'!J316+'Reporte Componentes R1'!N472+'Reporte Componentes R1'!N474+'Rem. Anticipos R2'!M352+'Reversion Pagos R4'!K316+'Reporte Componentes R1'!O472+'Reporte Componentes R1'!O474+'Rem. Anticipos R2'!N352+'Reversion Pagos R4'!L316+'Reporte Componentes R1'!P472+'Reporte Componentes R1'!P474+'Rem. Anticipos R2'!O352+'Reversion Pagos R4'!M316+'Reporte Componentes R1'!Q472+'Reporte Componentes R1'!Q474+'Rem. Anticipos R2'!P352+'Reversion Pagos R4'!N316-INTERVENTORIA!I7+'Reporte Componentes R1'!R472+'Reporte Componentes R1'!V472+'Rem. Anticipos R2'!Q352+'Reporte Componentes R1'!R474+'Reporte Componentes R1'!V474+'Reversion Pagos R4'!O316+'Reporte Componentes R1'!T472+'Reporte Componentes R1'!U472+'Reporte Componentes R1'!W472+'Reporte Componentes R1'!X472+'Reporte Componentes R1'!Y472+'Reporte Componentes R1'!Z472+'Reporte Componentes R1'!S472+'Rem. Anticipos R2'!R352+'Reporte Componentes R1'!T474+'Reporte Componentes R1'!U474+'Reporte Componentes R1'!W474+'Reporte Componentes R1'!X474+'Reporte Componentes R1'!Y474+'Reporte Componentes R1'!Z474+'Reporte Componentes R1'!S474+'Reversion Pagos R4'!Q316+'Reversion Pagos R4'!R316+'AJUSTES - SF-T'!AA50+'Reporte Componentes R1'!L472+'Reporte Componentes R1'!L474+'Rem. Anticipos R2'!K352+'Reversion Pagos R4'!P316-'BCE SC POR FACT.'!F6+'Reporte Componentes R1'!F473+'Rem. Anticipos R2'!E353+'Reporte Componentes R1'!F475+'Reversion Pagos R4'!D317+'AJUSTES - SF-T'!AD50+N19=N12</f>
        <v>0</v>
      </c>
    </row>
    <row r="28" spans="2:16" x14ac:dyDescent="0.35">
      <c r="B28" s="610" t="s">
        <v>118</v>
      </c>
      <c r="C28" s="338" t="s">
        <v>14</v>
      </c>
      <c r="D28" s="648" t="b">
        <f>+'Reporte Componentes R1'!M551+'Reporte Componentes R1'!M553+'Rem. Anticipos R2'!L432+'Reversion Pagos R4'!J345+D20+'AJUSTES - SF-T'!U51=D13</f>
        <v>1</v>
      </c>
      <c r="E28" s="648" t="b">
        <f>+'Reporte Componentes R1'!N551+'Reporte Componentes R1'!N553+'Rem. Anticipos R2'!M432+'Reversion Pagos R4'!K345+E20+'AJUSTES - SF-T'!V51=E13</f>
        <v>1</v>
      </c>
      <c r="F28" s="648" t="b">
        <f>+'Reporte Componentes R1'!O551+'Reporte Componentes R1'!O553+'Rem. Anticipos R2'!N432+'Reversion Pagos R4'!L345+F20+'AJUSTES - SF-T'!W51=F13</f>
        <v>1</v>
      </c>
      <c r="G28" s="648" t="b">
        <f>+'Reporte Componentes R1'!P551+'Reporte Componentes R1'!P553+'Rem. Anticipos R2'!O432+'Reversion Pagos R4'!M345+G20+'AJUSTES - SF-T'!X51=G13</f>
        <v>1</v>
      </c>
      <c r="H28" s="648" t="b">
        <f>+'Reporte Componentes R1'!Q551+'Reporte Componentes R1'!Q553+'Rem. Anticipos R2'!P432+'Reversion Pagos R4'!N345+H20+'AJUSTES - SF-T'!Y51=H13</f>
        <v>1</v>
      </c>
      <c r="I28" s="698" t="b">
        <f>-INTERVENTORIA!M30+I20=I13</f>
        <v>1</v>
      </c>
      <c r="J28" s="650" t="b">
        <f>+'Reporte Componentes R1'!R551+'Reporte Componentes R1'!V551+'Rem. Anticipos R2'!Q432+'Reporte Componentes R1'!R553+'Reporte Componentes R1'!V553+'Reversion Pagos R4'!O345+'Reporte Componentes R1'!T551+'Reporte Componentes R1'!U551+'Reporte Componentes R1'!W551+'Reporte Componentes R1'!X551+'Reporte Componentes R1'!Y551+'Reporte Componentes R1'!Z551+'Reporte Componentes R1'!S551+'Rem. Anticipos R2'!R432+'Reporte Componentes R1'!T553+'Reporte Componentes R1'!U553+'Reporte Componentes R1'!W553+'Reporte Componentes R1'!X553+'Reporte Componentes R1'!Y553+'Reporte Componentes R1'!Z553+'Reporte Componentes R1'!S553+'Reversion Pagos R4'!Q345+'Reversion Pagos R4'!R345+'AJUSTES - SF-T'!AA51+J20=J13</f>
        <v>1</v>
      </c>
      <c r="K28" s="648" t="b">
        <f>+DetRetri2026092!N36</f>
        <v>1</v>
      </c>
      <c r="L28" s="648" t="b">
        <f>+'Reporte Componentes R1'!F552+'Rem. Anticipos R2'!E433+'Reporte Componentes R1'!F554+'Reversion Pagos R4'!D346+'AJUSTES - SF-T'!AD51+L20=L13</f>
        <v>1</v>
      </c>
      <c r="M28" s="648" t="b">
        <f>-'BCE SC POR FACT.'!F7+'Reporte Componentes R1'!F552+'Rem. Anticipos R2'!E433+'Reporte Componentes R1'!F554+'Reversion Pagos R4'!D346+'AJUSTES - SF-T'!AD51+M20=M13</f>
        <v>1</v>
      </c>
      <c r="N28" s="648" t="b">
        <f>'Reporte Componentes R1'!F552+'Rem. Anticipos R2'!E433+'Reporte Componentes R1'!F554+'Reversion Pagos R4'!D346+'AJUSTES - SF-T'!AD51+L20=L13</f>
        <v>1</v>
      </c>
      <c r="O28" s="648" t="b">
        <f>'Reporte Componentes R1'!M551+'Reporte Componentes R1'!M553+'Rem. Anticipos R2'!L432+'Reversion Pagos R4'!J345+'Reporte Componentes R1'!N551+'Reporte Componentes R1'!N553+'Rem. Anticipos R2'!M432+'Reversion Pagos R4'!K345+'Reporte Componentes R1'!O551+'Reporte Componentes R1'!O553+'Rem. Anticipos R2'!N432+'Reversion Pagos R4'!L345+'Reporte Componentes R1'!P551+'Reporte Componentes R1'!P553+'Rem. Anticipos R2'!O432+'Reversion Pagos R4'!M345+'Reporte Componentes R1'!Q551+'Reporte Componentes R1'!Q553+'Rem. Anticipos R2'!P432+'Reversion Pagos R4'!N345-INTERVENTORIA!I8+'Reporte Componentes R1'!R551+'Reporte Componentes R1'!V551+'Rem. Anticipos R2'!Q432+'Reporte Componentes R1'!R553+'Reporte Componentes R1'!V553+'Reversion Pagos R4'!O345+'Reporte Componentes R1'!T551+'Reporte Componentes R1'!U551+'Reporte Componentes R1'!W551+'Reporte Componentes R1'!X551+'Reporte Componentes R1'!Y551+'Reporte Componentes R1'!Z551+'Reporte Componentes R1'!S551+'Rem. Anticipos R2'!R432+'Reporte Componentes R1'!T553+'Reporte Componentes R1'!U553+'Reporte Componentes R1'!W553+'Reporte Componentes R1'!X553+'Reporte Componentes R1'!Y553+'Reporte Componentes R1'!Z553+'Reporte Componentes R1'!S553+'Reversion Pagos R4'!Q345+'Reversion Pagos R4'!R345+'AJUSTES - SF-T'!AA51+'Reporte Componentes R1'!L551+'Reporte Componentes R1'!L553+'Rem. Anticipos R2'!K432+'Reversion Pagos R4'!P345-'BCE SC POR FACT.'!F7+'Reporte Componentes R1'!F552+'Rem. Anticipos R2'!E433+'Reporte Componentes R1'!F554+'Reversion Pagos R4'!D346+'AJUSTES - SF-T'!AD51+N20=N13</f>
        <v>0</v>
      </c>
    </row>
    <row r="29" spans="2:16" x14ac:dyDescent="0.35">
      <c r="C29" s="649" t="s">
        <v>2</v>
      </c>
      <c r="D29" s="648" t="b">
        <f>'Reporte Componentes R1'!M46+'Reporte Componentes R1'!M48+'Rem. Anticipos R2'!L43+'Reversion Pagos R4'!J70+'Reporte Componentes R1'!M200+'Rem. Anticipos R2'!L136+'Reversion Pagos R4'!J170+'Reporte Componentes R1'!M202+'Reporte Componentes R1'!M339+'Reporte Componentes R1'!M341+'Rem. Anticipos R2'!L253+'Reversion Pagos R4'!J201+'Reporte Componentes R1'!M472+'Reporte Componentes R1'!M474+'Rem. Anticipos R2'!L352+'Reversion Pagos R4'!J316+'Reporte Componentes R1'!M551+'Reporte Componentes R1'!M553+'Rem. Anticipos R2'!L432+'Reversion Pagos R4'!J345+D21+'AJUSTES - SF-T'!U52=D14</f>
        <v>1</v>
      </c>
      <c r="E29" s="648" t="b">
        <f>'Reporte Componentes R1'!N46+'Reporte Componentes R1'!N48+'Rem. Anticipos R2'!M43+'Reversion Pagos R4'!K70+'Reporte Componentes R1'!N200+'Rem. Anticipos R2'!M136+'Reversion Pagos R4'!K170+'Reporte Componentes R1'!N202+'Reporte Componentes R1'!N339+'Reporte Componentes R1'!N341+'Rem. Anticipos R2'!M253+'Reversion Pagos R4'!K201+'Reporte Componentes R1'!N472+'Reporte Componentes R1'!N474+'Rem. Anticipos R2'!M352+'Reversion Pagos R4'!K316+'Reporte Componentes R1'!N551+'Reporte Componentes R1'!N553+'Rem. Anticipos R2'!M432+'Reversion Pagos R4'!K345+E21+'AJUSTES - SF-T'!V52=E14</f>
        <v>1</v>
      </c>
      <c r="F29" s="648" t="b">
        <f>'Reporte Componentes R1'!O46+'Reporte Componentes R1'!O48+'Rem. Anticipos R2'!N43+'Reversion Pagos R4'!L70+'Reporte Componentes R1'!O200+'Rem. Anticipos R2'!N136+'Reversion Pagos R4'!L170+'Reporte Componentes R1'!O202+'Reporte Componentes R1'!O339+'Reporte Componentes R1'!O341+'Rem. Anticipos R2'!N253+'Reversion Pagos R4'!L201+'Reporte Componentes R1'!O472+'Reporte Componentes R1'!O474+'Rem. Anticipos R2'!N352+'Reversion Pagos R4'!L316+'Reporte Componentes R1'!O551+'Reporte Componentes R1'!O553+'Rem. Anticipos R2'!N432+'Reversion Pagos R4'!L345+F21+'AJUSTES - SF-T'!W52=F14</f>
        <v>1</v>
      </c>
      <c r="G29" s="648" t="b">
        <f>'Reporte Componentes R1'!P46+'Reporte Componentes R1'!P48+'Rem. Anticipos R2'!O43+'Reversion Pagos R4'!M70+'Reporte Componentes R1'!P200+'Rem. Anticipos R2'!O136+'Reversion Pagos R4'!M170+'Reporte Componentes R1'!P202+'Reporte Componentes R1'!P339+'Reporte Componentes R1'!P341+'Rem. Anticipos R2'!O253+'Reversion Pagos R4'!M201+'Reporte Componentes R1'!P472+'Reporte Componentes R1'!P474+'Rem. Anticipos R2'!O352+'Reversion Pagos R4'!M316+'Reporte Componentes R1'!P551+'Reporte Componentes R1'!P553+'Rem. Anticipos R2'!O432+'Reversion Pagos R4'!M345+G21+'AJUSTES - SF-T'!X52=G14</f>
        <v>1</v>
      </c>
      <c r="H29" s="648" t="b">
        <f>'Reporte Componentes R1'!Q46+'Reporte Componentes R1'!Q48+'Rem. Anticipos R2'!P43+'Reversion Pagos R4'!N70+'Reporte Componentes R1'!Q200+'Rem. Anticipos R2'!P136+'Reversion Pagos R4'!N170+'Reporte Componentes R1'!Q202+'Reporte Componentes R1'!Q339+'Reporte Componentes R1'!Q341+'Rem. Anticipos R2'!P253+'Reversion Pagos R4'!N201+'Reporte Componentes R1'!Q472+'Reporte Componentes R1'!Q474+'Rem. Anticipos R2'!P352+'Reversion Pagos R4'!N316+'Reporte Componentes R1'!Q551+'Reporte Componentes R1'!Q553+'Rem. Anticipos R2'!P432+'Reversion Pagos R4'!N345+H21+'AJUSTES - SF-T'!Y52=H14</f>
        <v>1</v>
      </c>
      <c r="I29" s="698" t="b">
        <f>-INTERVENTORIA!M31+I21=I14</f>
        <v>1</v>
      </c>
      <c r="J29" s="648" t="b">
        <f>'Reporte Componentes R1'!R46+'Reporte Componentes R1'!V46+'Rem. Anticipos R2'!Q43+'Reporte Componentes R1'!R48+'Reporte Componentes R1'!V48+'Reversion Pagos R4'!O70+'Reporte Componentes R1'!T46+'Reporte Componentes R1'!U46+'Reporte Componentes R1'!W46+'Reporte Componentes R1'!X46+'Reporte Componentes R1'!Y46+'Reporte Componentes R1'!Z46+'Reporte Componentes R1'!S46+'Rem. Anticipos R2'!R43+'Reporte Componentes R1'!T48+'Reporte Componentes R1'!U48+'Reporte Componentes R1'!W48+'Reporte Componentes R1'!X48+'Reporte Componentes R1'!Y48+'Reporte Componentes R1'!Z48+'Reporte Componentes R1'!S48+'Reversion Pagos R4'!Q70+'Reversion Pagos R4'!R70+'AJUSTES - SF-T'!AA47+'Reporte Componentes R1'!R200+'Reporte Componentes R1'!V200+'Rem. Anticipos R2'!Q136+'Reporte Componentes R1'!R202+'Reporte Componentes R1'!V202+'Reversion Pagos R4'!O170+'Reporte Componentes R1'!T200+'Reporte Componentes R1'!U200+'Reporte Componentes R1'!W200+'Reporte Componentes R1'!X200+'Reporte Componentes R1'!Y200+'Reporte Componentes R1'!Z200+'Reporte Componentes R1'!S200+'Rem. Anticipos R2'!R136+'Reporte Componentes R1'!T202+'Reporte Componentes R1'!U202+'Reporte Componentes R1'!W202+'Reporte Componentes R1'!X202+'Reporte Componentes R1'!Y202+'Reporte Componentes R1'!Z202+'Reporte Componentes R1'!S202+'Reversion Pagos R4'!Q170+'Reversion Pagos R4'!R170+'AJUSTES - SF-T'!AA48+'Reporte Componentes R1'!R339+'Reporte Componentes R1'!V339+'Rem. Anticipos R2'!Q253+'Reporte Componentes R1'!R341+'Reporte Componentes R1'!V341+'Reversion Pagos R4'!O201+'Reporte Componentes R1'!T339+'Reporte Componentes R1'!U339+'Reporte Componentes R1'!W339+'Reporte Componentes R1'!X339+'Reporte Componentes R1'!Y339+'Reporte Componentes R1'!Z339+'Reporte Componentes R1'!S339+'Rem. Anticipos R2'!R253+'Reporte Componentes R1'!T341+'Reporte Componentes R1'!U341+'Reporte Componentes R1'!W341+'Reporte Componentes R1'!X341+'Reporte Componentes R1'!Y341+'Reporte Componentes R1'!Z341+'Reporte Componentes R1'!S341+'Reversion Pagos R4'!Q201+'Reversion Pagos R4'!R201+'AJUSTES - SF-T'!AA49+'Reporte Componentes R1'!R472+'Reporte Componentes R1'!V472+'Rem. Anticipos R2'!Q352+'Reporte Componentes R1'!R474+'Reporte Componentes R1'!V474+'Reversion Pagos R4'!O316+'Reporte Componentes R1'!T472+'Reporte Componentes R1'!U472+'Reporte Componentes R1'!W472+'Reporte Componentes R1'!X472+'Reporte Componentes R1'!Y472+'Reporte Componentes R1'!Z472+'Reporte Componentes R1'!S472+'Rem. Anticipos R2'!R352+'Reporte Componentes R1'!T474+'Reporte Componentes R1'!U474+'Reporte Componentes R1'!W474+'Reporte Componentes R1'!X474+'Reporte Componentes R1'!Y474+'Reporte Componentes R1'!Z474+'Reporte Componentes R1'!S474+'Reversion Pagos R4'!Q316+'Reversion Pagos R4'!R316+'Reporte Componentes R1'!R551+'Reporte Componentes R1'!V551+'Rem. Anticipos R2'!Q432+'Reporte Componentes R1'!R553+'Reporte Componentes R1'!V553+'Reversion Pagos R4'!O345+'Reporte Componentes R1'!T551+'Reporte Componentes R1'!U551+'Reporte Componentes R1'!W551+'Reporte Componentes R1'!X551+'Reporte Componentes R1'!Y551+'Reporte Componentes R1'!Z551+'Reporte Componentes R1'!S551+'Rem. Anticipos R2'!R432+'Reporte Componentes R1'!T553+'Reporte Componentes R1'!U553+'Reporte Componentes R1'!W553+'Reporte Componentes R1'!X553+'Reporte Componentes R1'!Y553+'Reporte Componentes R1'!Z553+'Reporte Componentes R1'!S553+'Reversion Pagos R4'!Q345+'Reversion Pagos R4'!R345+'AJUSTES - SF-T'!AA52+J21=J14</f>
        <v>0</v>
      </c>
      <c r="K29" s="648" t="b">
        <f>'Reporte Componentes R1'!L46+'Rem. Anticipos R2'!K43+'Reversion Pagos R4'!P70+'Reporte Componentes R1'!L48+'Reporte Componentes R1'!L200+'Rem. Anticipos R2'!K136+'Reversion Pagos R4'!P170+'Reporte Componentes R1'!L202+'Reporte Componentes R1'!L339+'Reporte Componentes R1'!L341+'Rem. Anticipos R2'!K253+'Reversion Pagos R4'!P201+'Reporte Componentes R1'!L472+'Reporte Componentes R1'!L474+'Rem. Anticipos R2'!K352+'Reversion Pagos R4'!P316+'Reporte Componentes R1'!L551+'Reporte Componentes R1'!L553+'Rem. Anticipos R2'!K432+'Reversion Pagos R4'!P345+K21=K14</f>
        <v>1</v>
      </c>
      <c r="L29" s="711" t="b">
        <f>'Reporte Componentes R1'!F47+'Rem. Anticipos R2'!E44+'Reporte Componentes R1'!F49+'Reversion Pagos R4'!D71+'AJUSTES - SF-T'!AD47+'Reporte Componentes R1'!F201+'Rem. Anticipos R2'!E137+'Reporte Componentes R1'!F203+'Reversion Pagos R4'!D171+'AJUSTES - SF-T'!AD48+'Reporte Componentes R1'!F340+'Rem. Anticipos R2'!E254+'Reporte Componentes R1'!F342+'Reversion Pagos R4'!D202+'AJUSTES - SF-T'!AD49+'Reporte Componentes R1'!F473+'Rem. Anticipos R2'!E353+'Reporte Componentes R1'!F475+'Reversion Pagos R4'!D317+'AJUSTES - SF-T'!AD50+'Reporte Componentes R1'!F552+'Rem. Anticipos R2'!E433+'Reporte Componentes R1'!F554+'Reversion Pagos R4'!D346+'AJUSTES - SF-T'!AD51+L21=L14</f>
        <v>1</v>
      </c>
      <c r="M29" s="648" t="b">
        <f>-'BCE SC POR FACT.'!F3+'Reporte Componentes R1'!F47+'Rem. Anticipos R2'!E44+'Reporte Componentes R1'!F49+'Reversion Pagos R4'!D71+'AJUSTES - SF-T'!AD47-'BCE SC POR FACT.'!F4+'Reporte Componentes R1'!F201+'Rem. Anticipos R2'!E137+'Reporte Componentes R1'!F203+'Reversion Pagos R4'!D171+'AJUSTES - SF-T'!AD48-'BCE SC POR FACT.'!F5+'Reporte Componentes R1'!F340+'Rem. Anticipos R2'!E254+'Reporte Componentes R1'!F342+'Reversion Pagos R4'!D202+'AJUSTES - SF-T'!AD49-'BCE SC POR FACT.'!F6+'Reporte Componentes R1'!F473+'Rem. Anticipos R2'!E353+'Reporte Componentes R1'!F475+'Reversion Pagos R4'!D317+'AJUSTES - SF-T'!AD50-'BCE SC POR FACT.'!F7+'Reporte Componentes R1'!F552+'Rem. Anticipos R2'!E433+'Reporte Componentes R1'!F554+'Reversion Pagos R4'!D346+'AJUSTES - SF-T'!AD51+M21=M14</f>
        <v>1</v>
      </c>
      <c r="N29" s="648" t="b">
        <f>'Reporte Componentes R1'!F47+'Rem. Anticipos R2'!E44+'Reporte Componentes R1'!F49+'Reversion Pagos R4'!D71+'AJUSTES - SF-T'!AD47+'Reporte Componentes R1'!F201+'Rem. Anticipos R2'!E137+'Reporte Componentes R1'!F203+'Reversion Pagos R4'!D171+'AJUSTES - SF-T'!AD48+'Reporte Componentes R1'!F340+'Rem. Anticipos R2'!E254+'Reporte Componentes R1'!F342+'Reversion Pagos R4'!D202+'AJUSTES - SF-T'!AD49+'Reporte Componentes R1'!F473+'Rem. Anticipos R2'!E353+'Reporte Componentes R1'!F475+'Reversion Pagos R4'!D317+'AJUSTES - SF-T'!AD50+'Reporte Componentes R1'!F552+'Rem. Anticipos R2'!E433+'Reporte Componentes R1'!F554+'Reversion Pagos R4'!D346+'AJUSTES - SF-T'!AD51+L21=L14</f>
        <v>1</v>
      </c>
      <c r="O29" s="648" t="b">
        <f>'Reporte Componentes R1'!M46+'Reporte Componentes R1'!M48+'Rem. Anticipos R2'!L43+'Reversion Pagos R4'!J70+'Reporte Componentes R1'!N46+'Reporte Componentes R1'!N48+'Rem. Anticipos R2'!M43+'Reversion Pagos R4'!K70+'Reporte Componentes R1'!O46+'Reporte Componentes R1'!O48+'Rem. Anticipos R2'!N43+'Reversion Pagos R4'!L70+'Reporte Componentes R1'!P46+'Reporte Componentes R1'!P48+'Rem. Anticipos R2'!O43+'Reversion Pagos R4'!M70+'Reporte Componentes R1'!Q46+'Reporte Componentes R1'!Q48+'Rem. Anticipos R2'!P43+'Reversion Pagos R4'!N70-INTERVENTORIA!K15+'Reporte Componentes R1'!R46+'Reporte Componentes R1'!V46+'Rem. Anticipos R2'!Q43+'Reporte Componentes R1'!R48+'Reporte Componentes R1'!V48+'Reversion Pagos R4'!O70+'Reporte Componentes R1'!T46+'Reporte Componentes R1'!U46+'Reporte Componentes R1'!W46+'Reporte Componentes R1'!X46+'Reporte Componentes R1'!Y46+'Reporte Componentes R1'!Z46+'Reporte Componentes R1'!S46+'Rem. Anticipos R2'!R43+'Reporte Componentes R1'!T48+'Reporte Componentes R1'!U48+'Reporte Componentes R1'!W48+'Reporte Componentes R1'!X48+'Reporte Componentes R1'!Y48+'Reporte Componentes R1'!Z48+'Reporte Componentes R1'!S48+'Reversion Pagos R4'!Q70+'Reversion Pagos R4'!R70+'AJUSTES - SF-T'!AA47+'Reporte Componentes R1'!L46+'Rem. Anticipos R2'!K43+'Reversion Pagos R4'!P70+'Reporte Componentes R1'!L48-'BCE SC POR FACT.'!F3+'Reporte Componentes R1'!F47+'Rem. Anticipos R2'!E44+'Reporte Componentes R1'!F49+'Reversion Pagos R4'!D71+'AJUSTES - SF-T'!AD47+'Reporte Componentes R1'!M200+'Rem. Anticipos R2'!L136+'Reversion Pagos R4'!J170+'Reporte Componentes R1'!M202+'Reporte Componentes R1'!N200+'Rem. Anticipos R2'!M136+'Reversion Pagos R4'!K170+'Reporte Componentes R1'!N202+'Reporte Componentes R1'!O200+'Rem. Anticipos R2'!N136+'Reversion Pagos R4'!L170+'Reporte Componentes R1'!O202+'Reporte Componentes R1'!P200+'Rem. Anticipos R2'!O136+'Reversion Pagos R4'!M170+'Reporte Componentes R1'!P202+'Reporte Componentes R1'!Q200+'Rem. Anticipos R2'!P136+'Reversion Pagos R4'!N170+'Reporte Componentes R1'!Q202-INTERVENTORIA!K16+'Reporte Componentes R1'!R200+'Reporte Componentes R1'!V200+'Rem. Anticipos R2'!Q136+'Reporte Componentes R1'!R202+'Reporte Componentes R1'!V202+'Reversion Pagos R4'!O170+'Reporte Componentes R1'!T200+'Reporte Componentes R1'!U200+'Reporte Componentes R1'!W200+'Reporte Componentes R1'!X200+'Reporte Componentes R1'!Y200+'Reporte Componentes R1'!Z200+'Reporte Componentes R1'!S200+'Rem. Anticipos R2'!R136+'Reporte Componentes R1'!T202+'Reporte Componentes R1'!U202+'Reporte Componentes R1'!W202+'Reporte Componentes R1'!X202+'Reporte Componentes R1'!Y202+'Reporte Componentes R1'!Z202+'Reporte Componentes R1'!S202+'Reversion Pagos R4'!Q170+'Reversion Pagos R4'!R170+'AJUSTES - SF-T'!AA48+'Reporte Componentes R1'!L200+'Rem. Anticipos R2'!K136+'Reversion Pagos R4'!P170+'Reporte Componentes R1'!L202-'BCE SC POR FACT.'!F4+'Reporte Componentes R1'!F201+'Rem. Anticipos R2'!E137+'Reporte Componentes R1'!F203+'Reversion Pagos R4'!D171+'AJUSTES - SF-T'!AD48+'Reporte Componentes R1'!M339+'Reporte Componentes R1'!M341+'Rem. Anticipos R2'!L253+'Reversion Pagos R4'!J201+'Reporte Componentes R1'!N339+'Reporte Componentes R1'!N341+'Rem. Anticipos R2'!M253+'Reversion Pagos R4'!K201+'Reporte Componentes R1'!O339+'Reporte Componentes R1'!O341+'Rem. Anticipos R2'!N253+'Reversion Pagos R4'!L201+'Reporte Componentes R1'!P339+'Reporte Componentes R1'!P341+'Rem. Anticipos R2'!O253+'Reversion Pagos R4'!M201+'Reporte Componentes R1'!Q339+'Reporte Componentes R1'!Q341+'Rem. Anticipos R2'!P253+'Reversion Pagos R4'!N201-INTERVENTORIA!K17+'Reporte Componentes R1'!R339+'Reporte Componentes R1'!V339+'Rem. Anticipos R2'!Q253+'Reporte Componentes R1'!R341+'Reporte Componentes R1'!V341+'Reversion Pagos R4'!O201+'Reporte Componentes R1'!T339+'Reporte Componentes R1'!U339+'Reporte Componentes R1'!W339+'Reporte Componentes R1'!X339+'Reporte Componentes R1'!Y339+'Reporte Componentes R1'!Z339+'Reporte Componentes R1'!S339+'Rem. Anticipos R2'!R253+'Reporte Componentes R1'!T341+'Reporte Componentes R1'!U341+'Reporte Componentes R1'!W341+'Reporte Componentes R1'!X341+'Reporte Componentes R1'!Y341+'Reporte Componentes R1'!Z341+'Reporte Componentes R1'!S341+'Reversion Pagos R4'!Q201+'Reversion Pagos R4'!R201+'AJUSTES - SF-T'!AA49+'Reporte Componentes R1'!L339+'Reporte Componentes R1'!L341+'Rem. Anticipos R2'!K253+'Reversion Pagos R4'!P201-'BCE SC POR FACT.'!F5+'Reporte Componentes R1'!F340+'Rem. Anticipos R2'!E254+'Reporte Componentes R1'!F342+'Reversion Pagos R4'!D202+'AJUSTES - SF-T'!AD49+'Reporte Componentes R1'!M472+'Reporte Componentes R1'!M474+'Rem. Anticipos R2'!L352+'Reversion Pagos R4'!J316+'Reporte Componentes R1'!N472+'Reporte Componentes R1'!N474+'Rem. Anticipos R2'!M352+'Reversion Pagos R4'!K316+'Reporte Componentes R1'!O472+'Reporte Componentes R1'!O474+'Rem. Anticipos R2'!N352+'Reversion Pagos R4'!L316+'Reporte Componentes R1'!P472+'Reporte Componentes R1'!P474+'Rem. Anticipos R2'!O352+'Reversion Pagos R4'!M316+'Reporte Componentes R1'!Q472+'Reporte Componentes R1'!Q474+'Rem. Anticipos R2'!P352+'Reversion Pagos R4'!N316-INTERVENTORIA!K18+'Reporte Componentes R1'!R472+'Reporte Componentes R1'!V472+'Rem. Anticipos R2'!Q352+'Reporte Componentes R1'!R474+'Reporte Componentes R1'!V474+'Reversion Pagos R4'!O316+'Reporte Componentes R1'!T472+'Reporte Componentes R1'!U472+'Reporte Componentes R1'!W472+'Reporte Componentes R1'!X472+'Reporte Componentes R1'!Y472+'Reporte Componentes R1'!Z472+'Reporte Componentes R1'!S472+'Rem. Anticipos R2'!R352+'Reporte Componentes R1'!T474+'Reporte Componentes R1'!U474+'Reporte Componentes R1'!W474+'Reporte Componentes R1'!X474+'Reporte Componentes R1'!Y474+'Reporte Componentes R1'!Z474+'Reporte Componentes R1'!S474+'Reversion Pagos R4'!Q316+'Reversion Pagos R4'!R316+'AJUSTES - SF-T'!AA50+'Reporte Componentes R1'!L472+'Reporte Componentes R1'!L474+'Rem. Anticipos R2'!K352+'Reversion Pagos R4'!P316-'BCE SC POR FACT.'!F6+'Reporte Componentes R1'!F473+'Rem. Anticipos R2'!E353+'Reporte Componentes R1'!F475+'Reversion Pagos R4'!D317+'AJUSTES - SF-T'!AD50+'Reporte Componentes R1'!M551+'Reporte Componentes R1'!M553+'Rem. Anticipos R2'!L432+'Reversion Pagos R4'!J345+'Reporte Componentes R1'!N551+'Reporte Componentes R1'!N553+'Rem. Anticipos R2'!M432+'Reversion Pagos R4'!K345+'Reporte Componentes R1'!O551+'Reporte Componentes R1'!O553+'Rem. Anticipos R2'!N432+'Reversion Pagos R4'!L345+'Reporte Componentes R1'!P551+'Reporte Componentes R1'!P553+'Rem. Anticipos R2'!O432+'Reversion Pagos R4'!M345+'Reporte Componentes R1'!Q551+'Reporte Componentes R1'!Q553+'Rem. Anticipos R2'!P432+'Reversion Pagos R4'!N345-INTERVENTORIA!Q19+'Reporte Componentes R1'!R551+'Reporte Componentes R1'!V551+'Rem. Anticipos R2'!Q432+'Reporte Componentes R1'!R553+'Reporte Componentes R1'!V553+'Reversion Pagos R4'!O345+'Reporte Componentes R1'!T551+'Reporte Componentes R1'!U551+'Reporte Componentes R1'!W551+'Reporte Componentes R1'!X551+'Reporte Componentes R1'!Y551+'Reporte Componentes R1'!Z551+'Reporte Componentes R1'!S551+'Rem. Anticipos R2'!R432+'Reporte Componentes R1'!T553+'Reporte Componentes R1'!U553+'Reporte Componentes R1'!W553+'Reporte Componentes R1'!X553+'Reporte Componentes R1'!Y553+'Reporte Componentes R1'!Z553+'Reporte Componentes R1'!S553+'Reversion Pagos R4'!Q345+'Reversion Pagos R4'!R345+'AJUSTES - SF-T'!AA51+'Reporte Componentes R1'!L551+'Reporte Componentes R1'!L553+'Rem. Anticipos R2'!K432+'Reversion Pagos R4'!P345-'BCE SC POR FACT.'!F7+'Reporte Componentes R1'!F552+'Rem. Anticipos R2'!E433+'Reporte Componentes R1'!F554+'Reversion Pagos R4'!D346+'AJUSTES - SF-T'!AD51+N21=N14</f>
        <v>0</v>
      </c>
    </row>
    <row r="30" spans="2:16" x14ac:dyDescent="0.35">
      <c r="M30" s="655"/>
    </row>
    <row r="31" spans="2:16" x14ac:dyDescent="0.35">
      <c r="I31" s="697"/>
      <c r="J31" s="699"/>
    </row>
    <row r="32" spans="2:16" x14ac:dyDescent="0.35">
      <c r="J32" s="700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92" zoomScaleNormal="100" workbookViewId="0">
      <selection activeCell="A113" sqref="A113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3.81640625" style="1" bestFit="1" customWidth="1"/>
    <col min="5" max="5" width="16" style="1" customWidth="1"/>
    <col min="6" max="7" width="14.81640625" style="1" customWidth="1"/>
    <col min="8" max="8" width="16.1796875" style="1" customWidth="1"/>
    <col min="9" max="9" width="20.1796875" style="1" bestFit="1" customWidth="1"/>
    <col min="10" max="10" width="15.54296875" style="1" customWidth="1"/>
    <col min="11" max="11" width="17.54296875" style="1" customWidth="1"/>
    <col min="12" max="12" width="17" style="1" bestFit="1" customWidth="1"/>
    <col min="13" max="13" width="19.81640625" style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7.54296875" style="1" bestFit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36" width="13.81640625" style="1" bestFit="1" customWidth="1"/>
    <col min="37" max="16384" width="11.453125" style="1"/>
  </cols>
  <sheetData>
    <row r="1" spans="2:39" ht="12" thickBot="1" x14ac:dyDescent="0.3">
      <c r="Q1" s="4"/>
      <c r="AI1" s="4"/>
    </row>
    <row r="2" spans="2:39" x14ac:dyDescent="0.25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4" x14ac:dyDescent="0.3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5" x14ac:dyDescent="0.35">
      <c r="B6" s="8"/>
      <c r="C6" s="2"/>
      <c r="D6" s="9"/>
      <c r="F6" s="471" t="s">
        <v>121</v>
      </c>
      <c r="G6" s="471"/>
      <c r="H6" s="472"/>
      <c r="I6" s="473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" thickBot="1" x14ac:dyDescent="0.3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105</v>
      </c>
      <c r="AE8" s="121" t="s">
        <v>104</v>
      </c>
      <c r="AF8" s="39" t="s">
        <v>23</v>
      </c>
      <c r="AG8" s="273"/>
      <c r="AI8" s="4"/>
    </row>
    <row r="9" spans="2:39" s="305" customFormat="1" x14ac:dyDescent="0.25">
      <c r="B9" s="303">
        <v>1</v>
      </c>
      <c r="C9" s="304" t="s">
        <v>10</v>
      </c>
      <c r="D9" s="291">
        <f>'CONSOLIDADO_TOTAL RECAUDO'!D104</f>
        <v>16057292250.040001</v>
      </c>
      <c r="E9" s="292">
        <f>'CONSOLIDADO_TOTAL RECAUDO'!E104</f>
        <v>818779939.45000005</v>
      </c>
      <c r="F9" s="292">
        <f>'CONSOLIDADO_TOTAL RECAUDO'!F104</f>
        <v>456179956.53000003</v>
      </c>
      <c r="G9" s="292">
        <f>'CONSOLIDADO_TOTAL RECAUDO'!G104</f>
        <v>241956320.33000001</v>
      </c>
      <c r="H9" s="292">
        <f>'CONSOLIDADO_TOTAL RECAUDO'!H104</f>
        <v>3323333269.4299998</v>
      </c>
      <c r="I9" s="292">
        <f>'CONSOLIDADO_TOTAL RECAUDO'!I104</f>
        <v>124464163.52000001</v>
      </c>
      <c r="J9" s="288">
        <f>'CONSOLIDADO_TOTAL RECAUDO'!J104</f>
        <v>-4501501560.3499994</v>
      </c>
      <c r="K9" s="293">
        <f>'CONSOLIDADO_TOTAL RECAUDO'!K104</f>
        <v>15594080161.129997</v>
      </c>
      <c r="L9" s="294">
        <f>'CONSOLIDADO_TOTAL RECAUDO'!L104</f>
        <v>189185988</v>
      </c>
      <c r="M9" s="293">
        <f>'CONSOLIDADO_TOTAL RECAUDO'!M104</f>
        <v>15404894173.129997</v>
      </c>
      <c r="N9" s="294">
        <f>'CONSOLIDADO_TOTAL RECAUDO'!N104</f>
        <v>29440960.199999999</v>
      </c>
      <c r="O9" s="293">
        <f>'CONSOLIDADO_TOTAL RECAUDO'!O104</f>
        <v>15434335133.329998</v>
      </c>
      <c r="Q9" s="306"/>
      <c r="S9" s="303">
        <v>1</v>
      </c>
      <c r="T9" s="304" t="s">
        <v>10</v>
      </c>
      <c r="U9" s="307">
        <f>'CONSOLIDADO_TOTAL RECAUDO'!U104</f>
        <v>1095972718.5899999</v>
      </c>
      <c r="V9" s="308">
        <f>'CONSOLIDADO_TOTAL RECAUDO'!V104</f>
        <v>1047708574.1999999</v>
      </c>
      <c r="W9" s="308">
        <f>'CONSOLIDADO_TOTAL RECAUDO'!W104</f>
        <v>4922628703.1599998</v>
      </c>
      <c r="X9" s="308">
        <f>'CONSOLIDADO_TOTAL RECAUDO'!X104</f>
        <v>2228456528.4900002</v>
      </c>
      <c r="Y9" s="309">
        <f>'CONSOLIDADO_TOTAL RECAUDO'!Y104</f>
        <v>202981010.05000001</v>
      </c>
      <c r="Z9" s="310">
        <f>'CONSOLIDADO_TOTAL RECAUDO'!Z104</f>
        <v>-189185988</v>
      </c>
      <c r="AA9" s="311">
        <f>'CONSOLIDADO_TOTAL RECAUDO'!AA104</f>
        <v>106508.73000000001</v>
      </c>
      <c r="AB9" s="294">
        <f>'CONSOLIDADO_TOTAL RECAUDO'!AB104</f>
        <v>29440960.199999999</v>
      </c>
      <c r="AC9" s="311">
        <f>'CONSOLIDADO_TOTAL RECAUDO'!AC104</f>
        <v>69.86</v>
      </c>
      <c r="AD9" s="291">
        <f>'CONSOLIDADO_TOTAL RECAUDO'!AD104</f>
        <v>6096226048.0499992</v>
      </c>
      <c r="AE9" s="291">
        <f>'CONSOLIDADO_TOTAL RECAUDO'!AE104</f>
        <v>1594724487.7</v>
      </c>
      <c r="AF9" s="313">
        <f>'CONSOLIDADO_TOTAL RECAUDO'!AF104</f>
        <v>15434335133.33</v>
      </c>
      <c r="AG9" s="521">
        <f>'CONSOLIDADO_TOTAL RECAUDO'!AG104</f>
        <v>0</v>
      </c>
      <c r="AH9" s="1" t="s">
        <v>1</v>
      </c>
      <c r="AI9" s="306"/>
      <c r="AM9" s="333"/>
    </row>
    <row r="10" spans="2:39" s="305" customFormat="1" x14ac:dyDescent="0.25">
      <c r="B10" s="314">
        <v>2</v>
      </c>
      <c r="C10" s="315" t="s">
        <v>11</v>
      </c>
      <c r="D10" s="291">
        <f>'CONSOLIDADO_TOTAL RECAUDO'!D105</f>
        <v>22321351878.560001</v>
      </c>
      <c r="E10" s="292">
        <f>'CONSOLIDADO_TOTAL RECAUDO'!E105</f>
        <v>1703762098.3000002</v>
      </c>
      <c r="F10" s="292">
        <f>'CONSOLIDADO_TOTAL RECAUDO'!F105</f>
        <v>943493228.44000006</v>
      </c>
      <c r="G10" s="292">
        <f>'CONSOLIDADO_TOTAL RECAUDO'!G105</f>
        <v>498443224.56999999</v>
      </c>
      <c r="H10" s="292">
        <f>'CONSOLIDADO_TOTAL RECAUDO'!H105</f>
        <v>6843469380.5999994</v>
      </c>
      <c r="I10" s="292">
        <f>'CONSOLIDADO_TOTAL RECAUDO'!I105</f>
        <v>238621910.31000003</v>
      </c>
      <c r="J10" s="288">
        <f>'CONSOLIDADO_TOTAL RECAUDO'!J105</f>
        <v>-3550307908.4800005</v>
      </c>
      <c r="K10" s="295">
        <f>'CONSOLIDADO_TOTAL RECAUDO'!K105</f>
        <v>15643869944.820007</v>
      </c>
      <c r="L10" s="294">
        <f>'CONSOLIDADO_TOTAL RECAUDO'!L105</f>
        <v>266580256</v>
      </c>
      <c r="M10" s="295">
        <f>'CONSOLIDADO_TOTAL RECAUDO'!M105</f>
        <v>15377289688.820007</v>
      </c>
      <c r="N10" s="294">
        <f>'CONSOLIDADO_TOTAL RECAUDO'!N105</f>
        <v>74146482.560000002</v>
      </c>
      <c r="O10" s="295">
        <f>'CONSOLIDADO_TOTAL RECAUDO'!O105</f>
        <v>15451436171.380007</v>
      </c>
      <c r="Q10" s="306"/>
      <c r="S10" s="314">
        <v>2</v>
      </c>
      <c r="T10" s="315" t="s">
        <v>11</v>
      </c>
      <c r="U10" s="316">
        <f>'CONSOLIDADO_TOTAL RECAUDO'!U105</f>
        <v>2090954081.4100001</v>
      </c>
      <c r="V10" s="317">
        <f>'CONSOLIDADO_TOTAL RECAUDO'!V105</f>
        <v>2076895429.78</v>
      </c>
      <c r="W10" s="317">
        <f>'CONSOLIDADO_TOTAL RECAUDO'!W105</f>
        <v>9754298151.3600006</v>
      </c>
      <c r="X10" s="317">
        <f>'CONSOLIDADO_TOTAL RECAUDO'!X105</f>
        <v>3352227531.5500002</v>
      </c>
      <c r="Y10" s="318">
        <f>'CONSOLIDADO_TOTAL RECAUDO'!Y105</f>
        <v>389637563.81999999</v>
      </c>
      <c r="Z10" s="319">
        <f>'CONSOLIDADO_TOTAL RECAUDO'!Z105</f>
        <v>-266580256</v>
      </c>
      <c r="AA10" s="320">
        <f>'CONSOLIDADO_TOTAL RECAUDO'!AA105</f>
        <v>157134.76999999999</v>
      </c>
      <c r="AB10" s="294">
        <f>'CONSOLIDADO_TOTAL RECAUDO'!AB105</f>
        <v>74146482.560000002</v>
      </c>
      <c r="AC10" s="320">
        <f>'CONSOLIDADO_TOTAL RECAUDO'!AC105</f>
        <v>255.03999999999996</v>
      </c>
      <c r="AD10" s="291">
        <f>'CONSOLIDADO_TOTAL RECAUDO'!AD105</f>
        <v>-2020300202.9099989</v>
      </c>
      <c r="AE10" s="291">
        <f>'CONSOLIDADO_TOTAL RECAUDO'!AE105</f>
        <v>-5570608111.3899994</v>
      </c>
      <c r="AF10" s="322">
        <f>'CONSOLIDADO_TOTAL RECAUDO'!AF105</f>
        <v>15451436171.380005</v>
      </c>
      <c r="AG10" s="522">
        <f>'CONSOLIDADO_TOTAL RECAUDO'!AG105</f>
        <v>0</v>
      </c>
      <c r="AH10" s="1" t="s">
        <v>1</v>
      </c>
      <c r="AI10" s="306"/>
      <c r="AM10" s="333"/>
    </row>
    <row r="11" spans="2:39" s="305" customFormat="1" x14ac:dyDescent="0.25">
      <c r="B11" s="314">
        <v>3</v>
      </c>
      <c r="C11" s="315" t="s">
        <v>12</v>
      </c>
      <c r="D11" s="291">
        <f>'CONSOLIDADO_TOTAL RECAUDO'!D106</f>
        <v>15232768359.989996</v>
      </c>
      <c r="E11" s="292">
        <f>'CONSOLIDADO_TOTAL RECAUDO'!E106</f>
        <v>1138837288.4100001</v>
      </c>
      <c r="F11" s="292">
        <f>'CONSOLIDADO_TOTAL RECAUDO'!F106</f>
        <v>633894873.40999997</v>
      </c>
      <c r="G11" s="292">
        <f>'CONSOLIDADO_TOTAL RECAUDO'!G106</f>
        <v>336797543.44</v>
      </c>
      <c r="H11" s="292">
        <f>'CONSOLIDADO_TOTAL RECAUDO'!H106</f>
        <v>3483395444.7499995</v>
      </c>
      <c r="I11" s="292">
        <f>'CONSOLIDADO_TOTAL RECAUDO'!I106</f>
        <v>126710880.50999999</v>
      </c>
      <c r="J11" s="288">
        <f>'CONSOLIDADO_TOTAL RECAUDO'!J106</f>
        <v>-750589759.5999999</v>
      </c>
      <c r="K11" s="295">
        <f>'CONSOLIDADO_TOTAL RECAUDO'!K106</f>
        <v>10263722089.069996</v>
      </c>
      <c r="L11" s="294">
        <f>'CONSOLIDADO_TOTAL RECAUDO'!L106</f>
        <v>154788536</v>
      </c>
      <c r="M11" s="295">
        <f>'CONSOLIDADO_TOTAL RECAUDO'!M106</f>
        <v>10108933553.069996</v>
      </c>
      <c r="N11" s="294">
        <f>'CONSOLIDADO_TOTAL RECAUDO'!N106</f>
        <v>37171034.849999994</v>
      </c>
      <c r="O11" s="295">
        <f>'CONSOLIDADO_TOTAL RECAUDO'!O106</f>
        <v>10146104587.919996</v>
      </c>
      <c r="Q11" s="306"/>
      <c r="S11" s="314">
        <v>3</v>
      </c>
      <c r="T11" s="315" t="s">
        <v>12</v>
      </c>
      <c r="U11" s="316">
        <f>'CONSOLIDADO_TOTAL RECAUDO'!U106</f>
        <v>1110313250.9599998</v>
      </c>
      <c r="V11" s="317">
        <f>'CONSOLIDADO_TOTAL RECAUDO'!V106</f>
        <v>1085125225.04</v>
      </c>
      <c r="W11" s="317">
        <f>'CONSOLIDADO_TOTAL RECAUDO'!W106</f>
        <v>5099431876.0100012</v>
      </c>
      <c r="X11" s="317">
        <f>'CONSOLIDADO_TOTAL RECAUDO'!X106</f>
        <v>2698249103.4300003</v>
      </c>
      <c r="Y11" s="318">
        <f>'CONSOLIDADO_TOTAL RECAUDO'!Y106</f>
        <v>206658568.57000002</v>
      </c>
      <c r="Z11" s="319">
        <f>'CONSOLIDADO_TOTAL RECAUDO'!Z106</f>
        <v>-154788536</v>
      </c>
      <c r="AA11" s="320">
        <f>'CONSOLIDADO_TOTAL RECAUDO'!AA106</f>
        <v>-129890.69</v>
      </c>
      <c r="AB11" s="294">
        <f>'CONSOLIDADO_TOTAL RECAUDO'!AB106</f>
        <v>37171034.849999994</v>
      </c>
      <c r="AC11" s="320">
        <f>'CONSOLIDADO_TOTAL RECAUDO'!AC106</f>
        <v>1.45</v>
      </c>
      <c r="AD11" s="291">
        <f>'CONSOLIDADO_TOTAL RECAUDO'!AD106</f>
        <v>64073954.299999952</v>
      </c>
      <c r="AE11" s="291">
        <f>'CONSOLIDADO_TOTAL RECAUDO'!AE106</f>
        <v>-686515805.29999995</v>
      </c>
      <c r="AF11" s="322">
        <f>'CONSOLIDADO_TOTAL RECAUDO'!AF106</f>
        <v>10146104587.920002</v>
      </c>
      <c r="AG11" s="522">
        <f>'CONSOLIDADO_TOTAL RECAUDO'!AG106</f>
        <v>0</v>
      </c>
      <c r="AH11" s="1" t="s">
        <v>1</v>
      </c>
      <c r="AI11" s="306"/>
      <c r="AM11" s="333"/>
    </row>
    <row r="12" spans="2:39" s="305" customFormat="1" x14ac:dyDescent="0.25">
      <c r="B12" s="314">
        <v>4</v>
      </c>
      <c r="C12" s="315" t="s">
        <v>13</v>
      </c>
      <c r="D12" s="291">
        <f>'CONSOLIDADO_TOTAL RECAUDO'!D107</f>
        <v>7675362501.9600019</v>
      </c>
      <c r="E12" s="292">
        <f>'CONSOLIDADO_TOTAL RECAUDO'!E107</f>
        <v>477094941.65000004</v>
      </c>
      <c r="F12" s="292">
        <f>'CONSOLIDADO_TOTAL RECAUDO'!F107</f>
        <v>265060637.16</v>
      </c>
      <c r="G12" s="292">
        <f>'CONSOLIDADO_TOTAL RECAUDO'!G107</f>
        <v>140590573.67999995</v>
      </c>
      <c r="H12" s="292">
        <f>'CONSOLIDADO_TOTAL RECAUDO'!H107</f>
        <v>1777041416.7</v>
      </c>
      <c r="I12" s="292">
        <f>'CONSOLIDADO_TOTAL RECAUDO'!I107</f>
        <v>61139285.359999999</v>
      </c>
      <c r="J12" s="288">
        <f>'CONSOLIDADO_TOTAL RECAUDO'!J107</f>
        <v>-714140939.3599999</v>
      </c>
      <c r="K12" s="295">
        <f>'CONSOLIDADO_TOTAL RECAUDO'!K107</f>
        <v>5668576586.7700024</v>
      </c>
      <c r="L12" s="294">
        <f>'CONSOLIDADO_TOTAL RECAUDO'!L107</f>
        <v>120391083</v>
      </c>
      <c r="M12" s="295">
        <f>'CONSOLIDADO_TOTAL RECAUDO'!M107</f>
        <v>5548185503.7700024</v>
      </c>
      <c r="N12" s="294">
        <f>'CONSOLIDADO_TOTAL RECAUDO'!N107</f>
        <v>10876689.639999999</v>
      </c>
      <c r="O12" s="295">
        <f>'CONSOLIDADO_TOTAL RECAUDO'!O107</f>
        <v>5559062193.4100027</v>
      </c>
      <c r="Q12" s="306"/>
      <c r="S12" s="314">
        <v>4</v>
      </c>
      <c r="T12" s="315" t="s">
        <v>13</v>
      </c>
      <c r="U12" s="316">
        <f>'CONSOLIDADO_TOTAL RECAUDO'!U107</f>
        <v>535029563.30999988</v>
      </c>
      <c r="V12" s="317">
        <f>'CONSOLIDADO_TOTAL RECAUDO'!V107</f>
        <v>534230841.36000007</v>
      </c>
      <c r="W12" s="317">
        <f>'CONSOLIDADO_TOTAL RECAUDO'!W107</f>
        <v>2732035013.1900001</v>
      </c>
      <c r="X12" s="317">
        <f>'CONSOLIDADO_TOTAL RECAUDO'!X107</f>
        <v>1263034476.98</v>
      </c>
      <c r="Y12" s="318">
        <f>'CONSOLIDADO_TOTAL RECAUDO'!Y107</f>
        <v>99657425.799999982</v>
      </c>
      <c r="Z12" s="319">
        <f>'CONSOLIDADO_TOTAL RECAUDO'!Z107</f>
        <v>-120391083</v>
      </c>
      <c r="AA12" s="320">
        <f>'CONSOLIDADO_TOTAL RECAUDO'!AA107</f>
        <v>3063.98</v>
      </c>
      <c r="AB12" s="294">
        <f>'CONSOLIDADO_TOTAL RECAUDO'!AB107</f>
        <v>10876689.639999999</v>
      </c>
      <c r="AC12" s="320">
        <f>'CONSOLIDADO_TOTAL RECAUDO'!AC107</f>
        <v>264.25</v>
      </c>
      <c r="AD12" s="291">
        <f>'CONSOLIDADO_TOTAL RECAUDO'!AD107</f>
        <v>504585937.89999986</v>
      </c>
      <c r="AE12" s="291">
        <f>'CONSOLIDADO_TOTAL RECAUDO'!AE107</f>
        <v>-209555001.46000001</v>
      </c>
      <c r="AF12" s="322">
        <f>'CONSOLIDADO_TOTAL RECAUDO'!AF107</f>
        <v>5559062193.4099998</v>
      </c>
      <c r="AG12" s="522">
        <f>'CONSOLIDADO_TOTAL RECAUDO'!AG107</f>
        <v>0</v>
      </c>
      <c r="AH12" s="1" t="s">
        <v>1</v>
      </c>
      <c r="AI12" s="306"/>
      <c r="AM12" s="333"/>
    </row>
    <row r="13" spans="2:39" s="305" customFormat="1" ht="12" thickBot="1" x14ac:dyDescent="0.3">
      <c r="B13" s="324">
        <v>5</v>
      </c>
      <c r="C13" s="325" t="s">
        <v>14</v>
      </c>
      <c r="D13" s="296">
        <f>'CONSOLIDADO_TOTAL RECAUDO'!D108</f>
        <v>12354444479.679998</v>
      </c>
      <c r="E13" s="297">
        <f>'CONSOLIDADO_TOTAL RECAUDO'!E108</f>
        <v>699550365.72000003</v>
      </c>
      <c r="F13" s="297">
        <f>'CONSOLIDADO_TOTAL RECAUDO'!F108</f>
        <v>389426700.64999998</v>
      </c>
      <c r="G13" s="297">
        <f>'CONSOLIDADO_TOTAL RECAUDO'!G108</f>
        <v>207027249.27999997</v>
      </c>
      <c r="H13" s="297">
        <f>'CONSOLIDADO_TOTAL RECAUDO'!H108</f>
        <v>3261769826.3800006</v>
      </c>
      <c r="I13" s="297">
        <f>'CONSOLIDADO_TOTAL RECAUDO'!I108</f>
        <v>106226760.38000001</v>
      </c>
      <c r="J13" s="289">
        <f>'CONSOLIDADO_TOTAL RECAUDO'!J108</f>
        <v>-98238891.940000057</v>
      </c>
      <c r="K13" s="295">
        <f>'CONSOLIDADO_TOTAL RECAUDO'!K108</f>
        <v>7788682469.2099972</v>
      </c>
      <c r="L13" s="294">
        <f>'CONSOLIDADO_TOTAL RECAUDO'!L108</f>
        <v>128990446</v>
      </c>
      <c r="M13" s="298">
        <f>'CONSOLIDADO_TOTAL RECAUDO'!M108</f>
        <v>7659692023.2099972</v>
      </c>
      <c r="N13" s="299">
        <f>'CONSOLIDADO_TOTAL RECAUDO'!N108</f>
        <v>12729250.720000001</v>
      </c>
      <c r="O13" s="298">
        <f>'CONSOLIDADO_TOTAL RECAUDO'!O108</f>
        <v>7672421273.9299974</v>
      </c>
      <c r="Q13" s="306"/>
      <c r="S13" s="324">
        <v>5</v>
      </c>
      <c r="T13" s="325" t="s">
        <v>14</v>
      </c>
      <c r="U13" s="296">
        <f>'CONSOLIDADO_TOTAL RECAUDO'!U108</f>
        <v>931465283.1400001</v>
      </c>
      <c r="V13" s="297">
        <f>'CONSOLIDADO_TOTAL RECAUDO'!V108</f>
        <v>905059241.38000011</v>
      </c>
      <c r="W13" s="297">
        <f>'CONSOLIDADO_TOTAL RECAUDO'!W108</f>
        <v>4616629112.7299995</v>
      </c>
      <c r="X13" s="297">
        <f>'CONSOLIDADO_TOTAL RECAUDO'!X108</f>
        <v>2079120247.45</v>
      </c>
      <c r="Y13" s="289">
        <f>'CONSOLIDADO_TOTAL RECAUDO'!Y108</f>
        <v>173340674.33000001</v>
      </c>
      <c r="Z13" s="319">
        <f>'CONSOLIDADO_TOTAL RECAUDO'!Z108</f>
        <v>-128990446</v>
      </c>
      <c r="AA13" s="320">
        <f>'CONSOLIDADO_TOTAL RECAUDO'!AA108</f>
        <v>-177079.01</v>
      </c>
      <c r="AB13" s="294">
        <f>'CONSOLIDADO_TOTAL RECAUDO'!AB108</f>
        <v>12729250.720000001</v>
      </c>
      <c r="AC13" s="320">
        <f>'CONSOLIDADO_TOTAL RECAUDO'!AC108</f>
        <v>-23.61000000000001</v>
      </c>
      <c r="AD13" s="291">
        <f>'CONSOLIDADO_TOTAL RECAUDO'!AD108</f>
        <v>-916754987.19999993</v>
      </c>
      <c r="AE13" s="291">
        <f>'CONSOLIDADO_TOTAL RECAUDO'!AE108</f>
        <v>-1014993879.14</v>
      </c>
      <c r="AF13" s="322">
        <f>'CONSOLIDADO_TOTAL RECAUDO'!AF108</f>
        <v>7672421273.9300013</v>
      </c>
      <c r="AG13" s="523">
        <f>'CONSOLIDADO_TOTAL RECAUDO'!AG108</f>
        <v>0</v>
      </c>
      <c r="AH13" s="1" t="s">
        <v>1</v>
      </c>
      <c r="AI13" s="306"/>
      <c r="AM13" s="333"/>
    </row>
    <row r="14" spans="2:39" s="305" customFormat="1" ht="13.5" thickBot="1" x14ac:dyDescent="0.35">
      <c r="B14" s="327"/>
      <c r="C14" s="328" t="s">
        <v>2</v>
      </c>
      <c r="D14" s="290">
        <f>'CONSOLIDADO_TOTAL RECAUDO'!D109</f>
        <v>73641219470.229996</v>
      </c>
      <c r="E14" s="290">
        <f>'CONSOLIDADO_TOTAL RECAUDO'!E109</f>
        <v>4838024633.5299997</v>
      </c>
      <c r="F14" s="290">
        <f>'CONSOLIDADO_TOTAL RECAUDO'!F109</f>
        <v>2688055396.1900001</v>
      </c>
      <c r="G14" s="290">
        <f>'CONSOLIDADO_TOTAL RECAUDO'!G109</f>
        <v>1424814911.3</v>
      </c>
      <c r="H14" s="290">
        <f>'CONSOLIDADO_TOTAL RECAUDO'!H109</f>
        <v>18689009337.860001</v>
      </c>
      <c r="I14" s="290">
        <f>'CONSOLIDADO_TOTAL RECAUDO'!I109</f>
        <v>657163000.08000004</v>
      </c>
      <c r="J14" s="290">
        <f>'CONSOLIDADO_TOTAL RECAUDO'!J109</f>
        <v>-9614779059.7300014</v>
      </c>
      <c r="K14" s="300">
        <f>'CONSOLIDADO_TOTAL RECAUDO'!K109</f>
        <v>54958931251.000008</v>
      </c>
      <c r="L14" s="301">
        <f>'CONSOLIDADO_TOTAL RECAUDO'!L109</f>
        <v>859936309</v>
      </c>
      <c r="M14" s="302">
        <f>'CONSOLIDADO_TOTAL RECAUDO'!M109</f>
        <v>54098994942.000008</v>
      </c>
      <c r="N14" s="301">
        <f>'CONSOLIDADO_TOTAL RECAUDO'!N109</f>
        <v>164364417.97</v>
      </c>
      <c r="O14" s="302">
        <f>'CONSOLIDADO_TOTAL RECAUDO'!O109</f>
        <v>54263359359.970009</v>
      </c>
      <c r="P14" s="329"/>
      <c r="Q14" s="306"/>
      <c r="S14" s="327"/>
      <c r="T14" s="328" t="s">
        <v>2</v>
      </c>
      <c r="U14" s="330">
        <f>'CONSOLIDADO_TOTAL RECAUDO'!U109</f>
        <v>5763734897.4099998</v>
      </c>
      <c r="V14" s="330">
        <f>'CONSOLIDADO_TOTAL RECAUDO'!V109</f>
        <v>5649019311.7600002</v>
      </c>
      <c r="W14" s="330">
        <f>'CONSOLIDADO_TOTAL RECAUDO'!W109</f>
        <v>27125022856.450001</v>
      </c>
      <c r="X14" s="330">
        <f>'CONSOLIDADO_TOTAL RECAUDO'!X109</f>
        <v>11621087887.900002</v>
      </c>
      <c r="Y14" s="330">
        <f>'CONSOLIDADO_TOTAL RECAUDO'!Y109</f>
        <v>1072275242.5700001</v>
      </c>
      <c r="Z14" s="290">
        <f>'CONSOLIDADO_TOTAL RECAUDO'!Z109</f>
        <v>-859936309</v>
      </c>
      <c r="AA14" s="290">
        <f>'CONSOLIDADO_TOTAL RECAUDO'!AA109</f>
        <v>-40262.22</v>
      </c>
      <c r="AB14" s="290">
        <f>'CONSOLIDADO_TOTAL RECAUDO'!AB109</f>
        <v>164364417.97</v>
      </c>
      <c r="AC14" s="290">
        <f>'CONSOLIDADO_TOTAL RECAUDO'!AC109</f>
        <v>566.9899999999999</v>
      </c>
      <c r="AD14" s="290">
        <f>'CONSOLIDADO_TOTAL RECAUDO'!AD109</f>
        <v>3727830750.1400003</v>
      </c>
      <c r="AE14" s="290">
        <f>'CONSOLIDADO_TOTAL RECAUDO'!AE109</f>
        <v>-5886948309.5900002</v>
      </c>
      <c r="AF14" s="331">
        <f>'CONSOLIDADO_TOTAL RECAUDO'!AF109</f>
        <v>54263359359.970009</v>
      </c>
      <c r="AG14" s="524">
        <f>'CONSOLIDADO_TOTAL RECAUDO'!AG109</f>
        <v>0</v>
      </c>
      <c r="AH14" s="1" t="s">
        <v>1</v>
      </c>
      <c r="AI14" s="306"/>
      <c r="AM14" s="333"/>
    </row>
    <row r="15" spans="2:39" x14ac:dyDescent="0.25">
      <c r="B15" s="2"/>
      <c r="C15" s="2"/>
      <c r="D15" s="448"/>
      <c r="E15" s="448"/>
      <c r="F15" s="448"/>
      <c r="G15" s="448"/>
      <c r="H15" s="448"/>
      <c r="I15" s="448"/>
      <c r="K15" s="448"/>
      <c r="L15" s="448"/>
      <c r="M15" s="448"/>
      <c r="N15" s="448"/>
      <c r="O15" s="448"/>
      <c r="Q15" s="4"/>
      <c r="S15" s="2"/>
      <c r="T15" s="2"/>
      <c r="U15" s="448"/>
      <c r="V15" s="448"/>
      <c r="W15" s="448"/>
      <c r="X15" s="448"/>
      <c r="Y15" s="448"/>
      <c r="AF15" s="448"/>
      <c r="AH15" s="1" t="s">
        <v>1</v>
      </c>
      <c r="AI15" s="4"/>
    </row>
    <row r="16" spans="2:39" x14ac:dyDescent="0.25">
      <c r="B16" s="2"/>
      <c r="C16" s="2" t="s">
        <v>1</v>
      </c>
      <c r="D16" s="549"/>
      <c r="E16" s="549"/>
      <c r="F16" s="549"/>
      <c r="G16" s="549"/>
      <c r="H16" s="549"/>
      <c r="I16" s="549"/>
      <c r="K16" s="549"/>
      <c r="L16" s="549"/>
      <c r="M16" s="549"/>
      <c r="N16" s="549"/>
      <c r="O16" s="549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x14ac:dyDescent="0.25">
      <c r="A17" s="4"/>
      <c r="B17" s="34"/>
      <c r="C17" s="34"/>
      <c r="D17" s="474"/>
      <c r="E17" s="474"/>
      <c r="F17" s="474"/>
      <c r="G17" s="474"/>
      <c r="H17" s="474"/>
      <c r="I17" s="474"/>
      <c r="J17" s="4"/>
      <c r="K17" s="474"/>
      <c r="L17" s="474"/>
      <c r="M17" s="474"/>
      <c r="N17" s="474"/>
      <c r="O17" s="47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" thickBot="1" x14ac:dyDescent="0.3">
      <c r="Q18" s="4"/>
      <c r="AI18" s="4"/>
    </row>
    <row r="19" spans="1:39" x14ac:dyDescent="0.25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4" x14ac:dyDescent="0.3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5" x14ac:dyDescent="0.35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4" x14ac:dyDescent="0.3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5" x14ac:dyDescent="0.35">
      <c r="B23" s="8"/>
      <c r="C23" s="2"/>
      <c r="D23" s="9"/>
      <c r="F23" s="475" t="s">
        <v>187</v>
      </c>
      <c r="G23" s="475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" thickBot="1" x14ac:dyDescent="0.3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69.5" thickBot="1" x14ac:dyDescent="0.3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168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5" customFormat="1" x14ac:dyDescent="0.25">
      <c r="B26" s="303">
        <v>1</v>
      </c>
      <c r="C26" s="304" t="s">
        <v>10</v>
      </c>
      <c r="D26" s="291">
        <f>'REMUNERACION Reciprocidad EAAB'!D104</f>
        <v>0</v>
      </c>
      <c r="E26" s="292">
        <f>'REMUNERACION Reciprocidad EAAB'!E104</f>
        <v>0</v>
      </c>
      <c r="F26" s="292">
        <f>'REMUNERACION Reciprocidad EAAB'!F104</f>
        <v>0</v>
      </c>
      <c r="G26" s="292">
        <f>'REMUNERACION Reciprocidad EAAB'!G104</f>
        <v>0</v>
      </c>
      <c r="H26" s="292">
        <f>'REMUNERACION Reciprocidad EAAB'!H104</f>
        <v>0</v>
      </c>
      <c r="I26" s="292">
        <f>'REMUNERACION Reciprocidad EAAB'!I104</f>
        <v>0</v>
      </c>
      <c r="J26" s="288">
        <f>'REMUNERACION Reciprocidad EAAB'!J104</f>
        <v>0</v>
      </c>
      <c r="K26" s="293">
        <f>'REMUNERACION Reciprocidad EAAB'!K104</f>
        <v>0</v>
      </c>
      <c r="L26" s="294">
        <f>'REMUNERACION Reciprocidad EAAB'!L104</f>
        <v>0</v>
      </c>
      <c r="M26" s="293">
        <f>'REMUNERACION Reciprocidad EAAB'!M104</f>
        <v>0</v>
      </c>
      <c r="N26" s="294">
        <f>'REMUNERACION Reciprocidad EAAB'!N104</f>
        <v>0</v>
      </c>
      <c r="O26" s="293">
        <f>'REMUNERACION Reciprocidad EAAB'!O104</f>
        <v>0</v>
      </c>
      <c r="Q26" s="306"/>
      <c r="S26" s="303">
        <v>1</v>
      </c>
      <c r="T26" s="304" t="s">
        <v>10</v>
      </c>
      <c r="U26" s="307">
        <f>'REMUNERACION Reciprocidad EAAB'!U104</f>
        <v>0</v>
      </c>
      <c r="V26" s="308">
        <f>'REMUNERACION Reciprocidad EAAB'!V104</f>
        <v>0</v>
      </c>
      <c r="W26" s="308">
        <f>'REMUNERACION Reciprocidad EAAB'!W104</f>
        <v>0</v>
      </c>
      <c r="X26" s="308">
        <f>'REMUNERACION Reciprocidad EAAB'!X104</f>
        <v>0</v>
      </c>
      <c r="Y26" s="309">
        <f>'REMUNERACION Reciprocidad EAAB'!Y104</f>
        <v>0</v>
      </c>
      <c r="Z26" s="310">
        <f>'REMUNERACION Reciprocidad EAAB'!Z104</f>
        <v>0</v>
      </c>
      <c r="AA26" s="311">
        <f>'REMUNERACION Reciprocidad EAAB'!AA104</f>
        <v>0</v>
      </c>
      <c r="AB26" s="294">
        <f>'REMUNERACION Reciprocidad EAAB'!AB104</f>
        <v>0</v>
      </c>
      <c r="AC26" s="311">
        <f>'REMUNERACION Reciprocidad EAAB'!AC104</f>
        <v>0</v>
      </c>
      <c r="AD26" s="291">
        <f>'REMUNERACION Reciprocidad EAAB'!AD104</f>
        <v>0</v>
      </c>
      <c r="AE26" s="291">
        <f>'REMUNERACION Reciprocidad EAAB'!AE104</f>
        <v>0</v>
      </c>
      <c r="AF26" s="313">
        <f>'REMUNERACION Reciprocidad EAAB'!AF104</f>
        <v>0</v>
      </c>
      <c r="AG26" s="521">
        <f>'REMUNERACION Reciprocidad EAAB'!AG104</f>
        <v>0</v>
      </c>
      <c r="AH26" s="1"/>
      <c r="AI26" s="306"/>
      <c r="AM26" s="333"/>
    </row>
    <row r="27" spans="1:39" s="305" customFormat="1" x14ac:dyDescent="0.25">
      <c r="B27" s="314">
        <v>2</v>
      </c>
      <c r="C27" s="315" t="s">
        <v>11</v>
      </c>
      <c r="D27" s="291">
        <f>'REMUNERACION Reciprocidad EAAB'!D105</f>
        <v>14643673.219999999</v>
      </c>
      <c r="E27" s="292">
        <f>'REMUNERACION Reciprocidad EAAB'!E105</f>
        <v>1412530</v>
      </c>
      <c r="F27" s="292">
        <f>'REMUNERACION Reciprocidad EAAB'!F105</f>
        <v>783991.89</v>
      </c>
      <c r="G27" s="292">
        <f>'REMUNERACION Reciprocidad EAAB'!G105</f>
        <v>291309.74000000005</v>
      </c>
      <c r="H27" s="292">
        <f>'REMUNERACION Reciprocidad EAAB'!H105</f>
        <v>6260809.5899999999</v>
      </c>
      <c r="I27" s="292">
        <f>'REMUNERACION Reciprocidad EAAB'!I105</f>
        <v>211166.2</v>
      </c>
      <c r="J27" s="288">
        <f>'REMUNERACION Reciprocidad EAAB'!J105</f>
        <v>0</v>
      </c>
      <c r="K27" s="295">
        <f>'REMUNERACION Reciprocidad EAAB'!K105</f>
        <v>5683865.799999998</v>
      </c>
      <c r="L27" s="294">
        <f>'REMUNERACION Reciprocidad EAAB'!L105</f>
        <v>0</v>
      </c>
      <c r="M27" s="295">
        <f>'REMUNERACION Reciprocidad EAAB'!M105</f>
        <v>5683865.799999998</v>
      </c>
      <c r="N27" s="294">
        <f>'REMUNERACION Reciprocidad EAAB'!N105</f>
        <v>0</v>
      </c>
      <c r="O27" s="295">
        <f>'REMUNERACION Reciprocidad EAAB'!O105</f>
        <v>5683865.799999998</v>
      </c>
      <c r="Q27" s="306"/>
      <c r="S27" s="314">
        <v>2</v>
      </c>
      <c r="T27" s="315" t="s">
        <v>11</v>
      </c>
      <c r="U27" s="316">
        <f>'REMUNERACION Reciprocidad EAAB'!U105</f>
        <v>1836082.28</v>
      </c>
      <c r="V27" s="317">
        <f>'REMUNERACION Reciprocidad EAAB'!V105</f>
        <v>1799853.3</v>
      </c>
      <c r="W27" s="317">
        <f>'REMUNERACION Reciprocidad EAAB'!W105</f>
        <v>7403252.8200000003</v>
      </c>
      <c r="X27" s="317">
        <f>'REMUNERACION Reciprocidad EAAB'!X105</f>
        <v>2757826.03</v>
      </c>
      <c r="Y27" s="318">
        <f>'REMUNERACION Reciprocidad EAAB'!Y105</f>
        <v>283277.61</v>
      </c>
      <c r="Z27" s="319">
        <f>'REMUNERACION Reciprocidad EAAB'!Z105</f>
        <v>0</v>
      </c>
      <c r="AA27" s="320">
        <f>'REMUNERACION Reciprocidad EAAB'!AA105</f>
        <v>2.09</v>
      </c>
      <c r="AB27" s="294">
        <f>'REMUNERACION Reciprocidad EAAB'!AB105</f>
        <v>0</v>
      </c>
      <c r="AC27" s="320">
        <f>'REMUNERACION Reciprocidad EAAB'!AC105</f>
        <v>0</v>
      </c>
      <c r="AD27" s="291">
        <f>'REMUNERACION Reciprocidad EAAB'!AD105</f>
        <v>-8396428.3300000001</v>
      </c>
      <c r="AE27" s="291">
        <f>'REMUNERACION Reciprocidad EAAB'!AE105</f>
        <v>-8396428.3300000001</v>
      </c>
      <c r="AF27" s="322">
        <f>'REMUNERACION Reciprocidad EAAB'!AF105</f>
        <v>5683865.7999999989</v>
      </c>
      <c r="AG27" s="522">
        <f>'REMUNERACION Reciprocidad EAAB'!AG105</f>
        <v>0</v>
      </c>
      <c r="AH27" s="1"/>
      <c r="AI27" s="306"/>
      <c r="AM27" s="333"/>
    </row>
    <row r="28" spans="1:39" s="305" customFormat="1" x14ac:dyDescent="0.25">
      <c r="B28" s="314">
        <v>3</v>
      </c>
      <c r="C28" s="315" t="s">
        <v>12</v>
      </c>
      <c r="D28" s="291">
        <f>'REMUNERACION Reciprocidad EAAB'!D106</f>
        <v>0</v>
      </c>
      <c r="E28" s="292">
        <f>'REMUNERACION Reciprocidad EAAB'!E106</f>
        <v>0</v>
      </c>
      <c r="F28" s="292">
        <f>'REMUNERACION Reciprocidad EAAB'!F106</f>
        <v>0</v>
      </c>
      <c r="G28" s="292">
        <f>'REMUNERACION Reciprocidad EAAB'!G106</f>
        <v>0</v>
      </c>
      <c r="H28" s="292">
        <f>'REMUNERACION Reciprocidad EAAB'!H106</f>
        <v>0</v>
      </c>
      <c r="I28" s="292">
        <f>'REMUNERACION Reciprocidad EAAB'!I106</f>
        <v>0</v>
      </c>
      <c r="J28" s="288">
        <f>'REMUNERACION Reciprocidad EAAB'!J106</f>
        <v>0</v>
      </c>
      <c r="K28" s="295">
        <f>'REMUNERACION Reciprocidad EAAB'!K106</f>
        <v>0</v>
      </c>
      <c r="L28" s="294">
        <f>'REMUNERACION Reciprocidad EAAB'!L106</f>
        <v>0</v>
      </c>
      <c r="M28" s="295">
        <f>'REMUNERACION Reciprocidad EAAB'!M106</f>
        <v>0</v>
      </c>
      <c r="N28" s="294">
        <f>'REMUNERACION Reciprocidad EAAB'!N106</f>
        <v>0</v>
      </c>
      <c r="O28" s="295">
        <f>'REMUNERACION Reciprocidad EAAB'!O106</f>
        <v>0</v>
      </c>
      <c r="Q28" s="306"/>
      <c r="S28" s="314">
        <v>3</v>
      </c>
      <c r="T28" s="315" t="s">
        <v>12</v>
      </c>
      <c r="U28" s="316">
        <f>'REMUNERACION Reciprocidad EAAB'!U106</f>
        <v>0</v>
      </c>
      <c r="V28" s="317">
        <f>'REMUNERACION Reciprocidad EAAB'!V106</f>
        <v>0</v>
      </c>
      <c r="W28" s="317">
        <f>'REMUNERACION Reciprocidad EAAB'!W106</f>
        <v>0</v>
      </c>
      <c r="X28" s="317">
        <f>'REMUNERACION Reciprocidad EAAB'!X106</f>
        <v>0</v>
      </c>
      <c r="Y28" s="318">
        <f>'REMUNERACION Reciprocidad EAAB'!Y106</f>
        <v>0</v>
      </c>
      <c r="Z28" s="319">
        <f>'REMUNERACION Reciprocidad EAAB'!Z106</f>
        <v>0</v>
      </c>
      <c r="AA28" s="320">
        <f>'REMUNERACION Reciprocidad EAAB'!AA106</f>
        <v>0</v>
      </c>
      <c r="AB28" s="294">
        <f>'REMUNERACION Reciprocidad EAAB'!AB106</f>
        <v>0</v>
      </c>
      <c r="AC28" s="320">
        <f>'REMUNERACION Reciprocidad EAAB'!AC106</f>
        <v>0</v>
      </c>
      <c r="AD28" s="291">
        <f>'REMUNERACION Reciprocidad EAAB'!AD106</f>
        <v>0</v>
      </c>
      <c r="AE28" s="291">
        <f>'REMUNERACION Reciprocidad EAAB'!AE106</f>
        <v>0</v>
      </c>
      <c r="AF28" s="322">
        <f>'REMUNERACION Reciprocidad EAAB'!AF106</f>
        <v>0</v>
      </c>
      <c r="AG28" s="522">
        <f>'REMUNERACION Reciprocidad EAAB'!AG106</f>
        <v>0</v>
      </c>
      <c r="AH28" s="1"/>
      <c r="AI28" s="306"/>
      <c r="AM28" s="333"/>
    </row>
    <row r="29" spans="1:39" s="305" customFormat="1" x14ac:dyDescent="0.25">
      <c r="B29" s="314">
        <v>4</v>
      </c>
      <c r="C29" s="315" t="s">
        <v>13</v>
      </c>
      <c r="D29" s="291">
        <f>'REMUNERACION Reciprocidad EAAB'!D107</f>
        <v>9653257.1700000018</v>
      </c>
      <c r="E29" s="292">
        <f>'REMUNERACION Reciprocidad EAAB'!E107</f>
        <v>646746.06000000006</v>
      </c>
      <c r="F29" s="292">
        <f>'REMUNERACION Reciprocidad EAAB'!F107</f>
        <v>359352.58</v>
      </c>
      <c r="G29" s="292">
        <f>'REMUNERACION Reciprocidad EAAB'!G107</f>
        <v>132306.63</v>
      </c>
      <c r="H29" s="292">
        <f>'REMUNERACION Reciprocidad EAAB'!H107</f>
        <v>2407655.9300000002</v>
      </c>
      <c r="I29" s="292">
        <f>'REMUNERACION Reciprocidad EAAB'!I107</f>
        <v>83911.4</v>
      </c>
      <c r="J29" s="288">
        <f>'REMUNERACION Reciprocidad EAAB'!J107</f>
        <v>0</v>
      </c>
      <c r="K29" s="295">
        <f>'REMUNERACION Reciprocidad EAAB'!K107</f>
        <v>6023284.5700000003</v>
      </c>
      <c r="L29" s="294">
        <f>'REMUNERACION Reciprocidad EAAB'!L107</f>
        <v>0</v>
      </c>
      <c r="M29" s="295">
        <f>'REMUNERACION Reciprocidad EAAB'!M107</f>
        <v>6023284.5700000003</v>
      </c>
      <c r="N29" s="294">
        <f>'REMUNERACION Reciprocidad EAAB'!N107</f>
        <v>0</v>
      </c>
      <c r="O29" s="295">
        <f>'REMUNERACION Reciprocidad EAAB'!O107</f>
        <v>6023284.5700000003</v>
      </c>
      <c r="Q29" s="306"/>
      <c r="S29" s="314">
        <v>4</v>
      </c>
      <c r="T29" s="315" t="s">
        <v>13</v>
      </c>
      <c r="U29" s="316">
        <f>'REMUNERACION Reciprocidad EAAB'!U107</f>
        <v>786730.0299999998</v>
      </c>
      <c r="V29" s="317">
        <f>'REMUNERACION Reciprocidad EAAB'!V107</f>
        <v>730562.89000000013</v>
      </c>
      <c r="W29" s="317">
        <f>'REMUNERACION Reciprocidad EAAB'!W107</f>
        <v>3205416.28</v>
      </c>
      <c r="X29" s="317">
        <f>'REMUNERACION Reciprocidad EAAB'!X107</f>
        <v>1822317.43</v>
      </c>
      <c r="Y29" s="318">
        <f>'REMUNERACION Reciprocidad EAAB'!Y107</f>
        <v>106069.37000000001</v>
      </c>
      <c r="Z29" s="319">
        <f>'REMUNERACION Reciprocidad EAAB'!Z107</f>
        <v>0</v>
      </c>
      <c r="AA29" s="320">
        <f>'REMUNERACION Reciprocidad EAAB'!AA107</f>
        <v>8.9899999999999984</v>
      </c>
      <c r="AB29" s="294">
        <f>'REMUNERACION Reciprocidad EAAB'!AB107</f>
        <v>0</v>
      </c>
      <c r="AC29" s="320">
        <f>'REMUNERACION Reciprocidad EAAB'!AC107</f>
        <v>0</v>
      </c>
      <c r="AD29" s="291">
        <f>'REMUNERACION Reciprocidad EAAB'!AD107</f>
        <v>-627820.41999999993</v>
      </c>
      <c r="AE29" s="291">
        <f>'REMUNERACION Reciprocidad EAAB'!AE107</f>
        <v>-627820.41999999993</v>
      </c>
      <c r="AF29" s="322">
        <f>'REMUNERACION Reciprocidad EAAB'!AF107</f>
        <v>6023284.5699999994</v>
      </c>
      <c r="AG29" s="522">
        <f>'REMUNERACION Reciprocidad EAAB'!AG107</f>
        <v>0</v>
      </c>
      <c r="AH29" s="1"/>
      <c r="AI29" s="306"/>
      <c r="AM29" s="333"/>
    </row>
    <row r="30" spans="1:39" s="305" customFormat="1" ht="12" thickBot="1" x14ac:dyDescent="0.3">
      <c r="B30" s="324">
        <v>5</v>
      </c>
      <c r="C30" s="325" t="s">
        <v>14</v>
      </c>
      <c r="D30" s="296">
        <f>'REMUNERACION Reciprocidad EAAB'!D108</f>
        <v>0</v>
      </c>
      <c r="E30" s="297">
        <f>'REMUNERACION Reciprocidad EAAB'!E108</f>
        <v>0</v>
      </c>
      <c r="F30" s="297">
        <f>'REMUNERACION Reciprocidad EAAB'!F108</f>
        <v>0</v>
      </c>
      <c r="G30" s="297">
        <f>'REMUNERACION Reciprocidad EAAB'!G108</f>
        <v>0</v>
      </c>
      <c r="H30" s="297">
        <f>'REMUNERACION Reciprocidad EAAB'!H108</f>
        <v>0</v>
      </c>
      <c r="I30" s="297">
        <f>'REMUNERACION Reciprocidad EAAB'!I108</f>
        <v>0</v>
      </c>
      <c r="J30" s="289">
        <f>'REMUNERACION Reciprocidad EAAB'!J108</f>
        <v>0</v>
      </c>
      <c r="K30" s="295">
        <f>'REMUNERACION Reciprocidad EAAB'!K108</f>
        <v>0</v>
      </c>
      <c r="L30" s="294">
        <f>'REMUNERACION Reciprocidad EAAB'!L108</f>
        <v>0</v>
      </c>
      <c r="M30" s="298">
        <f>'REMUNERACION Reciprocidad EAAB'!M108</f>
        <v>0</v>
      </c>
      <c r="N30" s="299">
        <f>'REMUNERACION Reciprocidad EAAB'!N108</f>
        <v>0</v>
      </c>
      <c r="O30" s="298">
        <f>'REMUNERACION Reciprocidad EAAB'!O108</f>
        <v>0</v>
      </c>
      <c r="Q30" s="306"/>
      <c r="S30" s="324">
        <v>5</v>
      </c>
      <c r="T30" s="325" t="s">
        <v>14</v>
      </c>
      <c r="U30" s="296">
        <f>'REMUNERACION Reciprocidad EAAB'!U108</f>
        <v>0</v>
      </c>
      <c r="V30" s="297">
        <f>'REMUNERACION Reciprocidad EAAB'!V108</f>
        <v>0</v>
      </c>
      <c r="W30" s="297">
        <f>'REMUNERACION Reciprocidad EAAB'!W108</f>
        <v>0</v>
      </c>
      <c r="X30" s="297">
        <f>'REMUNERACION Reciprocidad EAAB'!X108</f>
        <v>0</v>
      </c>
      <c r="Y30" s="289">
        <f>'REMUNERACION Reciprocidad EAAB'!Y108</f>
        <v>0</v>
      </c>
      <c r="Z30" s="319">
        <f>'REMUNERACION Reciprocidad EAAB'!Z108</f>
        <v>0</v>
      </c>
      <c r="AA30" s="320">
        <f>'REMUNERACION Reciprocidad EAAB'!AA108</f>
        <v>0</v>
      </c>
      <c r="AB30" s="294">
        <f>'REMUNERACION Reciprocidad EAAB'!AB108</f>
        <v>0</v>
      </c>
      <c r="AC30" s="320">
        <f>'REMUNERACION Reciprocidad EAAB'!AC108</f>
        <v>0</v>
      </c>
      <c r="AD30" s="291">
        <f>'REMUNERACION Reciprocidad EAAB'!AD108</f>
        <v>0</v>
      </c>
      <c r="AE30" s="291">
        <f>'REMUNERACION Reciprocidad EAAB'!AE108</f>
        <v>0</v>
      </c>
      <c r="AF30" s="322">
        <f>'REMUNERACION Reciprocidad EAAB'!AF108</f>
        <v>0</v>
      </c>
      <c r="AG30" s="523">
        <f>'REMUNERACION Reciprocidad EAAB'!AG108</f>
        <v>0</v>
      </c>
      <c r="AH30" s="1"/>
      <c r="AI30" s="306"/>
      <c r="AM30" s="333"/>
    </row>
    <row r="31" spans="1:39" s="305" customFormat="1" ht="13.5" thickBot="1" x14ac:dyDescent="0.35">
      <c r="B31" s="327"/>
      <c r="C31" s="328" t="s">
        <v>2</v>
      </c>
      <c r="D31" s="290">
        <f>'REMUNERACION Reciprocidad EAAB'!D109</f>
        <v>24296930.390000001</v>
      </c>
      <c r="E31" s="290">
        <f>'REMUNERACION Reciprocidad EAAB'!E109</f>
        <v>2059276.06</v>
      </c>
      <c r="F31" s="290">
        <f>'REMUNERACION Reciprocidad EAAB'!F109</f>
        <v>1143344.47</v>
      </c>
      <c r="G31" s="290">
        <f>'REMUNERACION Reciprocidad EAAB'!G109</f>
        <v>423616.37000000005</v>
      </c>
      <c r="H31" s="290">
        <f>'REMUNERACION Reciprocidad EAAB'!H109</f>
        <v>8668465.5199999996</v>
      </c>
      <c r="I31" s="290">
        <f>'REMUNERACION Reciprocidad EAAB'!I109</f>
        <v>295077.59999999998</v>
      </c>
      <c r="J31" s="290">
        <f>'REMUNERACION Reciprocidad EAAB'!J109</f>
        <v>0</v>
      </c>
      <c r="K31" s="300">
        <f>'REMUNERACION Reciprocidad EAAB'!K109</f>
        <v>11707150.369999997</v>
      </c>
      <c r="L31" s="301">
        <f>'REMUNERACION Reciprocidad EAAB'!L109</f>
        <v>0</v>
      </c>
      <c r="M31" s="302">
        <f>'REMUNERACION Reciprocidad EAAB'!M109</f>
        <v>11707150.369999997</v>
      </c>
      <c r="N31" s="301">
        <f>'REMUNERACION Reciprocidad EAAB'!N109</f>
        <v>0</v>
      </c>
      <c r="O31" s="302">
        <f>'REMUNERACION Reciprocidad EAAB'!O109</f>
        <v>11707150.369999997</v>
      </c>
      <c r="P31" s="329"/>
      <c r="Q31" s="306"/>
      <c r="S31" s="327"/>
      <c r="T31" s="328" t="s">
        <v>2</v>
      </c>
      <c r="U31" s="330">
        <f>'REMUNERACION Reciprocidad EAAB'!U109</f>
        <v>2622812.3099999996</v>
      </c>
      <c r="V31" s="330">
        <f>'REMUNERACION Reciprocidad EAAB'!V109</f>
        <v>2530416.1900000004</v>
      </c>
      <c r="W31" s="330">
        <f>'REMUNERACION Reciprocidad EAAB'!W109</f>
        <v>10608669.1</v>
      </c>
      <c r="X31" s="330">
        <f>'REMUNERACION Reciprocidad EAAB'!X109</f>
        <v>4580143.46</v>
      </c>
      <c r="Y31" s="330">
        <f>'REMUNERACION Reciprocidad EAAB'!Y109</f>
        <v>389346.98</v>
      </c>
      <c r="Z31" s="290">
        <f>'REMUNERACION Reciprocidad EAAB'!Z109</f>
        <v>0</v>
      </c>
      <c r="AA31" s="290">
        <f>'REMUNERACION Reciprocidad EAAB'!AA109</f>
        <v>11.079999999999998</v>
      </c>
      <c r="AB31" s="290">
        <f>'REMUNERACION Reciprocidad EAAB'!AB109</f>
        <v>0</v>
      </c>
      <c r="AC31" s="290">
        <f>'REMUNERACION Reciprocidad EAAB'!AC109</f>
        <v>0</v>
      </c>
      <c r="AD31" s="290">
        <f>'REMUNERACION Reciprocidad EAAB'!AD109</f>
        <v>-9024248.75</v>
      </c>
      <c r="AE31" s="290">
        <f>'REMUNERACION Reciprocidad EAAB'!AE109</f>
        <v>-9024248.75</v>
      </c>
      <c r="AF31" s="331">
        <f>'REMUNERACION Reciprocidad EAAB'!AF109</f>
        <v>11707150.369999997</v>
      </c>
      <c r="AG31" s="524">
        <f>'REMUNERACION Reciprocidad EAAB'!AG109</f>
        <v>0</v>
      </c>
      <c r="AH31" s="1"/>
      <c r="AI31" s="306"/>
      <c r="AM31" s="333"/>
    </row>
    <row r="32" spans="1:39" x14ac:dyDescent="0.25">
      <c r="B32" s="2"/>
      <c r="C32" s="2"/>
      <c r="D32" s="448"/>
      <c r="E32" s="448"/>
      <c r="F32" s="448"/>
      <c r="G32" s="448"/>
      <c r="H32" s="448"/>
      <c r="I32" s="448"/>
      <c r="K32" s="448"/>
      <c r="L32" s="448"/>
      <c r="M32" s="448"/>
      <c r="N32" s="448"/>
      <c r="O32" s="448"/>
      <c r="Q32" s="4"/>
      <c r="S32" s="2"/>
      <c r="T32" s="2"/>
      <c r="U32" s="448"/>
      <c r="V32" s="448"/>
      <c r="W32" s="448"/>
      <c r="X32" s="448"/>
      <c r="Y32" s="448"/>
      <c r="AF32" s="448"/>
      <c r="AI32" s="4"/>
    </row>
    <row r="33" spans="1:39" x14ac:dyDescent="0.25">
      <c r="B33" s="2"/>
      <c r="C33" s="2"/>
      <c r="D33" s="549"/>
      <c r="E33" s="549"/>
      <c r="F33" s="549"/>
      <c r="G33" s="549"/>
      <c r="H33" s="549"/>
      <c r="I33" s="549"/>
      <c r="K33" s="549"/>
      <c r="L33" s="549"/>
      <c r="M33" s="549"/>
      <c r="N33" s="549"/>
      <c r="O33" s="549"/>
      <c r="Q33" s="4"/>
      <c r="AI33" s="4"/>
    </row>
    <row r="34" spans="1:39" x14ac:dyDescent="0.25">
      <c r="A34" s="4"/>
      <c r="B34" s="34"/>
      <c r="C34" s="34"/>
      <c r="D34" s="474"/>
      <c r="E34" s="474"/>
      <c r="F34" s="474"/>
      <c r="G34" s="474"/>
      <c r="H34" s="474"/>
      <c r="I34" s="474"/>
      <c r="J34" s="4"/>
      <c r="K34" s="474"/>
      <c r="L34" s="474"/>
      <c r="M34" s="474"/>
      <c r="N34" s="474"/>
      <c r="O34" s="47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" thickBot="1" x14ac:dyDescent="0.3">
      <c r="Q35" s="4"/>
      <c r="AI35" s="4"/>
    </row>
    <row r="36" spans="1:39" x14ac:dyDescent="0.25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4" x14ac:dyDescent="0.3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5" x14ac:dyDescent="0.35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4" x14ac:dyDescent="0.3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5" x14ac:dyDescent="0.35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8" thickBot="1" x14ac:dyDescent="0.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3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168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5" customFormat="1" x14ac:dyDescent="0.25">
      <c r="B43" s="303">
        <v>1</v>
      </c>
      <c r="C43" s="304" t="s">
        <v>10</v>
      </c>
      <c r="D43" s="291">
        <f>REMUNERACION_ENEL!D104</f>
        <v>15302926360.77</v>
      </c>
      <c r="E43" s="292">
        <f>REMUNERACION_ENEL!E104</f>
        <v>729339442.10000002</v>
      </c>
      <c r="F43" s="292">
        <f>REMUNERACION_ENEL!F104</f>
        <v>406379310.06</v>
      </c>
      <c r="G43" s="292">
        <f>REMUNERACION_ENEL!G104</f>
        <v>215646955.88</v>
      </c>
      <c r="H43" s="292">
        <f>REMUNERACION_ENEL!H104</f>
        <v>3266869377.5099998</v>
      </c>
      <c r="I43" s="292">
        <f>REMUNERACION_ENEL!I104</f>
        <v>122734653.91</v>
      </c>
      <c r="J43" s="288">
        <f>REMUNERACION_ENEL!J104</f>
        <v>-4501501560.3499994</v>
      </c>
      <c r="K43" s="293">
        <f>REMUNERACION_ENEL!K104</f>
        <v>15063458181.66</v>
      </c>
      <c r="L43" s="294">
        <f>REMUNERACION_ENEL!L104</f>
        <v>189185988</v>
      </c>
      <c r="M43" s="293">
        <f>REMUNERACION_ENEL!M104</f>
        <v>14874272193.66</v>
      </c>
      <c r="N43" s="294">
        <f>REMUNERACION_ENEL!N104</f>
        <v>8900921.8200000003</v>
      </c>
      <c r="O43" s="293">
        <f>REMUNERACION_ENEL!O104</f>
        <v>14883173115.48</v>
      </c>
      <c r="Q43" s="306"/>
      <c r="S43" s="303">
        <v>1</v>
      </c>
      <c r="T43" s="304" t="s">
        <v>10</v>
      </c>
      <c r="U43" s="307">
        <f>REMUNERACION_ENEL!U104</f>
        <v>1080596204.21</v>
      </c>
      <c r="V43" s="308">
        <f>REMUNERACION_ENEL!V104</f>
        <v>1028800378.24</v>
      </c>
      <c r="W43" s="308">
        <f>REMUNERACION_ENEL!W104</f>
        <v>4835361658.3400002</v>
      </c>
      <c r="X43" s="308">
        <f>REMUNERACION_ENEL!X104</f>
        <v>1984024765.6700001</v>
      </c>
      <c r="Y43" s="309">
        <f>REMUNERACION_ENEL!Y104</f>
        <v>200167070.46000001</v>
      </c>
      <c r="Z43" s="310">
        <f>REMUNERACION_ENEL!Z104</f>
        <v>-189185988</v>
      </c>
      <c r="AA43" s="311">
        <f>REMUNERACION_ENEL!AA104</f>
        <v>108571.54</v>
      </c>
      <c r="AB43" s="294">
        <f>REMUNERACION_ENEL!AB104</f>
        <v>8900921.8200000003</v>
      </c>
      <c r="AC43" s="311">
        <f>REMUNERACION_ENEL!AC104</f>
        <v>69.569999999999993</v>
      </c>
      <c r="AD43" s="291">
        <f>REMUNERACION_ENEL!AD104</f>
        <v>5934399463.6299992</v>
      </c>
      <c r="AE43" s="291">
        <f>REMUNERACION_ENEL!AE104</f>
        <v>1432897903.28</v>
      </c>
      <c r="AF43" s="313">
        <f>REMUNERACION_ENEL!AF104</f>
        <v>14883173115.479998</v>
      </c>
      <c r="AG43" s="521">
        <f>REMUNERACION_ENEL!AG104</f>
        <v>0</v>
      </c>
      <c r="AH43" s="1"/>
      <c r="AI43" s="306"/>
      <c r="AM43" s="333"/>
    </row>
    <row r="44" spans="1:39" s="305" customFormat="1" x14ac:dyDescent="0.25">
      <c r="B44" s="314">
        <v>2</v>
      </c>
      <c r="C44" s="315" t="s">
        <v>11</v>
      </c>
      <c r="D44" s="291">
        <f>REMUNERACION_ENEL!D105</f>
        <v>20178777387.439999</v>
      </c>
      <c r="E44" s="292">
        <f>REMUNERACION_ENEL!E105</f>
        <v>1448205700.2700002</v>
      </c>
      <c r="F44" s="292">
        <f>REMUNERACION_ENEL!F105</f>
        <v>800835027.04000008</v>
      </c>
      <c r="G44" s="292">
        <f>REMUNERACION_ENEL!G105</f>
        <v>423712832.33999991</v>
      </c>
      <c r="H44" s="292">
        <f>REMUNERACION_ENEL!H105</f>
        <v>6517549572.0400009</v>
      </c>
      <c r="I44" s="292">
        <f>REMUNERACION_ENEL!I105</f>
        <v>230306325.36999997</v>
      </c>
      <c r="J44" s="288">
        <f>REMUNERACION_ENEL!J105</f>
        <v>-3550307908.4800005</v>
      </c>
      <c r="K44" s="295">
        <f>REMUNERACION_ENEL!K105</f>
        <v>14308475838.859997</v>
      </c>
      <c r="L44" s="294">
        <f>REMUNERACION_ENEL!L105</f>
        <v>266580256</v>
      </c>
      <c r="M44" s="295">
        <f>REMUNERACION_ENEL!M105</f>
        <v>14041895582.859997</v>
      </c>
      <c r="N44" s="294">
        <f>REMUNERACION_ENEL!N105</f>
        <v>23583660.07</v>
      </c>
      <c r="O44" s="295">
        <f>REMUNERACION_ENEL!O105</f>
        <v>14065479242.929996</v>
      </c>
      <c r="Q44" s="306"/>
      <c r="S44" s="314">
        <v>2</v>
      </c>
      <c r="T44" s="315" t="s">
        <v>11</v>
      </c>
      <c r="U44" s="316">
        <f>REMUNERACION_ENEL!U105</f>
        <v>2018133975</v>
      </c>
      <c r="V44" s="317">
        <f>REMUNERACION_ENEL!V105</f>
        <v>1978094511.9600003</v>
      </c>
      <c r="W44" s="317">
        <f>REMUNERACION_ENEL!W105</f>
        <v>9281578897.6100006</v>
      </c>
      <c r="X44" s="317">
        <f>REMUNERACION_ENEL!X105</f>
        <v>2849465720.7799997</v>
      </c>
      <c r="Y44" s="318">
        <f>REMUNERACION_ENEL!Y105</f>
        <v>376075622.34000003</v>
      </c>
      <c r="Z44" s="319">
        <f>REMUNERACION_ENEL!Z105</f>
        <v>-266580256</v>
      </c>
      <c r="AA44" s="320">
        <f>REMUNERACION_ENEL!AA105</f>
        <v>159484.94999999998</v>
      </c>
      <c r="AB44" s="294">
        <f>REMUNERACION_ENEL!AB105</f>
        <v>23583660.07</v>
      </c>
      <c r="AC44" s="320">
        <f>REMUNERACION_ENEL!AC105</f>
        <v>-41.69</v>
      </c>
      <c r="AD44" s="291">
        <f>REMUNERACION_ENEL!AD105</f>
        <v>-2195032332.0900002</v>
      </c>
      <c r="AE44" s="291">
        <f>REMUNERACION_ENEL!AE105</f>
        <v>-5745340240.5700006</v>
      </c>
      <c r="AF44" s="322">
        <f>REMUNERACION_ENEL!AF105</f>
        <v>14065479242.929998</v>
      </c>
      <c r="AG44" s="522">
        <f>REMUNERACION_ENEL!AG105</f>
        <v>0</v>
      </c>
      <c r="AH44" s="1"/>
      <c r="AI44" s="306"/>
      <c r="AM44" s="333"/>
    </row>
    <row r="45" spans="1:39" s="305" customFormat="1" x14ac:dyDescent="0.25">
      <c r="B45" s="314">
        <v>3</v>
      </c>
      <c r="C45" s="315" t="s">
        <v>12</v>
      </c>
      <c r="D45" s="291">
        <f>REMUNERACION_ENEL!D106</f>
        <v>13864568309.599998</v>
      </c>
      <c r="E45" s="292">
        <f>REMUNERACION_ENEL!E106</f>
        <v>957638651.13</v>
      </c>
      <c r="F45" s="292">
        <f>REMUNERACION_ENEL!F106</f>
        <v>533439285.44000006</v>
      </c>
      <c r="G45" s="292">
        <f>REMUNERACION_ENEL!G106</f>
        <v>283742347.22000003</v>
      </c>
      <c r="H45" s="292">
        <f>REMUNERACION_ENEL!H106</f>
        <v>3444273335.4899998</v>
      </c>
      <c r="I45" s="292">
        <f>REMUNERACION_ENEL!I106</f>
        <v>125528383.47</v>
      </c>
      <c r="J45" s="288">
        <f>REMUNERACION_ENEL!J106</f>
        <v>-750589759.5999999</v>
      </c>
      <c r="K45" s="295">
        <f>REMUNERACION_ENEL!K106</f>
        <v>9270536066.4499989</v>
      </c>
      <c r="L45" s="294">
        <f>REMUNERACION_ENEL!L106</f>
        <v>154788536</v>
      </c>
      <c r="M45" s="295">
        <f>REMUNERACION_ENEL!M106</f>
        <v>9115747530.4499989</v>
      </c>
      <c r="N45" s="294">
        <f>REMUNERACION_ENEL!N106</f>
        <v>18959701.32</v>
      </c>
      <c r="O45" s="295">
        <f>REMUNERACION_ENEL!O106</f>
        <v>9134707231.7699986</v>
      </c>
      <c r="Q45" s="306"/>
      <c r="S45" s="314">
        <v>3</v>
      </c>
      <c r="T45" s="315" t="s">
        <v>12</v>
      </c>
      <c r="U45" s="316">
        <f>REMUNERACION_ENEL!U106</f>
        <v>1100028385.3600001</v>
      </c>
      <c r="V45" s="317">
        <f>REMUNERACION_ENEL!V106</f>
        <v>1071742383.55</v>
      </c>
      <c r="W45" s="317">
        <f>REMUNERACION_ENEL!W106</f>
        <v>5039004700.8800001</v>
      </c>
      <c r="X45" s="317">
        <f>REMUNERACION_ENEL!X106</f>
        <v>2268252001.6500001</v>
      </c>
      <c r="Y45" s="318">
        <f>REMUNERACION_ENEL!Y106</f>
        <v>204754746.59</v>
      </c>
      <c r="Z45" s="319">
        <f>REMUNERACION_ENEL!Z106</f>
        <v>-154788536</v>
      </c>
      <c r="AA45" s="320">
        <f>REMUNERACION_ENEL!AA106</f>
        <v>-127396.81999999999</v>
      </c>
      <c r="AB45" s="294">
        <f>REMUNERACION_ENEL!AB106</f>
        <v>18959701.32</v>
      </c>
      <c r="AC45" s="320">
        <f>REMUNERACION_ENEL!AC106</f>
        <v>3.9999999999999925E-2</v>
      </c>
      <c r="AD45" s="291">
        <f>REMUNERACION_ENEL!AD106</f>
        <v>-413118754.79999995</v>
      </c>
      <c r="AE45" s="291">
        <f>REMUNERACION_ENEL!AE106</f>
        <v>-1163708514.3999999</v>
      </c>
      <c r="AF45" s="322">
        <f>REMUNERACION_ENEL!AF106</f>
        <v>9134707231.7700024</v>
      </c>
      <c r="AG45" s="522">
        <f>REMUNERACION_ENEL!AG106</f>
        <v>0</v>
      </c>
      <c r="AH45" s="1"/>
      <c r="AI45" s="306"/>
      <c r="AM45" s="333"/>
    </row>
    <row r="46" spans="1:39" s="305" customFormat="1" x14ac:dyDescent="0.25">
      <c r="B46" s="314">
        <v>4</v>
      </c>
      <c r="C46" s="315" t="s">
        <v>13</v>
      </c>
      <c r="D46" s="291">
        <f>REMUNERACION_ENEL!D107</f>
        <v>6630158908.9499998</v>
      </c>
      <c r="E46" s="292">
        <f>REMUNERACION_ENEL!E107</f>
        <v>376251422.80999994</v>
      </c>
      <c r="F46" s="292">
        <f>REMUNERACION_ENEL!F107</f>
        <v>208879795.46000001</v>
      </c>
      <c r="G46" s="292">
        <f>REMUNERACION_ENEL!G107</f>
        <v>111065368.77000001</v>
      </c>
      <c r="H46" s="292">
        <f>REMUNERACION_ENEL!H107</f>
        <v>1640754785.4200003</v>
      </c>
      <c r="I46" s="292">
        <f>REMUNERACION_ENEL!I107</f>
        <v>57480046.259999998</v>
      </c>
      <c r="J46" s="288">
        <f>REMUNERACION_ENEL!J107</f>
        <v>-714140939.3599999</v>
      </c>
      <c r="K46" s="295">
        <f>REMUNERACION_ENEL!K107</f>
        <v>4949868429.5899982</v>
      </c>
      <c r="L46" s="294">
        <f>REMUNERACION_ENEL!L107</f>
        <v>120391083</v>
      </c>
      <c r="M46" s="295">
        <f>REMUNERACION_ENEL!M107</f>
        <v>4829477346.5899982</v>
      </c>
      <c r="N46" s="294">
        <f>REMUNERACION_ENEL!N107</f>
        <v>3932276.23</v>
      </c>
      <c r="O46" s="295">
        <f>REMUNERACION_ENEL!O107</f>
        <v>4833409622.8199978</v>
      </c>
      <c r="Q46" s="306"/>
      <c r="S46" s="314">
        <v>4</v>
      </c>
      <c r="T46" s="315" t="s">
        <v>13</v>
      </c>
      <c r="U46" s="316">
        <f>REMUNERACION_ENEL!U107</f>
        <v>502868487.38</v>
      </c>
      <c r="V46" s="317">
        <f>REMUNERACION_ENEL!V107</f>
        <v>490537611.79999995</v>
      </c>
      <c r="W46" s="317">
        <f>REMUNERACION_ENEL!W107</f>
        <v>2512747823.5100002</v>
      </c>
      <c r="X46" s="317">
        <f>REMUNERACION_ENEL!X107</f>
        <v>995652151.48999989</v>
      </c>
      <c r="Y46" s="318">
        <f>REMUNERACION_ENEL!Y107</f>
        <v>93741124.449999988</v>
      </c>
      <c r="Z46" s="319">
        <f>REMUNERACION_ENEL!Z107</f>
        <v>-120391083</v>
      </c>
      <c r="AA46" s="320">
        <f>REMUNERACION_ENEL!AA107</f>
        <v>3885.64</v>
      </c>
      <c r="AB46" s="294">
        <f>REMUNERACION_ENEL!AB107</f>
        <v>3932276.23</v>
      </c>
      <c r="AC46" s="320">
        <f>REMUNERACION_ENEL!AC107</f>
        <v>264.31</v>
      </c>
      <c r="AD46" s="291">
        <f>REMUNERACION_ENEL!AD107</f>
        <v>354317081.00999981</v>
      </c>
      <c r="AE46" s="291">
        <f>REMUNERACION_ENEL!AE107</f>
        <v>-359823858.35000008</v>
      </c>
      <c r="AF46" s="322">
        <f>REMUNERACION_ENEL!AF107</f>
        <v>4833409622.8200006</v>
      </c>
      <c r="AG46" s="522">
        <f>REMUNERACION_ENEL!AG107</f>
        <v>0</v>
      </c>
      <c r="AH46" s="1"/>
      <c r="AI46" s="306"/>
      <c r="AM46" s="333"/>
    </row>
    <row r="47" spans="1:39" s="305" customFormat="1" ht="12" thickBot="1" x14ac:dyDescent="0.3">
      <c r="B47" s="324">
        <v>5</v>
      </c>
      <c r="C47" s="325" t="s">
        <v>14</v>
      </c>
      <c r="D47" s="296">
        <f>REMUNERACION_ENEL!D108</f>
        <v>12035148725.389999</v>
      </c>
      <c r="E47" s="297">
        <f>REMUNERACION_ENEL!E108</f>
        <v>670692909.02999997</v>
      </c>
      <c r="F47" s="297">
        <f>REMUNERACION_ENEL!F108</f>
        <v>373578465.15999997</v>
      </c>
      <c r="G47" s="297">
        <f>REMUNERACION_ENEL!G108</f>
        <v>198657576.47999999</v>
      </c>
      <c r="H47" s="297">
        <f>REMUNERACION_ENEL!H108</f>
        <v>3229096968.9099998</v>
      </c>
      <c r="I47" s="297">
        <f>REMUNERACION_ENEL!I108</f>
        <v>104859875.68000001</v>
      </c>
      <c r="J47" s="289">
        <f>REMUNERACION_ENEL!J108</f>
        <v>-98238891.940000057</v>
      </c>
      <c r="K47" s="295">
        <f>REMUNERACION_ENEL!K108</f>
        <v>7556501822.0699997</v>
      </c>
      <c r="L47" s="294">
        <f>REMUNERACION_ENEL!L108</f>
        <v>128990446</v>
      </c>
      <c r="M47" s="298">
        <f>REMUNERACION_ENEL!M108</f>
        <v>7427511376.0699997</v>
      </c>
      <c r="N47" s="299">
        <f>REMUNERACION_ENEL!N108</f>
        <v>10242722.949999999</v>
      </c>
      <c r="O47" s="298">
        <f>REMUNERACION_ENEL!O108</f>
        <v>7437754099.0199995</v>
      </c>
      <c r="Q47" s="306"/>
      <c r="S47" s="324">
        <v>5</v>
      </c>
      <c r="T47" s="325" t="s">
        <v>14</v>
      </c>
      <c r="U47" s="296">
        <f>REMUNERACION_ENEL!U108</f>
        <v>919711110.6500001</v>
      </c>
      <c r="V47" s="297">
        <f>REMUNERACION_ENEL!V108</f>
        <v>891816105.20999992</v>
      </c>
      <c r="W47" s="297">
        <f>REMUNERACION_ENEL!W108</f>
        <v>4550231955.9499989</v>
      </c>
      <c r="X47" s="297">
        <f>REMUNERACION_ENEL!X108</f>
        <v>1992952702.9499998</v>
      </c>
      <c r="Y47" s="289">
        <f>REMUNERACION_ENEL!Y108</f>
        <v>171093919.14999998</v>
      </c>
      <c r="Z47" s="319">
        <f>REMUNERACION_ENEL!Z108</f>
        <v>-128990446</v>
      </c>
      <c r="AA47" s="320">
        <f>REMUNERACION_ENEL!AA108</f>
        <v>-174574.38999999998</v>
      </c>
      <c r="AB47" s="294">
        <f>REMUNERACION_ENEL!AB108</f>
        <v>10242722.949999999</v>
      </c>
      <c r="AC47" s="320">
        <f>REMUNERACION_ENEL!AC108</f>
        <v>12.22</v>
      </c>
      <c r="AD47" s="291">
        <f>REMUNERACION_ENEL!AD108</f>
        <v>-969129409.66999996</v>
      </c>
      <c r="AE47" s="291">
        <f>REMUNERACION_ENEL!AE108</f>
        <v>-1067368301.61</v>
      </c>
      <c r="AF47" s="322">
        <f>REMUNERACION_ENEL!AF108</f>
        <v>7437754099.0199986</v>
      </c>
      <c r="AG47" s="523">
        <f>REMUNERACION_ENEL!AG108</f>
        <v>0</v>
      </c>
      <c r="AH47" s="1"/>
      <c r="AI47" s="306"/>
      <c r="AM47" s="333"/>
    </row>
    <row r="48" spans="1:39" s="305" customFormat="1" ht="13.5" thickBot="1" x14ac:dyDescent="0.35">
      <c r="B48" s="327"/>
      <c r="C48" s="328" t="s">
        <v>2</v>
      </c>
      <c r="D48" s="290">
        <f>REMUNERACION_ENEL!D109</f>
        <v>68011579692.149994</v>
      </c>
      <c r="E48" s="290">
        <f>REMUNERACION_ENEL!E109</f>
        <v>4182128125.3400002</v>
      </c>
      <c r="F48" s="290">
        <f>REMUNERACION_ENEL!F109</f>
        <v>2323111883.1600003</v>
      </c>
      <c r="G48" s="290">
        <f>REMUNERACION_ENEL!G109</f>
        <v>1232825080.6899998</v>
      </c>
      <c r="H48" s="290">
        <f>REMUNERACION_ENEL!H109</f>
        <v>18098544039.370003</v>
      </c>
      <c r="I48" s="290">
        <f>REMUNERACION_ENEL!I109</f>
        <v>640909284.69000006</v>
      </c>
      <c r="J48" s="290">
        <f>REMUNERACION_ENEL!J109</f>
        <v>-9614779059.7300014</v>
      </c>
      <c r="K48" s="300">
        <f>REMUNERACION_ENEL!K109</f>
        <v>51148840338.62999</v>
      </c>
      <c r="L48" s="301">
        <f>REMUNERACION_ENEL!L109</f>
        <v>859936309</v>
      </c>
      <c r="M48" s="302">
        <f>REMUNERACION_ENEL!M109</f>
        <v>50288904029.62999</v>
      </c>
      <c r="N48" s="301">
        <f>REMUNERACION_ENEL!N109</f>
        <v>65619282.390000001</v>
      </c>
      <c r="O48" s="302">
        <f>REMUNERACION_ENEL!O109</f>
        <v>50354523312.019989</v>
      </c>
      <c r="P48" s="329"/>
      <c r="Q48" s="306"/>
      <c r="S48" s="327"/>
      <c r="T48" s="328" t="s">
        <v>2</v>
      </c>
      <c r="U48" s="330">
        <f>REMUNERACION_ENEL!U109</f>
        <v>5621338162.6000004</v>
      </c>
      <c r="V48" s="330">
        <f>REMUNERACION_ENEL!V109</f>
        <v>5460990990.7600002</v>
      </c>
      <c r="W48" s="330">
        <f>REMUNERACION_ENEL!W109</f>
        <v>26218925036.290001</v>
      </c>
      <c r="X48" s="330">
        <f>REMUNERACION_ENEL!X109</f>
        <v>10090347342.540001</v>
      </c>
      <c r="Y48" s="330">
        <f>REMUNERACION_ENEL!Y109</f>
        <v>1045832482.9900001</v>
      </c>
      <c r="Z48" s="290">
        <f>REMUNERACION_ENEL!Z109</f>
        <v>-859936309</v>
      </c>
      <c r="AA48" s="290">
        <f>REMUNERACION_ENEL!AA109</f>
        <v>-30029.079999999987</v>
      </c>
      <c r="AB48" s="290">
        <f>REMUNERACION_ENEL!AB109</f>
        <v>65619282.390000001</v>
      </c>
      <c r="AC48" s="290">
        <f>REMUNERACION_ENEL!AC109</f>
        <v>304.45000000000005</v>
      </c>
      <c r="AD48" s="290">
        <f>REMUNERACION_ENEL!AD109</f>
        <v>2711436048.0799985</v>
      </c>
      <c r="AE48" s="290">
        <f>REMUNERACION_ENEL!AE109</f>
        <v>-6903343011.6500006</v>
      </c>
      <c r="AF48" s="331">
        <f>REMUNERACION_ENEL!AF109</f>
        <v>50354523312.019997</v>
      </c>
      <c r="AG48" s="524">
        <f>REMUNERACION_ENEL!AG109</f>
        <v>0</v>
      </c>
      <c r="AH48" s="1"/>
      <c r="AI48" s="306"/>
      <c r="AM48" s="333"/>
    </row>
    <row r="49" spans="1:39" x14ac:dyDescent="0.25">
      <c r="B49" s="2"/>
      <c r="C49" s="2"/>
      <c r="D49" s="448"/>
      <c r="E49" s="448"/>
      <c r="F49" s="448"/>
      <c r="G49" s="448"/>
      <c r="H49" s="448"/>
      <c r="I49" s="448"/>
      <c r="K49" s="448"/>
      <c r="L49" s="448"/>
      <c r="M49" s="448"/>
      <c r="N49" s="448"/>
      <c r="O49" s="448"/>
      <c r="Q49" s="4"/>
      <c r="S49" s="2"/>
      <c r="T49" s="2"/>
      <c r="U49" s="448"/>
      <c r="V49" s="448"/>
      <c r="W49" s="448"/>
      <c r="X49" s="448"/>
      <c r="Y49" s="448"/>
      <c r="AF49" s="448"/>
      <c r="AI49" s="4"/>
    </row>
    <row r="50" spans="1:39" x14ac:dyDescent="0.25">
      <c r="B50" s="2"/>
      <c r="C50" s="2"/>
      <c r="D50" s="549"/>
      <c r="E50" s="549"/>
      <c r="F50" s="549"/>
      <c r="G50" s="549"/>
      <c r="H50" s="549"/>
      <c r="I50" s="549"/>
      <c r="K50" s="549"/>
      <c r="L50" s="549"/>
      <c r="M50" s="549"/>
      <c r="N50" s="549"/>
      <c r="O50" s="549"/>
      <c r="Q50" s="4"/>
      <c r="AI50" s="4"/>
    </row>
    <row r="51" spans="1:39" x14ac:dyDescent="0.25">
      <c r="A51" s="4"/>
      <c r="B51" s="34"/>
      <c r="C51" s="34"/>
      <c r="D51" s="474"/>
      <c r="E51" s="474"/>
      <c r="F51" s="474"/>
      <c r="G51" s="474"/>
      <c r="H51" s="474"/>
      <c r="I51" s="474"/>
      <c r="J51" s="4"/>
      <c r="K51" s="474"/>
      <c r="L51" s="474"/>
      <c r="M51" s="474"/>
      <c r="N51" s="474"/>
      <c r="O51" s="47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" thickBot="1" x14ac:dyDescent="0.3">
      <c r="B52" s="2"/>
      <c r="C52" s="2"/>
      <c r="D52" s="549"/>
      <c r="E52" s="549"/>
      <c r="F52" s="549"/>
      <c r="G52" s="549"/>
      <c r="H52" s="549"/>
      <c r="I52" s="549"/>
      <c r="K52" s="549"/>
      <c r="L52" s="549"/>
      <c r="M52" s="549"/>
      <c r="N52" s="549"/>
      <c r="O52" s="549"/>
    </row>
    <row r="53" spans="1:39" x14ac:dyDescent="0.25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4" x14ac:dyDescent="0.3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5" x14ac:dyDescent="0.35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4" x14ac:dyDescent="0.3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5" x14ac:dyDescent="0.35">
      <c r="B57" s="8"/>
      <c r="C57" s="2"/>
      <c r="D57" s="9"/>
      <c r="F57" s="58" t="s">
        <v>330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8" thickBot="1" x14ac:dyDescent="0.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3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168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5" customFormat="1" x14ac:dyDescent="0.25">
      <c r="B60" s="303">
        <v>1</v>
      </c>
      <c r="C60" s="304" t="s">
        <v>10</v>
      </c>
      <c r="D60" s="291">
        <f>REMUNERACION_ENERBIT!D104</f>
        <v>0</v>
      </c>
      <c r="E60" s="291">
        <f>REMUNERACION_ENERBIT!E104</f>
        <v>0</v>
      </c>
      <c r="F60" s="291">
        <f>REMUNERACION_ENERBIT!F104</f>
        <v>0</v>
      </c>
      <c r="G60" s="291">
        <f>REMUNERACION_ENERBIT!G104</f>
        <v>0</v>
      </c>
      <c r="H60" s="291">
        <f>REMUNERACION_ENERBIT!H104</f>
        <v>0</v>
      </c>
      <c r="I60" s="291">
        <f>REMUNERACION_ENERBIT!I104</f>
        <v>0</v>
      </c>
      <c r="J60" s="291">
        <f>REMUNERACION_ENERBIT!J104</f>
        <v>0</v>
      </c>
      <c r="K60" s="293">
        <f>REMUNERACION_ENERBIT!K104</f>
        <v>0</v>
      </c>
      <c r="L60" s="294">
        <f>REMUNERACION_ENERBIT!L104</f>
        <v>0</v>
      </c>
      <c r="M60" s="293">
        <f>REMUNERACION_ENERBIT!M104</f>
        <v>0</v>
      </c>
      <c r="N60" s="294">
        <f>REMUNERACION_ENERBIT!N104</f>
        <v>0</v>
      </c>
      <c r="O60" s="293">
        <f>REMUNERACION_ENERBIT!O104</f>
        <v>0</v>
      </c>
      <c r="Q60" s="306"/>
      <c r="S60" s="303">
        <v>1</v>
      </c>
      <c r="T60" s="304" t="s">
        <v>10</v>
      </c>
      <c r="U60" s="307">
        <f>REMUNERACION_ENERBIT!U104</f>
        <v>0</v>
      </c>
      <c r="V60" s="308">
        <f>REMUNERACION_ENERBIT!V104</f>
        <v>0</v>
      </c>
      <c r="W60" s="308">
        <f>REMUNERACION_ENERBIT!W104</f>
        <v>0</v>
      </c>
      <c r="X60" s="308">
        <f>REMUNERACION_ENERBIT!X104</f>
        <v>0</v>
      </c>
      <c r="Y60" s="309">
        <f>REMUNERACION_ENERBIT!Y104</f>
        <v>0</v>
      </c>
      <c r="Z60" s="309">
        <f>REMUNERACION_ENERBIT!Z104</f>
        <v>0</v>
      </c>
      <c r="AA60" s="309">
        <f>REMUNERACION_ENERBIT!AA104</f>
        <v>0</v>
      </c>
      <c r="AB60" s="309">
        <f>REMUNERACION_ENERBIT!AB104</f>
        <v>0</v>
      </c>
      <c r="AC60" s="309">
        <f>REMUNERACION_ENERBIT!AC104</f>
        <v>0</v>
      </c>
      <c r="AD60" s="309">
        <f>REMUNERACION_ENERBIT!AD104</f>
        <v>0</v>
      </c>
      <c r="AE60" s="309">
        <f>REMUNERACION_ENERBIT!AE104</f>
        <v>0</v>
      </c>
      <c r="AF60" s="313">
        <f>REMUNERACION_ENERBIT!AF104</f>
        <v>0</v>
      </c>
      <c r="AG60" s="521">
        <f>REMUNERACION_ENEL!AG121</f>
        <v>0</v>
      </c>
      <c r="AH60" s="1"/>
      <c r="AI60" s="306"/>
      <c r="AM60" s="333"/>
    </row>
    <row r="61" spans="1:39" s="305" customFormat="1" x14ac:dyDescent="0.25">
      <c r="B61" s="314">
        <v>2</v>
      </c>
      <c r="C61" s="315" t="s">
        <v>11</v>
      </c>
      <c r="D61" s="291">
        <f>REMUNERACION_ENERBIT!D105</f>
        <v>0</v>
      </c>
      <c r="E61" s="291">
        <f>REMUNERACION_ENERBIT!E105</f>
        <v>0</v>
      </c>
      <c r="F61" s="291">
        <f>REMUNERACION_ENERBIT!F105</f>
        <v>0</v>
      </c>
      <c r="G61" s="291">
        <f>REMUNERACION_ENERBIT!G105</f>
        <v>0</v>
      </c>
      <c r="H61" s="291">
        <f>REMUNERACION_ENERBIT!H105</f>
        <v>0</v>
      </c>
      <c r="I61" s="291">
        <f>REMUNERACION_ENERBIT!I105</f>
        <v>0</v>
      </c>
      <c r="J61" s="291">
        <f>REMUNERACION_ENERBIT!J105</f>
        <v>0</v>
      </c>
      <c r="K61" s="295">
        <f>REMUNERACION_ENERBIT!K105</f>
        <v>0</v>
      </c>
      <c r="L61" s="294">
        <f>REMUNERACION_ENERBIT!L105</f>
        <v>0</v>
      </c>
      <c r="M61" s="295">
        <f>REMUNERACION_ENERBIT!M105</f>
        <v>0</v>
      </c>
      <c r="N61" s="294">
        <f>REMUNERACION_ENERBIT!N105</f>
        <v>0</v>
      </c>
      <c r="O61" s="295">
        <f>REMUNERACION_ENERBIT!O105</f>
        <v>0</v>
      </c>
      <c r="Q61" s="306"/>
      <c r="S61" s="314">
        <v>2</v>
      </c>
      <c r="T61" s="315" t="s">
        <v>11</v>
      </c>
      <c r="U61" s="316">
        <f>REMUNERACION_ENERBIT!U105</f>
        <v>0</v>
      </c>
      <c r="V61" s="317">
        <f>REMUNERACION_ENERBIT!V105</f>
        <v>0</v>
      </c>
      <c r="W61" s="317">
        <f>REMUNERACION_ENERBIT!W105</f>
        <v>0</v>
      </c>
      <c r="X61" s="317">
        <f>REMUNERACION_ENERBIT!X105</f>
        <v>0</v>
      </c>
      <c r="Y61" s="318">
        <f>REMUNERACION_ENERBIT!Y105</f>
        <v>0</v>
      </c>
      <c r="Z61" s="318">
        <f>REMUNERACION_ENERBIT!Z105</f>
        <v>0</v>
      </c>
      <c r="AA61" s="318">
        <f>REMUNERACION_ENERBIT!AA105</f>
        <v>0</v>
      </c>
      <c r="AB61" s="318">
        <f>REMUNERACION_ENERBIT!AB105</f>
        <v>0</v>
      </c>
      <c r="AC61" s="318">
        <f>REMUNERACION_ENERBIT!AC105</f>
        <v>0</v>
      </c>
      <c r="AD61" s="318">
        <f>REMUNERACION_ENERBIT!AD105</f>
        <v>0</v>
      </c>
      <c r="AE61" s="318">
        <f>REMUNERACION_ENERBIT!AE105</f>
        <v>0</v>
      </c>
      <c r="AF61" s="322">
        <f>REMUNERACION_ENERBIT!AF105</f>
        <v>0</v>
      </c>
      <c r="AG61" s="522">
        <f>REMUNERACION_ENEL!AG122</f>
        <v>0</v>
      </c>
      <c r="AH61" s="1"/>
      <c r="AI61" s="306"/>
      <c r="AM61" s="333"/>
    </row>
    <row r="62" spans="1:39" s="305" customFormat="1" x14ac:dyDescent="0.25">
      <c r="B62" s="314">
        <v>3</v>
      </c>
      <c r="C62" s="315" t="s">
        <v>12</v>
      </c>
      <c r="D62" s="291">
        <f>REMUNERACION_ENERBIT!D106</f>
        <v>0</v>
      </c>
      <c r="E62" s="291">
        <f>REMUNERACION_ENERBIT!E106</f>
        <v>0</v>
      </c>
      <c r="F62" s="291">
        <f>REMUNERACION_ENERBIT!F106</f>
        <v>0</v>
      </c>
      <c r="G62" s="291">
        <f>REMUNERACION_ENERBIT!G106</f>
        <v>0</v>
      </c>
      <c r="H62" s="291">
        <f>REMUNERACION_ENERBIT!H106</f>
        <v>0</v>
      </c>
      <c r="I62" s="291">
        <f>REMUNERACION_ENERBIT!I106</f>
        <v>0</v>
      </c>
      <c r="J62" s="291">
        <f>REMUNERACION_ENERBIT!J106</f>
        <v>0</v>
      </c>
      <c r="K62" s="295">
        <f>REMUNERACION_ENERBIT!K106</f>
        <v>0</v>
      </c>
      <c r="L62" s="294">
        <f>REMUNERACION_ENERBIT!L106</f>
        <v>0</v>
      </c>
      <c r="M62" s="295">
        <f>REMUNERACION_ENERBIT!M106</f>
        <v>0</v>
      </c>
      <c r="N62" s="294">
        <f>REMUNERACION_ENERBIT!N106</f>
        <v>0</v>
      </c>
      <c r="O62" s="295">
        <f>REMUNERACION_ENERBIT!O106</f>
        <v>0</v>
      </c>
      <c r="Q62" s="306"/>
      <c r="S62" s="314">
        <v>3</v>
      </c>
      <c r="T62" s="315" t="s">
        <v>12</v>
      </c>
      <c r="U62" s="316">
        <f>REMUNERACION_ENERBIT!U106</f>
        <v>0</v>
      </c>
      <c r="V62" s="317">
        <f>REMUNERACION_ENERBIT!V106</f>
        <v>0</v>
      </c>
      <c r="W62" s="317">
        <f>REMUNERACION_ENERBIT!W106</f>
        <v>0</v>
      </c>
      <c r="X62" s="317">
        <f>REMUNERACION_ENERBIT!X106</f>
        <v>0</v>
      </c>
      <c r="Y62" s="318">
        <f>REMUNERACION_ENERBIT!Y106</f>
        <v>0</v>
      </c>
      <c r="Z62" s="318">
        <f>REMUNERACION_ENERBIT!Z106</f>
        <v>0</v>
      </c>
      <c r="AA62" s="318">
        <f>REMUNERACION_ENERBIT!AA106</f>
        <v>0</v>
      </c>
      <c r="AB62" s="318">
        <f>REMUNERACION_ENERBIT!AB106</f>
        <v>0</v>
      </c>
      <c r="AC62" s="318">
        <f>REMUNERACION_ENERBIT!AC106</f>
        <v>0</v>
      </c>
      <c r="AD62" s="318">
        <f>REMUNERACION_ENERBIT!AD106</f>
        <v>0</v>
      </c>
      <c r="AE62" s="318">
        <f>REMUNERACION_ENERBIT!AE106</f>
        <v>0</v>
      </c>
      <c r="AF62" s="322">
        <f>REMUNERACION_ENERBIT!AF106</f>
        <v>0</v>
      </c>
      <c r="AG62" s="522">
        <f>REMUNERACION_ENEL!AG123</f>
        <v>0</v>
      </c>
      <c r="AH62" s="1"/>
      <c r="AI62" s="306"/>
      <c r="AM62" s="333"/>
    </row>
    <row r="63" spans="1:39" s="305" customFormat="1" x14ac:dyDescent="0.25">
      <c r="B63" s="314">
        <v>4</v>
      </c>
      <c r="C63" s="315" t="s">
        <v>13</v>
      </c>
      <c r="D63" s="291">
        <f>REMUNERACION_ENERBIT!D107</f>
        <v>0</v>
      </c>
      <c r="E63" s="291">
        <f>REMUNERACION_ENERBIT!E107</f>
        <v>0</v>
      </c>
      <c r="F63" s="291">
        <f>REMUNERACION_ENERBIT!F107</f>
        <v>0</v>
      </c>
      <c r="G63" s="291">
        <f>REMUNERACION_ENERBIT!G107</f>
        <v>0</v>
      </c>
      <c r="H63" s="291">
        <f>REMUNERACION_ENERBIT!H107</f>
        <v>0</v>
      </c>
      <c r="I63" s="291">
        <f>REMUNERACION_ENERBIT!I107</f>
        <v>0</v>
      </c>
      <c r="J63" s="291">
        <f>REMUNERACION_ENERBIT!J107</f>
        <v>0</v>
      </c>
      <c r="K63" s="295">
        <f>REMUNERACION_ENERBIT!K107</f>
        <v>0</v>
      </c>
      <c r="L63" s="294">
        <f>REMUNERACION_ENERBIT!L107</f>
        <v>0</v>
      </c>
      <c r="M63" s="295">
        <f>REMUNERACION_ENERBIT!M107</f>
        <v>0</v>
      </c>
      <c r="N63" s="294">
        <f>REMUNERACION_ENERBIT!N107</f>
        <v>0</v>
      </c>
      <c r="O63" s="295">
        <f>REMUNERACION_ENERBIT!O107</f>
        <v>0</v>
      </c>
      <c r="Q63" s="306"/>
      <c r="S63" s="314">
        <v>4</v>
      </c>
      <c r="T63" s="315" t="s">
        <v>13</v>
      </c>
      <c r="U63" s="316">
        <f>REMUNERACION_ENERBIT!U107</f>
        <v>0</v>
      </c>
      <c r="V63" s="317">
        <f>REMUNERACION_ENERBIT!V107</f>
        <v>0</v>
      </c>
      <c r="W63" s="317">
        <f>REMUNERACION_ENERBIT!W107</f>
        <v>0</v>
      </c>
      <c r="X63" s="317">
        <f>REMUNERACION_ENERBIT!X107</f>
        <v>0</v>
      </c>
      <c r="Y63" s="318">
        <f>REMUNERACION_ENERBIT!Y107</f>
        <v>0</v>
      </c>
      <c r="Z63" s="318">
        <f>REMUNERACION_ENERBIT!Z107</f>
        <v>0</v>
      </c>
      <c r="AA63" s="318">
        <f>REMUNERACION_ENERBIT!AA107</f>
        <v>0</v>
      </c>
      <c r="AB63" s="318">
        <f>REMUNERACION_ENERBIT!AB107</f>
        <v>0</v>
      </c>
      <c r="AC63" s="318">
        <f>REMUNERACION_ENERBIT!AC107</f>
        <v>0</v>
      </c>
      <c r="AD63" s="318">
        <f>REMUNERACION_ENERBIT!AD107</f>
        <v>0</v>
      </c>
      <c r="AE63" s="318">
        <f>REMUNERACION_ENERBIT!AE107</f>
        <v>0</v>
      </c>
      <c r="AF63" s="322">
        <f>REMUNERACION_ENERBIT!AF107</f>
        <v>0</v>
      </c>
      <c r="AG63" s="522">
        <f>REMUNERACION_ENEL!AG124</f>
        <v>0</v>
      </c>
      <c r="AH63" s="1"/>
      <c r="AI63" s="306"/>
      <c r="AM63" s="333"/>
    </row>
    <row r="64" spans="1:39" s="305" customFormat="1" ht="12" thickBot="1" x14ac:dyDescent="0.3">
      <c r="B64" s="324">
        <v>5</v>
      </c>
      <c r="C64" s="325" t="s">
        <v>14</v>
      </c>
      <c r="D64" s="291">
        <f>REMUNERACION_ENERBIT!D108</f>
        <v>38576017.920000002</v>
      </c>
      <c r="E64" s="291">
        <f>REMUNERACION_ENERBIT!E108</f>
        <v>2540925.75</v>
      </c>
      <c r="F64" s="291">
        <f>REMUNERACION_ENERBIT!F108</f>
        <v>1402504.95</v>
      </c>
      <c r="G64" s="291">
        <f>REMUNERACION_ENERBIT!G108</f>
        <v>747351.49</v>
      </c>
      <c r="H64" s="291">
        <f>REMUNERACION_ENERBIT!H108</f>
        <v>10288819.59</v>
      </c>
      <c r="I64" s="291">
        <f>REMUNERACION_ENERBIT!I108</f>
        <v>349548.47</v>
      </c>
      <c r="J64" s="291">
        <f>REMUNERACION_ENERBIT!J108</f>
        <v>0</v>
      </c>
      <c r="K64" s="295">
        <f>REMUNERACION_ENERBIT!K108</f>
        <v>23246867.669999998</v>
      </c>
      <c r="L64" s="294">
        <f>REMUNERACION_ENERBIT!L108</f>
        <v>0</v>
      </c>
      <c r="M64" s="298">
        <f>REMUNERACION_ENERBIT!M108</f>
        <v>23246867.669999998</v>
      </c>
      <c r="N64" s="299">
        <f>REMUNERACION_ENERBIT!N108</f>
        <v>37.32</v>
      </c>
      <c r="O64" s="298">
        <f>REMUNERACION_ENERBIT!O108</f>
        <v>23246904.989999998</v>
      </c>
      <c r="Q64" s="306"/>
      <c r="S64" s="324">
        <v>5</v>
      </c>
      <c r="T64" s="325" t="s">
        <v>14</v>
      </c>
      <c r="U64" s="296">
        <f>REMUNERACION_ENERBIT!U108</f>
        <v>3034026.9299999997</v>
      </c>
      <c r="V64" s="297">
        <f>REMUNERACION_ENERBIT!V108</f>
        <v>3054639.56</v>
      </c>
      <c r="W64" s="297">
        <f>REMUNERACION_ENERBIT!W108</f>
        <v>15414224.579999998</v>
      </c>
      <c r="X64" s="297">
        <f>REMUNERACION_ENERBIT!X108</f>
        <v>7477857.75</v>
      </c>
      <c r="Y64" s="289">
        <f>REMUNERACION_ENERBIT!Y108</f>
        <v>572470.37</v>
      </c>
      <c r="Z64" s="289">
        <f>REMUNERACION_ENERBIT!Z108</f>
        <v>0</v>
      </c>
      <c r="AA64" s="289">
        <f>REMUNERACION_ENERBIT!AA108</f>
        <v>-96.03</v>
      </c>
      <c r="AB64" s="289">
        <f>REMUNERACION_ENERBIT!AB108</f>
        <v>37.32</v>
      </c>
      <c r="AC64" s="289">
        <f>REMUNERACION_ENERBIT!AC108</f>
        <v>-0.01</v>
      </c>
      <c r="AD64" s="289">
        <f>REMUNERACION_ENERBIT!AD108</f>
        <v>-6306255.4799999995</v>
      </c>
      <c r="AE64" s="289">
        <f>REMUNERACION_ENERBIT!AE108</f>
        <v>-6306255.4799999995</v>
      </c>
      <c r="AF64" s="322">
        <f>REMUNERACION_ENERBIT!AF108</f>
        <v>23246904.989999998</v>
      </c>
      <c r="AG64" s="523">
        <f>REMUNERACION_ENEL!AG125</f>
        <v>0</v>
      </c>
      <c r="AH64" s="1"/>
      <c r="AI64" s="306"/>
      <c r="AM64" s="333"/>
    </row>
    <row r="65" spans="1:39" s="305" customFormat="1" ht="13.5" thickBot="1" x14ac:dyDescent="0.35">
      <c r="B65" s="327"/>
      <c r="C65" s="328" t="s">
        <v>2</v>
      </c>
      <c r="D65" s="290">
        <f>REMUNERACION_ENERBIT!D109</f>
        <v>38576017.920000002</v>
      </c>
      <c r="E65" s="290">
        <f>REMUNERACION_ENERBIT!E109</f>
        <v>2540925.75</v>
      </c>
      <c r="F65" s="290">
        <f>REMUNERACION_ENERBIT!F109</f>
        <v>1402504.95</v>
      </c>
      <c r="G65" s="290">
        <f>REMUNERACION_ENERBIT!G109</f>
        <v>747351.49</v>
      </c>
      <c r="H65" s="290">
        <f>REMUNERACION_ENERBIT!H109</f>
        <v>10288819.59</v>
      </c>
      <c r="I65" s="290">
        <f>REMUNERACION_ENERBIT!I109</f>
        <v>349548.47</v>
      </c>
      <c r="J65" s="290">
        <f>REMUNERACION_ENERBIT!J109</f>
        <v>0</v>
      </c>
      <c r="K65" s="300">
        <f>REMUNERACION_ENERBIT!K109</f>
        <v>23246867.669999998</v>
      </c>
      <c r="L65" s="301">
        <f>REMUNERACION_ENERBIT!L109</f>
        <v>0</v>
      </c>
      <c r="M65" s="302">
        <f>REMUNERACION_ENERBIT!M109</f>
        <v>23246867.669999998</v>
      </c>
      <c r="N65" s="301">
        <f>REMUNERACION_ENERBIT!N109</f>
        <v>37.32</v>
      </c>
      <c r="O65" s="302">
        <f>REMUNERACION_ENERBIT!O109</f>
        <v>23246904.989999998</v>
      </c>
      <c r="P65" s="329"/>
      <c r="Q65" s="306"/>
      <c r="S65" s="327"/>
      <c r="T65" s="328" t="s">
        <v>2</v>
      </c>
      <c r="U65" s="330">
        <f>REMUNERACION_ENERBIT!U109</f>
        <v>3034026.9299999997</v>
      </c>
      <c r="V65" s="330">
        <f>REMUNERACION_ENERBIT!V109</f>
        <v>3054639.56</v>
      </c>
      <c r="W65" s="330">
        <f>REMUNERACION_ENERBIT!W109</f>
        <v>15414224.579999998</v>
      </c>
      <c r="X65" s="330">
        <f>REMUNERACION_ENERBIT!X109</f>
        <v>7477857.75</v>
      </c>
      <c r="Y65" s="330">
        <f>REMUNERACION_ENERBIT!Y109</f>
        <v>572470.37</v>
      </c>
      <c r="Z65" s="330">
        <f>REMUNERACION_ENERBIT!Z109</f>
        <v>0</v>
      </c>
      <c r="AA65" s="330">
        <f>REMUNERACION_ENERBIT!AA109</f>
        <v>-96.03</v>
      </c>
      <c r="AB65" s="330">
        <f>REMUNERACION_ENERBIT!AB109</f>
        <v>37.32</v>
      </c>
      <c r="AC65" s="330">
        <f>REMUNERACION_ENERBIT!AC109</f>
        <v>-0.01</v>
      </c>
      <c r="AD65" s="330">
        <f>REMUNERACION_ENERBIT!AD109</f>
        <v>-6306255.4799999995</v>
      </c>
      <c r="AE65" s="330">
        <f>REMUNERACION_ENERBIT!AE109</f>
        <v>-6306255.4799999995</v>
      </c>
      <c r="AF65" s="331">
        <f>REMUNERACION_ENERBIT!AF109</f>
        <v>23246904.989999998</v>
      </c>
      <c r="AG65" s="524">
        <f>REMUNERACION_ENEL!AG126</f>
        <v>0</v>
      </c>
      <c r="AH65" s="1"/>
      <c r="AI65" s="306"/>
      <c r="AM65" s="333"/>
    </row>
    <row r="66" spans="1:39" x14ac:dyDescent="0.25">
      <c r="B66" s="2"/>
      <c r="C66" s="2"/>
      <c r="D66" s="448"/>
      <c r="E66" s="448"/>
      <c r="F66" s="448"/>
      <c r="G66" s="448"/>
      <c r="H66" s="448"/>
      <c r="I66" s="448"/>
      <c r="K66" s="448"/>
      <c r="L66" s="448"/>
      <c r="M66" s="448"/>
      <c r="N66" s="448"/>
      <c r="O66" s="448"/>
      <c r="Q66" s="4"/>
      <c r="S66" s="2"/>
      <c r="T66" s="2"/>
      <c r="U66" s="448"/>
      <c r="V66" s="448"/>
      <c r="W66" s="448"/>
      <c r="X66" s="448"/>
      <c r="Y66" s="448"/>
      <c r="AF66" s="448"/>
      <c r="AI66" s="4"/>
    </row>
    <row r="67" spans="1:39" x14ac:dyDescent="0.25">
      <c r="B67" s="2"/>
      <c r="C67" s="2"/>
      <c r="D67" s="549"/>
      <c r="E67" s="549"/>
      <c r="F67" s="549"/>
      <c r="G67" s="549"/>
      <c r="H67" s="549"/>
      <c r="I67" s="549"/>
      <c r="K67" s="549"/>
      <c r="L67" s="549"/>
      <c r="M67" s="549"/>
      <c r="N67" s="549"/>
      <c r="O67" s="549"/>
      <c r="Q67" s="4"/>
      <c r="AI67" s="4"/>
    </row>
    <row r="68" spans="1:39" ht="12" thickBot="1" x14ac:dyDescent="0.3">
      <c r="A68" s="4"/>
      <c r="B68" s="34"/>
      <c r="C68" s="34"/>
      <c r="D68" s="474"/>
      <c r="E68" s="474"/>
      <c r="F68" s="474"/>
      <c r="G68" s="474"/>
      <c r="H68" s="474"/>
      <c r="I68" s="474"/>
      <c r="J68" s="4"/>
      <c r="K68" s="474"/>
      <c r="L68" s="474"/>
      <c r="M68" s="474"/>
      <c r="N68" s="474"/>
      <c r="O68" s="47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x14ac:dyDescent="0.25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4" x14ac:dyDescent="0.3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5" x14ac:dyDescent="0.35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4" x14ac:dyDescent="0.3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5" x14ac:dyDescent="0.35">
      <c r="B73" s="8"/>
      <c r="C73" s="2"/>
      <c r="D73" s="9"/>
      <c r="F73" s="476" t="s">
        <v>188</v>
      </c>
      <c r="G73" s="476"/>
      <c r="H73" s="477"/>
      <c r="I73" s="478"/>
      <c r="J73" s="477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" thickBot="1" x14ac:dyDescent="0.3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69.5" thickBot="1" x14ac:dyDescent="0.3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168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5" customFormat="1" x14ac:dyDescent="0.25">
      <c r="B76" s="303">
        <v>1</v>
      </c>
      <c r="C76" s="304" t="s">
        <v>10</v>
      </c>
      <c r="D76" s="291">
        <f>'REMUNERACION_OCCIDENTE_ Directa'!D104</f>
        <v>754365889.26999998</v>
      </c>
      <c r="E76" s="292">
        <f>'REMUNERACION_OCCIDENTE_ Directa'!E104</f>
        <v>89440497.350000009</v>
      </c>
      <c r="F76" s="292">
        <f>'REMUNERACION_OCCIDENTE_ Directa'!F104</f>
        <v>49800646.469999991</v>
      </c>
      <c r="G76" s="292">
        <f>'REMUNERACION_OCCIDENTE_ Directa'!G104</f>
        <v>26309364.449999999</v>
      </c>
      <c r="H76" s="292">
        <f>'REMUNERACION_OCCIDENTE_ Directa'!H104</f>
        <v>56463891.920000002</v>
      </c>
      <c r="I76" s="292">
        <f>'REMUNERACION_OCCIDENTE_ Directa'!I104</f>
        <v>1729509.6099999999</v>
      </c>
      <c r="J76" s="288">
        <f>'REMUNERACION_OCCIDENTE_ Directa'!J104</f>
        <v>0</v>
      </c>
      <c r="K76" s="293">
        <f>'REMUNERACION_OCCIDENTE_ Directa'!K104</f>
        <v>530621979.46999985</v>
      </c>
      <c r="L76" s="294">
        <f>'REMUNERACION_OCCIDENTE_ Directa'!L104</f>
        <v>0</v>
      </c>
      <c r="M76" s="293">
        <f>'REMUNERACION_OCCIDENTE_ Directa'!M104</f>
        <v>530621979.46999985</v>
      </c>
      <c r="N76" s="294">
        <f>'REMUNERACION_OCCIDENTE_ Directa'!N104</f>
        <v>20540038.379999999</v>
      </c>
      <c r="O76" s="293">
        <f>'REMUNERACION_OCCIDENTE_ Directa'!O104</f>
        <v>551162017.8499999</v>
      </c>
      <c r="Q76" s="306"/>
      <c r="S76" s="303">
        <v>1</v>
      </c>
      <c r="T76" s="304" t="s">
        <v>10</v>
      </c>
      <c r="U76" s="307">
        <f>'REMUNERACION_OCCIDENTE_ Directa'!U104</f>
        <v>15376514.379999997</v>
      </c>
      <c r="V76" s="308">
        <f>'REMUNERACION_OCCIDENTE_ Directa'!V104</f>
        <v>18908195.960000001</v>
      </c>
      <c r="W76" s="308">
        <f>'REMUNERACION_OCCIDENTE_ Directa'!W104</f>
        <v>87267044.820000023</v>
      </c>
      <c r="X76" s="308">
        <f>'REMUNERACION_OCCIDENTE_ Directa'!X104</f>
        <v>244431762.82000002</v>
      </c>
      <c r="Y76" s="309">
        <f>'REMUNERACION_OCCIDENTE_ Directa'!Y104</f>
        <v>2813939.5900000003</v>
      </c>
      <c r="Z76" s="310">
        <f>'REMUNERACION_OCCIDENTE_ Directa'!Z104</f>
        <v>0</v>
      </c>
      <c r="AA76" s="311">
        <f>'REMUNERACION_OCCIDENTE_ Directa'!AA104</f>
        <v>-2062.81</v>
      </c>
      <c r="AB76" s="294">
        <f>'REMUNERACION_OCCIDENTE_ Directa'!AB104</f>
        <v>20540038.379999999</v>
      </c>
      <c r="AC76" s="311">
        <f>'REMUNERACION_OCCIDENTE_ Directa'!AC104</f>
        <v>0.29000000000000004</v>
      </c>
      <c r="AD76" s="291">
        <f>'REMUNERACION_OCCIDENTE_ Directa'!AD104</f>
        <v>161826584.41999999</v>
      </c>
      <c r="AE76" s="291">
        <f>'REMUNERACION_OCCIDENTE_ Directa'!AE104</f>
        <v>161826584.41999999</v>
      </c>
      <c r="AF76" s="313">
        <f>'REMUNERACION_OCCIDENTE_ Directa'!AF104</f>
        <v>551162017.85000002</v>
      </c>
      <c r="AG76" s="521">
        <f>'REMUNERACION_OCCIDENTE_ Directa'!AG104</f>
        <v>0</v>
      </c>
      <c r="AH76" s="1"/>
      <c r="AI76" s="306"/>
      <c r="AM76" s="333"/>
    </row>
    <row r="77" spans="1:39" s="305" customFormat="1" x14ac:dyDescent="0.25">
      <c r="B77" s="314">
        <v>2</v>
      </c>
      <c r="C77" s="315" t="s">
        <v>11</v>
      </c>
      <c r="D77" s="291">
        <f>'REMUNERACION_OCCIDENTE_ Directa'!D105</f>
        <v>2127930817.8999999</v>
      </c>
      <c r="E77" s="292">
        <f>'REMUNERACION_OCCIDENTE_ Directa'!E105</f>
        <v>254143868.03</v>
      </c>
      <c r="F77" s="292">
        <f>'REMUNERACION_OCCIDENTE_ Directa'!F105</f>
        <v>141874209.50999999</v>
      </c>
      <c r="G77" s="292">
        <f>'REMUNERACION_OCCIDENTE_ Directa'!G105</f>
        <v>74439082.48999998</v>
      </c>
      <c r="H77" s="292">
        <f>'REMUNERACION_OCCIDENTE_ Directa'!H105</f>
        <v>319658998.97000003</v>
      </c>
      <c r="I77" s="292">
        <f>'REMUNERACION_OCCIDENTE_ Directa'!I105</f>
        <v>8104418.7399999993</v>
      </c>
      <c r="J77" s="288">
        <f>'REMUNERACION_OCCIDENTE_ Directa'!J105</f>
        <v>0</v>
      </c>
      <c r="K77" s="295">
        <f>'REMUNERACION_OCCIDENTE_ Directa'!K105</f>
        <v>1329710240.1599998</v>
      </c>
      <c r="L77" s="294">
        <f>'REMUNERACION_OCCIDENTE_ Directa'!L105</f>
        <v>0</v>
      </c>
      <c r="M77" s="295">
        <f>'REMUNERACION_OCCIDENTE_ Directa'!M105</f>
        <v>1329710240.1599998</v>
      </c>
      <c r="N77" s="294">
        <f>'REMUNERACION_OCCIDENTE_ Directa'!N105</f>
        <v>50562822.490000002</v>
      </c>
      <c r="O77" s="295">
        <f>'REMUNERACION_OCCIDENTE_ Directa'!O105</f>
        <v>1380273062.6499999</v>
      </c>
      <c r="Q77" s="306"/>
      <c r="S77" s="314">
        <v>2</v>
      </c>
      <c r="T77" s="315" t="s">
        <v>11</v>
      </c>
      <c r="U77" s="316">
        <f>'REMUNERACION_OCCIDENTE_ Directa'!U105</f>
        <v>70984024.13000001</v>
      </c>
      <c r="V77" s="317">
        <f>'REMUNERACION_OCCIDENTE_ Directa'!V105</f>
        <v>97001064.519999996</v>
      </c>
      <c r="W77" s="317">
        <f>'REMUNERACION_OCCIDENTE_ Directa'!W105</f>
        <v>465316000.93000001</v>
      </c>
      <c r="X77" s="317">
        <f>'REMUNERACION_OCCIDENTE_ Directa'!X105</f>
        <v>500003984.74000001</v>
      </c>
      <c r="Y77" s="318">
        <f>'REMUNERACION_OCCIDENTE_ Directa'!Y105</f>
        <v>13278663.869999999</v>
      </c>
      <c r="Z77" s="319">
        <f>'REMUNERACION_OCCIDENTE_ Directa'!Z105</f>
        <v>0</v>
      </c>
      <c r="AA77" s="320">
        <f>'REMUNERACION_OCCIDENTE_ Directa'!AA105</f>
        <v>-2352.27</v>
      </c>
      <c r="AB77" s="294">
        <f>'REMUNERACION_OCCIDENTE_ Directa'!AB105</f>
        <v>50562822.490000002</v>
      </c>
      <c r="AC77" s="320">
        <f>'REMUNERACION_OCCIDENTE_ Directa'!AC105</f>
        <v>296.72999999999996</v>
      </c>
      <c r="AD77" s="291">
        <f>'REMUNERACION_OCCIDENTE_ Directa'!AD105</f>
        <v>183128557.50999999</v>
      </c>
      <c r="AE77" s="291">
        <f>'REMUNERACION_OCCIDENTE_ Directa'!AE105</f>
        <v>183128557.50999999</v>
      </c>
      <c r="AF77" s="322">
        <f>'REMUNERACION_OCCIDENTE_ Directa'!AF105</f>
        <v>1380273062.6500001</v>
      </c>
      <c r="AG77" s="522">
        <f>'REMUNERACION_OCCIDENTE_ Directa'!AG105</f>
        <v>0</v>
      </c>
      <c r="AH77" s="1"/>
      <c r="AI77" s="306"/>
      <c r="AM77" s="333"/>
    </row>
    <row r="78" spans="1:39" s="305" customFormat="1" x14ac:dyDescent="0.25">
      <c r="B78" s="314">
        <v>3</v>
      </c>
      <c r="C78" s="315" t="s">
        <v>12</v>
      </c>
      <c r="D78" s="291">
        <f>'REMUNERACION_OCCIDENTE_ Directa'!D106</f>
        <v>1368200050.3899999</v>
      </c>
      <c r="E78" s="292">
        <f>'REMUNERACION_OCCIDENTE_ Directa'!E106</f>
        <v>181198637.28</v>
      </c>
      <c r="F78" s="292">
        <f>'REMUNERACION_OCCIDENTE_ Directa'!F106</f>
        <v>100455587.97</v>
      </c>
      <c r="G78" s="292">
        <f>'REMUNERACION_OCCIDENTE_ Directa'!G106</f>
        <v>53055196.219999999</v>
      </c>
      <c r="H78" s="292">
        <f>'REMUNERACION_OCCIDENTE_ Directa'!H106</f>
        <v>39122109.259999998</v>
      </c>
      <c r="I78" s="292">
        <f>'REMUNERACION_OCCIDENTE_ Directa'!I106</f>
        <v>1182497.04</v>
      </c>
      <c r="J78" s="288">
        <f>'REMUNERACION_OCCIDENTE_ Directa'!J106</f>
        <v>0</v>
      </c>
      <c r="K78" s="295">
        <f>'REMUNERACION_OCCIDENTE_ Directa'!K106</f>
        <v>993186022.61999989</v>
      </c>
      <c r="L78" s="294">
        <f>'REMUNERACION_OCCIDENTE_ Directa'!L106</f>
        <v>0</v>
      </c>
      <c r="M78" s="295">
        <f>'REMUNERACION_OCCIDENTE_ Directa'!M106</f>
        <v>993186022.61999989</v>
      </c>
      <c r="N78" s="294">
        <f>'REMUNERACION_OCCIDENTE_ Directa'!N106</f>
        <v>18211333.530000001</v>
      </c>
      <c r="O78" s="295">
        <f>'REMUNERACION_OCCIDENTE_ Directa'!O106</f>
        <v>1011397356.1499999</v>
      </c>
      <c r="Q78" s="306"/>
      <c r="S78" s="314">
        <v>3</v>
      </c>
      <c r="T78" s="315" t="s">
        <v>12</v>
      </c>
      <c r="U78" s="316">
        <f>'REMUNERACION_OCCIDENTE_ Directa'!U106</f>
        <v>10284865.6</v>
      </c>
      <c r="V78" s="317">
        <f>'REMUNERACION_OCCIDENTE_ Directa'!V106</f>
        <v>13382841.49</v>
      </c>
      <c r="W78" s="317">
        <f>'REMUNERACION_OCCIDENTE_ Directa'!W106</f>
        <v>60427175.130000003</v>
      </c>
      <c r="X78" s="317">
        <f>'REMUNERACION_OCCIDENTE_ Directa'!X106</f>
        <v>429997101.78000003</v>
      </c>
      <c r="Y78" s="318">
        <f>'REMUNERACION_OCCIDENTE_ Directa'!Y106</f>
        <v>1903821.98</v>
      </c>
      <c r="Z78" s="319">
        <f>'REMUNERACION_OCCIDENTE_ Directa'!Z106</f>
        <v>0</v>
      </c>
      <c r="AA78" s="320">
        <f>'REMUNERACION_OCCIDENTE_ Directa'!AA106</f>
        <v>-2493.87</v>
      </c>
      <c r="AB78" s="294">
        <f>'REMUNERACION_OCCIDENTE_ Directa'!AB106</f>
        <v>18211333.530000001</v>
      </c>
      <c r="AC78" s="320">
        <f>'REMUNERACION_OCCIDENTE_ Directa'!AC106</f>
        <v>1.41</v>
      </c>
      <c r="AD78" s="291">
        <f>'REMUNERACION_OCCIDENTE_ Directa'!AD106</f>
        <v>477192709.10000002</v>
      </c>
      <c r="AE78" s="291">
        <f>'REMUNERACION_OCCIDENTE_ Directa'!AE106</f>
        <v>477192709.10000002</v>
      </c>
      <c r="AF78" s="322">
        <f>'REMUNERACION_OCCIDENTE_ Directa'!AF106</f>
        <v>1011397356.1500001</v>
      </c>
      <c r="AG78" s="522">
        <f>'REMUNERACION_OCCIDENTE_ Directa'!AG106</f>
        <v>0</v>
      </c>
      <c r="AH78" s="1"/>
      <c r="AI78" s="306"/>
      <c r="AM78" s="333"/>
    </row>
    <row r="79" spans="1:39" s="305" customFormat="1" x14ac:dyDescent="0.25">
      <c r="B79" s="314">
        <v>4</v>
      </c>
      <c r="C79" s="315" t="s">
        <v>13</v>
      </c>
      <c r="D79" s="291">
        <f>'REMUNERACION_OCCIDENTE_ Directa'!D107</f>
        <v>1035550335.84</v>
      </c>
      <c r="E79" s="292">
        <f>'REMUNERACION_OCCIDENTE_ Directa'!E107</f>
        <v>100196772.78</v>
      </c>
      <c r="F79" s="292">
        <f>'REMUNERACION_OCCIDENTE_ Directa'!F107</f>
        <v>55821489.119999997</v>
      </c>
      <c r="G79" s="292">
        <f>'REMUNERACION_OCCIDENTE_ Directa'!G107</f>
        <v>29392898.280000001</v>
      </c>
      <c r="H79" s="292">
        <f>'REMUNERACION_OCCIDENTE_ Directa'!H107</f>
        <v>133878975.34999999</v>
      </c>
      <c r="I79" s="292">
        <f>'REMUNERACION_OCCIDENTE_ Directa'!I107</f>
        <v>3575327.6999999997</v>
      </c>
      <c r="J79" s="288">
        <f>'REMUNERACION_OCCIDENTE_ Directa'!J107</f>
        <v>0</v>
      </c>
      <c r="K79" s="295">
        <f>'REMUNERACION_OCCIDENTE_ Directa'!K107</f>
        <v>712684872.61000001</v>
      </c>
      <c r="L79" s="294">
        <f>'REMUNERACION_OCCIDENTE_ Directa'!L107</f>
        <v>0</v>
      </c>
      <c r="M79" s="295">
        <f>'REMUNERACION_OCCIDENTE_ Directa'!M107</f>
        <v>712684872.61000001</v>
      </c>
      <c r="N79" s="294">
        <f>'REMUNERACION_OCCIDENTE_ Directa'!N107</f>
        <v>6944413.4099999992</v>
      </c>
      <c r="O79" s="295">
        <f>'REMUNERACION_OCCIDENTE_ Directa'!O107</f>
        <v>719629286.01999998</v>
      </c>
      <c r="Q79" s="306"/>
      <c r="S79" s="314">
        <v>4</v>
      </c>
      <c r="T79" s="315" t="s">
        <v>13</v>
      </c>
      <c r="U79" s="316">
        <f>'REMUNERACION_OCCIDENTE_ Directa'!U107</f>
        <v>31374345.899999999</v>
      </c>
      <c r="V79" s="317">
        <f>'REMUNERACION_OCCIDENTE_ Directa'!V107</f>
        <v>42962666.670000002</v>
      </c>
      <c r="W79" s="317">
        <f>'REMUNERACION_OCCIDENTE_ Directa'!W107</f>
        <v>216081773.40000001</v>
      </c>
      <c r="X79" s="317">
        <f>'REMUNERACION_OCCIDENTE_ Directa'!X107</f>
        <v>265560008.06000003</v>
      </c>
      <c r="Y79" s="318">
        <f>'REMUNERACION_OCCIDENTE_ Directa'!Y107</f>
        <v>5810231.9800000004</v>
      </c>
      <c r="Z79" s="319">
        <f>'REMUNERACION_OCCIDENTE_ Directa'!Z107</f>
        <v>0</v>
      </c>
      <c r="AA79" s="320">
        <f>'REMUNERACION_OCCIDENTE_ Directa'!AA107</f>
        <v>-830.65000000000009</v>
      </c>
      <c r="AB79" s="294">
        <f>'REMUNERACION_OCCIDENTE_ Directa'!AB107</f>
        <v>6944413.4099999992</v>
      </c>
      <c r="AC79" s="320">
        <f>'REMUNERACION_OCCIDENTE_ Directa'!AC107</f>
        <v>-5.999999999999997E-2</v>
      </c>
      <c r="AD79" s="291">
        <f>'REMUNERACION_OCCIDENTE_ Directa'!AD107</f>
        <v>150896677.31</v>
      </c>
      <c r="AE79" s="291">
        <f>'REMUNERACION_OCCIDENTE_ Directa'!AE107</f>
        <v>150896677.31</v>
      </c>
      <c r="AF79" s="322">
        <f>'REMUNERACION_OCCIDENTE_ Directa'!AF107</f>
        <v>719629286.02000022</v>
      </c>
      <c r="AG79" s="522">
        <f>'REMUNERACION_OCCIDENTE_ Directa'!AG107</f>
        <v>0</v>
      </c>
      <c r="AH79" s="1"/>
      <c r="AI79" s="306"/>
      <c r="AM79" s="333"/>
    </row>
    <row r="80" spans="1:39" s="305" customFormat="1" ht="12" thickBot="1" x14ac:dyDescent="0.3">
      <c r="B80" s="324">
        <v>5</v>
      </c>
      <c r="C80" s="325" t="s">
        <v>14</v>
      </c>
      <c r="D80" s="296">
        <f>'REMUNERACION_OCCIDENTE_ Directa'!D108</f>
        <v>280719736.37</v>
      </c>
      <c r="E80" s="297">
        <f>'REMUNERACION_OCCIDENTE_ Directa'!E108</f>
        <v>26316530.939999998</v>
      </c>
      <c r="F80" s="297">
        <f>'REMUNERACION_OCCIDENTE_ Directa'!F108</f>
        <v>14445730.540000001</v>
      </c>
      <c r="G80" s="297">
        <f>'REMUNERACION_OCCIDENTE_ Directa'!G108</f>
        <v>7622321.3100000005</v>
      </c>
      <c r="H80" s="297">
        <f>'REMUNERACION_OCCIDENTE_ Directa'!H108</f>
        <v>22384037.880000003</v>
      </c>
      <c r="I80" s="297">
        <f>'REMUNERACION_OCCIDENTE_ Directa'!I108</f>
        <v>1017336.2300000001</v>
      </c>
      <c r="J80" s="289">
        <f>'REMUNERACION_OCCIDENTE_ Directa'!J108</f>
        <v>0</v>
      </c>
      <c r="K80" s="295">
        <f>'REMUNERACION_OCCIDENTE_ Directa'!K108</f>
        <v>208933779.47000003</v>
      </c>
      <c r="L80" s="294">
        <f>'REMUNERACION_OCCIDENTE_ Directa'!L108</f>
        <v>0</v>
      </c>
      <c r="M80" s="298">
        <f>'REMUNERACION_OCCIDENTE_ Directa'!M108</f>
        <v>208933779.47000003</v>
      </c>
      <c r="N80" s="299">
        <f>'REMUNERACION_OCCIDENTE_ Directa'!N108</f>
        <v>2486490.4500000002</v>
      </c>
      <c r="O80" s="298">
        <f>'REMUNERACION_OCCIDENTE_ Directa'!O108</f>
        <v>211420269.92000002</v>
      </c>
      <c r="Q80" s="306"/>
      <c r="S80" s="324">
        <v>5</v>
      </c>
      <c r="T80" s="325" t="s">
        <v>14</v>
      </c>
      <c r="U80" s="296">
        <f>'REMUNERACION_OCCIDENTE_ Directa'!U108</f>
        <v>8720145.5600000005</v>
      </c>
      <c r="V80" s="297">
        <f>'REMUNERACION_OCCIDENTE_ Directa'!V108</f>
        <v>10188496.610000001</v>
      </c>
      <c r="W80" s="297">
        <f>'REMUNERACION_OCCIDENTE_ Directa'!W108</f>
        <v>50982932.200000003</v>
      </c>
      <c r="X80" s="297">
        <f>'REMUNERACION_OCCIDENTE_ Directa'!X108</f>
        <v>78689686.75</v>
      </c>
      <c r="Y80" s="289">
        <f>'REMUNERACION_OCCIDENTE_ Directa'!Y108</f>
        <v>1674284.81</v>
      </c>
      <c r="Z80" s="319">
        <f>'REMUNERACION_OCCIDENTE_ Directa'!Z108</f>
        <v>0</v>
      </c>
      <c r="AA80" s="320">
        <f>'REMUNERACION_OCCIDENTE_ Directa'!AA108</f>
        <v>-2408.59</v>
      </c>
      <c r="AB80" s="294">
        <f>'REMUNERACION_OCCIDENTE_ Directa'!AB108</f>
        <v>2486490.4500000002</v>
      </c>
      <c r="AC80" s="320">
        <f>'REMUNERACION_OCCIDENTE_ Directa'!AC108</f>
        <v>-35.819999999999993</v>
      </c>
      <c r="AD80" s="291">
        <f>'REMUNERACION_OCCIDENTE_ Directa'!AD108</f>
        <v>58680677.949999996</v>
      </c>
      <c r="AE80" s="291">
        <f>'REMUNERACION_OCCIDENTE_ Directa'!AE108</f>
        <v>58680677.949999996</v>
      </c>
      <c r="AF80" s="322">
        <f>'REMUNERACION_OCCIDENTE_ Directa'!AF108</f>
        <v>211420269.91999999</v>
      </c>
      <c r="AG80" s="523">
        <f>'REMUNERACION_OCCIDENTE_ Directa'!AG108</f>
        <v>0</v>
      </c>
      <c r="AH80" s="1"/>
      <c r="AI80" s="306"/>
      <c r="AM80" s="333"/>
    </row>
    <row r="81" spans="1:39" s="305" customFormat="1" ht="13.5" thickBot="1" x14ac:dyDescent="0.35">
      <c r="B81" s="327"/>
      <c r="C81" s="328" t="s">
        <v>2</v>
      </c>
      <c r="D81" s="290">
        <f>'REMUNERACION_OCCIDENTE_ Directa'!D109</f>
        <v>5566766829.7699995</v>
      </c>
      <c r="E81" s="290">
        <f>'REMUNERACION_OCCIDENTE_ Directa'!E109</f>
        <v>651296306.37999988</v>
      </c>
      <c r="F81" s="290">
        <f>'REMUNERACION_OCCIDENTE_ Directa'!F109</f>
        <v>362397663.61000001</v>
      </c>
      <c r="G81" s="290">
        <f>'REMUNERACION_OCCIDENTE_ Directa'!G109</f>
        <v>190818862.74999997</v>
      </c>
      <c r="H81" s="290">
        <f>'REMUNERACION_OCCIDENTE_ Directa'!H109</f>
        <v>571508013.38</v>
      </c>
      <c r="I81" s="290">
        <f>'REMUNERACION_OCCIDENTE_ Directa'!I109</f>
        <v>15609089.32</v>
      </c>
      <c r="J81" s="290">
        <f>'REMUNERACION_OCCIDENTE_ Directa'!J109</f>
        <v>0</v>
      </c>
      <c r="K81" s="300">
        <f>'REMUNERACION_OCCIDENTE_ Directa'!K109</f>
        <v>3775136894.3299999</v>
      </c>
      <c r="L81" s="301">
        <f>'REMUNERACION_OCCIDENTE_ Directa'!L109</f>
        <v>0</v>
      </c>
      <c r="M81" s="302">
        <f>'REMUNERACION_OCCIDENTE_ Directa'!M109</f>
        <v>3775136894.3299999</v>
      </c>
      <c r="N81" s="301">
        <f>'REMUNERACION_OCCIDENTE_ Directa'!N109</f>
        <v>98745098.260000005</v>
      </c>
      <c r="O81" s="302">
        <f>'REMUNERACION_OCCIDENTE_ Directa'!O109</f>
        <v>3873881992.5899997</v>
      </c>
      <c r="P81" s="329"/>
      <c r="Q81" s="306"/>
      <c r="S81" s="327"/>
      <c r="T81" s="328" t="s">
        <v>2</v>
      </c>
      <c r="U81" s="330">
        <f>'REMUNERACION_OCCIDENTE_ Directa'!U109</f>
        <v>136739895.56999999</v>
      </c>
      <c r="V81" s="330">
        <f>'REMUNERACION_OCCIDENTE_ Directa'!V109</f>
        <v>182443265.25</v>
      </c>
      <c r="W81" s="330">
        <f>'REMUNERACION_OCCIDENTE_ Directa'!W109</f>
        <v>880074926.48000002</v>
      </c>
      <c r="X81" s="330">
        <f>'REMUNERACION_OCCIDENTE_ Directa'!X109</f>
        <v>1518682544.1500001</v>
      </c>
      <c r="Y81" s="330">
        <f>'REMUNERACION_OCCIDENTE_ Directa'!Y109</f>
        <v>25480942.229999997</v>
      </c>
      <c r="Z81" s="290">
        <f>'REMUNERACION_OCCIDENTE_ Directa'!Z109</f>
        <v>0</v>
      </c>
      <c r="AA81" s="290">
        <f>'REMUNERACION_OCCIDENTE_ Directa'!AA109</f>
        <v>-10148.19</v>
      </c>
      <c r="AB81" s="290">
        <f>'REMUNERACION_OCCIDENTE_ Directa'!AB109</f>
        <v>98745098.260000005</v>
      </c>
      <c r="AC81" s="290">
        <f>'REMUNERACION_OCCIDENTE_ Directa'!AC109</f>
        <v>262.55</v>
      </c>
      <c r="AD81" s="290">
        <f>'REMUNERACION_OCCIDENTE_ Directa'!AD109</f>
        <v>1031725206.29</v>
      </c>
      <c r="AE81" s="290">
        <f>'REMUNERACION_OCCIDENTE_ Directa'!AE109</f>
        <v>1031725206.29</v>
      </c>
      <c r="AF81" s="331">
        <f>'REMUNERACION_OCCIDENTE_ Directa'!AF109</f>
        <v>3873881992.5900002</v>
      </c>
      <c r="AG81" s="524">
        <f>'REMUNERACION_OCCIDENTE_ Directa'!AG109</f>
        <v>0</v>
      </c>
      <c r="AH81" s="1"/>
      <c r="AI81" s="306"/>
      <c r="AM81" s="333"/>
    </row>
    <row r="82" spans="1:39" ht="12" thickBot="1" x14ac:dyDescent="0.3">
      <c r="B82" s="2"/>
      <c r="C82" s="2"/>
      <c r="D82" s="448"/>
      <c r="E82" s="448"/>
      <c r="F82" s="448"/>
      <c r="G82" s="448"/>
      <c r="H82" s="448"/>
      <c r="I82" s="448"/>
      <c r="K82" s="448"/>
      <c r="L82" s="448"/>
      <c r="M82" s="448"/>
      <c r="N82" s="448"/>
      <c r="O82" s="448"/>
      <c r="Q82" s="4"/>
      <c r="S82" s="2"/>
      <c r="T82" s="2"/>
      <c r="U82" s="448"/>
      <c r="V82" s="448"/>
      <c r="W82" s="448"/>
      <c r="X82" s="448"/>
      <c r="Y82" s="448"/>
      <c r="AF82" s="448"/>
      <c r="AI82" s="4"/>
    </row>
    <row r="83" spans="1:39" ht="12" thickBot="1" x14ac:dyDescent="0.3">
      <c r="B83" s="2"/>
      <c r="C83" s="2"/>
      <c r="D83" s="448"/>
      <c r="E83" s="448"/>
      <c r="F83" s="448"/>
      <c r="G83" s="448"/>
      <c r="H83" s="448"/>
      <c r="I83" s="448"/>
      <c r="K83" s="448"/>
      <c r="L83" s="448"/>
      <c r="M83" s="448"/>
      <c r="N83" s="448"/>
      <c r="O83" s="448"/>
      <c r="Q83" s="4"/>
      <c r="Y83" s="449"/>
      <c r="AI83" s="4"/>
    </row>
    <row r="84" spans="1:39" x14ac:dyDescent="0.25">
      <c r="A84" s="4"/>
      <c r="B84" s="34"/>
      <c r="C84" s="34"/>
      <c r="D84" s="474"/>
      <c r="E84" s="474"/>
      <c r="F84" s="474"/>
      <c r="G84" s="474"/>
      <c r="H84" s="474"/>
      <c r="I84" s="474"/>
      <c r="J84" s="4"/>
      <c r="K84" s="474"/>
      <c r="L84" s="474"/>
      <c r="M84" s="474"/>
      <c r="N84" s="474"/>
      <c r="O84" s="47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" thickBot="1" x14ac:dyDescent="0.3">
      <c r="Q85" s="4"/>
      <c r="AI85" s="4"/>
    </row>
    <row r="86" spans="1:39" x14ac:dyDescent="0.25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4" x14ac:dyDescent="0.3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5" x14ac:dyDescent="0.35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4" x14ac:dyDescent="0.3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5" x14ac:dyDescent="0.35">
      <c r="B90" s="8"/>
      <c r="C90" s="2"/>
      <c r="D90" s="9"/>
      <c r="F90" s="58" t="s">
        <v>189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8" thickBot="1" x14ac:dyDescent="0.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3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168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5" customFormat="1" x14ac:dyDescent="0.25">
      <c r="B93" s="303">
        <v>1</v>
      </c>
      <c r="C93" s="304" t="s">
        <v>10</v>
      </c>
      <c r="D93" s="291">
        <f>'REMUNERACION_EAAB-CL'!D104</f>
        <v>0</v>
      </c>
      <c r="E93" s="292">
        <f>'REMUNERACION_EAAB-CL'!E104</f>
        <v>0</v>
      </c>
      <c r="F93" s="292">
        <f>'REMUNERACION_EAAB-CL'!F104</f>
        <v>0</v>
      </c>
      <c r="G93" s="292">
        <f>'REMUNERACION_EAAB-CL'!G104</f>
        <v>0</v>
      </c>
      <c r="H93" s="292">
        <f>'REMUNERACION_EAAB-CL'!H104</f>
        <v>0</v>
      </c>
      <c r="I93" s="292">
        <f>'REMUNERACION_EAAB-CL'!I104</f>
        <v>0</v>
      </c>
      <c r="J93" s="288">
        <f>'REMUNERACION_EAAB-CL'!J104</f>
        <v>0</v>
      </c>
      <c r="K93" s="293">
        <f>'REMUNERACION_EAAB-CL'!K104</f>
        <v>0</v>
      </c>
      <c r="L93" s="294">
        <f>'REMUNERACION_EAAB-CL'!L104</f>
        <v>0</v>
      </c>
      <c r="M93" s="293">
        <f>'REMUNERACION_EAAB-CL'!M104</f>
        <v>0</v>
      </c>
      <c r="N93" s="294">
        <f>'REMUNERACION_EAAB-CL'!N104</f>
        <v>0</v>
      </c>
      <c r="O93" s="293">
        <f>'REMUNERACION_EAAB-CL'!O104</f>
        <v>0</v>
      </c>
      <c r="Q93" s="306"/>
      <c r="S93" s="303">
        <v>1</v>
      </c>
      <c r="T93" s="304" t="s">
        <v>10</v>
      </c>
      <c r="U93" s="307">
        <f>'REMUNERACION_EAAB-CL'!U104</f>
        <v>0</v>
      </c>
      <c r="V93" s="308">
        <f>'REMUNERACION_EAAB-CL'!V104</f>
        <v>0</v>
      </c>
      <c r="W93" s="308">
        <f>'REMUNERACION_EAAB-CL'!W104</f>
        <v>0</v>
      </c>
      <c r="X93" s="308">
        <f>'REMUNERACION_EAAB-CL'!X104</f>
        <v>0</v>
      </c>
      <c r="Y93" s="309">
        <f>'REMUNERACION_EAAB-CL'!Y104</f>
        <v>0</v>
      </c>
      <c r="Z93" s="310">
        <f>'REMUNERACION_EAAB-CL'!Z104</f>
        <v>0</v>
      </c>
      <c r="AA93" s="311">
        <f>'REMUNERACION_EAAB-CL'!AA104</f>
        <v>0</v>
      </c>
      <c r="AB93" s="294">
        <f>'REMUNERACION_EAAB-CL'!AB104</f>
        <v>0</v>
      </c>
      <c r="AC93" s="311">
        <f>'REMUNERACION_EAAB-CL'!AC104</f>
        <v>0</v>
      </c>
      <c r="AD93" s="291">
        <f>'REMUNERACION_EAAB-CL'!AD104</f>
        <v>0</v>
      </c>
      <c r="AE93" s="291">
        <f>'REMUNERACION_EAAB-CL'!AE104</f>
        <v>0</v>
      </c>
      <c r="AF93" s="313">
        <f>'REMUNERACION_EAAB-CL'!AF104</f>
        <v>0</v>
      </c>
      <c r="AG93" s="521">
        <f>'REMUNERACION_EAAB-CL'!AG104</f>
        <v>0</v>
      </c>
      <c r="AH93" s="1"/>
      <c r="AI93" s="306"/>
      <c r="AM93" s="333"/>
    </row>
    <row r="94" spans="1:39" s="305" customFormat="1" x14ac:dyDescent="0.25">
      <c r="B94" s="314">
        <v>2</v>
      </c>
      <c r="C94" s="315" t="s">
        <v>11</v>
      </c>
      <c r="D94" s="291">
        <f>'REMUNERACION_EAAB-CL'!D105</f>
        <v>0</v>
      </c>
      <c r="E94" s="292">
        <f>'REMUNERACION_EAAB-CL'!E105</f>
        <v>0</v>
      </c>
      <c r="F94" s="292">
        <f>'REMUNERACION_EAAB-CL'!F105</f>
        <v>0</v>
      </c>
      <c r="G94" s="292">
        <f>'REMUNERACION_EAAB-CL'!G105</f>
        <v>0</v>
      </c>
      <c r="H94" s="292">
        <f>'REMUNERACION_EAAB-CL'!H105</f>
        <v>0</v>
      </c>
      <c r="I94" s="292">
        <f>'REMUNERACION_EAAB-CL'!I105</f>
        <v>0</v>
      </c>
      <c r="J94" s="288">
        <f>'REMUNERACION_EAAB-CL'!J105</f>
        <v>0</v>
      </c>
      <c r="K94" s="295">
        <f>'REMUNERACION_EAAB-CL'!K105</f>
        <v>0</v>
      </c>
      <c r="L94" s="294">
        <f>'REMUNERACION_EAAB-CL'!L105</f>
        <v>0</v>
      </c>
      <c r="M94" s="295">
        <f>'REMUNERACION_EAAB-CL'!M105</f>
        <v>0</v>
      </c>
      <c r="N94" s="294">
        <f>'REMUNERACION_EAAB-CL'!N105</f>
        <v>0</v>
      </c>
      <c r="O94" s="295">
        <f>'REMUNERACION_EAAB-CL'!O105</f>
        <v>0</v>
      </c>
      <c r="Q94" s="306"/>
      <c r="S94" s="314">
        <v>2</v>
      </c>
      <c r="T94" s="315" t="s">
        <v>11</v>
      </c>
      <c r="U94" s="316">
        <f>'REMUNERACION_EAAB-CL'!U105</f>
        <v>0</v>
      </c>
      <c r="V94" s="317">
        <f>'REMUNERACION_EAAB-CL'!V105</f>
        <v>0</v>
      </c>
      <c r="W94" s="317">
        <f>'REMUNERACION_EAAB-CL'!W105</f>
        <v>0</v>
      </c>
      <c r="X94" s="317">
        <f>'REMUNERACION_EAAB-CL'!X105</f>
        <v>0</v>
      </c>
      <c r="Y94" s="318">
        <f>'REMUNERACION_EAAB-CL'!Y105</f>
        <v>0</v>
      </c>
      <c r="Z94" s="319">
        <f>'REMUNERACION_EAAB-CL'!Z105</f>
        <v>0</v>
      </c>
      <c r="AA94" s="320">
        <f>'REMUNERACION_EAAB-CL'!AA105</f>
        <v>0</v>
      </c>
      <c r="AB94" s="294">
        <f>'REMUNERACION_EAAB-CL'!AB105</f>
        <v>0</v>
      </c>
      <c r="AC94" s="320">
        <f>'REMUNERACION_EAAB-CL'!AC105</f>
        <v>0</v>
      </c>
      <c r="AD94" s="291">
        <f>'REMUNERACION_EAAB-CL'!AD105</f>
        <v>0</v>
      </c>
      <c r="AE94" s="291">
        <f>'REMUNERACION_EAAB-CL'!AE105</f>
        <v>0</v>
      </c>
      <c r="AF94" s="322">
        <f>'REMUNERACION_EAAB-CL'!AF105</f>
        <v>0</v>
      </c>
      <c r="AG94" s="522">
        <f>'REMUNERACION_EAAB-CL'!AG105</f>
        <v>0</v>
      </c>
      <c r="AH94" s="1"/>
      <c r="AI94" s="306"/>
      <c r="AM94" s="333"/>
    </row>
    <row r="95" spans="1:39" s="305" customFormat="1" x14ac:dyDescent="0.25">
      <c r="B95" s="314">
        <v>3</v>
      </c>
      <c r="C95" s="315" t="s">
        <v>12</v>
      </c>
      <c r="D95" s="291">
        <f>'REMUNERACION_EAAB-CL'!D106</f>
        <v>0</v>
      </c>
      <c r="E95" s="292">
        <f>'REMUNERACION_EAAB-CL'!E106</f>
        <v>0</v>
      </c>
      <c r="F95" s="292">
        <f>'REMUNERACION_EAAB-CL'!F106</f>
        <v>0</v>
      </c>
      <c r="G95" s="292">
        <f>'REMUNERACION_EAAB-CL'!G106</f>
        <v>0</v>
      </c>
      <c r="H95" s="292">
        <f>'REMUNERACION_EAAB-CL'!H106</f>
        <v>0</v>
      </c>
      <c r="I95" s="292">
        <f>'REMUNERACION_EAAB-CL'!I106</f>
        <v>0</v>
      </c>
      <c r="J95" s="288">
        <f>'REMUNERACION_EAAB-CL'!J106</f>
        <v>0</v>
      </c>
      <c r="K95" s="295">
        <f>'REMUNERACION_EAAB-CL'!K106</f>
        <v>0</v>
      </c>
      <c r="L95" s="294">
        <f>'REMUNERACION_EAAB-CL'!L106</f>
        <v>0</v>
      </c>
      <c r="M95" s="295">
        <f>'REMUNERACION_EAAB-CL'!M106</f>
        <v>0</v>
      </c>
      <c r="N95" s="294">
        <f>'REMUNERACION_EAAB-CL'!N106</f>
        <v>0</v>
      </c>
      <c r="O95" s="295">
        <f>'REMUNERACION_EAAB-CL'!O106</f>
        <v>0</v>
      </c>
      <c r="Q95" s="306"/>
      <c r="S95" s="314">
        <v>3</v>
      </c>
      <c r="T95" s="315" t="s">
        <v>12</v>
      </c>
      <c r="U95" s="316">
        <f>'REMUNERACION_EAAB-CL'!U106</f>
        <v>0</v>
      </c>
      <c r="V95" s="317">
        <f>'REMUNERACION_EAAB-CL'!V106</f>
        <v>0</v>
      </c>
      <c r="W95" s="317">
        <f>'REMUNERACION_EAAB-CL'!W106</f>
        <v>0</v>
      </c>
      <c r="X95" s="317">
        <f>'REMUNERACION_EAAB-CL'!X106</f>
        <v>0</v>
      </c>
      <c r="Y95" s="318">
        <f>'REMUNERACION_EAAB-CL'!Y106</f>
        <v>0</v>
      </c>
      <c r="Z95" s="319">
        <f>'REMUNERACION_EAAB-CL'!Z106</f>
        <v>0</v>
      </c>
      <c r="AA95" s="320">
        <f>'REMUNERACION_EAAB-CL'!AA106</f>
        <v>0</v>
      </c>
      <c r="AB95" s="294">
        <f>'REMUNERACION_EAAB-CL'!AB106</f>
        <v>0</v>
      </c>
      <c r="AC95" s="320">
        <f>'REMUNERACION_EAAB-CL'!AC106</f>
        <v>0</v>
      </c>
      <c r="AD95" s="291">
        <f>'REMUNERACION_EAAB-CL'!AD106</f>
        <v>0</v>
      </c>
      <c r="AE95" s="291">
        <f>'REMUNERACION_EAAB-CL'!AE106</f>
        <v>0</v>
      </c>
      <c r="AF95" s="322">
        <f>'REMUNERACION_EAAB-CL'!AF106</f>
        <v>0</v>
      </c>
      <c r="AG95" s="522">
        <f>'REMUNERACION_EAAB-CL'!AG106</f>
        <v>0</v>
      </c>
      <c r="AH95" s="1"/>
      <c r="AI95" s="306"/>
      <c r="AM95" s="333"/>
    </row>
    <row r="96" spans="1:39" s="305" customFormat="1" x14ac:dyDescent="0.25">
      <c r="B96" s="314">
        <v>4</v>
      </c>
      <c r="C96" s="315" t="s">
        <v>13</v>
      </c>
      <c r="D96" s="291">
        <f>'REMUNERACION_EAAB-CL'!D107</f>
        <v>0</v>
      </c>
      <c r="E96" s="292">
        <f>'REMUNERACION_EAAB-CL'!E107</f>
        <v>0</v>
      </c>
      <c r="F96" s="292">
        <f>'REMUNERACION_EAAB-CL'!F107</f>
        <v>0</v>
      </c>
      <c r="G96" s="292">
        <f>'REMUNERACION_EAAB-CL'!G107</f>
        <v>0</v>
      </c>
      <c r="H96" s="292">
        <f>'REMUNERACION_EAAB-CL'!H107</f>
        <v>0</v>
      </c>
      <c r="I96" s="292">
        <f>'REMUNERACION_EAAB-CL'!I107</f>
        <v>0</v>
      </c>
      <c r="J96" s="288">
        <f>'REMUNERACION_EAAB-CL'!J107</f>
        <v>0</v>
      </c>
      <c r="K96" s="295">
        <f>'REMUNERACION_EAAB-CL'!K107</f>
        <v>0</v>
      </c>
      <c r="L96" s="294">
        <f>'REMUNERACION_EAAB-CL'!L107</f>
        <v>0</v>
      </c>
      <c r="M96" s="295">
        <f>'REMUNERACION_EAAB-CL'!M107</f>
        <v>0</v>
      </c>
      <c r="N96" s="294">
        <f>'REMUNERACION_EAAB-CL'!N107</f>
        <v>0</v>
      </c>
      <c r="O96" s="295">
        <f>'REMUNERACION_EAAB-CL'!O107</f>
        <v>0</v>
      </c>
      <c r="Q96" s="306"/>
      <c r="S96" s="314">
        <v>4</v>
      </c>
      <c r="T96" s="315" t="s">
        <v>13</v>
      </c>
      <c r="U96" s="316">
        <f>'REMUNERACION_EAAB-CL'!U107</f>
        <v>0</v>
      </c>
      <c r="V96" s="317">
        <f>'REMUNERACION_EAAB-CL'!V107</f>
        <v>0</v>
      </c>
      <c r="W96" s="317">
        <f>'REMUNERACION_EAAB-CL'!W107</f>
        <v>0</v>
      </c>
      <c r="X96" s="317">
        <f>'REMUNERACION_EAAB-CL'!X107</f>
        <v>0</v>
      </c>
      <c r="Y96" s="318">
        <f>'REMUNERACION_EAAB-CL'!Y107</f>
        <v>0</v>
      </c>
      <c r="Z96" s="319">
        <f>'REMUNERACION_EAAB-CL'!Z107</f>
        <v>0</v>
      </c>
      <c r="AA96" s="320">
        <f>'REMUNERACION_EAAB-CL'!AA107</f>
        <v>0</v>
      </c>
      <c r="AB96" s="294">
        <f>'REMUNERACION_EAAB-CL'!AB107</f>
        <v>0</v>
      </c>
      <c r="AC96" s="320">
        <f>'REMUNERACION_EAAB-CL'!AC107</f>
        <v>0</v>
      </c>
      <c r="AD96" s="291">
        <f>'REMUNERACION_EAAB-CL'!AD107</f>
        <v>0</v>
      </c>
      <c r="AE96" s="291">
        <f>'REMUNERACION_EAAB-CL'!AE107</f>
        <v>0</v>
      </c>
      <c r="AF96" s="322">
        <f>'REMUNERACION_EAAB-CL'!AF107</f>
        <v>0</v>
      </c>
      <c r="AG96" s="522">
        <f>'REMUNERACION_EAAB-CL'!AG107</f>
        <v>0</v>
      </c>
      <c r="AH96" s="1"/>
      <c r="AI96" s="306"/>
      <c r="AM96" s="333"/>
    </row>
    <row r="97" spans="1:39" s="305" customFormat="1" ht="12" thickBot="1" x14ac:dyDescent="0.3">
      <c r="B97" s="324">
        <v>5</v>
      </c>
      <c r="C97" s="325" t="s">
        <v>14</v>
      </c>
      <c r="D97" s="296">
        <f>'REMUNERACION_EAAB-CL'!D108</f>
        <v>0</v>
      </c>
      <c r="E97" s="297">
        <f>'REMUNERACION_EAAB-CL'!E108</f>
        <v>0</v>
      </c>
      <c r="F97" s="297">
        <f>'REMUNERACION_EAAB-CL'!F108</f>
        <v>0</v>
      </c>
      <c r="G97" s="297">
        <f>'REMUNERACION_EAAB-CL'!G108</f>
        <v>0</v>
      </c>
      <c r="H97" s="297">
        <f>'REMUNERACION_EAAB-CL'!H108</f>
        <v>0</v>
      </c>
      <c r="I97" s="297">
        <f>'REMUNERACION_EAAB-CL'!I108</f>
        <v>0</v>
      </c>
      <c r="J97" s="289">
        <f>'REMUNERACION_EAAB-CL'!J108</f>
        <v>0</v>
      </c>
      <c r="K97" s="295">
        <f>'REMUNERACION_EAAB-CL'!K108</f>
        <v>0</v>
      </c>
      <c r="L97" s="294">
        <f>'REMUNERACION_EAAB-CL'!L108</f>
        <v>0</v>
      </c>
      <c r="M97" s="298">
        <f>'REMUNERACION_EAAB-CL'!M108</f>
        <v>0</v>
      </c>
      <c r="N97" s="299">
        <f>'REMUNERACION_EAAB-CL'!N108</f>
        <v>0</v>
      </c>
      <c r="O97" s="298">
        <f>'REMUNERACION_EAAB-CL'!O108</f>
        <v>0</v>
      </c>
      <c r="Q97" s="306"/>
      <c r="S97" s="324">
        <v>5</v>
      </c>
      <c r="T97" s="325" t="s">
        <v>14</v>
      </c>
      <c r="U97" s="296">
        <f>'REMUNERACION_EAAB-CL'!U108</f>
        <v>0</v>
      </c>
      <c r="V97" s="297">
        <f>'REMUNERACION_EAAB-CL'!V108</f>
        <v>0</v>
      </c>
      <c r="W97" s="297">
        <f>'REMUNERACION_EAAB-CL'!W108</f>
        <v>0</v>
      </c>
      <c r="X97" s="297">
        <f>'REMUNERACION_EAAB-CL'!X108</f>
        <v>0</v>
      </c>
      <c r="Y97" s="289">
        <f>'REMUNERACION_EAAB-CL'!Y108</f>
        <v>0</v>
      </c>
      <c r="Z97" s="319">
        <f>'REMUNERACION_EAAB-CL'!Z108</f>
        <v>0</v>
      </c>
      <c r="AA97" s="320">
        <f>'REMUNERACION_EAAB-CL'!AA108</f>
        <v>0</v>
      </c>
      <c r="AB97" s="294">
        <f>'REMUNERACION_EAAB-CL'!AB108</f>
        <v>0</v>
      </c>
      <c r="AC97" s="320">
        <f>'REMUNERACION_EAAB-CL'!AC108</f>
        <v>0</v>
      </c>
      <c r="AD97" s="291">
        <f>'REMUNERACION_EAAB-CL'!AD108</f>
        <v>0</v>
      </c>
      <c r="AE97" s="291">
        <f>'REMUNERACION_EAAB-CL'!AE108</f>
        <v>0</v>
      </c>
      <c r="AF97" s="322">
        <f>'REMUNERACION_EAAB-CL'!AF108</f>
        <v>0</v>
      </c>
      <c r="AG97" s="523">
        <f>'REMUNERACION_EAAB-CL'!AG108</f>
        <v>0</v>
      </c>
      <c r="AH97" s="1"/>
      <c r="AI97" s="306"/>
      <c r="AM97" s="333"/>
    </row>
    <row r="98" spans="1:39" s="305" customFormat="1" ht="13.5" thickBot="1" x14ac:dyDescent="0.35">
      <c r="B98" s="327"/>
      <c r="C98" s="328" t="s">
        <v>2</v>
      </c>
      <c r="D98" s="290">
        <f>'REMUNERACION_EAAB-CL'!D109</f>
        <v>0</v>
      </c>
      <c r="E98" s="290">
        <f>'REMUNERACION_EAAB-CL'!E109</f>
        <v>0</v>
      </c>
      <c r="F98" s="290">
        <f>'REMUNERACION_EAAB-CL'!F109</f>
        <v>0</v>
      </c>
      <c r="G98" s="290">
        <f>'REMUNERACION_EAAB-CL'!G109</f>
        <v>0</v>
      </c>
      <c r="H98" s="290">
        <f>'REMUNERACION_EAAB-CL'!H109</f>
        <v>0</v>
      </c>
      <c r="I98" s="290">
        <f>'REMUNERACION_EAAB-CL'!I109</f>
        <v>0</v>
      </c>
      <c r="J98" s="290">
        <f>'REMUNERACION_EAAB-CL'!J109</f>
        <v>0</v>
      </c>
      <c r="K98" s="300">
        <f>'REMUNERACION_EAAB-CL'!K109</f>
        <v>0</v>
      </c>
      <c r="L98" s="301">
        <f>'REMUNERACION_EAAB-CL'!L109</f>
        <v>0</v>
      </c>
      <c r="M98" s="302">
        <f>'REMUNERACION_EAAB-CL'!M109</f>
        <v>0</v>
      </c>
      <c r="N98" s="301">
        <f>'REMUNERACION_EAAB-CL'!N109</f>
        <v>0</v>
      </c>
      <c r="O98" s="302">
        <f>'REMUNERACION_EAAB-CL'!O109</f>
        <v>0</v>
      </c>
      <c r="P98" s="329"/>
      <c r="Q98" s="306"/>
      <c r="S98" s="327"/>
      <c r="T98" s="328" t="s">
        <v>2</v>
      </c>
      <c r="U98" s="330">
        <f>'REMUNERACION_EAAB-CL'!U109</f>
        <v>0</v>
      </c>
      <c r="V98" s="330">
        <f>'REMUNERACION_EAAB-CL'!V109</f>
        <v>0</v>
      </c>
      <c r="W98" s="330">
        <f>'REMUNERACION_EAAB-CL'!W109</f>
        <v>0</v>
      </c>
      <c r="X98" s="330">
        <f>'REMUNERACION_EAAB-CL'!X109</f>
        <v>0</v>
      </c>
      <c r="Y98" s="330">
        <f>'REMUNERACION_EAAB-CL'!Y109</f>
        <v>0</v>
      </c>
      <c r="Z98" s="290">
        <f>'REMUNERACION_EAAB-CL'!Z109</f>
        <v>0</v>
      </c>
      <c r="AA98" s="290">
        <f>'REMUNERACION_EAAB-CL'!AA109</f>
        <v>0</v>
      </c>
      <c r="AB98" s="290">
        <f>'REMUNERACION_EAAB-CL'!AB109</f>
        <v>0</v>
      </c>
      <c r="AC98" s="290">
        <f>'REMUNERACION_EAAB-CL'!AC109</f>
        <v>0</v>
      </c>
      <c r="AD98" s="290">
        <f>'REMUNERACION_EAAB-CL'!AD109</f>
        <v>0</v>
      </c>
      <c r="AE98" s="290">
        <f>'REMUNERACION_EAAB-CL'!AE109</f>
        <v>0</v>
      </c>
      <c r="AF98" s="331">
        <f>'REMUNERACION_EAAB-CL'!AF109</f>
        <v>0</v>
      </c>
      <c r="AG98" s="524">
        <f>'REMUNERACION_EAAB-CL'!AG109</f>
        <v>0</v>
      </c>
      <c r="AH98" s="1"/>
      <c r="AI98" s="306"/>
      <c r="AM98" s="333"/>
    </row>
    <row r="99" spans="1:39" ht="12" thickBot="1" x14ac:dyDescent="0.3">
      <c r="B99" s="2"/>
      <c r="C99" s="2"/>
      <c r="D99" s="165"/>
      <c r="E99" s="448"/>
      <c r="F99" s="448"/>
      <c r="G99" s="448"/>
      <c r="H99" s="448"/>
      <c r="I99" s="448"/>
      <c r="J99" s="165"/>
      <c r="K99" s="448"/>
      <c r="L99" s="448"/>
      <c r="M99" s="448"/>
      <c r="N99" s="448"/>
      <c r="O99" s="448"/>
      <c r="Q99" s="4"/>
      <c r="S99" s="2"/>
      <c r="T99" s="2"/>
      <c r="U99" s="448"/>
      <c r="V99" s="448"/>
      <c r="W99" s="448"/>
      <c r="X99" s="448"/>
      <c r="Y99" s="448"/>
      <c r="AF99" s="448"/>
      <c r="AI99" s="4"/>
    </row>
    <row r="100" spans="1:39" ht="12" thickBot="1" x14ac:dyDescent="0.3">
      <c r="B100" s="2"/>
      <c r="C100" s="2"/>
      <c r="D100" s="448"/>
      <c r="E100" s="448"/>
      <c r="F100" s="448"/>
      <c r="G100" s="448"/>
      <c r="H100" s="448"/>
      <c r="I100" s="448"/>
      <c r="K100" s="448"/>
      <c r="L100" s="448"/>
      <c r="M100" s="448"/>
      <c r="N100" s="448"/>
      <c r="O100" s="448"/>
      <c r="Q100" s="4"/>
      <c r="Y100" s="449"/>
      <c r="AI100" s="4"/>
    </row>
    <row r="101" spans="1:39" x14ac:dyDescent="0.25">
      <c r="A101" s="4"/>
      <c r="B101" s="34"/>
      <c r="C101" s="34"/>
      <c r="D101" s="474"/>
      <c r="E101" s="474"/>
      <c r="F101" s="474"/>
      <c r="G101" s="474"/>
      <c r="H101" s="474"/>
      <c r="I101" s="474"/>
      <c r="J101" s="4"/>
      <c r="K101" s="474"/>
      <c r="L101" s="474"/>
      <c r="M101" s="474"/>
      <c r="N101" s="474"/>
      <c r="O101" s="47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" thickBot="1" x14ac:dyDescent="0.3">
      <c r="Q102" s="4"/>
      <c r="AI102" s="4"/>
    </row>
    <row r="103" spans="1:39" x14ac:dyDescent="0.25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4" x14ac:dyDescent="0.3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5" x14ac:dyDescent="0.35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4" x14ac:dyDescent="0.3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5" x14ac:dyDescent="0.35">
      <c r="B107" s="8"/>
      <c r="C107" s="2"/>
      <c r="D107" s="9"/>
      <c r="F107" s="41" t="s">
        <v>191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191</v>
      </c>
      <c r="V107" s="2"/>
      <c r="X107" s="2"/>
      <c r="Y107" s="2"/>
      <c r="AF107" s="48"/>
      <c r="AG107" s="2"/>
      <c r="AI107" s="4"/>
    </row>
    <row r="108" spans="1:39" ht="12" thickBot="1" x14ac:dyDescent="0.3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69.5" thickBot="1" x14ac:dyDescent="0.3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50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51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54" t="s">
        <v>21</v>
      </c>
      <c r="AA109" s="380" t="s">
        <v>46</v>
      </c>
      <c r="AB109" s="380" t="s">
        <v>7</v>
      </c>
      <c r="AC109" s="554" t="s">
        <v>168</v>
      </c>
      <c r="AD109" s="550" t="s">
        <v>105</v>
      </c>
      <c r="AE109" s="550" t="s">
        <v>104</v>
      </c>
      <c r="AF109" s="39" t="s">
        <v>23</v>
      </c>
      <c r="AG109" s="13"/>
      <c r="AI109" s="4"/>
    </row>
    <row r="110" spans="1:39" x14ac:dyDescent="0.25">
      <c r="B110" s="14">
        <v>1</v>
      </c>
      <c r="C110" s="61" t="s">
        <v>10</v>
      </c>
      <c r="D110" s="552">
        <f>D9-(D26+D60+D43+D76+D93)</f>
        <v>0</v>
      </c>
      <c r="E110" s="552">
        <f t="shared" ref="E110:O110" si="0">E9-(E26+E60+E43+E76+E93)</f>
        <v>0</v>
      </c>
      <c r="F110" s="552">
        <f t="shared" si="0"/>
        <v>0</v>
      </c>
      <c r="G110" s="552">
        <f t="shared" si="0"/>
        <v>0</v>
      </c>
      <c r="H110" s="552">
        <f t="shared" si="0"/>
        <v>0</v>
      </c>
      <c r="I110" s="552">
        <f t="shared" si="0"/>
        <v>0</v>
      </c>
      <c r="J110" s="552">
        <f t="shared" si="0"/>
        <v>0</v>
      </c>
      <c r="K110" s="552">
        <f t="shared" si="0"/>
        <v>0</v>
      </c>
      <c r="L110" s="552">
        <f t="shared" si="0"/>
        <v>0</v>
      </c>
      <c r="M110" s="552">
        <f t="shared" si="0"/>
        <v>0</v>
      </c>
      <c r="N110" s="552">
        <f t="shared" si="0"/>
        <v>0</v>
      </c>
      <c r="O110" s="552">
        <f t="shared" si="0"/>
        <v>0</v>
      </c>
      <c r="P110" s="480"/>
      <c r="Q110" s="481"/>
      <c r="R110" s="480"/>
      <c r="S110" s="482">
        <v>1</v>
      </c>
      <c r="T110" s="483" t="s">
        <v>10</v>
      </c>
      <c r="U110" s="552">
        <f>U9-(U26+U43+U60++U76+U93)</f>
        <v>0</v>
      </c>
      <c r="V110" s="552">
        <f t="shared" ref="V110:AF110" si="1">V9-(V26+V43+V60++V76+V93)</f>
        <v>0</v>
      </c>
      <c r="W110" s="552">
        <f t="shared" si="1"/>
        <v>0</v>
      </c>
      <c r="X110" s="552">
        <f t="shared" si="1"/>
        <v>0</v>
      </c>
      <c r="Y110" s="552">
        <f t="shared" si="1"/>
        <v>0</v>
      </c>
      <c r="Z110" s="552">
        <f t="shared" si="1"/>
        <v>0</v>
      </c>
      <c r="AA110" s="552">
        <f t="shared" si="1"/>
        <v>0</v>
      </c>
      <c r="AB110" s="552">
        <f t="shared" si="1"/>
        <v>0</v>
      </c>
      <c r="AC110" s="552">
        <f t="shared" si="1"/>
        <v>0</v>
      </c>
      <c r="AD110" s="552">
        <f t="shared" ref="AD110:AD115" si="2">AD9-(AD26+AD43+AD60+AD76+AD93)</f>
        <v>0</v>
      </c>
      <c r="AE110" s="552">
        <f t="shared" si="1"/>
        <v>0</v>
      </c>
      <c r="AF110" s="552">
        <f t="shared" si="1"/>
        <v>0</v>
      </c>
      <c r="AG110" s="552">
        <f t="shared" ref="AG110" si="3">AG9-(AG26+AG43+AG60++AG76+AG93)</f>
        <v>0</v>
      </c>
      <c r="AI110" s="481"/>
      <c r="AJ110" s="480"/>
    </row>
    <row r="111" spans="1:39" x14ac:dyDescent="0.25">
      <c r="B111" s="16">
        <v>2</v>
      </c>
      <c r="C111" s="62" t="s">
        <v>11</v>
      </c>
      <c r="D111" s="479">
        <f t="shared" ref="D111:O115" si="4">D10-(D27+D61+D44+D77+D94)</f>
        <v>0</v>
      </c>
      <c r="E111" s="479">
        <f t="shared" si="4"/>
        <v>0</v>
      </c>
      <c r="F111" s="479">
        <f t="shared" si="4"/>
        <v>0</v>
      </c>
      <c r="G111" s="479">
        <f t="shared" si="4"/>
        <v>0</v>
      </c>
      <c r="H111" s="479">
        <f t="shared" si="4"/>
        <v>0</v>
      </c>
      <c r="I111" s="479">
        <f t="shared" si="4"/>
        <v>0</v>
      </c>
      <c r="J111" s="479">
        <f t="shared" si="4"/>
        <v>0</v>
      </c>
      <c r="K111" s="479">
        <f t="shared" si="4"/>
        <v>0</v>
      </c>
      <c r="L111" s="479">
        <f t="shared" si="4"/>
        <v>0</v>
      </c>
      <c r="M111" s="479">
        <f t="shared" si="4"/>
        <v>0</v>
      </c>
      <c r="N111" s="479">
        <f t="shared" si="4"/>
        <v>0</v>
      </c>
      <c r="O111" s="479">
        <f t="shared" si="4"/>
        <v>0</v>
      </c>
      <c r="P111" s="480"/>
      <c r="Q111" s="481"/>
      <c r="R111" s="480"/>
      <c r="S111" s="484">
        <v>2</v>
      </c>
      <c r="T111" s="485" t="s">
        <v>11</v>
      </c>
      <c r="U111" s="479">
        <f t="shared" ref="U111:AF115" si="5">U10-(U27+U44+U61++U77+U94)</f>
        <v>0</v>
      </c>
      <c r="V111" s="479">
        <f t="shared" si="5"/>
        <v>0</v>
      </c>
      <c r="W111" s="479">
        <f t="shared" si="5"/>
        <v>0</v>
      </c>
      <c r="X111" s="479">
        <f t="shared" si="5"/>
        <v>0</v>
      </c>
      <c r="Y111" s="479">
        <f t="shared" si="5"/>
        <v>0</v>
      </c>
      <c r="Z111" s="479">
        <f t="shared" si="5"/>
        <v>0</v>
      </c>
      <c r="AA111" s="479">
        <f t="shared" si="5"/>
        <v>0</v>
      </c>
      <c r="AB111" s="479">
        <f t="shared" si="5"/>
        <v>0</v>
      </c>
      <c r="AC111" s="479">
        <f t="shared" si="5"/>
        <v>0</v>
      </c>
      <c r="AD111" s="479">
        <f t="shared" si="2"/>
        <v>0</v>
      </c>
      <c r="AE111" s="479">
        <f t="shared" si="5"/>
        <v>0</v>
      </c>
      <c r="AF111" s="479">
        <f t="shared" si="5"/>
        <v>0</v>
      </c>
      <c r="AG111" s="479">
        <f t="shared" ref="AG111" si="6">AG10-(AG27+AG44+AG61++AG77+AG94)</f>
        <v>0</v>
      </c>
      <c r="AI111" s="481"/>
      <c r="AJ111" s="480"/>
    </row>
    <row r="112" spans="1:39" x14ac:dyDescent="0.25">
      <c r="B112" s="16">
        <v>3</v>
      </c>
      <c r="C112" s="62" t="s">
        <v>12</v>
      </c>
      <c r="D112" s="479">
        <f t="shared" si="4"/>
        <v>0</v>
      </c>
      <c r="E112" s="479">
        <f t="shared" si="4"/>
        <v>0</v>
      </c>
      <c r="F112" s="479">
        <f t="shared" si="4"/>
        <v>0</v>
      </c>
      <c r="G112" s="479">
        <f t="shared" si="4"/>
        <v>0</v>
      </c>
      <c r="H112" s="479">
        <f t="shared" si="4"/>
        <v>0</v>
      </c>
      <c r="I112" s="479">
        <f t="shared" si="4"/>
        <v>0</v>
      </c>
      <c r="J112" s="479">
        <f t="shared" si="4"/>
        <v>0</v>
      </c>
      <c r="K112" s="479">
        <f t="shared" si="4"/>
        <v>0</v>
      </c>
      <c r="L112" s="479">
        <f t="shared" si="4"/>
        <v>0</v>
      </c>
      <c r="M112" s="479">
        <f t="shared" si="4"/>
        <v>0</v>
      </c>
      <c r="N112" s="479">
        <f t="shared" si="4"/>
        <v>0</v>
      </c>
      <c r="O112" s="479">
        <f t="shared" si="4"/>
        <v>0</v>
      </c>
      <c r="P112" s="480"/>
      <c r="Q112" s="481"/>
      <c r="R112" s="480"/>
      <c r="S112" s="484">
        <v>3</v>
      </c>
      <c r="T112" s="485" t="s">
        <v>12</v>
      </c>
      <c r="U112" s="479">
        <f t="shared" si="5"/>
        <v>0</v>
      </c>
      <c r="V112" s="479">
        <f t="shared" si="5"/>
        <v>0</v>
      </c>
      <c r="W112" s="479">
        <f t="shared" si="5"/>
        <v>0</v>
      </c>
      <c r="X112" s="479">
        <f t="shared" si="5"/>
        <v>0</v>
      </c>
      <c r="Y112" s="479">
        <f t="shared" si="5"/>
        <v>0</v>
      </c>
      <c r="Z112" s="479">
        <f t="shared" si="5"/>
        <v>0</v>
      </c>
      <c r="AA112" s="479">
        <f t="shared" si="5"/>
        <v>0</v>
      </c>
      <c r="AB112" s="479">
        <f t="shared" si="5"/>
        <v>0</v>
      </c>
      <c r="AC112" s="479">
        <f t="shared" si="5"/>
        <v>0</v>
      </c>
      <c r="AD112" s="479">
        <f t="shared" si="2"/>
        <v>-1.1920928955078125E-7</v>
      </c>
      <c r="AE112" s="479">
        <f t="shared" si="5"/>
        <v>0</v>
      </c>
      <c r="AF112" s="479">
        <f t="shared" si="5"/>
        <v>0</v>
      </c>
      <c r="AG112" s="479">
        <f t="shared" ref="AG112" si="7">AG11-(AG28+AG45+AG62++AG78+AG95)</f>
        <v>0</v>
      </c>
      <c r="AI112" s="481"/>
      <c r="AJ112" s="480"/>
    </row>
    <row r="113" spans="1:36" x14ac:dyDescent="0.25">
      <c r="B113" s="16">
        <v>4</v>
      </c>
      <c r="C113" s="62" t="s">
        <v>13</v>
      </c>
      <c r="D113" s="479">
        <f t="shared" si="4"/>
        <v>0</v>
      </c>
      <c r="E113" s="479">
        <f t="shared" si="4"/>
        <v>0</v>
      </c>
      <c r="F113" s="479">
        <f t="shared" si="4"/>
        <v>0</v>
      </c>
      <c r="G113" s="479">
        <f t="shared" si="4"/>
        <v>0</v>
      </c>
      <c r="H113" s="479">
        <f t="shared" si="4"/>
        <v>0</v>
      </c>
      <c r="I113" s="479">
        <f t="shared" si="4"/>
        <v>0</v>
      </c>
      <c r="J113" s="479">
        <f t="shared" si="4"/>
        <v>0</v>
      </c>
      <c r="K113" s="479">
        <f t="shared" si="4"/>
        <v>0</v>
      </c>
      <c r="L113" s="479">
        <f t="shared" si="4"/>
        <v>0</v>
      </c>
      <c r="M113" s="479">
        <f t="shared" si="4"/>
        <v>0</v>
      </c>
      <c r="N113" s="479">
        <f t="shared" si="4"/>
        <v>0</v>
      </c>
      <c r="O113" s="479">
        <f t="shared" si="4"/>
        <v>0</v>
      </c>
      <c r="P113" s="480"/>
      <c r="Q113" s="481"/>
      <c r="R113" s="480"/>
      <c r="S113" s="484">
        <v>4</v>
      </c>
      <c r="T113" s="485" t="s">
        <v>13</v>
      </c>
      <c r="U113" s="479">
        <f t="shared" si="5"/>
        <v>0</v>
      </c>
      <c r="V113" s="479">
        <f t="shared" si="5"/>
        <v>0</v>
      </c>
      <c r="W113" s="479">
        <f t="shared" si="5"/>
        <v>0</v>
      </c>
      <c r="X113" s="479">
        <f t="shared" si="5"/>
        <v>0</v>
      </c>
      <c r="Y113" s="479">
        <f t="shared" si="5"/>
        <v>0</v>
      </c>
      <c r="Z113" s="479">
        <f t="shared" si="5"/>
        <v>0</v>
      </c>
      <c r="AA113" s="479">
        <f t="shared" si="5"/>
        <v>0</v>
      </c>
      <c r="AB113" s="479">
        <f t="shared" si="5"/>
        <v>0</v>
      </c>
      <c r="AC113" s="479">
        <f t="shared" si="5"/>
        <v>0</v>
      </c>
      <c r="AD113" s="479">
        <f t="shared" si="2"/>
        <v>0</v>
      </c>
      <c r="AE113" s="479">
        <f t="shared" si="5"/>
        <v>0</v>
      </c>
      <c r="AF113" s="479">
        <f t="shared" si="5"/>
        <v>0</v>
      </c>
      <c r="AG113" s="479">
        <f t="shared" ref="AG113" si="8">AG12-(AG29+AG46+AG63++AG79+AG96)</f>
        <v>0</v>
      </c>
      <c r="AI113" s="481"/>
      <c r="AJ113" s="480"/>
    </row>
    <row r="114" spans="1:36" ht="12" thickBot="1" x14ac:dyDescent="0.3">
      <c r="B114" s="19">
        <v>5</v>
      </c>
      <c r="C114" s="63" t="s">
        <v>14</v>
      </c>
      <c r="D114" s="479">
        <f t="shared" si="4"/>
        <v>0</v>
      </c>
      <c r="E114" s="479">
        <f t="shared" si="4"/>
        <v>0</v>
      </c>
      <c r="F114" s="479">
        <f t="shared" si="4"/>
        <v>0</v>
      </c>
      <c r="G114" s="479">
        <f t="shared" si="4"/>
        <v>0</v>
      </c>
      <c r="H114" s="479">
        <f t="shared" si="4"/>
        <v>0</v>
      </c>
      <c r="I114" s="479">
        <f t="shared" si="4"/>
        <v>0</v>
      </c>
      <c r="J114" s="479">
        <f t="shared" si="4"/>
        <v>0</v>
      </c>
      <c r="K114" s="479">
        <f t="shared" si="4"/>
        <v>0</v>
      </c>
      <c r="L114" s="479">
        <f t="shared" si="4"/>
        <v>0</v>
      </c>
      <c r="M114" s="479">
        <f t="shared" si="4"/>
        <v>0</v>
      </c>
      <c r="N114" s="479">
        <f t="shared" si="4"/>
        <v>0</v>
      </c>
      <c r="O114" s="479">
        <f t="shared" si="4"/>
        <v>0</v>
      </c>
      <c r="P114" s="480"/>
      <c r="Q114" s="481"/>
      <c r="R114" s="480"/>
      <c r="S114" s="486">
        <v>5</v>
      </c>
      <c r="T114" s="487" t="s">
        <v>14</v>
      </c>
      <c r="U114" s="479">
        <f t="shared" si="5"/>
        <v>0</v>
      </c>
      <c r="V114" s="479">
        <f t="shared" si="5"/>
        <v>0</v>
      </c>
      <c r="W114" s="479">
        <f t="shared" si="5"/>
        <v>0</v>
      </c>
      <c r="X114" s="479">
        <f t="shared" si="5"/>
        <v>0</v>
      </c>
      <c r="Y114" s="479">
        <f t="shared" si="5"/>
        <v>0</v>
      </c>
      <c r="Z114" s="479">
        <f t="shared" si="5"/>
        <v>0</v>
      </c>
      <c r="AA114" s="479">
        <f t="shared" si="5"/>
        <v>0</v>
      </c>
      <c r="AB114" s="479">
        <f t="shared" si="5"/>
        <v>0</v>
      </c>
      <c r="AC114" s="479">
        <f t="shared" si="5"/>
        <v>0</v>
      </c>
      <c r="AD114" s="479">
        <f t="shared" si="2"/>
        <v>0</v>
      </c>
      <c r="AE114" s="479">
        <f t="shared" si="5"/>
        <v>0</v>
      </c>
      <c r="AF114" s="479">
        <f t="shared" si="5"/>
        <v>0</v>
      </c>
      <c r="AG114" s="479">
        <f t="shared" ref="AG114" si="9">AG13-(AG30+AG47+AG64++AG80+AG97)</f>
        <v>0</v>
      </c>
      <c r="AI114" s="481"/>
      <c r="AJ114" s="480"/>
    </row>
    <row r="115" spans="1:36" ht="12" thickBot="1" x14ac:dyDescent="0.3">
      <c r="B115" s="21"/>
      <c r="C115" s="22" t="s">
        <v>2</v>
      </c>
      <c r="D115" s="553">
        <f t="shared" si="4"/>
        <v>0</v>
      </c>
      <c r="E115" s="553">
        <f t="shared" si="4"/>
        <v>0</v>
      </c>
      <c r="F115" s="553">
        <f t="shared" si="4"/>
        <v>0</v>
      </c>
      <c r="G115" s="553">
        <f t="shared" si="4"/>
        <v>0</v>
      </c>
      <c r="H115" s="553">
        <f t="shared" si="4"/>
        <v>0</v>
      </c>
      <c r="I115" s="553">
        <f t="shared" si="4"/>
        <v>0</v>
      </c>
      <c r="J115" s="553">
        <f t="shared" si="4"/>
        <v>0</v>
      </c>
      <c r="K115" s="553">
        <f t="shared" si="4"/>
        <v>0</v>
      </c>
      <c r="L115" s="553">
        <f t="shared" si="4"/>
        <v>0</v>
      </c>
      <c r="M115" s="553">
        <f t="shared" si="4"/>
        <v>0</v>
      </c>
      <c r="N115" s="553">
        <f t="shared" si="4"/>
        <v>0</v>
      </c>
      <c r="O115" s="553">
        <f t="shared" si="4"/>
        <v>0</v>
      </c>
      <c r="P115" s="488"/>
      <c r="Q115" s="481"/>
      <c r="R115" s="480"/>
      <c r="S115" s="489"/>
      <c r="T115" s="490" t="s">
        <v>2</v>
      </c>
      <c r="U115" s="553">
        <f t="shared" si="5"/>
        <v>0</v>
      </c>
      <c r="V115" s="553">
        <f t="shared" si="5"/>
        <v>0</v>
      </c>
      <c r="W115" s="553">
        <f t="shared" si="5"/>
        <v>0</v>
      </c>
      <c r="X115" s="553">
        <f t="shared" si="5"/>
        <v>0</v>
      </c>
      <c r="Y115" s="553">
        <f t="shared" si="5"/>
        <v>0</v>
      </c>
      <c r="Z115" s="553">
        <f t="shared" si="5"/>
        <v>0</v>
      </c>
      <c r="AA115" s="553">
        <f t="shared" si="5"/>
        <v>0</v>
      </c>
      <c r="AB115" s="553">
        <f t="shared" si="5"/>
        <v>0</v>
      </c>
      <c r="AC115" s="553">
        <f t="shared" si="5"/>
        <v>0</v>
      </c>
      <c r="AD115" s="553">
        <f t="shared" si="2"/>
        <v>0</v>
      </c>
      <c r="AE115" s="553">
        <f t="shared" si="5"/>
        <v>0</v>
      </c>
      <c r="AF115" s="553">
        <f t="shared" si="5"/>
        <v>0</v>
      </c>
      <c r="AG115" s="553">
        <f t="shared" ref="AG115" si="10">AG14-(AG31+AG48+AG65++AG81+AG98)</f>
        <v>0</v>
      </c>
      <c r="AI115" s="481"/>
      <c r="AJ115" s="480"/>
    </row>
    <row r="116" spans="1:36" x14ac:dyDescent="0.25">
      <c r="B116" s="2"/>
      <c r="C116" s="2"/>
      <c r="D116" s="448"/>
      <c r="E116" s="448"/>
      <c r="F116" s="448"/>
      <c r="G116" s="448"/>
      <c r="H116" s="448"/>
      <c r="I116" s="448"/>
      <c r="K116" s="448"/>
      <c r="L116" s="448"/>
      <c r="M116" s="448"/>
      <c r="N116" s="448"/>
      <c r="O116" s="448"/>
      <c r="Q116" s="4"/>
      <c r="S116" s="2"/>
      <c r="T116" s="2"/>
      <c r="U116" s="448"/>
      <c r="V116" s="448"/>
      <c r="W116" s="448"/>
      <c r="X116" s="448"/>
      <c r="Y116" s="448"/>
      <c r="AF116" s="448"/>
      <c r="AI116" s="4"/>
    </row>
    <row r="117" spans="1:36" x14ac:dyDescent="0.25">
      <c r="B117" s="2"/>
      <c r="C117" s="2"/>
      <c r="D117" s="448" t="s">
        <v>1</v>
      </c>
      <c r="E117" s="448"/>
      <c r="F117" s="448"/>
      <c r="G117" s="448"/>
      <c r="H117" s="448"/>
      <c r="I117" s="448"/>
      <c r="K117" s="448"/>
      <c r="L117" s="448"/>
      <c r="M117" s="448"/>
      <c r="N117" s="448"/>
      <c r="O117" s="448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x14ac:dyDescent="0.25">
      <c r="A118" s="4"/>
      <c r="B118" s="34"/>
      <c r="C118" s="34"/>
      <c r="D118" s="474"/>
      <c r="E118" s="474"/>
      <c r="F118" s="474"/>
      <c r="G118" s="474"/>
      <c r="H118" s="474"/>
      <c r="I118" s="474"/>
      <c r="J118" s="4"/>
      <c r="K118" s="474"/>
      <c r="L118" s="474"/>
      <c r="M118" s="474"/>
      <c r="N118" s="474"/>
      <c r="O118" s="47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" thickBot="1" x14ac:dyDescent="0.3">
      <c r="Q119" s="4"/>
      <c r="AI119" s="4"/>
    </row>
    <row r="120" spans="1:36" x14ac:dyDescent="0.25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4" x14ac:dyDescent="0.3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2026092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2026092</v>
      </c>
      <c r="AE121" s="84"/>
      <c r="AF121" s="48"/>
      <c r="AG121" s="2"/>
      <c r="AI121" s="4"/>
    </row>
    <row r="122" spans="1:36" ht="15.5" x14ac:dyDescent="0.35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4" x14ac:dyDescent="0.3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5" x14ac:dyDescent="0.35">
      <c r="B124" s="8"/>
      <c r="C124" s="2" t="s">
        <v>17</v>
      </c>
      <c r="D124" s="9">
        <f>'REMUNERACION_EAAB-CL'!D101</f>
        <v>46297</v>
      </c>
      <c r="F124" s="58" t="s">
        <v>189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8" thickBot="1" x14ac:dyDescent="0.5">
      <c r="B125" s="95"/>
      <c r="C125" s="555" t="s">
        <v>0</v>
      </c>
      <c r="D125" s="556">
        <f>'REMUNERACION_EAAB-CL'!D102</f>
        <v>0.58333333333333337</v>
      </c>
      <c r="E125" s="45"/>
      <c r="F125" s="555" t="s">
        <v>27</v>
      </c>
      <c r="G125" s="557">
        <f>'REMUNERACION_EAAB-CL'!G102</f>
        <v>46281</v>
      </c>
      <c r="H125" s="45"/>
      <c r="I125" s="45"/>
      <c r="J125" s="555" t="s">
        <v>28</v>
      </c>
      <c r="K125" s="557">
        <f>'REMUNERACION_EAAB-CL'!K102</f>
        <v>46295</v>
      </c>
      <c r="L125" s="92"/>
      <c r="M125" s="45"/>
      <c r="N125" s="45"/>
      <c r="O125" s="558"/>
      <c r="P125" s="2"/>
      <c r="Q125" s="4"/>
      <c r="S125" s="95"/>
      <c r="T125" s="45"/>
      <c r="U125" s="45" t="str">
        <f>F125</f>
        <v>Fecha Desde:</v>
      </c>
      <c r="V125" s="557">
        <f>'REMUNERACION_EAAB-CL'!V102</f>
        <v>46281</v>
      </c>
      <c r="W125" s="45" t="s">
        <v>1</v>
      </c>
      <c r="X125" s="45" t="str">
        <f>J125</f>
        <v>Feha Hasta:</v>
      </c>
      <c r="Y125" s="557">
        <f>'REMUNERACION_EAAB-CL'!Y102</f>
        <v>46295</v>
      </c>
      <c r="Z125" s="45" t="s">
        <v>1</v>
      </c>
      <c r="AA125" s="45"/>
      <c r="AB125" s="45"/>
      <c r="AC125" s="45"/>
      <c r="AD125" s="45"/>
      <c r="AE125" s="45"/>
      <c r="AF125" s="559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74" workbookViewId="0">
      <selection activeCell="L108" sqref="L108"/>
    </sheetView>
  </sheetViews>
  <sheetFormatPr baseColWidth="10" defaultRowHeight="12.5" x14ac:dyDescent="0.25"/>
  <cols>
    <col min="1" max="1" width="2.453125" customWidth="1"/>
    <col min="3" max="3" width="36.81640625" bestFit="1" customWidth="1"/>
    <col min="4" max="4" width="12" bestFit="1" customWidth="1"/>
    <col min="5" max="5" width="12.1796875" customWidth="1"/>
    <col min="6" max="6" width="9.1796875" customWidth="1"/>
    <col min="7" max="7" width="14.81640625" customWidth="1"/>
    <col min="8" max="8" width="15.1796875" customWidth="1"/>
    <col min="9" max="9" width="20.1796875" bestFit="1" customWidth="1"/>
    <col min="10" max="10" width="15.453125" customWidth="1"/>
    <col min="11" max="11" width="17.81640625" customWidth="1"/>
    <col min="12" max="12" width="20.81640625" customWidth="1"/>
    <col min="17" max="17" width="1.1796875" customWidth="1"/>
  </cols>
  <sheetData>
    <row r="1" spans="1:33" s="1" customFormat="1" ht="12" thickBot="1" x14ac:dyDescent="0.3">
      <c r="Q1" s="4"/>
    </row>
    <row r="2" spans="1:33" s="1" customFormat="1" ht="11.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4"/>
    </row>
    <row r="3" spans="1:33" s="1" customFormat="1" ht="15.5" x14ac:dyDescent="0.35">
      <c r="B3" s="8"/>
      <c r="F3" s="471" t="s">
        <v>37</v>
      </c>
      <c r="G3" s="471"/>
      <c r="H3" s="472"/>
      <c r="I3" s="473"/>
      <c r="J3" s="472"/>
      <c r="K3" s="473"/>
      <c r="O3" s="10"/>
      <c r="P3" s="2"/>
      <c r="Q3" s="4"/>
    </row>
    <row r="4" spans="1:33" s="1" customFormat="1" ht="12" thickBot="1" x14ac:dyDescent="0.3">
      <c r="B4" s="8"/>
      <c r="C4" s="2" t="s">
        <v>1</v>
      </c>
      <c r="D4" s="2" t="s">
        <v>1</v>
      </c>
      <c r="O4" s="44"/>
      <c r="P4" s="2"/>
      <c r="Q4" s="4"/>
      <c r="AG4" s="480"/>
    </row>
    <row r="5" spans="1:33" s="1" customFormat="1" ht="63.75" customHeight="1" thickBot="1" x14ac:dyDescent="0.3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172</v>
      </c>
      <c r="K5" s="73" t="s">
        <v>143</v>
      </c>
      <c r="L5" s="73" t="s">
        <v>144</v>
      </c>
      <c r="O5" s="44"/>
      <c r="P5" s="13"/>
      <c r="Q5" s="4"/>
    </row>
    <row r="6" spans="1:33" s="305" customFormat="1" ht="11.5" x14ac:dyDescent="0.25">
      <c r="B6" s="334">
        <v>1</v>
      </c>
      <c r="C6" s="335" t="s">
        <v>10</v>
      </c>
      <c r="D6" s="308">
        <f>'CONSOLIDADO_TOTAL RECAUDO'!D125</f>
        <v>65283382.700000003</v>
      </c>
      <c r="E6" s="309">
        <f>'CONSOLIDADO_TOTAL RECAUDO'!E125</f>
        <v>0</v>
      </c>
      <c r="G6" s="336">
        <f>'CONSOLIDADO_TOTAL RECAUDO'!G125</f>
        <v>40070</v>
      </c>
      <c r="H6" s="310">
        <f>'CONSOLIDADO_TOTAL RECAUDO'!H125</f>
        <v>68638657.019999996</v>
      </c>
      <c r="I6" s="309">
        <f>'CONSOLIDADO_TOTAL RECAUDO'!I125</f>
        <v>589006.92000000004</v>
      </c>
      <c r="J6" s="309">
        <f>'CONSOLIDADO_TOTAL RECAUDO'!J125</f>
        <v>-1285060</v>
      </c>
      <c r="K6" s="309">
        <f>'CONSOLIDADO_TOTAL RECAUDO'!K125</f>
        <v>691640</v>
      </c>
      <c r="L6" s="309">
        <f>'CONSOLIDADO_TOTAL RECAUDO'!L125</f>
        <v>137440</v>
      </c>
      <c r="O6" s="337"/>
      <c r="Q6" s="306"/>
    </row>
    <row r="7" spans="1:33" s="305" customFormat="1" ht="11.5" x14ac:dyDescent="0.25">
      <c r="B7" s="314">
        <v>2</v>
      </c>
      <c r="C7" s="338" t="s">
        <v>11</v>
      </c>
      <c r="D7" s="292">
        <f>'CONSOLIDADO_TOTAL RECAUDO'!D126</f>
        <v>156846266.00999999</v>
      </c>
      <c r="E7" s="288">
        <f>'CONSOLIDADO_TOTAL RECAUDO'!E126</f>
        <v>0</v>
      </c>
      <c r="G7" s="339">
        <f>'CONSOLIDADO_TOTAL RECAUDO'!G126</f>
        <v>18014168</v>
      </c>
      <c r="H7" s="340">
        <f>'CONSOLIDADO_TOTAL RECAUDO'!H126</f>
        <v>155969155.34</v>
      </c>
      <c r="I7" s="288">
        <f>'CONSOLIDADO_TOTAL RECAUDO'!I126</f>
        <v>1255716.79</v>
      </c>
      <c r="J7" s="288">
        <f>'CONSOLIDADO_TOTAL RECAUDO'!J126</f>
        <v>-45230052</v>
      </c>
      <c r="K7" s="288">
        <f>'CONSOLIDADO_TOTAL RECAUDO'!K126</f>
        <v>12142859</v>
      </c>
      <c r="L7" s="288">
        <f>'CONSOLIDADO_TOTAL RECAUDO'!L126</f>
        <v>139792</v>
      </c>
      <c r="O7" s="337"/>
      <c r="Q7" s="306"/>
    </row>
    <row r="8" spans="1:33" s="305" customFormat="1" ht="11.5" x14ac:dyDescent="0.25">
      <c r="B8" s="314">
        <v>3</v>
      </c>
      <c r="C8" s="338" t="s">
        <v>12</v>
      </c>
      <c r="D8" s="292">
        <f>'CONSOLIDADO_TOTAL RECAUDO'!D127</f>
        <v>200945155.15000001</v>
      </c>
      <c r="E8" s="288">
        <f>'CONSOLIDADO_TOTAL RECAUDO'!E127</f>
        <v>0</v>
      </c>
      <c r="G8" s="339">
        <f>'CONSOLIDADO_TOTAL RECAUDO'!G127</f>
        <v>388550</v>
      </c>
      <c r="H8" s="340">
        <f>'CONSOLIDADO_TOTAL RECAUDO'!H127</f>
        <v>113082589.28</v>
      </c>
      <c r="I8" s="288">
        <f>'CONSOLIDADO_TOTAL RECAUDO'!I127</f>
        <v>102335.71</v>
      </c>
      <c r="J8" s="288">
        <f>'CONSOLIDADO_TOTAL RECAUDO'!J127</f>
        <v>-7715664</v>
      </c>
      <c r="K8" s="288">
        <f>'CONSOLIDADO_TOTAL RECAUDO'!K127</f>
        <v>1272990</v>
      </c>
      <c r="L8" s="288">
        <f>'CONSOLIDADO_TOTAL RECAUDO'!L127</f>
        <v>541790</v>
      </c>
      <c r="O8" s="337"/>
      <c r="Q8" s="306"/>
    </row>
    <row r="9" spans="1:33" s="305" customFormat="1" ht="11.5" x14ac:dyDescent="0.25">
      <c r="B9" s="314">
        <v>4</v>
      </c>
      <c r="C9" s="338" t="s">
        <v>13</v>
      </c>
      <c r="D9" s="292">
        <f>'CONSOLIDADO_TOTAL RECAUDO'!D128</f>
        <v>74190303.989999995</v>
      </c>
      <c r="E9" s="288">
        <f>'CONSOLIDADO_TOTAL RECAUDO'!E128</f>
        <v>0</v>
      </c>
      <c r="G9" s="339">
        <f>'CONSOLIDADO_TOTAL RECAUDO'!G128</f>
        <v>83364801.269999996</v>
      </c>
      <c r="H9" s="340">
        <f>'CONSOLIDADO_TOTAL RECAUDO'!H128</f>
        <v>109104435.04000001</v>
      </c>
      <c r="I9" s="288">
        <f>'CONSOLIDADO_TOTAL RECAUDO'!I128</f>
        <v>339659.81</v>
      </c>
      <c r="J9" s="288">
        <f>'CONSOLIDADO_TOTAL RECAUDO'!J128</f>
        <v>-178619709.53</v>
      </c>
      <c r="K9" s="288">
        <f>'CONSOLIDADO_TOTAL RECAUDO'!K128</f>
        <v>91642041.730000004</v>
      </c>
      <c r="L9" s="288">
        <f>'CONSOLIDADO_TOTAL RECAUDO'!L128</f>
        <v>780507.47</v>
      </c>
      <c r="O9" s="337"/>
      <c r="Q9" s="306"/>
    </row>
    <row r="10" spans="1:33" s="305" customFormat="1" ht="11.5" x14ac:dyDescent="0.25">
      <c r="B10" s="341">
        <v>5</v>
      </c>
      <c r="C10" s="342" t="s">
        <v>14</v>
      </c>
      <c r="D10" s="292">
        <f>'CONSOLIDADO_TOTAL RECAUDO'!D129</f>
        <v>26956968</v>
      </c>
      <c r="E10" s="344">
        <f>'CONSOLIDADO_TOTAL RECAUDO'!E129</f>
        <v>0</v>
      </c>
      <c r="G10" s="339">
        <f>'CONSOLIDADO_TOTAL RECAUDO'!G129</f>
        <v>0</v>
      </c>
      <c r="H10" s="340">
        <f>'CONSOLIDADO_TOTAL RECAUDO'!H129</f>
        <v>30004174.399999999</v>
      </c>
      <c r="I10" s="288">
        <f>'CONSOLIDADO_TOTAL RECAUDO'!I129</f>
        <v>0</v>
      </c>
      <c r="J10" s="288">
        <f>'CONSOLIDADO_TOTAL RECAUDO'!J129</f>
        <v>-4790099</v>
      </c>
      <c r="K10" s="288">
        <f>'CONSOLIDADO_TOTAL RECAUDO'!K129</f>
        <v>0</v>
      </c>
      <c r="L10" s="288">
        <f>'CONSOLIDADO_TOTAL RECAUDO'!L129</f>
        <v>0</v>
      </c>
      <c r="O10" s="337"/>
      <c r="Q10" s="306"/>
    </row>
    <row r="11" spans="1:33" s="305" customFormat="1" ht="12" thickBot="1" x14ac:dyDescent="0.3">
      <c r="B11" s="324" t="s">
        <v>89</v>
      </c>
      <c r="C11" s="345" t="s">
        <v>113</v>
      </c>
      <c r="D11" s="297">
        <f>'CONSOLIDADO_TOTAL RECAUDO'!D130</f>
        <v>0</v>
      </c>
      <c r="E11" s="289">
        <f>'CONSOLIDADO_TOTAL RECAUDO'!E130</f>
        <v>437900</v>
      </c>
      <c r="G11" s="346">
        <f>'CONSOLIDADO_TOTAL RECAUDO'!G130</f>
        <v>0</v>
      </c>
      <c r="H11" s="347">
        <f>'CONSOLIDADO_TOTAL RECAUDO'!H130</f>
        <v>0</v>
      </c>
      <c r="I11" s="289">
        <f>'CONSOLIDADO_TOTAL RECAUDO'!I130</f>
        <v>0</v>
      </c>
      <c r="J11" s="289">
        <f>'CONSOLIDADO_TOTAL RECAUDO'!J130</f>
        <v>0</v>
      </c>
      <c r="K11" s="289">
        <f>'CONSOLIDADO_TOTAL RECAUDO'!K130</f>
        <v>0</v>
      </c>
      <c r="L11" s="289">
        <f>'CONSOLIDADO_TOTAL RECAUDO'!L130</f>
        <v>0</v>
      </c>
      <c r="O11" s="337"/>
      <c r="Q11" s="306"/>
    </row>
    <row r="12" spans="1:33" s="305" customFormat="1" ht="12" thickBot="1" x14ac:dyDescent="0.3">
      <c r="B12" s="348"/>
      <c r="C12" s="349" t="s">
        <v>2</v>
      </c>
      <c r="D12" s="350">
        <f>'CONSOLIDADO_TOTAL RECAUDO'!D131</f>
        <v>524222075.85000002</v>
      </c>
      <c r="E12" s="350">
        <f>'CONSOLIDADO_TOTAL RECAUDO'!E131</f>
        <v>437900</v>
      </c>
      <c r="F12" s="351"/>
      <c r="G12" s="350">
        <f>'CONSOLIDADO_TOTAL RECAUDO'!G131</f>
        <v>101807589.27</v>
      </c>
      <c r="H12" s="350">
        <f>'CONSOLIDADO_TOTAL RECAUDO'!H131</f>
        <v>476799011.07999998</v>
      </c>
      <c r="I12" s="350">
        <f>'CONSOLIDADO_TOTAL RECAUDO'!I131</f>
        <v>2286719.23</v>
      </c>
      <c r="J12" s="350">
        <f>'CONSOLIDADO_TOTAL RECAUDO'!J131</f>
        <v>-237640584.53</v>
      </c>
      <c r="K12" s="350">
        <f>'CONSOLIDADO_TOTAL RECAUDO'!K131</f>
        <v>105749530.73</v>
      </c>
      <c r="L12" s="350">
        <f>'CONSOLIDADO_TOTAL RECAUDO'!L131</f>
        <v>1599529.47</v>
      </c>
      <c r="M12" s="351"/>
      <c r="N12" s="351"/>
      <c r="O12" s="352"/>
      <c r="P12" s="329"/>
      <c r="Q12" s="306"/>
    </row>
    <row r="13" spans="1:33" s="1" customFormat="1" ht="11.5" x14ac:dyDescent="0.25">
      <c r="B13" s="2"/>
      <c r="C13" s="2"/>
      <c r="D13" s="448"/>
      <c r="Q13" s="4"/>
    </row>
    <row r="14" spans="1:33" s="1" customFormat="1" ht="11.5" x14ac:dyDescent="0.25">
      <c r="B14" s="2"/>
      <c r="C14" s="2"/>
      <c r="D14" s="448"/>
      <c r="Q14" s="4"/>
    </row>
    <row r="15" spans="1:33" s="1" customFormat="1" ht="11.5" x14ac:dyDescent="0.25">
      <c r="A15" s="52"/>
      <c r="B15" s="53"/>
      <c r="C15" s="53"/>
      <c r="D15" s="454"/>
      <c r="E15" s="454"/>
      <c r="F15" s="454"/>
      <c r="G15" s="454"/>
      <c r="H15" s="454"/>
      <c r="I15" s="454"/>
      <c r="J15" s="52"/>
      <c r="K15" s="454"/>
      <c r="L15" s="454"/>
      <c r="M15" s="454"/>
      <c r="N15" s="454"/>
      <c r="O15" s="454"/>
      <c r="P15" s="52"/>
      <c r="Q15" s="4"/>
    </row>
    <row r="16" spans="1:33" ht="13" thickBot="1" x14ac:dyDescent="0.3"/>
    <row r="17" spans="1:17" s="1" customFormat="1" ht="11.5" x14ac:dyDescent="0.25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4"/>
    </row>
    <row r="18" spans="1:17" s="1" customFormat="1" ht="15.5" x14ac:dyDescent="0.35">
      <c r="B18" s="8"/>
      <c r="F18" s="475" t="s">
        <v>192</v>
      </c>
      <c r="G18" s="475"/>
      <c r="H18" s="34"/>
      <c r="I18" s="4"/>
      <c r="J18" s="34"/>
      <c r="K18" s="4"/>
      <c r="O18" s="10"/>
      <c r="P18" s="2"/>
      <c r="Q18" s="4"/>
    </row>
    <row r="19" spans="1:17" s="1" customFormat="1" ht="12" thickBot="1" x14ac:dyDescent="0.3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3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172</v>
      </c>
      <c r="K20" s="73" t="s">
        <v>143</v>
      </c>
      <c r="L20" s="73" t="s">
        <v>144</v>
      </c>
      <c r="O20" s="44"/>
      <c r="P20" s="13"/>
      <c r="Q20" s="4"/>
    </row>
    <row r="21" spans="1:17" s="305" customFormat="1" ht="11.5" x14ac:dyDescent="0.25">
      <c r="B21" s="334">
        <v>1</v>
      </c>
      <c r="C21" s="335" t="s">
        <v>10</v>
      </c>
      <c r="D21" s="308">
        <f>'REMUNERACION Reciprocidad EAAB'!D125</f>
        <v>0</v>
      </c>
      <c r="E21" s="309">
        <f>'REMUNERACION Reciprocidad EAAB'!E125</f>
        <v>0</v>
      </c>
      <c r="G21" s="336">
        <f>'REMUNERACION Reciprocidad EAAB'!G125</f>
        <v>0</v>
      </c>
      <c r="H21" s="310">
        <f>'REMUNERACION Reciprocidad EAAB'!H125</f>
        <v>0</v>
      </c>
      <c r="I21" s="309">
        <f>'REMUNERACION Reciprocidad EAAB'!I125</f>
        <v>0</v>
      </c>
      <c r="J21" s="309">
        <f>'REMUNERACION Reciprocidad EAAB'!J125</f>
        <v>0</v>
      </c>
      <c r="K21" s="309">
        <f>'REMUNERACION Reciprocidad EAAB'!K125</f>
        <v>0</v>
      </c>
      <c r="L21" s="309">
        <f>'REMUNERACION Reciprocidad EAAB'!L125</f>
        <v>0</v>
      </c>
      <c r="O21" s="337"/>
      <c r="Q21" s="306"/>
    </row>
    <row r="22" spans="1:17" s="305" customFormat="1" ht="11.5" x14ac:dyDescent="0.25">
      <c r="B22" s="314">
        <v>2</v>
      </c>
      <c r="C22" s="338" t="s">
        <v>11</v>
      </c>
      <c r="D22" s="292">
        <f>'REMUNERACION Reciprocidad EAAB'!D126</f>
        <v>2611951</v>
      </c>
      <c r="E22" s="288">
        <f>'REMUNERACION Reciprocidad EAAB'!E126</f>
        <v>0</v>
      </c>
      <c r="G22" s="339">
        <f>'REMUNERACION Reciprocidad EAAB'!G126</f>
        <v>0</v>
      </c>
      <c r="H22" s="340">
        <f>'REMUNERACION Reciprocidad EAAB'!H126</f>
        <v>11655946.43</v>
      </c>
      <c r="I22" s="288">
        <f>'REMUNERACION Reciprocidad EAAB'!I126</f>
        <v>1255716.79</v>
      </c>
      <c r="J22" s="288">
        <f>'REMUNERACION Reciprocidad EAAB'!J126</f>
        <v>-46130</v>
      </c>
      <c r="K22" s="288">
        <f>'REMUNERACION Reciprocidad EAAB'!K126</f>
        <v>46130</v>
      </c>
      <c r="L22" s="288">
        <f>'REMUNERACION Reciprocidad EAAB'!L126</f>
        <v>0</v>
      </c>
      <c r="O22" s="337"/>
      <c r="Q22" s="306"/>
    </row>
    <row r="23" spans="1:17" s="305" customFormat="1" ht="11.5" x14ac:dyDescent="0.25">
      <c r="B23" s="314">
        <v>3</v>
      </c>
      <c r="C23" s="338" t="s">
        <v>12</v>
      </c>
      <c r="D23" s="292">
        <f>'REMUNERACION Reciprocidad EAAB'!D127</f>
        <v>0</v>
      </c>
      <c r="E23" s="288">
        <f>'REMUNERACION Reciprocidad EAAB'!E127</f>
        <v>0</v>
      </c>
      <c r="G23" s="339">
        <f>'REMUNERACION Reciprocidad EAAB'!G127</f>
        <v>0</v>
      </c>
      <c r="H23" s="340">
        <f>'REMUNERACION Reciprocidad EAAB'!H127</f>
        <v>0</v>
      </c>
      <c r="I23" s="288">
        <f>'REMUNERACION Reciprocidad EAAB'!I127</f>
        <v>0</v>
      </c>
      <c r="J23" s="288">
        <f>'REMUNERACION Reciprocidad EAAB'!J127</f>
        <v>0</v>
      </c>
      <c r="K23" s="288">
        <f>'REMUNERACION Reciprocidad EAAB'!K127</f>
        <v>0</v>
      </c>
      <c r="L23" s="288">
        <f>'REMUNERACION Reciprocidad EAAB'!L127</f>
        <v>0</v>
      </c>
      <c r="O23" s="337"/>
      <c r="Q23" s="306"/>
    </row>
    <row r="24" spans="1:17" s="305" customFormat="1" ht="11.5" x14ac:dyDescent="0.25">
      <c r="B24" s="314">
        <v>4</v>
      </c>
      <c r="C24" s="338" t="s">
        <v>13</v>
      </c>
      <c r="D24" s="292">
        <f>'REMUNERACION Reciprocidad EAAB'!D128</f>
        <v>1262390</v>
      </c>
      <c r="E24" s="288">
        <f>'REMUNERACION Reciprocidad EAAB'!E128</f>
        <v>0</v>
      </c>
      <c r="G24" s="339">
        <f>'REMUNERACION Reciprocidad EAAB'!G128</f>
        <v>477309.99999999994</v>
      </c>
      <c r="H24" s="340">
        <f>'REMUNERACION Reciprocidad EAAB'!H128</f>
        <v>9848837.3600000013</v>
      </c>
      <c r="I24" s="288">
        <f>'REMUNERACION Reciprocidad EAAB'!I128</f>
        <v>339659.81</v>
      </c>
      <c r="J24" s="288">
        <f>'REMUNERACION Reciprocidad EAAB'!J128</f>
        <v>-1564160</v>
      </c>
      <c r="K24" s="288">
        <f>'REMUNERACION Reciprocidad EAAB'!K128</f>
        <v>1086850</v>
      </c>
      <c r="L24" s="288">
        <f>'REMUNERACION Reciprocidad EAAB'!L128</f>
        <v>0</v>
      </c>
      <c r="O24" s="337"/>
      <c r="Q24" s="306"/>
    </row>
    <row r="25" spans="1:17" s="305" customFormat="1" ht="11.5" x14ac:dyDescent="0.25">
      <c r="B25" s="341">
        <v>5</v>
      </c>
      <c r="C25" s="342" t="s">
        <v>14</v>
      </c>
      <c r="D25" s="292">
        <f>'REMUNERACION Reciprocidad EAAB'!D129</f>
        <v>0</v>
      </c>
      <c r="E25" s="344">
        <f>'REMUNERACION Reciprocidad EAAB'!E129</f>
        <v>0</v>
      </c>
      <c r="G25" s="339">
        <f>'REMUNERACION Reciprocidad EAAB'!G129</f>
        <v>0</v>
      </c>
      <c r="H25" s="340">
        <f>'REMUNERACION Reciprocidad EAAB'!H129</f>
        <v>0</v>
      </c>
      <c r="I25" s="288">
        <f>'REMUNERACION Reciprocidad EAAB'!I129</f>
        <v>0</v>
      </c>
      <c r="J25" s="288">
        <f>'REMUNERACION Reciprocidad EAAB'!J129</f>
        <v>0</v>
      </c>
      <c r="K25" s="288">
        <f>'REMUNERACION Reciprocidad EAAB'!K129</f>
        <v>0</v>
      </c>
      <c r="L25" s="288">
        <f>'REMUNERACION Reciprocidad EAAB'!L129</f>
        <v>0</v>
      </c>
      <c r="O25" s="337"/>
      <c r="Q25" s="306"/>
    </row>
    <row r="26" spans="1:17" s="305" customFormat="1" ht="12" thickBot="1" x14ac:dyDescent="0.3">
      <c r="B26" s="324" t="s">
        <v>89</v>
      </c>
      <c r="C26" s="345" t="s">
        <v>113</v>
      </c>
      <c r="D26" s="297">
        <f>'REMUNERACION Reciprocidad EAAB'!D130</f>
        <v>0</v>
      </c>
      <c r="E26" s="289">
        <f>'REMUNERACION Reciprocidad EAAB'!E130</f>
        <v>0</v>
      </c>
      <c r="G26" s="346">
        <f>'REMUNERACION Reciprocidad EAAB'!G130</f>
        <v>0</v>
      </c>
      <c r="H26" s="347">
        <f>'REMUNERACION Reciprocidad EAAB'!H130</f>
        <v>0</v>
      </c>
      <c r="I26" s="289">
        <f>'REMUNERACION Reciprocidad EAAB'!I130</f>
        <v>0</v>
      </c>
      <c r="J26" s="289">
        <f>'REMUNERACION Reciprocidad EAAB'!J130</f>
        <v>0</v>
      </c>
      <c r="K26" s="289">
        <f>'REMUNERACION Reciprocidad EAAB'!K130</f>
        <v>0</v>
      </c>
      <c r="L26" s="289">
        <f>'REMUNERACION Reciprocidad EAAB'!L130</f>
        <v>0</v>
      </c>
      <c r="O26" s="337"/>
      <c r="Q26" s="306"/>
    </row>
    <row r="27" spans="1:17" s="305" customFormat="1" ht="12" thickBot="1" x14ac:dyDescent="0.3">
      <c r="B27" s="348"/>
      <c r="C27" s="349" t="s">
        <v>2</v>
      </c>
      <c r="D27" s="350">
        <f>'REMUNERACION Reciprocidad EAAB'!D131</f>
        <v>3874341</v>
      </c>
      <c r="E27" s="350">
        <f>'REMUNERACION Reciprocidad EAAB'!E131</f>
        <v>0</v>
      </c>
      <c r="F27" s="351"/>
      <c r="G27" s="350">
        <f>'REMUNERACION Reciprocidad EAAB'!G131</f>
        <v>477309.99999999994</v>
      </c>
      <c r="H27" s="350">
        <f>'REMUNERACION Reciprocidad EAAB'!H131</f>
        <v>21504783.789999999</v>
      </c>
      <c r="I27" s="350">
        <f>'REMUNERACION Reciprocidad EAAB'!I131</f>
        <v>1595376.6</v>
      </c>
      <c r="J27" s="350">
        <f>'REMUNERACION Reciprocidad EAAB'!J131</f>
        <v>-1610290</v>
      </c>
      <c r="K27" s="350">
        <f>'REMUNERACION Reciprocidad EAAB'!K131</f>
        <v>1132980</v>
      </c>
      <c r="L27" s="350">
        <f>'REMUNERACION Reciprocidad EAAB'!L131</f>
        <v>0</v>
      </c>
      <c r="M27" s="351"/>
      <c r="N27" s="351"/>
      <c r="O27" s="352"/>
      <c r="P27" s="329"/>
      <c r="Q27" s="306"/>
    </row>
    <row r="28" spans="1:17" s="1" customFormat="1" ht="11.5" x14ac:dyDescent="0.25">
      <c r="B28" s="2"/>
      <c r="C28" s="2"/>
      <c r="D28" s="448"/>
      <c r="Q28" s="4"/>
    </row>
    <row r="29" spans="1:17" s="1" customFormat="1" ht="11.5" x14ac:dyDescent="0.25">
      <c r="B29" s="2"/>
      <c r="C29" s="2"/>
      <c r="D29" s="448"/>
      <c r="Q29" s="4"/>
    </row>
    <row r="30" spans="1:17" s="1" customFormat="1" ht="11.5" x14ac:dyDescent="0.25">
      <c r="A30" s="52"/>
      <c r="B30" s="53"/>
      <c r="C30" s="53"/>
      <c r="D30" s="454"/>
      <c r="E30" s="454"/>
      <c r="F30" s="454"/>
      <c r="G30" s="454"/>
      <c r="H30" s="454"/>
      <c r="I30" s="454"/>
      <c r="J30" s="52"/>
      <c r="K30" s="454"/>
      <c r="L30" s="454"/>
      <c r="M30" s="454"/>
      <c r="N30" s="454"/>
      <c r="O30" s="454"/>
      <c r="P30" s="52"/>
      <c r="Q30" s="4"/>
    </row>
    <row r="32" spans="1:17" s="1" customFormat="1" ht="15.5" x14ac:dyDescent="0.35">
      <c r="B32" s="8"/>
      <c r="F32" s="491" t="s">
        <v>193</v>
      </c>
      <c r="G32" s="491"/>
      <c r="H32" s="492"/>
      <c r="I32" s="493"/>
      <c r="J32" s="492"/>
      <c r="K32" s="493"/>
      <c r="O32" s="10"/>
      <c r="P32" s="2"/>
      <c r="Q32" s="4"/>
    </row>
    <row r="33" spans="1:17" s="1" customFormat="1" ht="12" thickBot="1" x14ac:dyDescent="0.3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3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172</v>
      </c>
      <c r="K34" s="73" t="s">
        <v>143</v>
      </c>
      <c r="L34" s="73" t="s">
        <v>144</v>
      </c>
      <c r="O34" s="44"/>
      <c r="P34" s="13"/>
      <c r="Q34" s="4"/>
    </row>
    <row r="35" spans="1:17" s="305" customFormat="1" ht="11.5" x14ac:dyDescent="0.25">
      <c r="B35" s="334">
        <v>1</v>
      </c>
      <c r="C35" s="335" t="s">
        <v>10</v>
      </c>
      <c r="D35" s="308">
        <f>REMUNERACION_ENEL!D125</f>
        <v>30927107</v>
      </c>
      <c r="E35" s="309">
        <f>REMUNERACION_ENEL!E125</f>
        <v>0</v>
      </c>
      <c r="G35" s="336">
        <f>REMUNERACION_ENEL!G125</f>
        <v>0</v>
      </c>
      <c r="H35" s="310">
        <f>REMUNERACION_ENEL!H125</f>
        <v>36630928.670000002</v>
      </c>
      <c r="I35" s="309">
        <f>REMUNERACION_ENEL!I125</f>
        <v>589006.92000000004</v>
      </c>
      <c r="J35" s="309">
        <f>REMUNERACION_ENEL!J125</f>
        <v>-1244990</v>
      </c>
      <c r="K35" s="309">
        <f>REMUNERACION_ENEL!K125</f>
        <v>691640</v>
      </c>
      <c r="L35" s="309">
        <f>REMUNERACION_ENEL!L125</f>
        <v>137440</v>
      </c>
      <c r="O35" s="337"/>
      <c r="Q35" s="306"/>
    </row>
    <row r="36" spans="1:17" s="305" customFormat="1" ht="11.5" x14ac:dyDescent="0.25">
      <c r="B36" s="314">
        <v>2</v>
      </c>
      <c r="C36" s="338" t="s">
        <v>11</v>
      </c>
      <c r="D36" s="292">
        <f>REMUNERACION_ENEL!D126</f>
        <v>37168207</v>
      </c>
      <c r="E36" s="288">
        <f>REMUNERACION_ENEL!E126</f>
        <v>0</v>
      </c>
      <c r="G36" s="339">
        <f>REMUNERACION_ENEL!G126</f>
        <v>17010202</v>
      </c>
      <c r="H36" s="340">
        <f>REMUNERACION_ENEL!H126</f>
        <v>20537080.509999998</v>
      </c>
      <c r="I36" s="288">
        <f>REMUNERACION_ENEL!I126</f>
        <v>0</v>
      </c>
      <c r="J36" s="288">
        <f>REMUNERACION_ENEL!J126</f>
        <v>-41540866</v>
      </c>
      <c r="K36" s="288">
        <f>REMUNERACION_ENEL!K126</f>
        <v>9423137</v>
      </c>
      <c r="L36" s="288">
        <f>REMUNERACION_ENEL!L126</f>
        <v>105290</v>
      </c>
      <c r="O36" s="337"/>
      <c r="Q36" s="306"/>
    </row>
    <row r="37" spans="1:17" s="305" customFormat="1" ht="11.5" x14ac:dyDescent="0.25">
      <c r="B37" s="314">
        <v>3</v>
      </c>
      <c r="C37" s="338" t="s">
        <v>12</v>
      </c>
      <c r="D37" s="292">
        <f>REMUNERACION_ENEL!D127</f>
        <v>10762026</v>
      </c>
      <c r="E37" s="288">
        <f>REMUNERACION_ENEL!E127</f>
        <v>0</v>
      </c>
      <c r="G37" s="339">
        <f>REMUNERACION_ENEL!G127</f>
        <v>388550</v>
      </c>
      <c r="H37" s="340">
        <f>REMUNERACION_ENEL!H127</f>
        <v>7725480.2100000009</v>
      </c>
      <c r="I37" s="288">
        <f>REMUNERACION_ENEL!I127</f>
        <v>102335.71</v>
      </c>
      <c r="J37" s="288">
        <f>REMUNERACION_ENEL!J127</f>
        <v>-7715664</v>
      </c>
      <c r="K37" s="288">
        <f>REMUNERACION_ENEL!K127</f>
        <v>1272990</v>
      </c>
      <c r="L37" s="288">
        <f>REMUNERACION_ENEL!L127</f>
        <v>541790</v>
      </c>
      <c r="O37" s="337"/>
      <c r="Q37" s="306"/>
    </row>
    <row r="38" spans="1:17" s="305" customFormat="1" ht="11.5" x14ac:dyDescent="0.25">
      <c r="B38" s="314">
        <v>4</v>
      </c>
      <c r="C38" s="338" t="s">
        <v>13</v>
      </c>
      <c r="D38" s="292">
        <f>REMUNERACION_ENEL!D128</f>
        <v>48073886</v>
      </c>
      <c r="E38" s="288">
        <f>REMUNERACION_ENEL!E128</f>
        <v>0</v>
      </c>
      <c r="G38" s="339">
        <f>REMUNERACION_ENEL!G128</f>
        <v>77811625.269999996</v>
      </c>
      <c r="H38" s="340">
        <f>REMUNERACION_ENEL!H128</f>
        <v>59921576.570000008</v>
      </c>
      <c r="I38" s="288">
        <f>REMUNERACION_ENEL!I128</f>
        <v>0</v>
      </c>
      <c r="J38" s="288">
        <f>REMUNERACION_ENEL!J128</f>
        <v>-167656612.66</v>
      </c>
      <c r="K38" s="288">
        <f>REMUNERACION_ENEL!K128</f>
        <v>86158376.730000004</v>
      </c>
      <c r="L38" s="288">
        <f>REMUNERACION_ENEL!L128</f>
        <v>706763.34</v>
      </c>
      <c r="O38" s="337"/>
      <c r="Q38" s="306"/>
    </row>
    <row r="39" spans="1:17" s="305" customFormat="1" ht="11.5" x14ac:dyDescent="0.25">
      <c r="B39" s="341">
        <v>5</v>
      </c>
      <c r="C39" s="342" t="s">
        <v>14</v>
      </c>
      <c r="D39" s="292">
        <f>REMUNERACION_ENEL!D129</f>
        <v>8133932</v>
      </c>
      <c r="E39" s="344">
        <f>REMUNERACION_ENEL!E129</f>
        <v>0</v>
      </c>
      <c r="G39" s="339">
        <f>REMUNERACION_ENEL!G129</f>
        <v>0</v>
      </c>
      <c r="H39" s="340">
        <f>REMUNERACION_ENEL!H129</f>
        <v>9152933.3399999999</v>
      </c>
      <c r="I39" s="288">
        <f>REMUNERACION_ENEL!I129</f>
        <v>0</v>
      </c>
      <c r="J39" s="288">
        <f>REMUNERACION_ENEL!J129</f>
        <v>-4790099</v>
      </c>
      <c r="K39" s="288">
        <f>REMUNERACION_ENEL!K129</f>
        <v>0</v>
      </c>
      <c r="L39" s="288">
        <f>REMUNERACION_ENEL!L129</f>
        <v>0</v>
      </c>
      <c r="O39" s="337"/>
      <c r="Q39" s="306"/>
    </row>
    <row r="40" spans="1:17" s="305" customFormat="1" ht="12" thickBot="1" x14ac:dyDescent="0.3">
      <c r="B40" s="324" t="s">
        <v>89</v>
      </c>
      <c r="C40" s="345" t="s">
        <v>113</v>
      </c>
      <c r="D40" s="297">
        <f>REMUNERACION_ENEL!D130</f>
        <v>0</v>
      </c>
      <c r="E40" s="289">
        <f>REMUNERACION_ENEL!E130</f>
        <v>0</v>
      </c>
      <c r="G40" s="346">
        <f>REMUNERACION_ENEL!G130</f>
        <v>0</v>
      </c>
      <c r="H40" s="347">
        <f>REMUNERACION_ENEL!H130</f>
        <v>0</v>
      </c>
      <c r="I40" s="289">
        <f>REMUNERACION_ENEL!I130</f>
        <v>0</v>
      </c>
      <c r="J40" s="289">
        <f>REMUNERACION_ENEL!J130</f>
        <v>0</v>
      </c>
      <c r="K40" s="289">
        <f>REMUNERACION_ENEL!K130</f>
        <v>0</v>
      </c>
      <c r="L40" s="289">
        <f>REMUNERACION_ENEL!L130</f>
        <v>0</v>
      </c>
      <c r="O40" s="337"/>
      <c r="Q40" s="306"/>
    </row>
    <row r="41" spans="1:17" s="305" customFormat="1" ht="12" thickBot="1" x14ac:dyDescent="0.3">
      <c r="B41" s="348"/>
      <c r="C41" s="349" t="s">
        <v>2</v>
      </c>
      <c r="D41" s="350">
        <f>REMUNERACION_ENEL!D131</f>
        <v>135065158</v>
      </c>
      <c r="E41" s="350">
        <f>REMUNERACION_ENEL!E131</f>
        <v>0</v>
      </c>
      <c r="F41" s="351"/>
      <c r="G41" s="350">
        <f>REMUNERACION_ENEL!G131</f>
        <v>95210377.269999996</v>
      </c>
      <c r="H41" s="350">
        <f>REMUNERACION_ENEL!H131</f>
        <v>133967999.30000001</v>
      </c>
      <c r="I41" s="350">
        <f>REMUNERACION_ENEL!I131</f>
        <v>691342.63</v>
      </c>
      <c r="J41" s="350">
        <f>REMUNERACION_ENEL!J131</f>
        <v>-222948231.66</v>
      </c>
      <c r="K41" s="350">
        <f>REMUNERACION_ENEL!K131</f>
        <v>97546143.730000004</v>
      </c>
      <c r="L41" s="350">
        <f>REMUNERACION_ENEL!L131</f>
        <v>1491283.3399999999</v>
      </c>
      <c r="M41" s="351"/>
      <c r="N41" s="351"/>
      <c r="O41" s="352"/>
      <c r="P41" s="329"/>
      <c r="Q41" s="306"/>
    </row>
    <row r="42" spans="1:17" s="1" customFormat="1" ht="11.5" x14ac:dyDescent="0.25">
      <c r="B42" s="2"/>
      <c r="C42" s="2"/>
      <c r="D42" s="448"/>
      <c r="Q42" s="4"/>
    </row>
    <row r="43" spans="1:17" s="1" customFormat="1" ht="11.5" x14ac:dyDescent="0.25">
      <c r="B43" s="2"/>
      <c r="C43" s="2"/>
      <c r="D43" s="448"/>
      <c r="Q43" s="4"/>
    </row>
    <row r="44" spans="1:17" s="1" customFormat="1" ht="11.5" x14ac:dyDescent="0.25">
      <c r="A44" s="52"/>
      <c r="B44" s="53"/>
      <c r="C44" s="53"/>
      <c r="D44" s="454"/>
      <c r="E44" s="454"/>
      <c r="F44" s="454"/>
      <c r="G44" s="454"/>
      <c r="H44" s="454"/>
      <c r="I44" s="454"/>
      <c r="J44" s="52"/>
      <c r="K44" s="454"/>
      <c r="L44" s="454"/>
      <c r="M44" s="454"/>
      <c r="N44" s="454"/>
      <c r="O44" s="454"/>
      <c r="P44" s="52"/>
      <c r="Q44" s="4"/>
    </row>
    <row r="45" spans="1:17" s="1" customFormat="1" ht="11.5" x14ac:dyDescent="0.25">
      <c r="B45" s="2"/>
      <c r="C45" s="2"/>
      <c r="D45" s="448"/>
      <c r="Q45" s="4"/>
    </row>
    <row r="46" spans="1:17" s="1" customFormat="1" ht="15.5" x14ac:dyDescent="0.35">
      <c r="B46" s="8"/>
      <c r="F46" s="491" t="s">
        <v>331</v>
      </c>
      <c r="G46" s="491"/>
      <c r="H46" s="492"/>
      <c r="I46" s="493"/>
      <c r="J46" s="492"/>
      <c r="K46" s="493"/>
      <c r="O46" s="10"/>
      <c r="P46" s="2"/>
      <c r="Q46" s="4"/>
    </row>
    <row r="47" spans="1:17" s="1" customFormat="1" ht="12" thickBot="1" x14ac:dyDescent="0.3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3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172</v>
      </c>
      <c r="K48" s="73" t="s">
        <v>143</v>
      </c>
      <c r="L48" s="73" t="s">
        <v>144</v>
      </c>
      <c r="O48" s="44"/>
      <c r="P48" s="13"/>
      <c r="Q48" s="4"/>
    </row>
    <row r="49" spans="1:17" s="305" customFormat="1" ht="11.5" x14ac:dyDescent="0.25">
      <c r="B49" s="334">
        <v>1</v>
      </c>
      <c r="C49" s="335" t="s">
        <v>10</v>
      </c>
      <c r="D49" s="308">
        <f>REMUNERACION_ENERBIT!D125</f>
        <v>0</v>
      </c>
      <c r="E49" s="308">
        <f>REMUNERACION_ENERBIT!E125</f>
        <v>0</v>
      </c>
      <c r="G49" s="336">
        <f>REMUNERACION_ENERBIT!G125</f>
        <v>0</v>
      </c>
      <c r="H49" s="336">
        <f>REMUNERACION_ENERBIT!H125</f>
        <v>0</v>
      </c>
      <c r="I49" s="336">
        <f>REMUNERACION_ENERBIT!I125</f>
        <v>0</v>
      </c>
      <c r="J49" s="336">
        <f>REMUNERACION_ENERBIT!J125</f>
        <v>0</v>
      </c>
      <c r="K49" s="336">
        <f>REMUNERACION_ENERBIT!K125</f>
        <v>0</v>
      </c>
      <c r="L49" s="336">
        <f>REMUNERACION_ENERBIT!L125</f>
        <v>0</v>
      </c>
      <c r="O49" s="337"/>
      <c r="Q49" s="306"/>
    </row>
    <row r="50" spans="1:17" s="305" customFormat="1" ht="11.5" x14ac:dyDescent="0.25">
      <c r="B50" s="314">
        <v>2</v>
      </c>
      <c r="C50" s="338" t="s">
        <v>11</v>
      </c>
      <c r="D50" s="292">
        <f>REMUNERACION_ENERBIT!D126</f>
        <v>0</v>
      </c>
      <c r="E50" s="292">
        <f>REMUNERACION_ENERBIT!E126</f>
        <v>0</v>
      </c>
      <c r="G50" s="339">
        <f>REMUNERACION_ENERBIT!G126</f>
        <v>0</v>
      </c>
      <c r="H50" s="339">
        <f>REMUNERACION_ENERBIT!H126</f>
        <v>0</v>
      </c>
      <c r="I50" s="339">
        <f>REMUNERACION_ENERBIT!I126</f>
        <v>0</v>
      </c>
      <c r="J50" s="339">
        <f>REMUNERACION_ENERBIT!J126</f>
        <v>0</v>
      </c>
      <c r="K50" s="339">
        <f>REMUNERACION_ENERBIT!K126</f>
        <v>0</v>
      </c>
      <c r="L50" s="339">
        <f>REMUNERACION_ENERBIT!L126</f>
        <v>0</v>
      </c>
      <c r="O50" s="337"/>
      <c r="Q50" s="306"/>
    </row>
    <row r="51" spans="1:17" s="305" customFormat="1" ht="11.5" x14ac:dyDescent="0.25">
      <c r="B51" s="314">
        <v>3</v>
      </c>
      <c r="C51" s="338" t="s">
        <v>12</v>
      </c>
      <c r="D51" s="292">
        <f>REMUNERACION_ENERBIT!D127</f>
        <v>0</v>
      </c>
      <c r="E51" s="292">
        <f>REMUNERACION_ENERBIT!E127</f>
        <v>0</v>
      </c>
      <c r="G51" s="339">
        <f>REMUNERACION_ENERBIT!G127</f>
        <v>0</v>
      </c>
      <c r="H51" s="339">
        <f>REMUNERACION_ENERBIT!H127</f>
        <v>0</v>
      </c>
      <c r="I51" s="339">
        <f>REMUNERACION_ENERBIT!I127</f>
        <v>0</v>
      </c>
      <c r="J51" s="339">
        <f>REMUNERACION_ENERBIT!J127</f>
        <v>0</v>
      </c>
      <c r="K51" s="339">
        <f>REMUNERACION_ENERBIT!K127</f>
        <v>0</v>
      </c>
      <c r="L51" s="339">
        <f>REMUNERACION_ENERBIT!L127</f>
        <v>0</v>
      </c>
      <c r="O51" s="337"/>
      <c r="Q51" s="306"/>
    </row>
    <row r="52" spans="1:17" s="305" customFormat="1" ht="11.5" x14ac:dyDescent="0.25">
      <c r="B52" s="314">
        <v>4</v>
      </c>
      <c r="C52" s="338" t="s">
        <v>13</v>
      </c>
      <c r="D52" s="292">
        <f>REMUNERACION_ENERBIT!D128</f>
        <v>0</v>
      </c>
      <c r="E52" s="292">
        <f>REMUNERACION_ENERBIT!E128</f>
        <v>0</v>
      </c>
      <c r="G52" s="339">
        <f>REMUNERACION_ENERBIT!G128</f>
        <v>0</v>
      </c>
      <c r="H52" s="339">
        <f>REMUNERACION_ENERBIT!H128</f>
        <v>0</v>
      </c>
      <c r="I52" s="339">
        <f>REMUNERACION_ENERBIT!I128</f>
        <v>0</v>
      </c>
      <c r="J52" s="339">
        <f>REMUNERACION_ENERBIT!J128</f>
        <v>0</v>
      </c>
      <c r="K52" s="339">
        <f>REMUNERACION_ENERBIT!K128</f>
        <v>0</v>
      </c>
      <c r="L52" s="339">
        <f>REMUNERACION_ENERBIT!L128</f>
        <v>0</v>
      </c>
      <c r="O52" s="337"/>
      <c r="Q52" s="306"/>
    </row>
    <row r="53" spans="1:17" s="305" customFormat="1" ht="11.5" x14ac:dyDescent="0.25">
      <c r="B53" s="341">
        <v>5</v>
      </c>
      <c r="C53" s="342" t="s">
        <v>14</v>
      </c>
      <c r="D53" s="292">
        <f>REMUNERACION_ENERBIT!D129</f>
        <v>4085178</v>
      </c>
      <c r="E53" s="292">
        <f>REMUNERACION_ENERBIT!E129</f>
        <v>0</v>
      </c>
      <c r="G53" s="339">
        <f>REMUNERACION_ENERBIT!G129</f>
        <v>0</v>
      </c>
      <c r="H53" s="339">
        <f>REMUNERACION_ENERBIT!H129</f>
        <v>3790847.24</v>
      </c>
      <c r="I53" s="339">
        <f>REMUNERACION_ENERBIT!I129</f>
        <v>0</v>
      </c>
      <c r="J53" s="339">
        <f>REMUNERACION_ENERBIT!J129</f>
        <v>0</v>
      </c>
      <c r="K53" s="339">
        <f>REMUNERACION_ENERBIT!K129</f>
        <v>0</v>
      </c>
      <c r="L53" s="339">
        <f>REMUNERACION_ENERBIT!L129</f>
        <v>0</v>
      </c>
      <c r="O53" s="337"/>
      <c r="Q53" s="306"/>
    </row>
    <row r="54" spans="1:17" s="305" customFormat="1" ht="12" thickBot="1" x14ac:dyDescent="0.3">
      <c r="B54" s="324" t="s">
        <v>89</v>
      </c>
      <c r="C54" s="345" t="s">
        <v>113</v>
      </c>
      <c r="D54" s="297">
        <f>REMUNERACION_ENERBIT!D130</f>
        <v>0</v>
      </c>
      <c r="E54" s="297">
        <f>REMUNERACION_ENERBIT!E130</f>
        <v>0</v>
      </c>
      <c r="G54" s="346">
        <f>REMUNERACION_ENERBIT!G130</f>
        <v>0</v>
      </c>
      <c r="H54" s="346">
        <f>REMUNERACION_ENERBIT!H130</f>
        <v>0</v>
      </c>
      <c r="I54" s="346">
        <f>REMUNERACION_ENERBIT!I130</f>
        <v>0</v>
      </c>
      <c r="J54" s="346">
        <f>REMUNERACION_ENERBIT!J130</f>
        <v>0</v>
      </c>
      <c r="K54" s="346">
        <f>REMUNERACION_ENERBIT!K130</f>
        <v>0</v>
      </c>
      <c r="L54" s="346">
        <f>REMUNERACION_ENERBIT!L130</f>
        <v>0</v>
      </c>
      <c r="O54" s="337"/>
      <c r="Q54" s="306"/>
    </row>
    <row r="55" spans="1:17" s="305" customFormat="1" ht="12" thickBot="1" x14ac:dyDescent="0.3">
      <c r="B55" s="348"/>
      <c r="C55" s="349" t="s">
        <v>2</v>
      </c>
      <c r="D55" s="350">
        <f>REMUNERACION_ENERBIT!D131</f>
        <v>4085178</v>
      </c>
      <c r="E55" s="350">
        <f>REMUNERACION_ENERBIT!E131</f>
        <v>0</v>
      </c>
      <c r="F55" s="351"/>
      <c r="G55" s="350">
        <f>REMUNERACION_ENERBIT!G131</f>
        <v>0</v>
      </c>
      <c r="H55" s="350">
        <f>REMUNERACION_ENERBIT!H131</f>
        <v>3790847.24</v>
      </c>
      <c r="I55" s="350">
        <f>REMUNERACION_ENERBIT!I131</f>
        <v>0</v>
      </c>
      <c r="J55" s="350">
        <f>REMUNERACION_ENERBIT!J131</f>
        <v>0</v>
      </c>
      <c r="K55" s="350">
        <f>REMUNERACION_ENERBIT!K131</f>
        <v>0</v>
      </c>
      <c r="L55" s="350">
        <f>REMUNERACION_ENERBIT!L131</f>
        <v>0</v>
      </c>
      <c r="M55" s="351"/>
      <c r="N55" s="351"/>
      <c r="O55" s="352"/>
      <c r="P55" s="329"/>
      <c r="Q55" s="306"/>
    </row>
    <row r="56" spans="1:17" s="1" customFormat="1" ht="11.5" x14ac:dyDescent="0.25">
      <c r="B56" s="2"/>
      <c r="C56" s="2"/>
      <c r="D56" s="448"/>
      <c r="Q56" s="4"/>
    </row>
    <row r="57" spans="1:17" s="1" customFormat="1" ht="11.5" x14ac:dyDescent="0.25">
      <c r="B57" s="2"/>
      <c r="C57" s="2"/>
      <c r="D57" s="448"/>
      <c r="Q57" s="4"/>
    </row>
    <row r="58" spans="1:17" s="1" customFormat="1" ht="11.5" x14ac:dyDescent="0.25">
      <c r="A58" s="52"/>
      <c r="B58" s="53"/>
      <c r="C58" s="53"/>
      <c r="D58" s="454"/>
      <c r="E58" s="454"/>
      <c r="F58" s="454"/>
      <c r="G58" s="454"/>
      <c r="H58" s="454"/>
      <c r="I58" s="454"/>
      <c r="J58" s="52"/>
      <c r="K58" s="454"/>
      <c r="L58" s="454"/>
      <c r="M58" s="454"/>
      <c r="N58" s="454"/>
      <c r="O58" s="454"/>
      <c r="P58" s="52"/>
      <c r="Q58" s="4"/>
    </row>
    <row r="60" spans="1:17" s="1" customFormat="1" ht="15.5" x14ac:dyDescent="0.35">
      <c r="B60" s="8"/>
      <c r="F60" s="476" t="s">
        <v>194</v>
      </c>
      <c r="G60" s="476"/>
      <c r="H60" s="477"/>
      <c r="I60" s="478"/>
      <c r="J60" s="477"/>
      <c r="K60" s="478"/>
      <c r="O60" s="10"/>
      <c r="P60" s="2"/>
      <c r="Q60" s="4"/>
    </row>
    <row r="61" spans="1:17" s="1" customFormat="1" ht="12" thickBot="1" x14ac:dyDescent="0.3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3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172</v>
      </c>
      <c r="K62" s="73" t="s">
        <v>143</v>
      </c>
      <c r="L62" s="73" t="s">
        <v>144</v>
      </c>
      <c r="O62" s="44"/>
      <c r="P62" s="13"/>
      <c r="Q62" s="4"/>
    </row>
    <row r="63" spans="1:17" s="305" customFormat="1" ht="11.5" x14ac:dyDescent="0.25">
      <c r="B63" s="334">
        <v>1</v>
      </c>
      <c r="C63" s="335" t="s">
        <v>10</v>
      </c>
      <c r="D63" s="308">
        <f>'REMUNERACION_OCCIDENTE_ Directa'!D125</f>
        <v>34356275.700000003</v>
      </c>
      <c r="E63" s="309">
        <f>'REMUNERACION_OCCIDENTE_ Directa'!E125</f>
        <v>0</v>
      </c>
      <c r="G63" s="336">
        <f>'REMUNERACION_OCCIDENTE_ Directa'!G125</f>
        <v>40070</v>
      </c>
      <c r="H63" s="310">
        <f>'REMUNERACION_OCCIDENTE_ Directa'!H125</f>
        <v>32007728.350000001</v>
      </c>
      <c r="I63" s="309">
        <f>'REMUNERACION_OCCIDENTE_ Directa'!I125</f>
        <v>0</v>
      </c>
      <c r="J63" s="309">
        <f>'REMUNERACION_OCCIDENTE_ Directa'!J125</f>
        <v>-40070</v>
      </c>
      <c r="K63" s="309">
        <f>'REMUNERACION_OCCIDENTE_ Directa'!K125</f>
        <v>0</v>
      </c>
      <c r="L63" s="309">
        <f>'REMUNERACION_OCCIDENTE_ Directa'!L125</f>
        <v>0</v>
      </c>
      <c r="O63" s="337"/>
      <c r="Q63" s="306"/>
    </row>
    <row r="64" spans="1:17" s="305" customFormat="1" ht="11.5" x14ac:dyDescent="0.25">
      <c r="B64" s="314">
        <v>2</v>
      </c>
      <c r="C64" s="338" t="s">
        <v>11</v>
      </c>
      <c r="D64" s="292">
        <f>'REMUNERACION_OCCIDENTE_ Directa'!D126</f>
        <v>117066108.01000001</v>
      </c>
      <c r="E64" s="288">
        <f>'REMUNERACION_OCCIDENTE_ Directa'!E126</f>
        <v>0</v>
      </c>
      <c r="G64" s="339">
        <f>'REMUNERACION_OCCIDENTE_ Directa'!G126</f>
        <v>1003966</v>
      </c>
      <c r="H64" s="340">
        <f>'REMUNERACION_OCCIDENTE_ Directa'!H126</f>
        <v>123776128.39999999</v>
      </c>
      <c r="I64" s="288">
        <f>'REMUNERACION_OCCIDENTE_ Directa'!I126</f>
        <v>0</v>
      </c>
      <c r="J64" s="288">
        <f>'REMUNERACION_OCCIDENTE_ Directa'!J126</f>
        <v>-3643056</v>
      </c>
      <c r="K64" s="288">
        <f>'REMUNERACION_OCCIDENTE_ Directa'!K126</f>
        <v>2673592</v>
      </c>
      <c r="L64" s="288">
        <f>'REMUNERACION_OCCIDENTE_ Directa'!L126</f>
        <v>34502</v>
      </c>
      <c r="O64" s="337"/>
      <c r="Q64" s="306"/>
    </row>
    <row r="65" spans="1:17" s="305" customFormat="1" ht="11.5" x14ac:dyDescent="0.25">
      <c r="B65" s="314">
        <v>3</v>
      </c>
      <c r="C65" s="338" t="s">
        <v>12</v>
      </c>
      <c r="D65" s="292">
        <f>'REMUNERACION_OCCIDENTE_ Directa'!D127</f>
        <v>190183129.15000001</v>
      </c>
      <c r="E65" s="288">
        <f>'REMUNERACION_OCCIDENTE_ Directa'!E127</f>
        <v>0</v>
      </c>
      <c r="G65" s="339">
        <f>'REMUNERACION_OCCIDENTE_ Directa'!G127</f>
        <v>0</v>
      </c>
      <c r="H65" s="340">
        <f>'REMUNERACION_OCCIDENTE_ Directa'!H127</f>
        <v>105357109.06999999</v>
      </c>
      <c r="I65" s="288">
        <f>'REMUNERACION_OCCIDENTE_ Directa'!I127</f>
        <v>0</v>
      </c>
      <c r="J65" s="288">
        <f>'REMUNERACION_OCCIDENTE_ Directa'!J127</f>
        <v>0</v>
      </c>
      <c r="K65" s="288">
        <f>'REMUNERACION_OCCIDENTE_ Directa'!K127</f>
        <v>0</v>
      </c>
      <c r="L65" s="288">
        <f>'REMUNERACION_OCCIDENTE_ Directa'!L127</f>
        <v>0</v>
      </c>
      <c r="O65" s="337"/>
      <c r="Q65" s="306"/>
    </row>
    <row r="66" spans="1:17" s="305" customFormat="1" ht="11.5" x14ac:dyDescent="0.25">
      <c r="B66" s="314">
        <v>4</v>
      </c>
      <c r="C66" s="338" t="s">
        <v>13</v>
      </c>
      <c r="D66" s="292">
        <f>'REMUNERACION_OCCIDENTE_ Directa'!D128</f>
        <v>24854027.989999998</v>
      </c>
      <c r="E66" s="288">
        <f>'REMUNERACION_OCCIDENTE_ Directa'!E128</f>
        <v>0</v>
      </c>
      <c r="G66" s="339">
        <f>'REMUNERACION_OCCIDENTE_ Directa'!G128</f>
        <v>5075866</v>
      </c>
      <c r="H66" s="340">
        <f>'REMUNERACION_OCCIDENTE_ Directa'!H128</f>
        <v>39334021.109999999</v>
      </c>
      <c r="I66" s="288">
        <f>'REMUNERACION_OCCIDENTE_ Directa'!I128</f>
        <v>0</v>
      </c>
      <c r="J66" s="288">
        <f>'REMUNERACION_OCCIDENTE_ Directa'!J128</f>
        <v>-9398936.8699999992</v>
      </c>
      <c r="K66" s="288">
        <f>'REMUNERACION_OCCIDENTE_ Directa'!K128</f>
        <v>4396815</v>
      </c>
      <c r="L66" s="288">
        <f>'REMUNERACION_OCCIDENTE_ Directa'!L128</f>
        <v>73744.13</v>
      </c>
      <c r="O66" s="337"/>
      <c r="Q66" s="306"/>
    </row>
    <row r="67" spans="1:17" s="305" customFormat="1" ht="11.5" x14ac:dyDescent="0.25">
      <c r="B67" s="341">
        <v>5</v>
      </c>
      <c r="C67" s="342" t="s">
        <v>14</v>
      </c>
      <c r="D67" s="292">
        <f>'REMUNERACION_OCCIDENTE_ Directa'!D129</f>
        <v>14737858</v>
      </c>
      <c r="E67" s="344">
        <f>'REMUNERACION_OCCIDENTE_ Directa'!E129</f>
        <v>0</v>
      </c>
      <c r="G67" s="339">
        <f>'REMUNERACION_OCCIDENTE_ Directa'!G129</f>
        <v>0</v>
      </c>
      <c r="H67" s="340">
        <f>'REMUNERACION_OCCIDENTE_ Directa'!H129</f>
        <v>17060393.82</v>
      </c>
      <c r="I67" s="288">
        <f>'REMUNERACION_OCCIDENTE_ Directa'!I129</f>
        <v>0</v>
      </c>
      <c r="J67" s="288">
        <f>'REMUNERACION_OCCIDENTE_ Directa'!J129</f>
        <v>0</v>
      </c>
      <c r="K67" s="288">
        <f>'REMUNERACION_OCCIDENTE_ Directa'!K129</f>
        <v>0</v>
      </c>
      <c r="L67" s="288">
        <f>'REMUNERACION_OCCIDENTE_ Directa'!L129</f>
        <v>0</v>
      </c>
      <c r="O67" s="337"/>
      <c r="Q67" s="306"/>
    </row>
    <row r="68" spans="1:17" s="305" customFormat="1" ht="12" thickBot="1" x14ac:dyDescent="0.3">
      <c r="B68" s="324" t="s">
        <v>89</v>
      </c>
      <c r="C68" s="345" t="s">
        <v>113</v>
      </c>
      <c r="D68" s="297">
        <f>'REMUNERACION_OCCIDENTE_ Directa'!D130</f>
        <v>0</v>
      </c>
      <c r="E68" s="289">
        <f>'REMUNERACION_OCCIDENTE_ Directa'!E130</f>
        <v>437900</v>
      </c>
      <c r="G68" s="346">
        <f>'REMUNERACION_OCCIDENTE_ Directa'!G130</f>
        <v>0</v>
      </c>
      <c r="H68" s="347">
        <f>'REMUNERACION_OCCIDENTE_ Directa'!H130</f>
        <v>0</v>
      </c>
      <c r="I68" s="289">
        <f>'REMUNERACION_OCCIDENTE_ Directa'!I130</f>
        <v>0</v>
      </c>
      <c r="J68" s="289">
        <f>'REMUNERACION_OCCIDENTE_ Directa'!J130</f>
        <v>0</v>
      </c>
      <c r="K68" s="289">
        <f>'REMUNERACION_OCCIDENTE_ Directa'!K130</f>
        <v>0</v>
      </c>
      <c r="L68" s="289">
        <f>'REMUNERACION_OCCIDENTE_ Directa'!L130</f>
        <v>0</v>
      </c>
      <c r="O68" s="337"/>
      <c r="Q68" s="306"/>
    </row>
    <row r="69" spans="1:17" s="305" customFormat="1" ht="12" thickBot="1" x14ac:dyDescent="0.3">
      <c r="B69" s="348"/>
      <c r="C69" s="349" t="s">
        <v>2</v>
      </c>
      <c r="D69" s="350">
        <f>'REMUNERACION_OCCIDENTE_ Directa'!D131</f>
        <v>381197398.85000002</v>
      </c>
      <c r="E69" s="350">
        <f>'REMUNERACION_OCCIDENTE_ Directa'!E131</f>
        <v>437900</v>
      </c>
      <c r="F69" s="351"/>
      <c r="G69" s="350">
        <f>'REMUNERACION_OCCIDENTE_ Directa'!G131</f>
        <v>6119902</v>
      </c>
      <c r="H69" s="350">
        <f>'REMUNERACION_OCCIDENTE_ Directa'!H131</f>
        <v>317535380.75</v>
      </c>
      <c r="I69" s="350">
        <f>'REMUNERACION_OCCIDENTE_ Directa'!I131</f>
        <v>0</v>
      </c>
      <c r="J69" s="350">
        <f>'REMUNERACION_OCCIDENTE_ Directa'!J131</f>
        <v>-13082062.869999999</v>
      </c>
      <c r="K69" s="350">
        <f>'REMUNERACION_OCCIDENTE_ Directa'!K131</f>
        <v>7070407</v>
      </c>
      <c r="L69" s="350">
        <f>'REMUNERACION_OCCIDENTE_ Directa'!L131</f>
        <v>108246.13</v>
      </c>
      <c r="M69" s="351"/>
      <c r="N69" s="351"/>
      <c r="O69" s="352"/>
      <c r="P69" s="329"/>
      <c r="Q69" s="306"/>
    </row>
    <row r="70" spans="1:17" s="1" customFormat="1" ht="11.5" x14ac:dyDescent="0.25">
      <c r="B70" s="2"/>
      <c r="C70" s="2"/>
      <c r="D70" s="448"/>
      <c r="Q70" s="4"/>
    </row>
    <row r="71" spans="1:17" s="1" customFormat="1" ht="11.5" x14ac:dyDescent="0.25">
      <c r="B71" s="2"/>
      <c r="C71" s="2"/>
      <c r="D71" s="448"/>
      <c r="Q71" s="4"/>
    </row>
    <row r="72" spans="1:17" s="1" customFormat="1" ht="11.5" x14ac:dyDescent="0.25">
      <c r="A72" s="52"/>
      <c r="B72" s="53"/>
      <c r="C72" s="53"/>
      <c r="D72" s="454"/>
      <c r="E72" s="454"/>
      <c r="F72" s="454"/>
      <c r="G72" s="454"/>
      <c r="H72" s="454"/>
      <c r="I72" s="454"/>
      <c r="J72" s="52"/>
      <c r="K72" s="454"/>
      <c r="L72" s="454"/>
      <c r="M72" s="454"/>
      <c r="N72" s="454"/>
      <c r="O72" s="454"/>
      <c r="P72" s="52"/>
      <c r="Q72" s="4"/>
    </row>
    <row r="74" spans="1:17" s="1" customFormat="1" ht="15.5" x14ac:dyDescent="0.35">
      <c r="B74" s="8"/>
      <c r="F74" s="58" t="s">
        <v>195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ht="12" thickBot="1" x14ac:dyDescent="0.3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3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172</v>
      </c>
      <c r="K76" s="73" t="s">
        <v>143</v>
      </c>
      <c r="L76" s="73" t="s">
        <v>144</v>
      </c>
      <c r="O76" s="44"/>
      <c r="P76" s="13"/>
      <c r="Q76" s="4"/>
    </row>
    <row r="77" spans="1:17" s="305" customFormat="1" ht="11.5" x14ac:dyDescent="0.25">
      <c r="B77" s="334">
        <v>1</v>
      </c>
      <c r="C77" s="335" t="s">
        <v>10</v>
      </c>
      <c r="D77" s="308">
        <f>'REMUNERACION_EAAB-CL'!D125</f>
        <v>0</v>
      </c>
      <c r="E77" s="309">
        <f>'REMUNERACION_EAAB-CL'!E125</f>
        <v>0</v>
      </c>
      <c r="G77" s="336">
        <f>'REMUNERACION_EAAB-CL'!G125</f>
        <v>0</v>
      </c>
      <c r="H77" s="310">
        <f>'REMUNERACION_EAAB-CL'!H125</f>
        <v>0</v>
      </c>
      <c r="I77" s="309">
        <f>'REMUNERACION_EAAB-CL'!I125</f>
        <v>0</v>
      </c>
      <c r="J77" s="309">
        <f>'REMUNERACION_EAAB-CL'!J125</f>
        <v>0</v>
      </c>
      <c r="K77" s="309">
        <f>'REMUNERACION_EAAB-CL'!K125</f>
        <v>0</v>
      </c>
      <c r="L77" s="309">
        <f>'REMUNERACION_EAAB-CL'!L125</f>
        <v>0</v>
      </c>
      <c r="O77" s="337"/>
      <c r="Q77" s="306"/>
    </row>
    <row r="78" spans="1:17" s="305" customFormat="1" ht="11.5" x14ac:dyDescent="0.25">
      <c r="B78" s="314">
        <v>2</v>
      </c>
      <c r="C78" s="338" t="s">
        <v>11</v>
      </c>
      <c r="D78" s="292">
        <f>'REMUNERACION_EAAB-CL'!D126</f>
        <v>0</v>
      </c>
      <c r="E78" s="288">
        <f>'REMUNERACION_EAAB-CL'!E126</f>
        <v>0</v>
      </c>
      <c r="G78" s="339">
        <f>'REMUNERACION_EAAB-CL'!G126</f>
        <v>0</v>
      </c>
      <c r="H78" s="340">
        <f>'REMUNERACION_EAAB-CL'!H126</f>
        <v>0</v>
      </c>
      <c r="I78" s="288">
        <f>'REMUNERACION_EAAB-CL'!I126</f>
        <v>0</v>
      </c>
      <c r="J78" s="288">
        <f>'REMUNERACION_EAAB-CL'!J126</f>
        <v>0</v>
      </c>
      <c r="K78" s="288">
        <f>'REMUNERACION_EAAB-CL'!K126</f>
        <v>0</v>
      </c>
      <c r="L78" s="288">
        <f>'REMUNERACION_EAAB-CL'!L126</f>
        <v>0</v>
      </c>
      <c r="O78" s="337"/>
      <c r="Q78" s="306"/>
    </row>
    <row r="79" spans="1:17" s="305" customFormat="1" ht="11.5" x14ac:dyDescent="0.25">
      <c r="B79" s="314">
        <v>3</v>
      </c>
      <c r="C79" s="338" t="s">
        <v>12</v>
      </c>
      <c r="D79" s="292">
        <f>'REMUNERACION_EAAB-CL'!D127</f>
        <v>0</v>
      </c>
      <c r="E79" s="288">
        <f>'REMUNERACION_EAAB-CL'!E127</f>
        <v>0</v>
      </c>
      <c r="G79" s="339">
        <f>'REMUNERACION_EAAB-CL'!G127</f>
        <v>0</v>
      </c>
      <c r="H79" s="340">
        <f>'REMUNERACION_EAAB-CL'!H127</f>
        <v>0</v>
      </c>
      <c r="I79" s="288">
        <f>'REMUNERACION_EAAB-CL'!I127</f>
        <v>0</v>
      </c>
      <c r="J79" s="288">
        <f>'REMUNERACION_EAAB-CL'!J127</f>
        <v>0</v>
      </c>
      <c r="K79" s="288">
        <f>'REMUNERACION_EAAB-CL'!K127</f>
        <v>0</v>
      </c>
      <c r="L79" s="288">
        <f>'REMUNERACION_EAAB-CL'!L127</f>
        <v>0</v>
      </c>
      <c r="O79" s="337"/>
      <c r="Q79" s="306"/>
    </row>
    <row r="80" spans="1:17" s="305" customFormat="1" ht="11.5" x14ac:dyDescent="0.25">
      <c r="B80" s="314">
        <v>4</v>
      </c>
      <c r="C80" s="338" t="s">
        <v>13</v>
      </c>
      <c r="D80" s="292">
        <f>'REMUNERACION_EAAB-CL'!D128</f>
        <v>0</v>
      </c>
      <c r="E80" s="288">
        <f>'REMUNERACION_EAAB-CL'!E128</f>
        <v>0</v>
      </c>
      <c r="G80" s="339">
        <f>'REMUNERACION_EAAB-CL'!G128</f>
        <v>0</v>
      </c>
      <c r="H80" s="340">
        <f>'REMUNERACION_EAAB-CL'!H128</f>
        <v>0</v>
      </c>
      <c r="I80" s="288">
        <f>'REMUNERACION_EAAB-CL'!I128</f>
        <v>0</v>
      </c>
      <c r="J80" s="288">
        <f>'REMUNERACION_EAAB-CL'!J128</f>
        <v>0</v>
      </c>
      <c r="K80" s="288">
        <f>'REMUNERACION_EAAB-CL'!K128</f>
        <v>0</v>
      </c>
      <c r="L80" s="288">
        <f>'REMUNERACION_EAAB-CL'!L128</f>
        <v>0</v>
      </c>
      <c r="O80" s="337"/>
      <c r="Q80" s="306"/>
    </row>
    <row r="81" spans="1:17" s="305" customFormat="1" ht="11.5" x14ac:dyDescent="0.25">
      <c r="B81" s="341">
        <v>5</v>
      </c>
      <c r="C81" s="342" t="s">
        <v>14</v>
      </c>
      <c r="D81" s="292">
        <f>'REMUNERACION_EAAB-CL'!D129</f>
        <v>0</v>
      </c>
      <c r="E81" s="344">
        <f>'REMUNERACION_EAAB-CL'!E129</f>
        <v>0</v>
      </c>
      <c r="G81" s="339">
        <f>'REMUNERACION_EAAB-CL'!G129</f>
        <v>0</v>
      </c>
      <c r="H81" s="340">
        <f>'REMUNERACION_EAAB-CL'!H129</f>
        <v>0</v>
      </c>
      <c r="I81" s="288">
        <f>'REMUNERACION_EAAB-CL'!I129</f>
        <v>0</v>
      </c>
      <c r="J81" s="288">
        <f>'REMUNERACION_EAAB-CL'!J129</f>
        <v>0</v>
      </c>
      <c r="K81" s="288">
        <f>'REMUNERACION_EAAB-CL'!K129</f>
        <v>0</v>
      </c>
      <c r="L81" s="288">
        <f>'REMUNERACION_EAAB-CL'!L129</f>
        <v>0</v>
      </c>
      <c r="O81" s="337"/>
      <c r="Q81" s="306"/>
    </row>
    <row r="82" spans="1:17" s="305" customFormat="1" ht="12" thickBot="1" x14ac:dyDescent="0.3">
      <c r="B82" s="324" t="s">
        <v>89</v>
      </c>
      <c r="C82" s="345" t="s">
        <v>113</v>
      </c>
      <c r="D82" s="297">
        <f>'REMUNERACION_EAAB-CL'!D130</f>
        <v>0</v>
      </c>
      <c r="E82" s="289">
        <f>'REMUNERACION_EAAB-CL'!E130</f>
        <v>0</v>
      </c>
      <c r="G82" s="346">
        <f>'REMUNERACION_EAAB-CL'!G130</f>
        <v>0</v>
      </c>
      <c r="H82" s="347">
        <f>'REMUNERACION_EAAB-CL'!H130</f>
        <v>0</v>
      </c>
      <c r="I82" s="289">
        <f>'REMUNERACION_EAAB-CL'!I130</f>
        <v>0</v>
      </c>
      <c r="J82" s="289">
        <f>'REMUNERACION_EAAB-CL'!J130</f>
        <v>0</v>
      </c>
      <c r="K82" s="289">
        <f>'REMUNERACION_EAAB-CL'!K130</f>
        <v>0</v>
      </c>
      <c r="L82" s="289">
        <f>'REMUNERACION_EAAB-CL'!L130</f>
        <v>0</v>
      </c>
      <c r="O82" s="337"/>
      <c r="Q82" s="306"/>
    </row>
    <row r="83" spans="1:17" s="305" customFormat="1" ht="12" thickBot="1" x14ac:dyDescent="0.3">
      <c r="B83" s="348"/>
      <c r="C83" s="349" t="s">
        <v>2</v>
      </c>
      <c r="D83" s="350">
        <f>'REMUNERACION_EAAB-CL'!D131</f>
        <v>0</v>
      </c>
      <c r="E83" s="350">
        <f>'REMUNERACION_EAAB-CL'!E131</f>
        <v>0</v>
      </c>
      <c r="F83" s="351"/>
      <c r="G83" s="350">
        <f>'REMUNERACION_EAAB-CL'!G131</f>
        <v>0</v>
      </c>
      <c r="H83" s="350">
        <f>'REMUNERACION_EAAB-CL'!H131</f>
        <v>0</v>
      </c>
      <c r="I83" s="350">
        <f>'REMUNERACION_EAAB-CL'!I131</f>
        <v>0</v>
      </c>
      <c r="J83" s="350">
        <f>'REMUNERACION_EAAB-CL'!J131</f>
        <v>0</v>
      </c>
      <c r="K83" s="350">
        <f>'REMUNERACION_EAAB-CL'!K131</f>
        <v>0</v>
      </c>
      <c r="L83" s="350">
        <f>'REMUNERACION_EAAB-CL'!L131</f>
        <v>0</v>
      </c>
      <c r="M83" s="351"/>
      <c r="N83" s="351"/>
      <c r="O83" s="352"/>
      <c r="P83" s="329"/>
      <c r="Q83" s="306"/>
    </row>
    <row r="84" spans="1:17" s="1" customFormat="1" ht="11.5" x14ac:dyDescent="0.25">
      <c r="B84" s="2"/>
      <c r="C84" s="2"/>
      <c r="D84" s="448"/>
      <c r="Q84" s="4"/>
    </row>
    <row r="85" spans="1:17" s="1" customFormat="1" ht="11.5" x14ac:dyDescent="0.25">
      <c r="B85" s="2"/>
      <c r="C85" s="2"/>
      <c r="D85" s="448"/>
      <c r="Q85" s="4"/>
    </row>
    <row r="86" spans="1:17" s="1" customFormat="1" ht="11.5" x14ac:dyDescent="0.25">
      <c r="A86" s="52"/>
      <c r="B86" s="53"/>
      <c r="C86" s="53"/>
      <c r="D86" s="454"/>
      <c r="E86" s="454"/>
      <c r="F86" s="454"/>
      <c r="G86" s="454"/>
      <c r="H86" s="454"/>
      <c r="I86" s="454"/>
      <c r="J86" s="52"/>
      <c r="K86" s="454"/>
      <c r="L86" s="454"/>
      <c r="M86" s="454"/>
      <c r="N86" s="454"/>
      <c r="O86" s="454"/>
      <c r="P86" s="52"/>
      <c r="Q86" s="4"/>
    </row>
    <row r="88" spans="1:17" ht="15.5" x14ac:dyDescent="0.35">
      <c r="F88" s="41" t="s">
        <v>191</v>
      </c>
    </row>
    <row r="89" spans="1:17" s="1" customFormat="1" ht="15.5" x14ac:dyDescent="0.35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ht="12" thickBot="1" x14ac:dyDescent="0.3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3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172</v>
      </c>
      <c r="K91" s="73" t="s">
        <v>143</v>
      </c>
      <c r="L91" s="73" t="s">
        <v>144</v>
      </c>
      <c r="O91" s="44"/>
      <c r="P91" s="13"/>
      <c r="Q91" s="4"/>
    </row>
    <row r="92" spans="1:17" s="305" customFormat="1" ht="11.5" x14ac:dyDescent="0.25">
      <c r="B92" s="334">
        <v>1</v>
      </c>
      <c r="C92" s="335" t="s">
        <v>10</v>
      </c>
      <c r="D92" s="308">
        <f>D6-(D21+D35+D49++D63+D77)</f>
        <v>0</v>
      </c>
      <c r="E92" s="308">
        <f>E6-(E21+E35+E49++E63+E77)</f>
        <v>0</v>
      </c>
      <c r="G92" s="336">
        <f>G6-(G21+G35+G49+G63+G77)</f>
        <v>0</v>
      </c>
      <c r="H92" s="336">
        <f t="shared" ref="H92:L92" si="0">H6-(H21+H35+H49+H63+H77)</f>
        <v>0</v>
      </c>
      <c r="I92" s="336">
        <f t="shared" si="0"/>
        <v>0</v>
      </c>
      <c r="J92" s="336">
        <f t="shared" si="0"/>
        <v>0</v>
      </c>
      <c r="K92" s="336">
        <f t="shared" si="0"/>
        <v>0</v>
      </c>
      <c r="L92" s="336">
        <f t="shared" si="0"/>
        <v>0</v>
      </c>
      <c r="O92" s="337"/>
      <c r="Q92" s="306"/>
    </row>
    <row r="93" spans="1:17" s="305" customFormat="1" ht="11.5" x14ac:dyDescent="0.25">
      <c r="B93" s="314">
        <v>2</v>
      </c>
      <c r="C93" s="338" t="s">
        <v>11</v>
      </c>
      <c r="D93" s="292">
        <f t="shared" ref="D93:E98" si="1">D7-(D22+D36+D50++D64+D78)</f>
        <v>0</v>
      </c>
      <c r="E93" s="292">
        <f t="shared" si="1"/>
        <v>0</v>
      </c>
      <c r="G93" s="339">
        <f t="shared" ref="G93:L98" si="2">G7-(G22+G36+G50+G64+G78)</f>
        <v>0</v>
      </c>
      <c r="H93" s="339">
        <f t="shared" si="2"/>
        <v>0</v>
      </c>
      <c r="I93" s="339">
        <f t="shared" si="2"/>
        <v>0</v>
      </c>
      <c r="J93" s="339">
        <f t="shared" si="2"/>
        <v>0</v>
      </c>
      <c r="K93" s="339">
        <f t="shared" si="2"/>
        <v>0</v>
      </c>
      <c r="L93" s="339">
        <f t="shared" si="2"/>
        <v>0</v>
      </c>
      <c r="O93" s="337"/>
      <c r="Q93" s="306"/>
    </row>
    <row r="94" spans="1:17" s="305" customFormat="1" ht="11.5" x14ac:dyDescent="0.25">
      <c r="B94" s="314">
        <v>3</v>
      </c>
      <c r="C94" s="338" t="s">
        <v>12</v>
      </c>
      <c r="D94" s="292">
        <f t="shared" si="1"/>
        <v>0</v>
      </c>
      <c r="E94" s="292">
        <f t="shared" si="1"/>
        <v>0</v>
      </c>
      <c r="G94" s="339">
        <f t="shared" si="2"/>
        <v>0</v>
      </c>
      <c r="H94" s="339">
        <f t="shared" si="2"/>
        <v>0</v>
      </c>
      <c r="I94" s="339">
        <f t="shared" si="2"/>
        <v>0</v>
      </c>
      <c r="J94" s="339">
        <f t="shared" si="2"/>
        <v>0</v>
      </c>
      <c r="K94" s="339">
        <f t="shared" si="2"/>
        <v>0</v>
      </c>
      <c r="L94" s="339">
        <f t="shared" si="2"/>
        <v>0</v>
      </c>
      <c r="O94" s="337"/>
      <c r="Q94" s="306"/>
    </row>
    <row r="95" spans="1:17" s="305" customFormat="1" ht="11.5" x14ac:dyDescent="0.25">
      <c r="B95" s="314">
        <v>4</v>
      </c>
      <c r="C95" s="338" t="s">
        <v>13</v>
      </c>
      <c r="D95" s="292">
        <f t="shared" si="1"/>
        <v>0</v>
      </c>
      <c r="E95" s="292">
        <f t="shared" si="1"/>
        <v>0</v>
      </c>
      <c r="G95" s="339">
        <f t="shared" si="2"/>
        <v>0</v>
      </c>
      <c r="H95" s="339">
        <f t="shared" si="2"/>
        <v>0</v>
      </c>
      <c r="I95" s="339">
        <f t="shared" si="2"/>
        <v>0</v>
      </c>
      <c r="J95" s="339">
        <f t="shared" si="2"/>
        <v>0</v>
      </c>
      <c r="K95" s="339">
        <f t="shared" si="2"/>
        <v>0</v>
      </c>
      <c r="L95" s="339">
        <f t="shared" si="2"/>
        <v>0</v>
      </c>
      <c r="O95" s="337"/>
      <c r="Q95" s="306"/>
    </row>
    <row r="96" spans="1:17" s="305" customFormat="1" ht="11.5" x14ac:dyDescent="0.25">
      <c r="B96" s="341">
        <v>5</v>
      </c>
      <c r="C96" s="342" t="s">
        <v>14</v>
      </c>
      <c r="D96" s="292">
        <f t="shared" si="1"/>
        <v>0</v>
      </c>
      <c r="E96" s="292">
        <f t="shared" si="1"/>
        <v>0</v>
      </c>
      <c r="G96" s="339">
        <f t="shared" si="2"/>
        <v>0</v>
      </c>
      <c r="H96" s="339">
        <f t="shared" si="2"/>
        <v>0</v>
      </c>
      <c r="I96" s="339">
        <f t="shared" si="2"/>
        <v>0</v>
      </c>
      <c r="J96" s="339">
        <f t="shared" si="2"/>
        <v>0</v>
      </c>
      <c r="K96" s="339">
        <f t="shared" si="2"/>
        <v>0</v>
      </c>
      <c r="L96" s="339">
        <f t="shared" si="2"/>
        <v>0</v>
      </c>
      <c r="O96" s="337"/>
      <c r="Q96" s="306"/>
    </row>
    <row r="97" spans="1:17" s="305" customFormat="1" ht="12" thickBot="1" x14ac:dyDescent="0.3">
      <c r="B97" s="324" t="s">
        <v>89</v>
      </c>
      <c r="C97" s="345" t="s">
        <v>113</v>
      </c>
      <c r="D97" s="297">
        <f t="shared" si="1"/>
        <v>0</v>
      </c>
      <c r="E97" s="297">
        <f t="shared" si="1"/>
        <v>0</v>
      </c>
      <c r="G97" s="346">
        <f t="shared" si="2"/>
        <v>0</v>
      </c>
      <c r="H97" s="346">
        <f t="shared" si="2"/>
        <v>0</v>
      </c>
      <c r="I97" s="346">
        <f t="shared" si="2"/>
        <v>0</v>
      </c>
      <c r="J97" s="346">
        <f t="shared" si="2"/>
        <v>0</v>
      </c>
      <c r="K97" s="346">
        <f t="shared" si="2"/>
        <v>0</v>
      </c>
      <c r="L97" s="346">
        <f t="shared" si="2"/>
        <v>0</v>
      </c>
      <c r="O97" s="337"/>
      <c r="Q97" s="306"/>
    </row>
    <row r="98" spans="1:17" s="305" customFormat="1" ht="12" thickBot="1" x14ac:dyDescent="0.3">
      <c r="B98" s="348"/>
      <c r="C98" s="349" t="s">
        <v>2</v>
      </c>
      <c r="D98" s="350">
        <f t="shared" si="1"/>
        <v>0</v>
      </c>
      <c r="E98" s="350">
        <f t="shared" si="1"/>
        <v>0</v>
      </c>
      <c r="F98" s="351"/>
      <c r="G98" s="350">
        <f t="shared" si="2"/>
        <v>0</v>
      </c>
      <c r="H98" s="350">
        <f t="shared" si="2"/>
        <v>0</v>
      </c>
      <c r="I98" s="350">
        <f t="shared" si="2"/>
        <v>0</v>
      </c>
      <c r="J98" s="350">
        <f t="shared" si="2"/>
        <v>0</v>
      </c>
      <c r="K98" s="350">
        <f t="shared" si="2"/>
        <v>0</v>
      </c>
      <c r="L98" s="350">
        <f t="shared" si="2"/>
        <v>0</v>
      </c>
      <c r="M98" s="351"/>
      <c r="N98" s="351"/>
      <c r="O98" s="352"/>
      <c r="P98" s="329"/>
      <c r="Q98" s="306"/>
    </row>
    <row r="99" spans="1:17" s="1" customFormat="1" ht="11.5" x14ac:dyDescent="0.25">
      <c r="B99" s="2"/>
      <c r="C99" s="2"/>
      <c r="D99" s="448"/>
      <c r="Q99" s="4"/>
    </row>
    <row r="100" spans="1:17" s="1" customFormat="1" ht="11.5" x14ac:dyDescent="0.25">
      <c r="B100" s="2"/>
      <c r="C100" s="2"/>
      <c r="D100" s="448"/>
      <c r="L100" s="1" t="s">
        <v>1</v>
      </c>
      <c r="Q100" s="4"/>
    </row>
    <row r="101" spans="1:17" s="1" customFormat="1" ht="11.5" x14ac:dyDescent="0.25">
      <c r="A101" s="52"/>
      <c r="B101" s="53"/>
      <c r="C101" s="53"/>
      <c r="D101" s="454"/>
      <c r="E101" s="454"/>
      <c r="F101" s="454"/>
      <c r="G101" s="454"/>
      <c r="H101" s="454"/>
      <c r="I101" s="454"/>
      <c r="J101" s="52"/>
      <c r="K101" s="454"/>
      <c r="L101" s="454"/>
      <c r="M101" s="454"/>
      <c r="N101" s="454"/>
      <c r="O101" s="454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G11" sqref="G11"/>
    </sheetView>
  </sheetViews>
  <sheetFormatPr baseColWidth="10" defaultRowHeight="12.5" x14ac:dyDescent="0.25"/>
  <cols>
    <col min="1" max="1" width="4.81640625" customWidth="1"/>
    <col min="2" max="2" width="10" customWidth="1"/>
    <col min="3" max="3" width="20.453125" bestFit="1" customWidth="1"/>
    <col min="4" max="4" width="17.1796875" customWidth="1"/>
    <col min="5" max="5" width="16.1796875" customWidth="1"/>
    <col min="6" max="6" width="21" bestFit="1" customWidth="1"/>
  </cols>
  <sheetData>
    <row r="1" spans="2:9" ht="13" thickBot="1" x14ac:dyDescent="0.3"/>
    <row r="2" spans="2:9" ht="15" thickBot="1" x14ac:dyDescent="0.4">
      <c r="C2" s="526">
        <v>2026092</v>
      </c>
      <c r="D2" s="527" t="s">
        <v>223</v>
      </c>
      <c r="E2" s="527" t="s">
        <v>202</v>
      </c>
      <c r="F2" s="143"/>
      <c r="G2" s="143"/>
      <c r="H2" s="143"/>
      <c r="I2" s="143"/>
    </row>
    <row r="3" spans="2:9" ht="14.5" x14ac:dyDescent="0.35">
      <c r="B3" s="577">
        <v>0</v>
      </c>
      <c r="C3" s="537" t="s">
        <v>203</v>
      </c>
      <c r="D3" s="528">
        <v>0</v>
      </c>
      <c r="E3" s="538">
        <v>0</v>
      </c>
      <c r="F3" s="529"/>
      <c r="G3" s="143"/>
      <c r="H3" s="143"/>
      <c r="I3" s="143"/>
    </row>
    <row r="4" spans="2:9" ht="14.5" x14ac:dyDescent="0.35">
      <c r="B4" s="578">
        <v>0</v>
      </c>
      <c r="C4" s="539" t="s">
        <v>203</v>
      </c>
      <c r="D4" s="530">
        <v>0</v>
      </c>
      <c r="E4" s="540"/>
      <c r="F4" s="532"/>
      <c r="G4" s="143"/>
      <c r="H4" s="143"/>
      <c r="I4" s="143"/>
    </row>
    <row r="5" spans="2:9" ht="14.5" x14ac:dyDescent="0.35">
      <c r="B5" s="578">
        <v>0</v>
      </c>
      <c r="C5" s="541" t="s">
        <v>204</v>
      </c>
      <c r="D5" s="542">
        <v>0</v>
      </c>
      <c r="E5" s="543">
        <v>0</v>
      </c>
      <c r="F5" s="532"/>
      <c r="G5" s="143"/>
      <c r="H5" s="143"/>
      <c r="I5" s="143"/>
    </row>
    <row r="6" spans="2:9" ht="15" thickBot="1" x14ac:dyDescent="0.4">
      <c r="B6" s="579">
        <v>0</v>
      </c>
      <c r="C6" s="541" t="s">
        <v>204</v>
      </c>
      <c r="D6" s="542">
        <v>0</v>
      </c>
      <c r="E6" s="544"/>
      <c r="F6" s="532"/>
      <c r="G6" s="143"/>
      <c r="H6" s="143"/>
      <c r="I6" s="143"/>
    </row>
    <row r="7" spans="2:9" ht="14.5" x14ac:dyDescent="0.35">
      <c r="B7" t="s">
        <v>1</v>
      </c>
      <c r="C7" s="545" t="s">
        <v>340</v>
      </c>
      <c r="D7" s="546">
        <v>68200068115</v>
      </c>
      <c r="E7" s="533">
        <v>68245142592</v>
      </c>
      <c r="F7" s="534" t="b">
        <v>1</v>
      </c>
      <c r="G7" s="143"/>
      <c r="H7" s="143"/>
      <c r="I7" s="143"/>
    </row>
    <row r="8" spans="2:9" ht="14.5" x14ac:dyDescent="0.35">
      <c r="C8" s="545" t="s">
        <v>326</v>
      </c>
      <c r="D8" s="546">
        <v>38870386</v>
      </c>
      <c r="E8" s="758"/>
      <c r="F8" s="534"/>
      <c r="G8" s="143"/>
      <c r="H8" s="143"/>
      <c r="I8" s="143"/>
    </row>
    <row r="9" spans="2:9" ht="14.5" x14ac:dyDescent="0.35">
      <c r="B9" t="s">
        <v>1</v>
      </c>
      <c r="C9" s="545" t="s">
        <v>205</v>
      </c>
      <c r="D9" s="546">
        <v>6204091</v>
      </c>
      <c r="E9" s="531"/>
      <c r="F9" s="532"/>
      <c r="G9" s="143"/>
      <c r="H9" s="143"/>
      <c r="I9" s="143"/>
    </row>
    <row r="10" spans="2:9" ht="15" thickBot="1" x14ac:dyDescent="0.4">
      <c r="C10" s="547" t="s">
        <v>206</v>
      </c>
      <c r="D10" s="535">
        <v>5736574007</v>
      </c>
      <c r="E10" s="535">
        <v>5736574007</v>
      </c>
      <c r="F10" s="536">
        <v>73981716599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202609-2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DetRetri2026092</vt:lpstr>
      <vt:lpstr>DetValiRetri2026092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Baracaldo Torres Nancy</cp:lastModifiedBy>
  <cp:lastPrinted>2024-12-17T18:14:41Z</cp:lastPrinted>
  <dcterms:created xsi:type="dcterms:W3CDTF">2003-01-13T14:55:35Z</dcterms:created>
  <dcterms:modified xsi:type="dcterms:W3CDTF">2026-10-05T11:36:22Z</dcterms:modified>
</cp:coreProperties>
</file>