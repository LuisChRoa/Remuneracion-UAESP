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Julio-1/"/>
    </mc:Choice>
  </mc:AlternateContent>
  <xr:revisionPtr revIDLastSave="4" documentId="13_ncr:1_{5D2C18D4-83B1-43CD-9FDD-CBF11A1D83F4}" xr6:coauthVersionLast="47" xr6:coauthVersionMax="47" xr10:uidLastSave="{DC068FA2-B08D-419B-BA49-D16C8D0F1E22}"/>
  <x:bookViews>
    <x:workbookView xWindow="-108" yWindow="-108" windowWidth="23256" windowHeight="12456" tabRatio="780" firstSheet="14" activeTab="14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1" sheetId="93" r:id="rId36"/>
    <x:sheet name="DetValiRetri2026071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R1'!$A$5:$X$30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<x:sst xmlns:x="http://schemas.openxmlformats.org/spreadsheetml/2006/main" count="7547" uniqueCount="345">
  <x:si>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</x:si>
  <x:si>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</x:si>
  <x:si>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</x:si>
  <x:si>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</x:si>
  <x:si>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</x:si>
  <x:si>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</x:si>
  <x:si>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</x:si>
  <x:si>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</x:si>
  <x:si>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</x:si>
  <x:si>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</x:si>
  <x:si>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</x:si>
  <x:si>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</x:si>
  <x:si>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</x:si>
  <x:si>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</x:si>
  <x:si>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</x:si>
  <x:si>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</x:si>
  <x:si>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</x:si>
  <x:si>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</x:si>
  <x:si>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</x:si>
  <x:si>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</x:si>
  <x:si>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</x:si>
  <x:si>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</x:si>
  <x:si>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</x:si>
  <x:si>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</x:si>
  <x:si>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</x:si>
  <x:si>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</x:si>
  <x:si>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</x:si>
  <x:si>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</x:si>
  <x:si>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</x:si>
  <x:si>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</x:si>
  <x:si>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</x:si>
  <x:si>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</x:si>
  <x:si>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</x:si>
  <x:si>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</x:si>
  <x:si>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</x:si>
  <x:si>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</x:si>
  <x:si>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</x:si>
  <x:si>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</x:si>
  <x:si>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</x:si>
  <x:si>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</x:si>
  <x:si>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</x:si>
  <x:si>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</x:si>
  <x:si>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</x:si>
  <x:si>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</x:si>
  <x:si>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</x:si>
  <x:si>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</x:si>
  <x:si>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</x:si>
  <x:si>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</x:si>
  <x:si>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</x:si>
  <x:si>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</x:si>
  <x:si>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</x:si>
  <x:si>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</x:si>
  <x:si>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</x:si>
  <x:si>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</x:si>
  <x:si>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</x:si>
  <x:si>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</x:si>
  <x:si>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</x:si>
  <x:si>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</x:si>
  <x:si>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</x:si>
  <x:si>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</x:si>
  <x:si>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</x:si>
  <x:si>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</x:si>
  <x:si>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</x:si>
  <x:si>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</x:si>
  <x:si>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</x:si>
  <x:si>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</x:si>
  <x:si>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</x:si>
  <x:si>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</x:si>
  <x:si>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</x:si>
  <x:si>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</x:si>
  <x:si>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</x:si>
  <x:si>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</x:si>
  <x:si>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</x:si>
  <x:si>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</x:si>
  <x:si>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</x:si>
  <x:si>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</x:si>
  <x:si>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</x:si>
  <x:si>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</x:si>
  <x:si>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</x:si>
  <x:si>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</x:si>
  <x:si>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</x:si>
  <x:si>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</x:si>
  <x:si>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</x:si>
  <x:si>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</x:si>
  <x:si>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</x:si>
  <x:si>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</x:si>
  <x:si>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</x:si>
  <x:si>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</x:si>
  <x:si>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</x:si>
  <x:si>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</x:si>
  <x:si>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</x:si>
  <x:si>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</x:si>
  <x:si>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</x:si>
  <x:si>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</x:si>
  <x:si>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</x:si>
  <x:si>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</x:si>
  <x:si>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</x:si>
  <x:si>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</x:si>
  <x:si>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</x:si>
  <x:si>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</x:si>
  <x:si>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</x:si>
  <x:si>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</x:si>
  <x:si>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</x:si>
  <x:si>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</x:si>
  <x:si>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</x:si>
  <x:si>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</x:si>
  <x:si>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</x:si>
  <x:si>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</x:si>
  <x:si>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</x:si>
  <x:si>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</x:si>
  <x:si>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</x:si>
  <x:si>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</x:si>
  <x:si>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</x:si>
  <x:si>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</x:si>
  <x:si>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</x:si>
  <x:si>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</x:si>
  <x:si>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</x:si>
  <x:si>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</x:si>
  <x:si>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</x:si>
  <x:si>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</x:si>
  <x:si>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</x:si>
  <x:si>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</x:si>
  <x:si>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</x:si>
  <x:si>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</x:si>
  <x:si>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</x:si>
  <x:si>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</x:si>
  <x:si>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</x:si>
  <x:si>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</x:si>
  <x:si>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</x:si>
  <x:si>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</x:si>
  <x:si>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</x:si>
  <x:si>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</x:si>
  <x:si>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</x:si>
  <x:si>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</x:si>
  <x:si>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</x:si>
  <x:si>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</x:si>
  <x:si>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</x:si>
  <x:si>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</x:si>
  <x:si>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</x:si>
  <x:si>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</x:si>
  <x:si>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</x:si>
  <x:si>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</x:si>
  <x:si>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</x:si>
  <x:si>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</x:si>
  <x:si>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</x:si>
  <x:si>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</x:si>
  <x:si>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</x:si>
  <x:si>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</x:si>
  <x:si>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</x:si>
  <x:si>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</x:si>
  <x:si>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</x:si>
  <x:si>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</x:si>
  <x:si>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</x:si>
  <x:si>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</x:si>
  <x:si>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</x:si>
  <x:si>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</x:si>
  <x:si>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</x:si>
  <x:si>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</x:si>
  <x:si>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</x:si>
  <x:si>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</x:si>
  <x:si>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</x:si>
  <x:si>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</x:si>
  <x:si>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</x:si>
  <x:si>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</x:si>
  <x:si>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</x:si>
  <x:si>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</x:si>
  <x:si>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</x:si>
  <x:si>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</x:si>
  <x:si>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</x:si>
  <x:si>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</x:si>
  <x:si>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</x:si>
  <x:si>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</x:si>
  <x:si>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</x:si>
  <x:si>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</x:si>
  <x:si>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</x:si>
  <x:si>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</x:si>
  <x:si>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</x:si>
  <x:si>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</x:si>
  <x:si>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</x:si>
  <x:si>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</x:si>
  <x:si>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</x:si>
  <x:si>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</x:si>
  <x:si>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</x:si>
  <x:si>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</x:si>
  <x:si>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</x:si>
  <x:si>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</x:si>
  <x:si>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</x:si>
  <x:si>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</x:si>
  <x:si>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</x:si>
  <x:si>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</x:si>
  <x:si>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</x:si>
  <x:si>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</x:si>
  <x:si>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</x:si>
  <x:si>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</x:si>
  <x:si>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</x:si>
  <x:si>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</x:si>
  <x:si>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</x:si>
  <x:si>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</x:si>
  <x:si>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</x:si>
  <x:si>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</x:si>
  <x:si>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</x:si>
  <x:si>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</x:si>
  <x:si>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</x:si>
  <x:si>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</x:si>
  <x:si>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ENEL / RECIP.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</x:si>
  <x:si>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</x:si>
  <x:si>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</x:si>
  <x:si>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</x:si>
  <x:si>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</x:si>
  <x:si>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</x:si>
  <x:si>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</x:si>
  <x:si>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</x:si>
  <x:si>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</x:si>
  <x:si>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</x:si>
  <x:si>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</x:si>
  <x:si>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</x:si>
  <x:si>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</x:si>
  <x:si>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</x:si>
  <x:si>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</x:si>
  <x:si>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</x:si>
  <x:si>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</x:si>
  <x:si>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</x:si>
  <x:si>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 Rec.Intereses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</x:si>
  <x:si>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</x:si>
  <x:si>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</x:si>
  <x:si>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</x:si>
  <x:si>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</x:si>
  <x:si>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</x:si>
  <x:si>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</x:si>
  <x:si>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</x:si>
  <x:si>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</x:si>
  <x:si>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</x:si>
  <x:si>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</x:si>
  <x:si>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</x:si>
  <x:si>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</x:si>
  <x:si>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</x:si>
  <x:si>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</x:si>
  <x:si>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</x:si>
  <x:si>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</x:si>
  <x:si>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</x:si>
  <x:si>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</x:si>
  <x:si>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</x:si>
  <x:si>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</x:si>
  <x:si>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</x:si>
  <x:si>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</x:si>
  <x:si>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</x:si>
  <x:si>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</x:si>
  <x:si>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</x:si>
  <x:si>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</x:si>
  <x:si>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</x:si>
  <x:si>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</x:si>
  <x:si>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</x:si>
  <x:si>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</x:si>
  <x:si>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</x:si>
  <x:si>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</x:si>
  <x:si>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</x:si>
  <x:si>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</x:si>
  <x:si>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</x:si>
  <x:si>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</x:si>
  <x:si>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</x:si>
  <x:si>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</x:si>
  <x:si>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</x:si>
  <x:si>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</x:si>
  <x:si>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</x:si>
  <x:si>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</x:si>
  <x:si>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</x:si>
  <x:si>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</x:si>
  <x:si>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</x:si>
  <x:si>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</x:si>
  <x:si>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</x:si>
  <x:si>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</x:si>
  <x:si>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</x:si>
  <x:si>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</x:si>
  <x:si>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</x:si>
  <x:si>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</x:si>
  <x:si>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</x:si>
  <x:si>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</x:si>
  <x:si>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</x:si>
  <x:si>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</x:si>
  <x:si>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</x:si>
  <x:si>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</x:si>
  <x:si>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</x:si>
  <x:si>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</x:si>
  <x:si>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</x:si>
  <x:si>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</x:si>
  <x:si>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</x:si>
  <x:si>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</x:si>
  <x:si>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</x:si>
  <x:si>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</x:si>
  <x:si>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</x:si>
  <x:si>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</x:si>
  <x:si>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</x:si>
  <x:si>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</x:si>
  <x:si>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</x:si>
  <x:si>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</x:si>
  <x:si>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</x:si>
  <x:si>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</x:si>
  <x:si>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</x:si>
  <x:si>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</x:si>
  <x:si>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</x:si>
  <x:si>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</x:si>
  <x:si>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</x:si>
  <x:si>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</x:si>
  <x:si>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</x:si>
  <x:si>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</x:si>
  <x:si>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</x:si>
  <x:si>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</x:si>
  <x:si>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</x:si>
  <x:si>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</x:si>
  <x:si>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</x:si>
  <x:si>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</x:si>
  <x:si>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</x:si>
  <x:si>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</x:si>
  <x:si>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</x:si>
  <x:si>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</x:si>
  <x:si>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</x:si>
  <x:si>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</x:si>
  <x:si>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</x:si>
  <x:si>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</x:si>
  <x:si>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</x:si>
  <x:si>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</x:si>
  <x:si>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</x:si>
  <x:si>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</x:si>
  <x:si>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</x:si>
  <x:si>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</x:si>
  <x:si>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</x:si>
  <x:si>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</x:si>
  <x:si>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</x:si>
  <x:si>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</x:si>
  <x:si>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</x:si>
  <x:si>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</x:si>
  <x:si>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</x:si>
  <x:si>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9</x:t>
  </x:si>
  <x:si>
    <x:t>A</x:t>
  </x:si>
  <x:si>
    <x:t>QUINCENA</x:t>
  </x:si>
  <x:si>
    <x:t>Recaudo ENERBIT - ASE 1</x:t>
  </x:si>
  <x:si>
    <x:t>Recaudo ENERBIT - ASE 2</x:t>
  </x:si>
  <x:si>
    <x:t>Recaudo ENERBIT - ASE 3</x:t>
  </x:si>
  <x:si>
    <x:t>Recaudo ENERBIT - ASE 4</x:t>
  </x:si>
  <x:si>
    <x:t>2026072</x:t>
  </x:si>
  <x:si>
    <x:t>04/08/2026</x:t>
  </x:si>
  <x:si>
    <x:t>10:15 AM</x:t>
  </x:si>
  <x:si>
    <x:t>16/07/2026</x:t>
  </x:si>
  <x:si>
    <x:t>31/07/2026</x:t>
  </x:si>
  <x:si>
    <x:t>OJO/// PRIMERA QUINCENA SELECCIONAR 1; SEGUNDA QUINCENA SELECCIONAR 2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</x:si>
</x:sst>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2" fillId="0" borderId="0"/>
    <xf numFmtId="165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6" xfId="2599" applyNumberFormat="1" applyFont="1" applyBorder="1"/>
    <xf numFmtId="168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164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3" xfId="2599" applyNumberFormat="1" applyFont="1" applyFill="1" applyBorder="1"/>
    <xf numFmtId="168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44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8" fontId="25" fillId="0" borderId="57" xfId="2599" applyNumberFormat="1" applyFont="1" applyBorder="1"/>
    <xf numFmtId="168" fontId="25" fillId="0" borderId="62" xfId="2599" applyNumberFormat="1" applyFont="1" applyBorder="1"/>
    <xf numFmtId="168" fontId="25" fillId="0" borderId="59" xfId="2599" applyNumberFormat="1" applyFont="1" applyBorder="1"/>
    <xf numFmtId="165" fontId="0" fillId="0" borderId="0" xfId="0" applyNumberFormat="1"/>
    <xf numFmtId="0" fontId="20" fillId="0" borderId="57" xfId="0" applyFont="1" applyBorder="1"/>
    <xf numFmtId="168" fontId="25" fillId="0" borderId="63" xfId="2599" applyNumberFormat="1" applyFont="1" applyBorder="1"/>
    <xf numFmtId="168" fontId="25" fillId="0" borderId="50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4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8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5" xfId="2604" applyFont="1" applyBorder="1"/>
    <xf numFmtId="164" fontId="22" fillId="40" borderId="11" xfId="2604" applyFont="1" applyFill="1" applyBorder="1"/>
    <xf numFmtId="164" fontId="22" fillId="40" borderId="56" xfId="2604" applyFont="1" applyFill="1" applyBorder="1" applyAlignment="1">
      <alignment horizontal="center"/>
    </xf>
    <xf numFmtId="164" fontId="22" fillId="40" borderId="64" xfId="2604" applyFont="1" applyFill="1" applyBorder="1" applyAlignment="1">
      <alignment horizontal="center"/>
    </xf>
    <xf numFmtId="0" fontId="22" fillId="0" borderId="0" xfId="2" applyFont="1"/>
    <xf numFmtId="164" fontId="0" fillId="0" borderId="53" xfId="2604" applyFont="1" applyBorder="1"/>
    <xf numFmtId="164" fontId="0" fillId="0" borderId="54" xfId="2604" applyFont="1" applyBorder="1"/>
    <xf numFmtId="164" fontId="0" fillId="0" borderId="67" xfId="2604" applyFont="1" applyBorder="1" applyAlignment="1">
      <alignment horizontal="right"/>
    </xf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8" xfId="2604" applyFont="1" applyBorder="1"/>
    <xf numFmtId="164" fontId="0" fillId="0" borderId="59" xfId="2604" applyFont="1" applyBorder="1"/>
    <xf numFmtId="164" fontId="22" fillId="39" borderId="19" xfId="2604" applyFont="1" applyFill="1" applyBorder="1"/>
    <xf numFmtId="164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164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8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164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4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3" xfId="2601" applyFont="1" applyBorder="1"/>
    <xf numFmtId="164" fontId="0" fillId="0" borderId="57" xfId="2601" applyFont="1" applyBorder="1"/>
    <xf numFmtId="164" fontId="41" fillId="34" borderId="63" xfId="2601" applyFont="1" applyFill="1" applyBorder="1"/>
    <xf numFmtId="164" fontId="0" fillId="55" borderId="18" xfId="2601" applyFont="1" applyFill="1" applyBorder="1"/>
    <xf numFmtId="164" fontId="41" fillId="34" borderId="72" xfId="2601" applyFont="1" applyFill="1" applyBorder="1"/>
    <xf numFmtId="164" fontId="41" fillId="55" borderId="50" xfId="2601" applyFont="1" applyFill="1" applyBorder="1" applyAlignment="1">
      <alignment horizontal="left"/>
    </xf>
    <xf numFmtId="164" fontId="0" fillId="55" borderId="56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7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165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6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8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164" fontId="55" fillId="59" borderId="71" xfId="2604" applyFont="1" applyFill="1" applyBorder="1"/>
    <xf numFmtId="164" fontId="55" fillId="59" borderId="42" xfId="2604" applyFont="1" applyFill="1" applyBorder="1"/>
    <xf numFmtId="164" fontId="55" fillId="0" borderId="42" xfId="2604" applyFont="1" applyFill="1" applyBorder="1"/>
    <xf numFmtId="164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164" fontId="55" fillId="59" borderId="54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164" fontId="55" fillId="59" borderId="78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79" xfId="2604" applyFont="1" applyFill="1" applyBorder="1"/>
    <xf numFmtId="172" fontId="61" fillId="36" borderId="11" xfId="2604" applyNumberFormat="1" applyFont="1" applyFill="1" applyBorder="1"/>
    <xf numFmtId="164" fontId="61" fillId="59" borderId="11" xfId="2604" applyFont="1" applyFill="1" applyBorder="1"/>
    <xf numFmtId="164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8" xfId="2604" applyFont="1" applyFill="1" applyBorder="1"/>
    <xf numFmtId="164" fontId="19" fillId="0" borderId="3" xfId="2604" applyFont="1" applyBorder="1"/>
    <xf numFmtId="164" fontId="55" fillId="36" borderId="45" xfId="2604" applyFont="1" applyFill="1" applyBorder="1"/>
    <xf numFmtId="164" fontId="19" fillId="0" borderId="3" xfId="2604" applyFont="1" applyFill="1" applyBorder="1"/>
    <xf numFmtId="164" fontId="61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5" fillId="0" borderId="0" xfId="2617" applyNumberFormat="1"/>
    <xf numFmtId="164" fontId="65" fillId="0" borderId="3" xfId="2617" applyNumberFormat="1" applyBorder="1"/>
    <xf numFmtId="167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164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164" fontId="0" fillId="0" borderId="62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164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164" fontId="0" fillId="0" borderId="57" xfId="2601" applyFont="1" applyBorder="1" applyAlignment="1">
      <alignment vertical="top"/>
    </xf>
    <xf numFmtId="164" fontId="22" fillId="40" borderId="44" xfId="2601" applyFont="1" applyFill="1" applyBorder="1" applyAlignment="1">
      <alignment vertical="top"/>
    </xf>
    <xf numFmtId="164" fontId="22" fillId="40" borderId="3" xfId="2601" applyFont="1" applyFill="1" applyBorder="1" applyAlignment="1">
      <alignment vertical="top"/>
    </xf>
    <xf numFmtId="164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164" fontId="22" fillId="62" borderId="3" xfId="0" applyNumberFormat="1" applyFont="1" applyFill="1" applyBorder="1"/>
    <xf numFmtId="164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164" fontId="41" fillId="38" borderId="56" xfId="2601" applyFont="1" applyFill="1" applyBorder="1" applyAlignment="1">
      <alignment horizontal="center"/>
    </xf>
    <xf numFmtId="164" fontId="41" fillId="34" borderId="64" xfId="2601" applyFont="1" applyFill="1" applyBorder="1" applyAlignment="1">
      <alignment horizontal="center"/>
    </xf>
    <xf numFmtId="164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164" fontId="24" fillId="0" borderId="0" xfId="2601" applyFont="1"/>
    <xf numFmtId="165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8" fontId="0" fillId="0" borderId="3" xfId="2598" applyNumberFormat="1" applyFont="1" applyBorder="1"/>
    <xf numFmtId="168" fontId="0" fillId="42" borderId="3" xfId="0" applyNumberFormat="1" applyFill="1" applyBorder="1"/>
    <xf numFmtId="168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8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8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164" fontId="61" fillId="0" borderId="5" xfId="0" applyNumberFormat="1" applyFont="1" applyBorder="1" applyAlignment="1">
      <alignment horizontal="center"/>
    </xf>
    <xf numFmtId="164" fontId="61" fillId="0" borderId="52" xfId="0" applyNumberFormat="1" applyFont="1" applyBorder="1" applyAlignment="1">
      <alignment horizontal="center"/>
    </xf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9.xml" Id="rId29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microsoft.com/office/2017/10/relationships/person" Target="persons/person.xml" Id="rId49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0.xml" Id="rId20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topLeftCell="A21" zoomScale="94" zoomScaleNormal="94" workbookViewId="0">
      <x:selection activeCell="D31" sqref="D31"/>
    </x:sheetView>
  </x:sheetViews>
  <x:sheetFormatPr baseColWidth="10" defaultRowHeight="13.2" x14ac:dyDescent="0.25"/>
  <x:cols>
    <x:col min="1" max="1" width="2.33203125" customWidth="1"/>
    <x:col min="2" max="2" width="12.6640625" bestFit="1" customWidth="1"/>
    <x:col min="3" max="3" width="7.33203125" customWidth="1"/>
    <x:col min="4" max="4" width="15.33203125" style="151" customWidth="1"/>
    <x:col min="5" max="5" width="20.44140625" style="151" customWidth="1"/>
    <x:col min="6" max="6" width="15.33203125" style="151" customWidth="1"/>
    <x:col min="7" max="7" width="20.33203125" style="151" customWidth="1"/>
    <x:col min="8" max="8" width="3.6640625" style="151" customWidth="1"/>
    <x:col min="9" max="10" width="26.5546875" style="151" bestFit="1" customWidth="1"/>
    <x:col min="11" max="13" width="19.6640625" style="151" customWidth="1"/>
  </x:cols>
  <x:sheetData>
    <x:row r="1" spans="2:13" ht="13.8" thickBot="1" x14ac:dyDescent="0.3"/>
    <x:row r="2" spans="2:13" s="95" customFormat="1" ht="13.8" thickBot="1" x14ac:dyDescent="0.3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5">
      <x:c r="C3" s="158">
        <x:v>1</x:v>
      </x:c>
      <x:c r="D3" s="159" t="n">
        <x:v>0</x:v>
      </x:c>
      <x:c r="E3" s="159" t="n">
        <x:v>0</x:v>
      </x:c>
      <x:c r="F3" s="159">
        <x:v>0</x:v>
      </x:c>
      <x:c r="G3" s="159">
        <x:v>0</x:v>
      </x:c>
      <x:c r="J3" s="593"/>
    </x:row>
    <x:row r="4" spans="2:13" x14ac:dyDescent="0.25">
      <x:c r="C4" s="162">
        <x:v>2</x:v>
      </x:c>
      <x:c r="D4" s="159" t="n">
        <x:v>29345550</x:v>
      </x:c>
      <x:c r="E4" s="159" t="n">
        <x:v>341</x:v>
      </x:c>
      <x:c r="F4" s="159">
        <x:v>0</x:v>
      </x:c>
      <x:c r="G4" s="159">
        <x:v>0</x:v>
      </x:c>
      <x:c r="J4" s="593"/>
    </x:row>
    <x:row r="5" spans="2:13" x14ac:dyDescent="0.25">
      <x:c r="C5" s="162">
        <x:v>3</x:v>
      </x:c>
      <x:c r="D5" s="159" t="n">
        <x:v>0</x:v>
      </x:c>
      <x:c r="E5" s="159" t="n">
        <x:v>0</x:v>
      </x:c>
      <x:c r="F5" s="159">
        <x:v>0</x:v>
      </x:c>
      <x:c r="G5" s="159">
        <x:v>0</x:v>
      </x:c>
      <x:c r="J5" s="593"/>
    </x:row>
    <x:row r="6" spans="2:13" ht="13.5" customHeight="1" x14ac:dyDescent="0.25">
      <x:c r="C6" s="162">
        <x:v>4</x:v>
      </x:c>
      <x:c r="D6" s="159" t="n">
        <x:v>15240310</x:v>
      </x:c>
      <x:c r="E6" s="159" t="n">
        <x:v>108</x:v>
      </x:c>
      <x:c r="F6" s="159">
        <x:v>0</x:v>
      </x:c>
      <x:c r="G6" s="159">
        <x:v>0</x:v>
      </x:c>
      <x:c r="J6" s="593"/>
    </x:row>
    <x:row r="7" spans="2:13" ht="13.5" customHeight="1" x14ac:dyDescent="0.25">
      <x:c r="C7" s="162">
        <x:v>5</x:v>
      </x:c>
      <x:c r="D7" s="159" t="n">
        <x:v>0</x:v>
      </x:c>
      <x:c r="E7" s="159" t="n">
        <x:v>0</x:v>
      </x:c>
      <x:c r="F7" s="159">
        <x:v>0</x:v>
      </x:c>
      <x:c r="G7" s="159">
        <x:v>0</x:v>
      </x:c>
      <x:c r="J7" s="593"/>
    </x:row>
    <x:row r="8" spans="2:13" ht="13.8" thickBot="1" x14ac:dyDescent="0.3">
      <x:c r="C8" s="166" t="s">
        <x:v>89</x:v>
      </x:c>
      <x:c r="D8" s="167"/>
      <x:c r="E8" s="168"/>
      <x:c r="F8" s="168"/>
      <x:c r="G8" s="169"/>
      <x:c r="J8" s="593"/>
    </x:row>
    <x:row r="9" spans="2:13" ht="13.8" thickBot="1" x14ac:dyDescent="0.3">
      <x:c r="D9" s="170" t="n">
        <x:v>44585860</x:v>
      </x:c>
      <x:c r="E9" s="170" t="n">
        <x:v>449</x:v>
      </x:c>
      <x:c r="F9" s="170">
        <x:v>0</x:v>
      </x:c>
      <x:c r="G9" s="170">
        <x:v>0</x:v>
      </x:c>
      <x:c r="J9" s="593"/>
    </x:row>
    <x:row r="10" spans="2:13" ht="13.8" thickBot="1" x14ac:dyDescent="0.3"/>
    <x:row r="11" spans="2:13" s="95" customFormat="1" ht="13.8" thickBot="1" x14ac:dyDescent="0.3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5">
      <x:c r="B12" s="94" t="s">
        <x:v>140</x:v>
      </x:c>
      <x:c r="C12" s="158">
        <x:v>1</x:v>
      </x:c>
      <x:c r="D12" s="159" t="n">
        <x:v>0</x:v>
      </x:c>
      <x:c r="E12" s="160" t="n">
        <x:v>0</x:v>
      </x:c>
      <x:c r="F12" s="160">
        <x:v>0</x:v>
      </x:c>
      <x:c r="G12" s="161">
        <x:v>0</x:v>
      </x:c>
    </x:row>
    <x:row r="13" spans="2:13" x14ac:dyDescent="0.25">
      <x:c r="C13" s="162">
        <x:v>2</x:v>
      </x:c>
      <x:c r="D13" s="163" t="n">
        <x:v>0</x:v>
      </x:c>
      <x:c r="E13" s="164" t="n">
        <x:v>0</x:v>
      </x:c>
      <x:c r="F13" s="164">
        <x:v>0</x:v>
      </x:c>
      <x:c r="G13" s="165">
        <x:v>0</x:v>
      </x:c>
    </x:row>
    <x:row r="14" spans="2:13" x14ac:dyDescent="0.25">
      <x:c r="C14" s="162">
        <x:v>3</x:v>
      </x:c>
      <x:c r="D14" s="163" t="n">
        <x:v>0</x:v>
      </x:c>
      <x:c r="E14" s="164" t="n">
        <x:v>0</x:v>
      </x:c>
      <x:c r="F14" s="164">
        <x:v>0</x:v>
      </x:c>
      <x:c r="G14" s="165">
        <x:v>0</x:v>
      </x:c>
    </x:row>
    <x:row r="15" spans="2:13" x14ac:dyDescent="0.25">
      <x:c r="C15" s="162">
        <x:v>4</x:v>
      </x:c>
      <x:c r="D15" s="163" t="n">
        <x:v>0</x:v>
      </x:c>
      <x:c r="E15" s="164" t="n">
        <x:v>0</x:v>
      </x:c>
      <x:c r="F15" s="164">
        <x:v>0</x:v>
      </x:c>
      <x:c r="G15" s="165">
        <x:v>0</x:v>
      </x:c>
    </x:row>
    <x:row r="16" spans="2:13" x14ac:dyDescent="0.25">
      <x:c r="C16" s="162">
        <x:v>5</x:v>
      </x:c>
      <x:c r="D16" s="163" t="n">
        <x:v>0</x:v>
      </x:c>
      <x:c r="E16" s="164" t="n">
        <x:v>0</x:v>
      </x:c>
      <x:c r="F16" s="164">
        <x:v>0</x:v>
      </x:c>
      <x:c r="G16" s="165">
        <x:v>0</x:v>
      </x:c>
    </x:row>
    <x:row r="17" spans="1:11" ht="13.8" thickBot="1" x14ac:dyDescent="0.3">
      <x:c r="C17" s="166" t="s">
        <x:v>89</x:v>
      </x:c>
      <x:c r="D17" s="167"/>
      <x:c r="E17" s="168"/>
      <x:c r="F17" s="168"/>
      <x:c r="G17" s="169"/>
    </x:row>
    <x:row r="18" spans="1:11" ht="13.8" thickBot="1" x14ac:dyDescent="0.3">
      <x:c r="D18" s="170" t="n">
        <x:v>0</x:v>
      </x:c>
      <x:c r="E18" s="170" t="n">
        <x:v>0</x:v>
      </x:c>
      <x:c r="F18" s="170">
        <x:v>0</x:v>
      </x:c>
      <x:c r="G18" s="170">
        <x:v>0</x:v>
      </x:c>
    </x:row>
    <x:row r="19" spans="1:11" ht="13.8" thickBot="1" x14ac:dyDescent="0.3"/>
    <x:row r="20" spans="1:11" ht="13.8" thickBot="1" x14ac:dyDescent="0.3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x14ac:dyDescent="0.25">
      <x:c r="B21" s="186" t="s">
        <x:v>2</x:v>
      </x:c>
      <x:c r="C21" s="158">
        <x:v>1</x:v>
      </x:c>
      <x:c r="D21" s="159" t="n">
        <x:v>0</x:v>
      </x:c>
      <x:c r="E21" s="160" t="n">
        <x:v>0</x:v>
      </x:c>
      <x:c r="F21" s="160">
        <x:v>0</x:v>
      </x:c>
      <x:c r="G21" s="161">
        <x:v>0</x:v>
      </x:c>
      <x:c r="I21" s="159">
        <x:v>0</x:v>
      </x:c>
      <x:c r="J21" s="161">
        <x:v>0</x:v>
      </x:c>
    </x:row>
    <x:row r="22" spans="1:11" s="151" customFormat="1" x14ac:dyDescent="0.25">
      <x:c r="B22"/>
      <x:c r="C22" s="162">
        <x:v>2</x:v>
      </x:c>
      <x:c r="D22" s="163" t="n">
        <x:v>29345550</x:v>
      </x:c>
      <x:c r="E22" s="164" t="n">
        <x:v>341</x:v>
      </x:c>
      <x:c r="F22" s="164">
        <x:v>0</x:v>
      </x:c>
      <x:c r="G22" s="165">
        <x:v>0</x:v>
      </x:c>
      <x:c r="I22" s="163">
        <x:v>0</x:v>
      </x:c>
      <x:c r="J22" s="165">
        <x:v>0</x:v>
      </x:c>
    </x:row>
    <x:row r="23" spans="1:11" s="151" customFormat="1" x14ac:dyDescent="0.25">
      <x:c r="B23"/>
      <x:c r="C23" s="162">
        <x:v>3</x:v>
      </x:c>
      <x:c r="D23" s="163" t="n">
        <x:v>0</x:v>
      </x:c>
      <x:c r="E23" s="164" t="n">
        <x:v>0</x:v>
      </x:c>
      <x:c r="F23" s="164">
        <x:v>0</x:v>
      </x:c>
      <x:c r="G23" s="165">
        <x:v>0</x:v>
      </x:c>
      <x:c r="I23" s="163">
        <x:v>0</x:v>
      </x:c>
      <x:c r="J23" s="165">
        <x:v>0</x:v>
      </x:c>
    </x:row>
    <x:row r="24" spans="1:11" s="151" customFormat="1" x14ac:dyDescent="0.25">
      <x:c r="B24"/>
      <x:c r="C24" s="162">
        <x:v>4</x:v>
      </x:c>
      <x:c r="D24" s="163" t="n">
        <x:v>15240310</x:v>
      </x:c>
      <x:c r="E24" s="164" t="n">
        <x:v>108</x:v>
      </x:c>
      <x:c r="F24" s="164">
        <x:v>0</x:v>
      </x:c>
      <x:c r="G24" s="165">
        <x:v>0</x:v>
      </x:c>
      <x:c r="I24" s="163">
        <x:v>0</x:v>
      </x:c>
      <x:c r="J24" s="165">
        <x:v>0</x:v>
      </x:c>
    </x:row>
    <x:row r="25" spans="1:11" s="151" customFormat="1" x14ac:dyDescent="0.25">
      <x:c r="B25"/>
      <x:c r="C25" s="162">
        <x:v>5</x:v>
      </x:c>
      <x:c r="D25" s="163" t="n">
        <x:v>0</x:v>
      </x:c>
      <x:c r="E25" s="164" t="n">
        <x:v>0</x:v>
      </x:c>
      <x:c r="F25" s="164">
        <x:v>0</x:v>
      </x:c>
      <x:c r="G25" s="165">
        <x:v>0</x:v>
      </x:c>
      <x:c r="I25" s="163">
        <x:v>0</x:v>
      </x:c>
      <x:c r="J25" s="165">
        <x:v>0</x:v>
      </x:c>
    </x:row>
    <x:row r="26" spans="1:11" ht="13.8" thickBot="1" x14ac:dyDescent="0.3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3.8" thickBot="1" x14ac:dyDescent="0.3">
      <x:c r="D27" s="170" t="n">
        <x:v>44585860</x:v>
      </x:c>
      <x:c r="E27" s="170" t="n">
        <x:v>449</x:v>
      </x:c>
      <x:c r="F27" s="170">
        <x:v>0</x:v>
      </x:c>
      <x:c r="G27" s="170">
        <x:v>0</x:v>
      </x:c>
      <x:c r="I27" s="183">
        <x:v>0</x:v>
      </x:c>
      <x:c r="J27" s="184">
        <x:v>0</x:v>
      </x:c>
    </x:row>
    <x:row r="29" spans="1:11" x14ac:dyDescent="0.25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5">
      <x:c r="B31" s="95" t="s">
        <x:v>132</x:v>
      </x:c>
      <x:c r="D31" s="151" t="b">
        <x:v>1</x:v>
      </x:c>
      <x:c r="E31" s="151" t="b">
        <x:f t="shared" ref="E31:F31" si="0">E9=SUM(E3:E8)</x:f>
        <x:v>1</x:v>
      </x:c>
      <x:c r="F31" s="151" t="b">
        <x:f t="shared" si="0"/>
        <x:v>1</x:v>
      </x:c>
      <x:c r="G31" s="151" t="b">
        <x:f>G9=SUM(G3:G8)</x:f>
        <x:v>1</x:v>
      </x:c>
    </x:row>
    <x:row r="33" spans="2:10" x14ac:dyDescent="0.25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5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5">
      <x:c r="E69" s="151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="88" zoomScaleNormal="88" workbookViewId="0">
      <x:selection activeCell="D31" sqref="D31"/>
    </x:sheetView>
  </x:sheetViews>
  <x:sheetFormatPr baseColWidth="10" defaultRowHeight="13.2" x14ac:dyDescent="0.25"/>
  <x:cols>
    <x:col min="1" max="1" width="2.33203125" customWidth="1"/>
    <x:col min="2" max="2" width="12.6640625" bestFit="1" customWidth="1"/>
    <x:col min="3" max="3" width="7.33203125" customWidth="1"/>
    <x:col min="4" max="4" width="16" style="151" bestFit="1" customWidth="1"/>
    <x:col min="5" max="5" width="20.44140625" style="151" customWidth="1"/>
    <x:col min="6" max="6" width="16" style="151" bestFit="1" customWidth="1"/>
    <x:col min="7" max="7" width="20.33203125" style="151" customWidth="1"/>
    <x:col min="8" max="8" width="3.6640625" style="151" customWidth="1"/>
    <x:col min="9" max="10" width="26.5546875" style="151" bestFit="1" customWidth="1"/>
    <x:col min="11" max="13" width="19.6640625" style="151" customWidth="1"/>
  </x:cols>
  <x:sheetData>
    <x:row r="1" spans="2:13" ht="14.7" customHeight="1" thickBot="1" x14ac:dyDescent="0.3"/>
    <x:row r="2" spans="2:13" s="95" customFormat="1" ht="12.6" customHeight="1" thickBot="1" x14ac:dyDescent="0.3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5">
      <x:c r="C3" s="158">
        <x:v>1</x:v>
      </x:c>
      <x:c r="D3" s="159" t="n">
        <x:v>16020970408</x:v>
      </x:c>
      <x:c r="E3" s="160" t="n">
        <x:v>330319</x:v>
      </x:c>
      <x:c r="F3" s="160">
        <x:v>0</x:v>
      </x:c>
      <x:c r="G3" s="161">
        <x:v>0</x:v>
      </x:c>
      <x:c r="J3" s="593"/>
    </x:row>
    <x:row r="4" spans="2:13" ht="12.6" customHeight="1" x14ac:dyDescent="0.25">
      <x:c r="C4" s="162">
        <x:v>2</x:v>
      </x:c>
      <x:c r="D4" s="163" t="n">
        <x:v>11733539858</x:v>
      </x:c>
      <x:c r="E4" s="164" t="n">
        <x:v>232298</x:v>
      </x:c>
      <x:c r="F4" s="164">
        <x:v>0</x:v>
      </x:c>
      <x:c r="G4" s="165">
        <x:v>0</x:v>
      </x:c>
      <x:c r="J4" s="593"/>
    </x:row>
    <x:row r="5" spans="2:13" ht="12.6" customHeight="1" x14ac:dyDescent="0.25">
      <x:c r="C5" s="162">
        <x:v>3</x:v>
      </x:c>
      <x:c r="D5" s="163" t="n">
        <x:v>9618825681</x:v>
      </x:c>
      <x:c r="E5" s="164" t="n">
        <x:v>222340</x:v>
      </x:c>
      <x:c r="F5" s="164">
        <x:v>0</x:v>
      </x:c>
      <x:c r="G5" s="165">
        <x:v>0</x:v>
      </x:c>
      <x:c r="J5" s="593"/>
    </x:row>
    <x:row r="6" spans="2:13" ht="12.6" customHeight="1" x14ac:dyDescent="0.25">
      <x:c r="C6" s="162">
        <x:v>4</x:v>
      </x:c>
      <x:c r="D6" s="163" t="n">
        <x:v>10290225466</x:v>
      </x:c>
      <x:c r="E6" s="164" t="n">
        <x:v>177955</x:v>
      </x:c>
      <x:c r="F6" s="164">
        <x:v>0</x:v>
      </x:c>
      <x:c r="G6" s="165">
        <x:v>0</x:v>
      </x:c>
    </x:row>
    <x:row r="7" spans="2:13" ht="12.6" customHeight="1" x14ac:dyDescent="0.25">
      <x:c r="C7" s="162">
        <x:v>5</x:v>
      </x:c>
      <x:c r="D7" s="163" t="n">
        <x:v>8111886280</x:v>
      </x:c>
      <x:c r="E7" s="164" t="n">
        <x:v>159077</x:v>
      </x:c>
      <x:c r="F7" s="164">
        <x:v>0</x:v>
      </x:c>
      <x:c r="G7" s="165">
        <x:v>0</x:v>
      </x:c>
    </x:row>
    <x:row r="8" spans="2:13" ht="12.6" customHeight="1" thickBot="1" x14ac:dyDescent="0.3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3">
      <x:c r="D9" s="170" t="n">
        <x:v>55775447693</x:v>
      </x:c>
      <x:c r="E9" s="170" t="n">
        <x:v>1121989</x:v>
      </x:c>
      <x:c r="F9" s="170">
        <x:v>0</x:v>
      </x:c>
      <x:c r="G9" s="170">
        <x:v>0</x:v>
      </x:c>
    </x:row>
    <x:row r="10" spans="2:13" ht="12.6" customHeight="1" thickBot="1" x14ac:dyDescent="0.3"/>
    <x:row r="11" spans="2:13" s="95" customFormat="1" ht="12.6" customHeight="1" thickBot="1" x14ac:dyDescent="0.3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5">
      <x:c r="B12" s="94" t="s">
        <x:v>140</x:v>
      </x:c>
      <x:c r="C12" s="158">
        <x:v>1</x:v>
      </x:c>
      <x:c r="D12" s="159" t="n">
        <x:v>223833110</x:v>
      </x:c>
      <x:c r="E12" s="160" t="n">
        <x:v>3064</x:v>
      </x:c>
      <x:c r="F12" s="160">
        <x:v>0</x:v>
      </x:c>
      <x:c r="G12" s="161">
        <x:v>0</x:v>
      </x:c>
    </x:row>
    <x:row r="13" spans="2:13" ht="12.6" customHeight="1" x14ac:dyDescent="0.25">
      <x:c r="C13" s="162">
        <x:v>2</x:v>
      </x:c>
      <x:c r="D13" s="163" t="n">
        <x:v>99273804</x:v>
      </x:c>
      <x:c r="E13" s="164" t="n">
        <x:v>1926</x:v>
      </x:c>
      <x:c r="F13" s="164">
        <x:v>0</x:v>
      </x:c>
      <x:c r="G13" s="165">
        <x:v>0</x:v>
      </x:c>
    </x:row>
    <x:row r="14" spans="2:13" ht="12.6" customHeight="1" x14ac:dyDescent="0.25">
      <x:c r="C14" s="162">
        <x:v>3</x:v>
      </x:c>
      <x:c r="D14" s="163" t="n">
        <x:v>66145670</x:v>
      </x:c>
      <x:c r="E14" s="164" t="n">
        <x:v>1462</x:v>
      </x:c>
      <x:c r="F14" s="164">
        <x:v>0</x:v>
      </x:c>
      <x:c r="G14" s="165">
        <x:v>0</x:v>
      </x:c>
    </x:row>
    <x:row r="15" spans="2:13" ht="12.6" customHeight="1" x14ac:dyDescent="0.25">
      <x:c r="C15" s="162">
        <x:v>4</x:v>
      </x:c>
      <x:c r="D15" s="163" t="n">
        <x:v>85892126</x:v>
      </x:c>
      <x:c r="E15" s="164" t="n">
        <x:v>1255</x:v>
      </x:c>
      <x:c r="F15" s="164">
        <x:v>0</x:v>
      </x:c>
      <x:c r="G15" s="165">
        <x:v>0</x:v>
      </x:c>
    </x:row>
    <x:row r="16" spans="2:13" ht="12.6" customHeight="1" x14ac:dyDescent="0.25">
      <x:c r="C16" s="162">
        <x:v>5</x:v>
      </x:c>
      <x:c r="D16" s="163" t="n">
        <x:v>166326259</x:v>
      </x:c>
      <x:c r="E16" s="164" t="n">
        <x:v>2744</x:v>
      </x:c>
      <x:c r="F16" s="164">
        <x:v>0</x:v>
      </x:c>
      <x:c r="G16" s="165">
        <x:v>0</x:v>
      </x:c>
    </x:row>
    <x:row r="17" spans="1:11" ht="12.6" customHeight="1" thickBot="1" x14ac:dyDescent="0.3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3">
      <x:c r="D18" s="170" t="n">
        <x:v>641470969</x:v>
      </x:c>
      <x:c r="E18" s="170" t="n">
        <x:v>10451</x:v>
      </x:c>
      <x:c r="F18" s="170">
        <x:v>0</x:v>
      </x:c>
      <x:c r="G18" s="170">
        <x:v>0</x:v>
      </x:c>
    </x:row>
    <x:row r="19" spans="1:11" ht="12.6" customHeight="1" thickBot="1" x14ac:dyDescent="0.3"/>
    <x:row r="20" spans="1:11" ht="12.6" customHeight="1" thickBot="1" x14ac:dyDescent="0.3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5">
      <x:c r="B21" s="186" t="s">
        <x:v>2</x:v>
      </x:c>
      <x:c r="C21" s="158">
        <x:v>1</x:v>
      </x:c>
      <x:c r="D21" s="159" t="n">
        <x:v>16244803518</x:v>
      </x:c>
      <x:c r="E21" s="160" t="n">
        <x:v>333383</x:v>
      </x:c>
      <x:c r="F21" s="160">
        <x:v>0</x:v>
      </x:c>
      <x:c r="G21" s="161">
        <x:v>0</x:v>
      </x:c>
      <x:c r="I21" s="159">
        <x:v>0</x:v>
      </x:c>
      <x:c r="J21" s="161">
        <x:v>0</x:v>
      </x:c>
    </x:row>
    <x:row r="22" spans="1:11" s="151" customFormat="1" ht="12.6" customHeight="1" x14ac:dyDescent="0.25">
      <x:c r="B22"/>
      <x:c r="C22" s="162">
        <x:v>2</x:v>
      </x:c>
      <x:c r="D22" s="163" t="n">
        <x:v>11832813662</x:v>
      </x:c>
      <x:c r="E22" s="164" t="n">
        <x:v>234224</x:v>
      </x:c>
      <x:c r="F22" s="164">
        <x:v>0</x:v>
      </x:c>
      <x:c r="G22" s="165">
        <x:v>0</x:v>
      </x:c>
      <x:c r="I22" s="163">
        <x:v>0</x:v>
      </x:c>
      <x:c r="J22" s="165">
        <x:v>0</x:v>
      </x:c>
    </x:row>
    <x:row r="23" spans="1:11" s="151" customFormat="1" ht="12.6" customHeight="1" x14ac:dyDescent="0.25">
      <x:c r="B23"/>
      <x:c r="C23" s="162">
        <x:v>3</x:v>
      </x:c>
      <x:c r="D23" s="163" t="n">
        <x:v>9684971351</x:v>
      </x:c>
      <x:c r="E23" s="164" t="n">
        <x:v>223802</x:v>
      </x:c>
      <x:c r="F23" s="164">
        <x:v>0</x:v>
      </x:c>
      <x:c r="G23" s="165">
        <x:v>0</x:v>
      </x:c>
      <x:c r="I23" s="163">
        <x:v>0</x:v>
      </x:c>
      <x:c r="J23" s="165">
        <x:v>0</x:v>
      </x:c>
    </x:row>
    <x:row r="24" spans="1:11" s="151" customFormat="1" ht="12.6" customHeight="1" x14ac:dyDescent="0.25">
      <x:c r="B24"/>
      <x:c r="C24" s="162">
        <x:v>4</x:v>
      </x:c>
      <x:c r="D24" s="163" t="n">
        <x:v>10376117592</x:v>
      </x:c>
      <x:c r="E24" s="164" t="n">
        <x:v>179210</x:v>
      </x:c>
      <x:c r="F24" s="164">
        <x:v>0</x:v>
      </x:c>
      <x:c r="G24" s="165">
        <x:v>0</x:v>
      </x:c>
      <x:c r="I24" s="163">
        <x:v>0</x:v>
      </x:c>
      <x:c r="J24" s="165">
        <x:v>0</x:v>
      </x:c>
    </x:row>
    <x:row r="25" spans="1:11" s="151" customFormat="1" ht="12.6" customHeight="1" x14ac:dyDescent="0.25">
      <x:c r="B25"/>
      <x:c r="C25" s="162">
        <x:v>5</x:v>
      </x:c>
      <x:c r="D25" s="163" t="n">
        <x:v>8278212539</x:v>
      </x:c>
      <x:c r="E25" s="164" t="n">
        <x:v>161821</x:v>
      </x:c>
      <x:c r="F25" s="164">
        <x:v>0</x:v>
      </x:c>
      <x:c r="G25" s="165">
        <x:v>0</x:v>
      </x:c>
      <x:c r="I25" s="163">
        <x:v>0</x:v>
      </x:c>
      <x:c r="J25" s="165">
        <x:v>0</x:v>
      </x:c>
    </x:row>
    <x:row r="26" spans="1:11" ht="12.6" customHeight="1" thickBot="1" x14ac:dyDescent="0.3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3">
      <x:c r="D27" s="170" t="n">
        <x:v>56416918662</x:v>
      </x:c>
      <x:c r="E27" s="170" t="n">
        <x:v>1132440</x:v>
      </x:c>
      <x:c r="F27" s="170">
        <x:v>0</x:v>
      </x:c>
      <x:c r="G27" s="170">
        <x:v>0</x:v>
      </x:c>
      <x:c r="I27" s="183">
        <x:v>0</x:v>
      </x:c>
      <x:c r="J27" s="184">
        <x:v>0</x:v>
      </x:c>
    </x:row>
    <x:row r="29" spans="1:11" x14ac:dyDescent="0.25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5">
      <x:c r="B31" s="95" t="s">
        <x:v>132</x:v>
      </x:c>
      <x:c r="D31" s="151" t="b"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5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5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5">
      <x:c r="E69" s="151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I11" sqref="I11"/>
    </x:sheetView>
  </x:sheetViews>
  <x:sheetFormatPr baseColWidth="10" defaultRowHeight="13.2" x14ac:dyDescent="0.25"/>
  <x:cols>
    <x:col min="1" max="1" width="2.33203125" customWidth="1"/>
    <x:col min="2" max="2" width="12.6640625" bestFit="1" customWidth="1"/>
    <x:col min="3" max="3" width="7.33203125" customWidth="1"/>
    <x:col min="4" max="4" width="16" style="151" bestFit="1" customWidth="1"/>
    <x:col min="5" max="5" width="20.44140625" style="151" customWidth="1"/>
    <x:col min="6" max="6" width="16" style="151" bestFit="1" customWidth="1"/>
    <x:col min="7" max="7" width="20.33203125" style="151" customWidth="1"/>
    <x:col min="8" max="8" width="3.6640625" style="151" customWidth="1"/>
    <x:col min="9" max="10" width="26.5546875" style="151" bestFit="1" customWidth="1"/>
    <x:col min="11" max="13" width="19.6640625" style="151" customWidth="1"/>
  </x:cols>
  <x:sheetData>
    <x:row r="1" spans="2:13" ht="14.7" customHeight="1" thickBot="1" x14ac:dyDescent="0.3"/>
    <x:row r="2" spans="2:13" s="95" customFormat="1" ht="12.6" customHeight="1" thickBot="1" x14ac:dyDescent="0.3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5">
      <x:c r="C3" s="158">
        <x:v>1</x:v>
      </x:c>
      <x:c r="D3" s="159" t="n">
        <x:v>0</x:v>
      </x:c>
      <x:c r="E3" s="160" t="n">
        <x:v>0</x:v>
      </x:c>
      <x:c r="F3" s="160">
        <x:v>0</x:v>
      </x:c>
      <x:c r="G3" s="161">
        <x:v>0</x:v>
      </x:c>
      <x:c r="J3" s="593"/>
    </x:row>
    <x:row r="4" spans="2:13" ht="12.6" customHeight="1" x14ac:dyDescent="0.25">
      <x:c r="C4" s="162">
        <x:v>2</x:v>
      </x:c>
      <x:c r="D4" s="163" t="n">
        <x:v>0</x:v>
      </x:c>
      <x:c r="E4" s="164" t="n">
        <x:v>0</x:v>
      </x:c>
      <x:c r="F4" s="164">
        <x:v>0</x:v>
      </x:c>
      <x:c r="G4" s="165">
        <x:v>0</x:v>
      </x:c>
      <x:c r="J4" s="593"/>
    </x:row>
    <x:row r="5" spans="2:13" ht="12.6" customHeight="1" x14ac:dyDescent="0.25">
      <x:c r="C5" s="162">
        <x:v>3</x:v>
      </x:c>
      <x:c r="D5" s="163" t="n">
        <x:v>0</x:v>
      </x:c>
      <x:c r="E5" s="164" t="n">
        <x:v>0</x:v>
      </x:c>
      <x:c r="F5" s="164">
        <x:v>0</x:v>
      </x:c>
      <x:c r="G5" s="165">
        <x:v>0</x:v>
      </x:c>
      <x:c r="J5" s="593"/>
    </x:row>
    <x:row r="6" spans="2:13" ht="12.6" customHeight="1" x14ac:dyDescent="0.25">
      <x:c r="C6" s="162">
        <x:v>4</x:v>
      </x:c>
      <x:c r="D6" s="163" t="n">
        <x:v>0</x:v>
      </x:c>
      <x:c r="E6" s="164" t="n">
        <x:v>0</x:v>
      </x:c>
      <x:c r="F6" s="164">
        <x:v>0</x:v>
      </x:c>
      <x:c r="G6" s="165">
        <x:v>0</x:v>
      </x:c>
    </x:row>
    <x:row r="7" spans="2:13" ht="12.6" customHeight="1" x14ac:dyDescent="0.25">
      <x:c r="C7" s="162">
        <x:v>5</x:v>
      </x:c>
      <x:c r="D7" s="163" t="n">
        <x:v>129429946</x:v>
      </x:c>
      <x:c r="E7" s="164" t="n">
        <x:v>2854</x:v>
      </x:c>
      <x:c r="F7" s="164">
        <x:v>0</x:v>
      </x:c>
      <x:c r="G7" s="165">
        <x:v>0</x:v>
      </x:c>
    </x:row>
    <x:row r="8" spans="2:13" ht="12.6" customHeight="1" thickBot="1" x14ac:dyDescent="0.3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3">
      <x:c r="D9" s="170" t="n">
        <x:v>129429946</x:v>
      </x:c>
      <x:c r="E9" s="170" t="n">
        <x:v>2854</x:v>
      </x:c>
      <x:c r="F9" s="170">
        <x:v>0</x:v>
      </x:c>
      <x:c r="G9" s="170">
        <x:v>0</x:v>
      </x:c>
    </x:row>
    <x:row r="10" spans="2:13" ht="12.6" customHeight="1" thickBot="1" x14ac:dyDescent="0.3"/>
    <x:row r="11" spans="2:13" s="95" customFormat="1" ht="12.6" customHeight="1" thickBot="1" x14ac:dyDescent="0.3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5">
      <x:c r="B12" s="94" t="s">
        <x:v>140</x:v>
      </x:c>
      <x:c r="C12" s="158">
        <x:v>1</x:v>
      </x:c>
      <x:c r="D12" s="159" t="n">
        <x:v>0</x:v>
      </x:c>
      <x:c r="E12" s="160" t="n">
        <x:v>0</x:v>
      </x:c>
      <x:c r="F12" s="160">
        <x:v>0</x:v>
      </x:c>
      <x:c r="G12" s="161">
        <x:v>0</x:v>
      </x:c>
    </x:row>
    <x:row r="13" spans="2:13" ht="12.6" customHeight="1" x14ac:dyDescent="0.25">
      <x:c r="C13" s="162">
        <x:v>2</x:v>
      </x:c>
      <x:c r="D13" s="163" t="n">
        <x:v>0</x:v>
      </x:c>
      <x:c r="E13" s="164" t="n">
        <x:v>0</x:v>
      </x:c>
      <x:c r="F13" s="164">
        <x:v>0</x:v>
      </x:c>
      <x:c r="G13" s="165">
        <x:v>0</x:v>
      </x:c>
    </x:row>
    <x:row r="14" spans="2:13" ht="12.6" customHeight="1" x14ac:dyDescent="0.25">
      <x:c r="C14" s="162">
        <x:v>3</x:v>
      </x:c>
      <x:c r="D14" s="163" t="n">
        <x:v>0</x:v>
      </x:c>
      <x:c r="E14" s="164" t="n">
        <x:v>0</x:v>
      </x:c>
      <x:c r="F14" s="164">
        <x:v>0</x:v>
      </x:c>
      <x:c r="G14" s="165">
        <x:v>0</x:v>
      </x:c>
    </x:row>
    <x:row r="15" spans="2:13" ht="12.6" customHeight="1" x14ac:dyDescent="0.25">
      <x:c r="C15" s="162">
        <x:v>4</x:v>
      </x:c>
      <x:c r="D15" s="163" t="n">
        <x:v>0</x:v>
      </x:c>
      <x:c r="E15" s="164" t="n">
        <x:v>0</x:v>
      </x:c>
      <x:c r="F15" s="164">
        <x:v>0</x:v>
      </x:c>
      <x:c r="G15" s="165">
        <x:v>0</x:v>
      </x:c>
    </x:row>
    <x:row r="16" spans="2:13" ht="12.6" customHeight="1" x14ac:dyDescent="0.25">
      <x:c r="C16" s="162">
        <x:v>5</x:v>
      </x:c>
      <x:c r="D16" s="163" t="n">
        <x:v>106710</x:v>
      </x:c>
      <x:c r="E16" s="164" t="n">
        <x:v>1</x:v>
      </x:c>
      <x:c r="F16" s="164">
        <x:v>0</x:v>
      </x:c>
      <x:c r="G16" s="165">
        <x:v>0</x:v>
      </x:c>
    </x:row>
    <x:row r="17" spans="1:11" ht="12.6" customHeight="1" thickBot="1" x14ac:dyDescent="0.3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3">
      <x:c r="D18" s="170" t="n">
        <x:v>106710</x:v>
      </x:c>
      <x:c r="E18" s="170" t="n">
        <x:v>1</x:v>
      </x:c>
      <x:c r="F18" s="170">
        <x:v>0</x:v>
      </x:c>
      <x:c r="G18" s="170">
        <x:v>0</x:v>
      </x:c>
    </x:row>
    <x:row r="19" spans="1:11" ht="12.6" customHeight="1" thickBot="1" x14ac:dyDescent="0.3"/>
    <x:row r="20" spans="1:11" ht="12.6" customHeight="1" thickBot="1" x14ac:dyDescent="0.3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5">
      <x:c r="B21" s="186" t="s">
        <x:v>2</x:v>
      </x:c>
      <x:c r="C21" s="158">
        <x:v>1</x:v>
      </x:c>
      <x:c r="D21" s="159" t="n">
        <x:v>0</x:v>
      </x:c>
      <x:c r="E21" s="160" t="n">
        <x:v>0</x:v>
      </x:c>
      <x:c r="F21" s="160">
        <x:v>0</x:v>
      </x:c>
      <x:c r="G21" s="161">
        <x:v>0</x:v>
      </x:c>
      <x:c r="I21" s="159">
        <x:v>0</x:v>
      </x:c>
      <x:c r="J21" s="161">
        <x:v>0</x:v>
      </x:c>
    </x:row>
    <x:row r="22" spans="1:11" s="151" customFormat="1" ht="12.6" customHeight="1" x14ac:dyDescent="0.25">
      <x:c r="B22"/>
      <x:c r="C22" s="162">
        <x:v>2</x:v>
      </x:c>
      <x:c r="D22" s="163" t="n">
        <x:v>0</x:v>
      </x:c>
      <x:c r="E22" s="164" t="n">
        <x:v>0</x:v>
      </x:c>
      <x:c r="F22" s="164">
        <x:v>0</x:v>
      </x:c>
      <x:c r="G22" s="165">
        <x:v>0</x:v>
      </x:c>
      <x:c r="I22" s="163">
        <x:v>0</x:v>
      </x:c>
      <x:c r="J22" s="165">
        <x:v>0</x:v>
      </x:c>
    </x:row>
    <x:row r="23" spans="1:11" s="151" customFormat="1" ht="12.6" customHeight="1" x14ac:dyDescent="0.25">
      <x:c r="B23"/>
      <x:c r="C23" s="162">
        <x:v>3</x:v>
      </x:c>
      <x:c r="D23" s="163" t="n">
        <x:v>0</x:v>
      </x:c>
      <x:c r="E23" s="164" t="n">
        <x:v>0</x:v>
      </x:c>
      <x:c r="F23" s="164">
        <x:v>0</x:v>
      </x:c>
      <x:c r="G23" s="165">
        <x:v>0</x:v>
      </x:c>
      <x:c r="I23" s="163">
        <x:v>0</x:v>
      </x:c>
      <x:c r="J23" s="165">
        <x:v>0</x:v>
      </x:c>
    </x:row>
    <x:row r="24" spans="1:11" s="151" customFormat="1" ht="12.6" customHeight="1" x14ac:dyDescent="0.25">
      <x:c r="B24"/>
      <x:c r="C24" s="162">
        <x:v>4</x:v>
      </x:c>
      <x:c r="D24" s="163" t="n">
        <x:v>0</x:v>
      </x:c>
      <x:c r="E24" s="164" t="n">
        <x:v>0</x:v>
      </x:c>
      <x:c r="F24" s="164">
        <x:v>0</x:v>
      </x:c>
      <x:c r="G24" s="165">
        <x:v>0</x:v>
      </x:c>
      <x:c r="I24" s="163">
        <x:v>0</x:v>
      </x:c>
      <x:c r="J24" s="165">
        <x:v>0</x:v>
      </x:c>
    </x:row>
    <x:row r="25" spans="1:11" s="151" customFormat="1" ht="12.6" customHeight="1" x14ac:dyDescent="0.25">
      <x:c r="B25"/>
      <x:c r="C25" s="162">
        <x:v>5</x:v>
      </x:c>
      <x:c r="D25" s="163" t="n">
        <x:v>129536656</x:v>
      </x:c>
      <x:c r="E25" s="164" t="n">
        <x:v>2855</x:v>
      </x:c>
      <x:c r="F25" s="164">
        <x:v>0</x:v>
      </x:c>
      <x:c r="G25" s="165">
        <x:v>0</x:v>
      </x:c>
      <x:c r="I25" s="163">
        <x:v>0</x:v>
      </x:c>
      <x:c r="J25" s="165">
        <x:v>0</x:v>
      </x:c>
    </x:row>
    <x:row r="26" spans="1:11" ht="12.6" customHeight="1" thickBot="1" x14ac:dyDescent="0.3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3">
      <x:c r="D27" s="170" t="n">
        <x:v>129536656</x:v>
      </x:c>
      <x:c r="E27" s="170" t="n">
        <x:v>2855</x:v>
      </x:c>
      <x:c r="F27" s="170">
        <x:v>0</x:v>
      </x:c>
      <x:c r="G27" s="170">
        <x:v>0</x:v>
      </x:c>
      <x:c r="I27" s="183">
        <x:v>0</x:v>
      </x:c>
      <x:c r="J27" s="184">
        <x:v>0</x:v>
      </x:c>
    </x:row>
    <x:row r="29" spans="1:11" x14ac:dyDescent="0.25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5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5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5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>I27=SUM(I21:I26)</x:f>
        <x:v>1</x:v>
      </x:c>
      <x:c r="J35" s="151" t="b">
        <x:f t="shared" si="2"/>
        <x:v>1</x:v>
      </x:c>
    </x:row>
    <x:row r="69" spans="5:5" x14ac:dyDescent="0.25">
      <x:c r="E69" s="151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topLeftCell="A9" workbookViewId="0"/>
  </x:sheetViews>
  <x:sheetFormatPr baseColWidth="10" defaultColWidth="11.44140625" defaultRowHeight="13.2" x14ac:dyDescent="0.25"/>
  <x:cols>
    <x:col min="1" max="1" width="2.33203125" style="192" customWidth="1"/>
    <x:col min="2" max="2" width="25" style="192" bestFit="1" customWidth="1"/>
    <x:col min="3" max="3" width="4.6640625" style="192" bestFit="1" customWidth="1"/>
    <x:col min="4" max="4" width="13.6640625" style="151" bestFit="1" customWidth="1"/>
    <x:col min="5" max="5" width="19" style="151" bestFit="1" customWidth="1"/>
    <x:col min="6" max="6" width="13.6640625" style="151" bestFit="1" customWidth="1"/>
    <x:col min="7" max="7" width="19" style="151" bestFit="1" customWidth="1"/>
    <x:col min="8" max="8" width="3.6640625" style="151" customWidth="1"/>
    <x:col min="9" max="9" width="20" style="151" bestFit="1" customWidth="1"/>
    <x:col min="10" max="10" width="26.5546875" style="151" bestFit="1" customWidth="1"/>
    <x:col min="11" max="13" width="19.6640625" style="151" customWidth="1"/>
    <x:col min="14" max="16384" width="11.44140625" style="192"/>
  </x:cols>
  <x:sheetData>
    <x:row r="1" spans="2:13" ht="13.8" thickBot="1" x14ac:dyDescent="0.3"/>
    <x:row r="2" spans="2:13" s="193" customFormat="1" ht="13.8" thickBot="1" x14ac:dyDescent="0.3">
      <x:c r="B2" s="193" t="s">
        <x:v>157</x:v>
      </x:c>
      <x:c r="C2" s="194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157"/>
      <x:c r="K2" s="157"/>
      <x:c r="L2" s="157"/>
      <x:c r="M2" s="157"/>
    </x:row>
    <x:row r="3" spans="2:13" x14ac:dyDescent="0.25">
      <x:c r="C3" s="158">
        <x:v>1</x:v>
      </x:c>
      <x:c r="D3" s="159" t="n">
        <x:v>0</x:v>
      </x:c>
      <x:c r="E3" s="164" t="n">
        <x:v>0</x:v>
      </x:c>
      <x:c r="F3" s="160">
        <x:v>0</x:v>
      </x:c>
      <x:c r="G3" s="161">
        <x:v>0</x:v>
      </x:c>
    </x:row>
    <x:row r="4" spans="2:13" x14ac:dyDescent="0.25">
      <x:c r="C4" s="162">
        <x:v>2</x:v>
      </x:c>
      <x:c r="D4" s="164" t="n">
        <x:v>0</x:v>
      </x:c>
      <x:c r="E4" s="164" t="n">
        <x:v>0</x:v>
      </x:c>
      <x:c r="F4" s="164">
        <x:v>0</x:v>
      </x:c>
      <x:c r="G4" s="165">
        <x:v>0</x:v>
      </x:c>
    </x:row>
    <x:row r="5" spans="2:13" x14ac:dyDescent="0.25">
      <x:c r="C5" s="162">
        <x:v>3</x:v>
      </x:c>
      <x:c r="D5" s="164" t="n">
        <x:v>0</x:v>
      </x:c>
      <x:c r="E5" s="164" t="n">
        <x:v>0</x:v>
      </x:c>
      <x:c r="F5" s="164">
        <x:v>0</x:v>
      </x:c>
      <x:c r="G5" s="165">
        <x:v>0</x:v>
      </x:c>
    </x:row>
    <x:row r="6" spans="2:13" ht="13.5" customHeight="1" x14ac:dyDescent="0.25">
      <x:c r="C6" s="162">
        <x:v>4</x:v>
      </x:c>
      <x:c r="D6" s="164" t="n">
        <x:v>0</x:v>
      </x:c>
      <x:c r="E6" s="164" t="n">
        <x:v>0</x:v>
      </x:c>
      <x:c r="F6" s="164">
        <x:v>0</x:v>
      </x:c>
      <x:c r="G6" s="165">
        <x:v>0</x:v>
      </x:c>
    </x:row>
    <x:row r="7" spans="2:13" ht="13.5" customHeight="1" x14ac:dyDescent="0.25">
      <x:c r="C7" s="162">
        <x:v>5</x:v>
      </x:c>
      <x:c r="D7" s="164" t="n">
        <x:v>0</x:v>
      </x:c>
      <x:c r="E7" s="164" t="n">
        <x:v>0</x:v>
      </x:c>
      <x:c r="F7" s="164">
        <x:v>0</x:v>
      </x:c>
      <x:c r="G7" s="165">
        <x:v>0</x:v>
      </x:c>
    </x:row>
    <x:row r="8" spans="2:13" ht="13.8" thickBot="1" x14ac:dyDescent="0.3">
      <x:c r="C8" s="166" t="s">
        <x:v>89</x:v>
      </x:c>
      <x:c r="D8" s="167"/>
      <x:c r="E8" s="168"/>
      <x:c r="F8" s="168"/>
      <x:c r="G8" s="169"/>
    </x:row>
    <x:row r="9" spans="2:13" ht="13.8" thickBot="1" x14ac:dyDescent="0.3">
      <x:c r="D9" s="170" t="n">
        <x:v>0</x:v>
      </x:c>
      <x:c r="E9" s="170" t="n">
        <x:v>0</x:v>
      </x:c>
      <x:c r="F9" s="170">
        <x:v>0</x:v>
      </x:c>
      <x:c r="G9" s="170">
        <x:v>0</x:v>
      </x:c>
    </x:row>
    <x:row r="10" spans="2:13" ht="13.8" thickBot="1" x14ac:dyDescent="0.3"/>
    <x:row r="11" spans="2:13" s="193" customFormat="1" ht="13.8" thickBot="1" x14ac:dyDescent="0.3">
      <x:c r="C11" s="194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5">
      <x:c r="B12" s="195" t="s">
        <x:v>158</x:v>
      </x:c>
      <x:c r="C12" s="158">
        <x:v>1</x:v>
      </x:c>
      <x:c r="D12" s="159" t="n">
        <x:v>0</x:v>
      </x:c>
      <x:c r="E12" s="164" t="n">
        <x:v>0</x:v>
      </x:c>
      <x:c r="F12" s="160">
        <x:v>0</x:v>
      </x:c>
      <x:c r="G12" s="161">
        <x:v>0</x:v>
      </x:c>
    </x:row>
    <x:row r="13" spans="2:13" x14ac:dyDescent="0.25">
      <x:c r="C13" s="162">
        <x:v>2</x:v>
      </x:c>
      <x:c r="D13" s="164" t="n">
        <x:v>0</x:v>
      </x:c>
      <x:c r="E13" s="164" t="n">
        <x:v>0</x:v>
      </x:c>
      <x:c r="F13" s="164">
        <x:v>0</x:v>
      </x:c>
      <x:c r="G13" s="165">
        <x:v>0</x:v>
      </x:c>
    </x:row>
    <x:row r="14" spans="2:13" x14ac:dyDescent="0.25">
      <x:c r="C14" s="162">
        <x:v>3</x:v>
      </x:c>
      <x:c r="D14" s="164" t="n">
        <x:v>0</x:v>
      </x:c>
      <x:c r="E14" s="164" t="n">
        <x:v>0</x:v>
      </x:c>
      <x:c r="F14" s="164">
        <x:v>0</x:v>
      </x:c>
      <x:c r="G14" s="165">
        <x:v>0</x:v>
      </x:c>
    </x:row>
    <x:row r="15" spans="2:13" x14ac:dyDescent="0.25">
      <x:c r="C15" s="162">
        <x:v>4</x:v>
      </x:c>
      <x:c r="D15" s="164" t="n">
        <x:v>0</x:v>
      </x:c>
      <x:c r="E15" s="164" t="n">
        <x:v>0</x:v>
      </x:c>
      <x:c r="F15" s="164">
        <x:v>0</x:v>
      </x:c>
      <x:c r="G15" s="165">
        <x:v>0</x:v>
      </x:c>
    </x:row>
    <x:row r="16" spans="2:13" x14ac:dyDescent="0.25">
      <x:c r="C16" s="162">
        <x:v>5</x:v>
      </x:c>
      <x:c r="D16" s="164" t="n">
        <x:v>0</x:v>
      </x:c>
      <x:c r="E16" s="164" t="n">
        <x:v>0</x:v>
      </x:c>
      <x:c r="F16" s="164">
        <x:v>0</x:v>
      </x:c>
      <x:c r="G16" s="165">
        <x:v>0</x:v>
      </x:c>
    </x:row>
    <x:row r="17" spans="1:13" ht="13.8" thickBot="1" x14ac:dyDescent="0.3">
      <x:c r="C17" s="166" t="s">
        <x:v>89</x:v>
      </x:c>
      <x:c r="D17" s="167"/>
      <x:c r="E17" s="168"/>
      <x:c r="F17" s="168"/>
      <x:c r="G17" s="169"/>
    </x:row>
    <x:row r="18" spans="1:13" ht="13.8" thickBot="1" x14ac:dyDescent="0.3">
      <x:c r="D18" s="170" t="n">
        <x:v>0</x:v>
      </x:c>
      <x:c r="E18" s="170" t="n">
        <x:v>0</x:v>
      </x:c>
      <x:c r="F18" s="170">
        <x:v>0</x:v>
      </x:c>
      <x:c r="G18" s="170">
        <x:v>0</x:v>
      </x:c>
    </x:row>
    <x:row r="19" spans="1:13" ht="13.8" thickBot="1" x14ac:dyDescent="0.3"/>
    <x:row r="20" spans="1:13" ht="13.8" thickBot="1" x14ac:dyDescent="0.3">
      <x:c r="C20" s="194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5">
      <x:c r="B21" s="196" t="s">
        <x:v>2</x:v>
      </x:c>
      <x:c r="C21" s="158">
        <x:v>1</x:v>
      </x:c>
      <x:c r="D21" s="159" t="n">
        <x:v>0</x:v>
      </x:c>
      <x:c r="E21" s="160" t="n">
        <x:v>0</x:v>
      </x:c>
      <x:c r="F21" s="160">
        <x:v>0</x:v>
      </x:c>
      <x:c r="G21" s="161">
        <x:v>0</x:v>
      </x:c>
      <x:c r="I21" s="159">
        <x:v>0</x:v>
      </x:c>
      <x:c r="J21" s="161">
        <x:v>0</x:v>
      </x:c>
    </x:row>
    <x:row r="22" spans="1:13" s="151" customFormat="1" x14ac:dyDescent="0.25">
      <x:c r="B22" s="192"/>
      <x:c r="C22" s="162">
        <x:v>2</x:v>
      </x:c>
      <x:c r="D22" s="163" t="n">
        <x:v>0</x:v>
      </x:c>
      <x:c r="E22" s="164" t="n">
        <x:v>0</x:v>
      </x:c>
      <x:c r="F22" s="164">
        <x:v>0</x:v>
      </x:c>
      <x:c r="G22" s="165">
        <x:v>0</x:v>
      </x:c>
      <x:c r="I22" s="163">
        <x:v>0</x:v>
      </x:c>
      <x:c r="J22" s="165">
        <x:v>0</x:v>
      </x:c>
    </x:row>
    <x:row r="23" spans="1:13" s="151" customFormat="1" x14ac:dyDescent="0.25">
      <x:c r="B23" s="192"/>
      <x:c r="C23" s="162">
        <x:v>3</x:v>
      </x:c>
      <x:c r="D23" s="163" t="n">
        <x:v>0</x:v>
      </x:c>
      <x:c r="E23" s="164" t="n">
        <x:v>0</x:v>
      </x:c>
      <x:c r="F23" s="164">
        <x:v>0</x:v>
      </x:c>
      <x:c r="G23" s="165">
        <x:v>0</x:v>
      </x:c>
      <x:c r="I23" s="163">
        <x:v>0</x:v>
      </x:c>
      <x:c r="J23" s="165">
        <x:v>0</x:v>
      </x:c>
    </x:row>
    <x:row r="24" spans="1:13" s="151" customFormat="1" x14ac:dyDescent="0.25">
      <x:c r="B24" s="192"/>
      <x:c r="C24" s="162">
        <x:v>4</x:v>
      </x:c>
      <x:c r="D24" s="163" t="n">
        <x:v>0</x:v>
      </x:c>
      <x:c r="E24" s="164" t="n">
        <x:v>0</x:v>
      </x:c>
      <x:c r="F24" s="164">
        <x:v>0</x:v>
      </x:c>
      <x:c r="G24" s="165">
        <x:v>0</x:v>
      </x:c>
      <x:c r="I24" s="163">
        <x:v>0</x:v>
      </x:c>
      <x:c r="J24" s="165">
        <x:v>0</x:v>
      </x:c>
    </x:row>
    <x:row r="25" spans="1:13" s="151" customFormat="1" x14ac:dyDescent="0.25">
      <x:c r="B25" s="192"/>
      <x:c r="C25" s="162">
        <x:v>5</x:v>
      </x:c>
      <x:c r="D25" s="163" t="n">
        <x:v>0</x:v>
      </x:c>
      <x:c r="E25" s="164" t="n">
        <x:v>0</x:v>
      </x:c>
      <x:c r="F25" s="164">
        <x:v>0</x:v>
      </x:c>
      <x:c r="G25" s="165">
        <x:v>0</x:v>
      </x:c>
      <x:c r="I25" s="163">
        <x:v>0</x:v>
      </x:c>
      <x:c r="J25" s="165">
        <x:v>0</x:v>
      </x:c>
    </x:row>
    <x:row r="26" spans="1:13" ht="13.8" thickBot="1" x14ac:dyDescent="0.3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3" ht="13.8" thickBot="1" x14ac:dyDescent="0.3">
      <x:c r="D27" s="170" t="n">
        <x:v>0</x:v>
      </x:c>
      <x:c r="E27" s="170" t="n">
        <x:v>0</x:v>
      </x:c>
      <x:c r="F27" s="170">
        <x:v>0</x:v>
      </x:c>
      <x:c r="G27" s="170">
        <x:v>0</x:v>
      </x:c>
      <x:c r="I27" s="183">
        <x:v>0</x:v>
      </x:c>
      <x:c r="J27" s="184">
        <x:v>0</x:v>
      </x:c>
    </x:row>
    <x:row r="29" spans="1:13" customFormat="1" x14ac:dyDescent="0.25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5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5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5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5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5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5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5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5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topLeftCell="A12" zoomScaleNormal="100" workbookViewId="0">
      <x:selection activeCell="K20" sqref="K20"/>
    </x:sheetView>
  </x:sheetViews>
  <x:sheetFormatPr baseColWidth="10" defaultColWidth="11.44140625" defaultRowHeight="13.2" x14ac:dyDescent="0.25"/>
  <x:cols>
    <x:col min="1" max="1" width="2.33203125" style="150" customWidth="1"/>
    <x:col min="2" max="2" width="12.6640625" style="150" bestFit="1" customWidth="1"/>
    <x:col min="3" max="3" width="7.33203125" style="150" customWidth="1"/>
    <x:col min="4" max="4" width="15.33203125" style="151" customWidth="1"/>
    <x:col min="5" max="5" width="20.44140625" style="151" customWidth="1"/>
    <x:col min="6" max="6" width="15.33203125" style="151" customWidth="1"/>
    <x:col min="7" max="7" width="20.33203125" style="151" customWidth="1"/>
    <x:col min="8" max="8" width="3.6640625" style="151" customWidth="1"/>
    <x:col min="9" max="10" width="26.5546875" style="151" bestFit="1" customWidth="1"/>
    <x:col min="11" max="13" width="19.6640625" style="151" customWidth="1"/>
    <x:col min="14" max="16384" width="11.44140625" style="150"/>
  </x:cols>
  <x:sheetData>
    <x:row r="1" spans="2:13" ht="13.8" thickBot="1" x14ac:dyDescent="0.3"/>
    <x:row r="2" spans="2:13" s="152" customFormat="1" ht="13.8" thickBot="1" x14ac:dyDescent="0.3">
      <x:c r="B2" s="152" t="s">
        <x:v>132</x:v>
      </x:c>
      <x:c r="C2" s="153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5">
      <x:c r="C3" s="158">
        <x:v>1</x:v>
      </x:c>
      <x:c r="D3" s="218" t="n">
        <x:v>335015748</x:v>
      </x:c>
      <x:c r="E3" s="160" t="n">
        <x:v>1590</x:v>
      </x:c>
      <x:c r="F3" s="160">
        <x:v>0</x:v>
      </x:c>
      <x:c r="G3" s="161">
        <x:v>0</x:v>
      </x:c>
      <x:c r="J3" s="593"/>
    </x:row>
    <x:row r="4" spans="2:13" x14ac:dyDescent="0.25">
      <x:c r="C4" s="162">
        <x:v>2</x:v>
      </x:c>
      <x:c r="D4" s="219" t="n">
        <x:v>389025865</x:v>
      </x:c>
      <x:c r="E4" s="164" t="n">
        <x:v>2713</x:v>
      </x:c>
      <x:c r="F4" s="164">
        <x:v>0</x:v>
      </x:c>
      <x:c r="G4" s="165">
        <x:v>0</x:v>
      </x:c>
      <x:c r="J4" s="593"/>
    </x:row>
    <x:row r="5" spans="2:13" x14ac:dyDescent="0.25">
      <x:c r="C5" s="162">
        <x:v>3</x:v>
      </x:c>
      <x:c r="D5" s="219" t="n">
        <x:v>346289622</x:v>
      </x:c>
      <x:c r="E5" s="164" t="n">
        <x:v>1123</x:v>
      </x:c>
      <x:c r="F5" s="164">
        <x:v>0</x:v>
      </x:c>
      <x:c r="G5" s="165">
        <x:v>0</x:v>
      </x:c>
      <x:c r="J5" s="593"/>
    </x:row>
    <x:row r="6" spans="2:13" x14ac:dyDescent="0.25">
      <x:c r="C6" s="162">
        <x:v>4</x:v>
      </x:c>
      <x:c r="D6" s="219" t="n">
        <x:v>236541566</x:v>
      </x:c>
      <x:c r="E6" s="164" t="n">
        <x:v>1643</x:v>
      </x:c>
      <x:c r="F6" s="164">
        <x:v>0</x:v>
      </x:c>
      <x:c r="G6" s="165">
        <x:v>0</x:v>
      </x:c>
    </x:row>
    <x:row r="7" spans="2:13" x14ac:dyDescent="0.25">
      <x:c r="C7" s="162">
        <x:v>5</x:v>
      </x:c>
      <x:c r="D7" s="219" t="n">
        <x:v>155743651</x:v>
      </x:c>
      <x:c r="E7" s="164" t="n">
        <x:v>776</x:v>
      </x:c>
      <x:c r="F7" s="164">
        <x:v>0</x:v>
      </x:c>
      <x:c r="G7" s="165">
        <x:v>0</x:v>
      </x:c>
    </x:row>
    <x:row r="8" spans="2:13" ht="13.8" thickBot="1" x14ac:dyDescent="0.3">
      <x:c r="C8" s="166" t="s">
        <x:v>89</x:v>
      </x:c>
      <x:c r="D8" s="220" t="n">
        <x:v>0</x:v>
      </x:c>
      <x:c r="E8" s="168" t="n">
        <x:v>0</x:v>
      </x:c>
      <x:c r="F8" s="168">
        <x:v>0</x:v>
      </x:c>
      <x:c r="G8" s="169">
        <x:v>0</x:v>
      </x:c>
    </x:row>
    <x:row r="9" spans="2:13" ht="13.8" thickBot="1" x14ac:dyDescent="0.3">
      <x:c r="D9" s="170" t="n">
        <x:v>1462616452</x:v>
      </x:c>
      <x:c r="E9" s="170" t="n">
        <x:v>7845</x:v>
      </x:c>
      <x:c r="F9" s="170">
        <x:v>0</x:v>
      </x:c>
      <x:c r="G9" s="170">
        <x:v>0</x:v>
      </x:c>
    </x:row>
    <x:row r="10" spans="2:13" ht="13.8" thickBot="1" x14ac:dyDescent="0.3">
      <x:c r="D10" s="221"/>
    </x:row>
    <x:row r="11" spans="2:13" s="152" customFormat="1" ht="13.8" thickBot="1" x14ac:dyDescent="0.3">
      <x:c r="C11" s="153" t="s">
        <x:v>3</x:v>
      </x:c>
      <x:c r="D11" s="153" t="s">
        <x:v>136</x:v>
      </x:c>
      <x:c r="E11" s="171" t="s">
        <x:v>137</x:v>
      </x:c>
      <x:c r="F11" s="171" t="s">
        <x:v>138</x:v>
      </x:c>
      <x:c r="G11" s="172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5">
      <x:c r="B12" s="173" t="s">
        <x:v>140</x:v>
      </x:c>
      <x:c r="C12" s="174">
        <x:v>1</x:v>
      </x:c>
      <x:c r="D12" s="218" t="n">
        <x:v>205459944</x:v>
      </x:c>
      <x:c r="E12" s="160" t="n">
        <x:v>70</x:v>
      </x:c>
      <x:c r="F12" s="160">
        <x:v>0</x:v>
      </x:c>
      <x:c r="G12" s="161">
        <x:v>0</x:v>
      </x:c>
    </x:row>
    <x:row r="13" spans="2:13" x14ac:dyDescent="0.25">
      <x:c r="C13" s="175">
        <x:v>2</x:v>
      </x:c>
      <x:c r="D13" s="219" t="n">
        <x:v>33195420</x:v>
      </x:c>
      <x:c r="E13" s="164" t="n">
        <x:v>58</x:v>
      </x:c>
      <x:c r="F13" s="164">
        <x:v>0</x:v>
      </x:c>
      <x:c r="G13" s="165">
        <x:v>0</x:v>
      </x:c>
    </x:row>
    <x:row r="14" spans="2:13" x14ac:dyDescent="0.25">
      <x:c r="C14" s="175">
        <x:v>3</x:v>
      </x:c>
      <x:c r="D14" s="219" t="n">
        <x:v>126229443</x:v>
      </x:c>
      <x:c r="E14" s="164" t="n">
        <x:v>55</x:v>
      </x:c>
      <x:c r="F14" s="164">
        <x:v>0</x:v>
      </x:c>
      <x:c r="G14" s="165">
        <x:v>0</x:v>
      </x:c>
    </x:row>
    <x:row r="15" spans="2:13" x14ac:dyDescent="0.25">
      <x:c r="C15" s="175">
        <x:v>4</x:v>
      </x:c>
      <x:c r="D15" s="219" t="n">
        <x:v>2600820</x:v>
      </x:c>
      <x:c r="E15" s="164" t="n">
        <x:v>21</x:v>
      </x:c>
      <x:c r="F15" s="164">
        <x:v>0</x:v>
      </x:c>
      <x:c r="G15" s="165">
        <x:v>0</x:v>
      </x:c>
    </x:row>
    <x:row r="16" spans="2:13" x14ac:dyDescent="0.25">
      <x:c r="C16" s="175">
        <x:v>5</x:v>
      </x:c>
      <x:c r="D16" s="219" t="n">
        <x:v>25989911</x:v>
      </x:c>
      <x:c r="E16" s="164" t="n">
        <x:v>18</x:v>
      </x:c>
      <x:c r="F16" s="164">
        <x:v>0</x:v>
      </x:c>
      <x:c r="G16" s="165">
        <x:v>0</x:v>
      </x:c>
    </x:row>
    <x:row r="17" spans="1:13" ht="13.8" thickBot="1" x14ac:dyDescent="0.3">
      <x:c r="C17" s="176" t="s">
        <x:v>89</x:v>
      </x:c>
      <x:c r="D17" s="220" t="n">
        <x:v>0</x:v>
      </x:c>
      <x:c r="E17" s="168" t="n">
        <x:v>0</x:v>
      </x:c>
      <x:c r="F17" s="168">
        <x:v>0</x:v>
      </x:c>
      <x:c r="G17" s="169">
        <x:v>0</x:v>
      </x:c>
    </x:row>
    <x:row r="18" spans="1:13" ht="13.8" thickBot="1" x14ac:dyDescent="0.3">
      <x:c r="D18" s="177" t="n">
        <x:v>393475538</x:v>
      </x:c>
      <x:c r="E18" s="177" t="n">
        <x:v>222</x:v>
      </x:c>
      <x:c r="F18" s="177">
        <x:v>0</x:v>
      </x:c>
      <x:c r="G18" s="177">
        <x:v>0</x:v>
      </x:c>
    </x:row>
    <x:row r="19" spans="1:13" ht="13.8" thickBot="1" x14ac:dyDescent="0.3"/>
    <x:row r="20" spans="1:13" ht="13.8" thickBot="1" x14ac:dyDescent="0.3">
      <x:c r="C20" s="153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5">
      <x:c r="B21" s="180" t="s">
        <x:v>2</x:v>
      </x:c>
      <x:c r="C21" s="158">
        <x:v>1</x:v>
      </x:c>
      <x:c r="D21" s="218" t="n">
        <x:v>540475692</x:v>
      </x:c>
      <x:c r="E21" s="160" t="n">
        <x:v>1660</x:v>
      </x:c>
      <x:c r="F21" s="160">
        <x:v>0</x:v>
      </x:c>
      <x:c r="G21" s="161">
        <x:v>0</x:v>
      </x:c>
      <x:c r="I21" s="159">
        <x:v>0</x:v>
      </x:c>
      <x:c r="J21" s="161">
        <x:v>0</x:v>
      </x:c>
    </x:row>
    <x:row r="22" spans="1:13" s="151" customFormat="1" x14ac:dyDescent="0.25">
      <x:c r="B22" s="150"/>
      <x:c r="C22" s="162">
        <x:v>2</x:v>
      </x:c>
      <x:c r="D22" s="219" t="n">
        <x:v>422221285</x:v>
      </x:c>
      <x:c r="E22" s="164" t="n">
        <x:v>2771</x:v>
      </x:c>
      <x:c r="F22" s="164">
        <x:v>0</x:v>
      </x:c>
      <x:c r="G22" s="165">
        <x:v>0</x:v>
      </x:c>
      <x:c r="I22" s="163">
        <x:v>0</x:v>
      </x:c>
      <x:c r="J22" s="165">
        <x:v>0</x:v>
      </x:c>
    </x:row>
    <x:row r="23" spans="1:13" s="151" customFormat="1" x14ac:dyDescent="0.25">
      <x:c r="B23" s="150"/>
      <x:c r="C23" s="162">
        <x:v>3</x:v>
      </x:c>
      <x:c r="D23" s="219" t="n">
        <x:v>472519065</x:v>
      </x:c>
      <x:c r="E23" s="164" t="n">
        <x:v>1178</x:v>
      </x:c>
      <x:c r="F23" s="164">
        <x:v>0</x:v>
      </x:c>
      <x:c r="G23" s="165">
        <x:v>0</x:v>
      </x:c>
      <x:c r="I23" s="163">
        <x:v>0</x:v>
      </x:c>
      <x:c r="J23" s="165">
        <x:v>0</x:v>
      </x:c>
    </x:row>
    <x:row r="24" spans="1:13" s="151" customFormat="1" x14ac:dyDescent="0.25">
      <x:c r="B24" s="150"/>
      <x:c r="C24" s="162">
        <x:v>4</x:v>
      </x:c>
      <x:c r="D24" s="219" t="n">
        <x:v>239142386</x:v>
      </x:c>
      <x:c r="E24" s="164" t="n">
        <x:v>1664</x:v>
      </x:c>
      <x:c r="F24" s="164">
        <x:v>0</x:v>
      </x:c>
      <x:c r="G24" s="165">
        <x:v>0</x:v>
      </x:c>
      <x:c r="I24" s="163">
        <x:v>0</x:v>
      </x:c>
      <x:c r="J24" s="165">
        <x:v>0</x:v>
      </x:c>
    </x:row>
    <x:row r="25" spans="1:13" s="151" customFormat="1" x14ac:dyDescent="0.25">
      <x:c r="B25" s="150"/>
      <x:c r="C25" s="162">
        <x:v>5</x:v>
      </x:c>
      <x:c r="D25" s="219" t="n">
        <x:v>181733562</x:v>
      </x:c>
      <x:c r="E25" s="164" t="n">
        <x:v>794</x:v>
      </x:c>
      <x:c r="F25" s="164">
        <x:v>0</x:v>
      </x:c>
      <x:c r="G25" s="165">
        <x:v>0</x:v>
      </x:c>
      <x:c r="I25" s="163">
        <x:v>0</x:v>
      </x:c>
      <x:c r="J25" s="165">
        <x:v>0</x:v>
      </x:c>
    </x:row>
    <x:row r="26" spans="1:13" ht="13.8" thickBot="1" x14ac:dyDescent="0.3">
      <x:c r="C26" s="222" t="s">
        <x:v>89</x:v>
      </x:c>
      <x:c r="D26" s="220" t="n">
        <x:v>0</x:v>
      </x:c>
      <x:c r="E26" s="168" t="n">
        <x:v>0</x:v>
      </x:c>
      <x:c r="F26" s="168">
        <x:v>0</x:v>
      </x:c>
      <x:c r="G26" s="169">
        <x:v>0</x:v>
      </x:c>
      <x:c r="I26" s="181">
        <x:v>0</x:v>
      </x:c>
      <x:c r="J26" s="182">
        <x:v>0</x:v>
      </x:c>
    </x:row>
    <x:row r="27" spans="1:13" ht="13.8" thickBot="1" x14ac:dyDescent="0.3">
      <x:c r="D27" s="170" t="n">
        <x:v>1856091990</x:v>
      </x:c>
      <x:c r="E27" s="170" t="n">
        <x:v>8067</x:v>
      </x:c>
      <x:c r="F27" s="170">
        <x:v>0</x:v>
      </x:c>
      <x:c r="G27" s="170">
        <x:v>0</x:v>
      </x:c>
      <x:c r="I27" s="183">
        <x:v>0</x:v>
      </x:c>
      <x:c r="J27" s="184">
        <x:v>0</x:v>
      </x:c>
    </x:row>
    <x:row r="29" spans="1:13" customFormat="1" x14ac:dyDescent="0.25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5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5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5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5">
      <x:c r="B33" s="94" t="s">
        <x:v>140</x:v>
      </x:c>
      <x:c r="D33" s="151" t="b">
        <x:f>D18=SUM(D12:D17)</x:f>
        <x:v>1</x:v>
      </x:c>
      <x:c r="E33" s="151" t="b">
        <x:f t="shared" ref="E33:F33" si="1">E18=SUM(E12:E17)</x:f>
        <x:v>1</x:v>
      </x:c>
      <x:c r="F33" s="151" t="b">
        <x:f t="shared" si="1"/>
        <x:v>1</x:v>
      </x:c>
      <x:c r="G33" s="151" t="b">
        <x:f>G18=SUM(G12:G17)</x:f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5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5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5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5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  <x:row r="69" spans="5:5" x14ac:dyDescent="0.25">
      <x:c r="E69" s="151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5" zoomScaleNormal="95" workbookViewId="0">
      <x:selection activeCell="A59" sqref="A59"/>
    </x:sheetView>
  </x:sheetViews>
  <x:sheetFormatPr baseColWidth="10" defaultRowHeight="13.2" x14ac:dyDescent="0.25"/>
  <x:cols>
    <x:col min="1" max="1" width="6" customWidth="1"/>
    <x:col min="2" max="2" width="47.6640625" bestFit="1" customWidth="1"/>
    <x:col min="3" max="9" width="22.6640625" customWidth="1"/>
    <x:col min="10" max="10" width="17.6640625" customWidth="1"/>
  </x:cols>
  <x:sheetData>
    <x:row r="1" spans="1:10" x14ac:dyDescent="0.25">
      <x:c r="C1" s="201" t="s">
        <x:v>155</x:v>
      </x:c>
      <x:c r="D1" s="201" t="s">
        <x:v>76</x:v>
      </x:c>
      <x:c r="E1" s="201" t="s">
        <x:v>85</x:v>
      </x:c>
      <x:c r="F1" s="201" t="s">
        <x:v>120</x:v>
      </x:c>
      <x:c r="G1" s="201" t="s">
        <x:v>326</x:v>
      </x:c>
      <x:c r="H1" s="201" t="s">
        <x:v>119</x:v>
      </x:c>
      <x:c r="I1" s="201" t="s">
        <x:v>70</x:v>
      </x:c>
    </x:row>
    <x:row r="2" spans="1:10" x14ac:dyDescent="0.25">
      <x:c r="B2" t="s">
        <x:v>97</x:v>
      </x:c>
      <x:c r="C2" s="202">
        <x:f>C13+C23+C32+C41+C51</x:f>
        <x:v>0</x:v>
      </x:c>
      <x:c r="D2" s="202">
        <x:f t="shared" ref="D2:H2" si="0">D13+D23+D32+D41+D51</x:f>
        <x:v>0</x:v>
      </x:c>
      <x:c r="E2" s="202">
        <x:f t="shared" si="0"/>
        <x:v>0</x:v>
      </x:c>
      <x:c r="F2" s="202">
        <x:f t="shared" si="0"/>
        <x:v>0</x:v>
      </x:c>
      <x:c r="G2" s="202">
        <x:f t="shared" si="0"/>
        <x:v>0</x:v>
      </x:c>
      <x:c r="H2" s="202">
        <x:f t="shared" si="0"/>
        <x:v>0</x:v>
      </x:c>
      <x:c r="I2" s="612">
        <x:f>SUM(C2:H2)</x:f>
        <x:v>0</x:v>
      </x:c>
    </x:row>
    <x:row r="3" spans="1:10" x14ac:dyDescent="0.25">
      <x:c r="B3" t="s">
        <x:v>98</x:v>
      </x:c>
      <x:c r="C3" s="202">
        <x:f>C14+C24+C33+C42+C52</x:f>
        <x:v>0</x:v>
      </x:c>
      <x:c r="D3" s="202">
        <x:f t="shared" ref="D3:H5" si="1">D14+D24+D33+D42+D52</x:f>
        <x:v>0</x:v>
      </x:c>
      <x:c r="E3" s="202">
        <x:f t="shared" si="1"/>
        <x:v>0</x:v>
      </x:c>
      <x:c r="F3" s="202">
        <x:f t="shared" si="1"/>
        <x:v>0</x:v>
      </x:c>
      <x:c r="G3" s="202">
        <x:f t="shared" ref="G3" si="2">G14+G24+G33+G42+G52</x:f>
        <x:v>0</x:v>
      </x:c>
      <x:c r="H3" s="202">
        <x:f t="shared" si="1"/>
        <x:v>0</x:v>
      </x:c>
      <x:c r="I3" s="612">
        <x:f>SUM(C3:H3)</x:f>
        <x:v>0</x:v>
      </x:c>
      <x:c r="J3" t="s">
        <x:v>1</x:v>
      </x:c>
    </x:row>
    <x:row r="4" spans="1:10" x14ac:dyDescent="0.25">
      <x:c r="B4" t="s">
        <x:v>131</x:v>
      </x:c>
      <x:c r="C4" s="202">
        <x:f>C15+C25+C34+C43+C53</x:f>
        <x:v>0</x:v>
      </x:c>
      <x:c r="D4" s="202">
        <x:f t="shared" si="1"/>
        <x:v>0</x:v>
      </x:c>
      <x:c r="E4" s="202">
        <x:f t="shared" si="1"/>
        <x:v>0</x:v>
      </x:c>
      <x:c r="F4" s="202">
        <x:f t="shared" si="1"/>
        <x:v>0</x:v>
      </x:c>
      <x:c r="G4" s="202">
        <x:f t="shared" ref="G4" si="3">G15+G25+G34+G43+G53</x:f>
        <x:v>0</x:v>
      </x:c>
      <x:c r="H4" s="202">
        <x:f t="shared" si="1"/>
        <x:v>0</x:v>
      </x:c>
      <x:c r="I4" s="612">
        <x:f>SUM(C4:H4)</x:f>
        <x:v>0</x:v>
      </x:c>
    </x:row>
    <x:row r="5" spans="1:10" ht="13.8" thickBot="1" x14ac:dyDescent="0.3">
      <x:c r="B5" t="s">
        <x:v>168</x:v>
      </x:c>
      <x:c r="C5" s="202">
        <x:f>C16+C26+C35+C44+C54</x:f>
        <x:v>0</x:v>
      </x:c>
      <x:c r="D5" s="202">
        <x:f t="shared" si="1"/>
        <x:v>0</x:v>
      </x:c>
      <x:c r="E5" s="202">
        <x:f t="shared" si="1"/>
        <x:v>0</x:v>
      </x:c>
      <x:c r="F5" s="202">
        <x:f t="shared" si="1"/>
        <x:v>0</x:v>
      </x:c>
      <x:c r="G5" s="202">
        <x:f t="shared" ref="G5" si="4">G16+G26+G35+G44+G54</x:f>
        <x:v>0</x:v>
      </x:c>
      <x:c r="H5" s="202">
        <x:f t="shared" si="1"/>
        <x:v>0</x:v>
      </x:c>
      <x:c r="I5" s="613">
        <x:f>SUM(C5:H5)</x:f>
        <x:v>0</x:v>
      </x:c>
    </x:row>
    <x:row r="6" spans="1:10" ht="13.8" thickBot="1" x14ac:dyDescent="0.3">
      <x:c r="B6" t="s">
        <x:v>70</x:v>
      </x:c>
      <x:c r="C6" s="170">
        <x:f>SUM(C2:C5)</x:f>
        <x:v>0</x:v>
      </x:c>
      <x:c r="D6" s="170">
        <x:f t="shared" ref="D6:H6" si="5">SUM(D2:D5)</x:f>
        <x:v>0</x:v>
      </x:c>
      <x:c r="E6" s="170">
        <x:f t="shared" si="5"/>
        <x:v>0</x:v>
      </x:c>
      <x:c r="F6" s="170">
        <x:f t="shared" si="5"/>
        <x:v>0</x:v>
      </x:c>
      <x:c r="G6" s="170">
        <x:f t="shared" si="5"/>
        <x:v>0</x:v>
      </x:c>
      <x:c r="H6" s="170">
        <x:f t="shared" si="5"/>
        <x:v>0</x:v>
      </x:c>
      <x:c r="I6" s="611">
        <x:f>SUM(I2:I5)</x:f>
        <x:v>0</x:v>
      </x:c>
    </x:row>
    <x:row r="7" spans="1:10" x14ac:dyDescent="0.25">
      <x:c r="C7" s="203" t="b">
        <x:f>C6=(C17+C27+C36+C45+C55)</x:f>
        <x:v>1</x:v>
      </x:c>
      <x:c r="D7" s="203" t="b">
        <x:f t="shared" ref="D7:H7" si="6">D6=(D17+D27+D36+D45+D55)</x:f>
        <x:v>1</x:v>
      </x:c>
      <x:c r="E7" s="203" t="b">
        <x:f t="shared" si="6"/>
        <x:v>1</x:v>
      </x:c>
      <x:c r="F7" s="203" t="b">
        <x:f t="shared" si="6"/>
        <x:v>1</x:v>
      </x:c>
      <x:c r="G7" s="203"/>
      <x:c r="H7" s="203" t="b">
        <x:f t="shared" si="6"/>
        <x:v>1</x:v>
      </x:c>
      <x:c r="I7" s="203" t="b">
        <x:f>I6=(I17+I27+I36+I45+I55)</x:f>
        <x:v>1</x:v>
      </x:c>
    </x:row>
    <x:row r="8" spans="1:10" x14ac:dyDescent="0.25">
      <x:c r="A8" s="197"/>
      <x:c r="B8" s="197"/>
      <x:c r="C8" s="197"/>
      <x:c r="D8" s="197"/>
      <x:c r="E8" s="197"/>
      <x:c r="F8" s="197"/>
      <x:c r="G8" s="197"/>
      <x:c r="H8" s="197"/>
      <x:c r="I8" s="197"/>
      <x:c r="J8" s="197"/>
    </x:row>
    <x:row r="10" spans="1:10" ht="13.8" x14ac:dyDescent="0.25">
      <x:c r="B10" s="50" t="s">
        <x:v>99</x:v>
      </x:c>
      <x:c r="H10" s="191"/>
    </x:row>
    <x:row r="11" spans="1:10" x14ac:dyDescent="0.25">
      <x:c r="B11" s="107" t="s">
        <x:v>96</x:v>
      </x:c>
    </x:row>
    <x:row r="12" spans="1:10" x14ac:dyDescent="0.25">
      <x:c r="C12" s="201" t="s">
        <x:v>155</x:v>
      </x:c>
      <x:c r="D12" s="201" t="s">
        <x:v>76</x:v>
      </x:c>
      <x:c r="E12" s="201" t="s">
        <x:v>85</x:v>
      </x:c>
      <x:c r="F12" s="201" t="s">
        <x:v>120</x:v>
      </x:c>
      <x:c r="G12" s="201" t="s">
        <x:v>326</x:v>
      </x:c>
      <x:c r="H12" s="201" t="s">
        <x:v>119</x:v>
      </x:c>
      <x:c r="I12" s="201" t="s">
        <x:v>70</x:v>
      </x:c>
    </x:row>
    <x:row r="13" spans="1:10" x14ac:dyDescent="0.25">
      <x:c r="B13" t="s">
        <x:v>97</x:v>
      </x:c>
      <x:c r="C13" s="199" t="n">
        <x:v>16194517449</x:v>
      </x:c>
      <x:c r="D13" s="199">
        <x:v>0</x:v>
      </x:c>
      <x:c r="E13" s="199">
        <x:v>0</x:v>
      </x:c>
      <x:c r="F13" s="199">
        <x:v>0</x:v>
      </x:c>
      <x:c r="G13" s="199">
        <x:v>0</x:v>
      </x:c>
      <x:c r="H13" s="199" t="n">
        <x:v>523782724.81</x:v>
      </x:c>
      <x:c r="I13" s="612">
        <x:f>SUM(C13:H13)</x:f>
        <x:v>0</x:v>
      </x:c>
      <x:c r="J13" s="203" t="b">
        <x:f>SUM(C13:H13)=I13</x:f>
        <x:v>1</x:v>
      </x:c>
    </x:row>
    <x:row r="14" spans="1:10" x14ac:dyDescent="0.25">
      <x:c r="B14" s="89" t="s">
        <x:v>98</x:v>
      </x:c>
      <x:c r="C14" s="199" t="n">
        <x:v>50286069</x:v>
      </x:c>
      <x:c r="D14" s="199">
        <x:v>0</x:v>
      </x:c>
      <x:c r="E14" s="199">
        <x:v>0</x:v>
      </x:c>
      <x:c r="F14" s="199">
        <x:v>0</x:v>
      </x:c>
      <x:c r="G14" s="199">
        <x:v>0</x:v>
      </x:c>
      <x:c r="H14" s="199" t="n">
        <x:v>12466967.19</x:v>
      </x:c>
      <x:c r="I14" s="612">
        <x:f t="shared" ref="I14:I16" si="7">SUM(C14:H14)</x:f>
        <x:v>0</x:v>
      </x:c>
      <x:c r="J14" s="203" t="b">
        <x:f t="shared" ref="J14:J17" si="8">SUM(C14:H14)=I14</x:f>
        <x:v>1</x:v>
      </x:c>
    </x:row>
    <x:row r="15" spans="1:10" x14ac:dyDescent="0.25">
      <x:c r="B15" t="s">
        <x:v>131</x:v>
      </x:c>
      <x:c r="C15" s="199" t="n">
        <x:v>0</x:v>
      </x:c>
      <x:c r="D15" s="199">
        <x:v>0</x:v>
      </x:c>
      <x:c r="E15" s="199">
        <x:v>0</x:v>
      </x:c>
      <x:c r="F15" s="199">
        <x:v>0</x:v>
      </x:c>
      <x:c r="G15" s="199">
        <x:v>0</x:v>
      </x:c>
      <x:c r="H15" s="199" t="n">
        <x:v>4226000</x:v>
      </x:c>
      <x:c r="I15" s="612">
        <x:f t="shared" si="7"/>
        <x:v>0</x:v>
      </x:c>
      <x:c r="J15" s="203" t="b">
        <x:f t="shared" si="8"/>
        <x:v>1</x:v>
      </x:c>
    </x:row>
    <x:row r="16" spans="1:10" ht="13.8" thickBot="1" x14ac:dyDescent="0.3">
      <x:c r="B16" t="s">
        <x:v>168</x:v>
      </x:c>
      <x:c r="C16" s="610" t="n">
        <x:v>0</x:v>
      </x:c>
      <x:c r="D16" s="610">
        <x:v>0</x:v>
      </x:c>
      <x:c r="E16" s="610">
        <x:v>0</x:v>
      </x:c>
      <x:c r="F16" s="610">
        <x:v>0</x:v>
      </x:c>
      <x:c r="G16" s="610">
        <x:v>0</x:v>
      </x:c>
      <x:c r="H16" s="610" t="n">
        <x:v>0</x:v>
      </x:c>
      <x:c r="I16" s="613">
        <x:f t="shared" si="7"/>
        <x:v>0</x:v>
      </x:c>
      <x:c r="J16" s="203" t="b">
        <x:f t="shared" si="8"/>
        <x:v>1</x:v>
      </x:c>
    </x:row>
    <x:row r="17" spans="2:11" ht="13.8" thickBot="1" x14ac:dyDescent="0.3">
      <x:c r="B17" s="89" t="s">
        <x:v>70</x:v>
      </x:c>
      <x:c r="C17" s="170">
        <x:f>SUM(C13:C16)</x:f>
        <x:v>0</x:v>
      </x:c>
      <x:c r="D17" s="170">
        <x:f t="shared" ref="D17:I17" si="9">SUM(D13:D16)</x:f>
        <x:v>0</x:v>
      </x:c>
      <x:c r="E17" s="170">
        <x:f t="shared" si="9"/>
        <x:v>0</x:v>
      </x:c>
      <x:c r="F17" s="170">
        <x:f t="shared" si="9"/>
        <x:v>0</x:v>
      </x:c>
      <x:c r="G17" s="170">
        <x:f t="shared" si="9"/>
        <x:v>0</x:v>
      </x:c>
      <x:c r="H17" s="170">
        <x:f>SUM(H13:H16)</x:f>
        <x:v>0</x:v>
      </x:c>
      <x:c r="I17" s="611">
        <x:f t="shared" si="9"/>
        <x:v>0</x:v>
      </x:c>
      <x:c r="J17" s="203" t="b">
        <x:f t="shared" si="8"/>
        <x:v>1</x:v>
      </x:c>
      <x:c r="K17" s="115"/>
    </x:row>
    <x:row r="18" spans="2:11" x14ac:dyDescent="0.25">
      <x:c r="B18" s="89"/>
      <x:c r="C18" s="106"/>
      <x:c r="D18" s="106"/>
      <x:c r="E18" s="106"/>
      <x:c r="F18" s="106"/>
      <x:c r="G18" s="106"/>
      <x:c r="H18" s="106"/>
      <x:c r="I18" s="106"/>
    </x:row>
    <x:row r="19" spans="2:11" x14ac:dyDescent="0.25">
      <x:c r="C19" s="132"/>
      <x:c r="D19" s="191"/>
      <x:c r="I19" s="191"/>
    </x:row>
    <x:row r="20" spans="2:11" ht="13.8" x14ac:dyDescent="0.25">
      <x:c r="B20" s="50" t="s">
        <x:v>100</x:v>
      </x:c>
    </x:row>
    <x:row r="21" spans="2:11" x14ac:dyDescent="0.25">
      <x:c r="B21" s="107" t="s">
        <x:v>96</x:v>
      </x:c>
    </x:row>
    <x:row r="22" spans="2:11" x14ac:dyDescent="0.25">
      <x:c r="C22" s="201" t="s">
        <x:v>155</x:v>
      </x:c>
      <x:c r="D22" s="201" t="s">
        <x:v>76</x:v>
      </x:c>
      <x:c r="E22" s="201" t="s">
        <x:v>85</x:v>
      </x:c>
      <x:c r="F22" s="201" t="s">
        <x:v>120</x:v>
      </x:c>
      <x:c r="G22" s="201" t="s">
        <x:v>326</x:v>
      </x:c>
      <x:c r="H22" s="201" t="s">
        <x:v>119</x:v>
      </x:c>
      <x:c r="I22" s="201" t="s">
        <x:v>70</x:v>
      </x:c>
    </x:row>
    <x:row r="23" spans="2:11" x14ac:dyDescent="0.25">
      <x:c r="B23" t="s">
        <x:v>97</x:v>
      </x:c>
      <x:c r="C23" s="199" t="n">
        <x:v>11785775189</x:v>
      </x:c>
      <x:c r="D23" s="199">
        <x:v>0</x:v>
      </x:c>
      <x:c r="E23" s="199">
        <x:v>0</x:v>
      </x:c>
      <x:c r="F23" s="199" t="n">
        <x:v>13570060</x:v>
      </x:c>
      <x:c r="G23" s="199">
        <x:v>0</x:v>
      </x:c>
      <x:c r="H23" s="199" t="n">
        <x:v>390172374</x:v>
      </x:c>
      <x:c r="I23" s="612">
        <x:f>SUM(C23:H23)</x:f>
        <x:v>0</x:v>
      </x:c>
      <x:c r="J23" s="203" t="b">
        <x:f t="shared" ref="J23:J26" si="10">SUM(C23:H23)=I23</x:f>
        <x:v>1</x:v>
      </x:c>
    </x:row>
    <x:row r="24" spans="2:11" x14ac:dyDescent="0.25">
      <x:c r="B24" s="89" t="s">
        <x:v>98</x:v>
      </x:c>
      <x:c r="C24" s="199" t="n">
        <x:v>47435723</x:v>
      </x:c>
      <x:c r="D24" s="199">
        <x:v>0</x:v>
      </x:c>
      <x:c r="E24" s="199">
        <x:v>0</x:v>
      </x:c>
      <x:c r="F24" s="199" t="n">
        <x:v>15775490</x:v>
      </x:c>
      <x:c r="G24" s="199">
        <x:v>0</x:v>
      </x:c>
      <x:c r="H24" s="199" t="n">
        <x:v>32048911</x:v>
      </x:c>
      <x:c r="I24" s="612">
        <x:f t="shared" ref="I24:I26" si="11">SUM(C24:H24)</x:f>
        <x:v>0</x:v>
      </x:c>
      <x:c r="J24" s="203" t="b">
        <x:f t="shared" si="10"/>
        <x:v>1</x:v>
      </x:c>
    </x:row>
    <x:row r="25" spans="2:11" x14ac:dyDescent="0.25">
      <x:c r="B25" s="89" t="s">
        <x:v>131</x:v>
      </x:c>
      <x:c r="C25" s="199" t="n">
        <x:v>0</x:v>
      </x:c>
      <x:c r="D25" s="199">
        <x:v>0</x:v>
      </x:c>
      <x:c r="E25" s="199">
        <x:v>0</x:v>
      </x:c>
      <x:c r="F25" s="199" t="n">
        <x:v>0</x:v>
      </x:c>
      <x:c r="G25" s="199">
        <x:v>0</x:v>
      </x:c>
      <x:c r="H25" s="199" t="n">
        <x:v>0</x:v>
      </x:c>
      <x:c r="I25" s="612">
        <x:f t="shared" si="11"/>
        <x:v>0</x:v>
      </x:c>
      <x:c r="J25" s="203" t="b">
        <x:f t="shared" si="10"/>
        <x:v>1</x:v>
      </x:c>
    </x:row>
    <x:row r="26" spans="2:11" ht="13.8" thickBot="1" x14ac:dyDescent="0.3">
      <x:c r="B26" s="89" t="s">
        <x:v>168</x:v>
      </x:c>
      <x:c r="C26" s="610" t="n">
        <x:v>0</x:v>
      </x:c>
      <x:c r="D26" s="610">
        <x:v>0</x:v>
      </x:c>
      <x:c r="E26" s="610">
        <x:v>0</x:v>
      </x:c>
      <x:c r="F26" s="610" t="n">
        <x:v>0</x:v>
      </x:c>
      <x:c r="G26" s="610">
        <x:v>0</x:v>
      </x:c>
      <x:c r="H26" s="610" t="n">
        <x:v>0</x:v>
      </x:c>
      <x:c r="I26" s="613">
        <x:f t="shared" si="11"/>
        <x:v>0</x:v>
      </x:c>
      <x:c r="J26" s="203" t="b">
        <x:f t="shared" si="10"/>
        <x:v>1</x:v>
      </x:c>
    </x:row>
    <x:row r="27" spans="2:11" ht="13.8" thickBot="1" x14ac:dyDescent="0.3">
      <x:c r="B27" s="89" t="s">
        <x:v>70</x:v>
      </x:c>
      <x:c r="C27" s="170">
        <x:f>SUM(C23:C26)</x:f>
        <x:v>0</x:v>
      </x:c>
      <x:c r="D27" s="170">
        <x:f t="shared" ref="D27:E27" si="12">SUM(D23:D26)</x:f>
        <x:v>0</x:v>
      </x:c>
      <x:c r="E27" s="170">
        <x:f t="shared" si="12"/>
        <x:v>0</x:v>
      </x:c>
      <x:c r="F27" s="170">
        <x:f>SUM(F23:F26)</x:f>
        <x:v>0</x:v>
      </x:c>
      <x:c r="G27" s="170">
        <x:f>SUM(G23:G26)</x:f>
        <x:v>0</x:v>
      </x:c>
      <x:c r="H27" s="170">
        <x:f>SUM(H23:H26)</x:f>
        <x:v>0</x:v>
      </x:c>
      <x:c r="I27" s="611">
        <x:f>SUM(I23:I26)</x:f>
        <x:v>0</x:v>
      </x:c>
      <x:c r="J27" s="203" t="b">
        <x:f>SUM(C27:H27)=I27</x:f>
        <x:v>1</x:v>
      </x:c>
    </x:row>
    <x:row r="29" spans="2:11" ht="13.8" x14ac:dyDescent="0.25">
      <x:c r="B29" s="50" t="s">
        <x:v>101</x:v>
      </x:c>
      <x:c r="H29" s="191"/>
      <x:c r="I29" s="191"/>
    </x:row>
    <x:row r="30" spans="2:11" x14ac:dyDescent="0.25">
      <x:c r="B30" s="107" t="s">
        <x:v>96</x:v>
      </x:c>
    </x:row>
    <x:row r="31" spans="2:11" x14ac:dyDescent="0.25">
      <x:c r="C31" s="201" t="s">
        <x:v>155</x:v>
      </x:c>
      <x:c r="D31" s="201" t="s">
        <x:v>76</x:v>
      </x:c>
      <x:c r="E31" s="201" t="s">
        <x:v>85</x:v>
      </x:c>
      <x:c r="F31" s="201" t="s">
        <x:v>120</x:v>
      </x:c>
      <x:c r="G31" s="201" t="s">
        <x:v>326</x:v>
      </x:c>
      <x:c r="H31" s="201" t="s">
        <x:v>119</x:v>
      </x:c>
      <x:c r="I31" s="201" t="s">
        <x:v>70</x:v>
      </x:c>
    </x:row>
    <x:row r="32" spans="2:11" x14ac:dyDescent="0.25">
      <x:c r="B32" s="89" t="s">
        <x:v>97</x:v>
      </x:c>
      <x:c r="C32" s="199" t="n">
        <x:v>9664176949</x:v>
      </x:c>
      <x:c r="D32" s="199">
        <x:v>0</x:v>
      </x:c>
      <x:c r="E32" s="199">
        <x:v>0</x:v>
      </x:c>
      <x:c r="F32" s="199">
        <x:v>0</x:v>
      </x:c>
      <x:c r="G32" s="199">
        <x:v>0</x:v>
      </x:c>
      <x:c r="H32" s="199" t="n">
        <x:v>466628267.89</x:v>
      </x:c>
      <x:c r="I32" s="612">
        <x:f>SUM(C32:H32)</x:f>
        <x:v>0</x:v>
      </x:c>
      <x:c r="J32" s="203" t="b">
        <x:f>SUM(C32:H32)=I32</x:f>
        <x:v>1</x:v>
      </x:c>
    </x:row>
    <x:row r="33" spans="2:10" x14ac:dyDescent="0.25">
      <x:c r="B33" s="89" t="s">
        <x:v>98</x:v>
      </x:c>
      <x:c r="C33" s="199" t="n">
        <x:v>21042512</x:v>
      </x:c>
      <x:c r="D33" s="199">
        <x:v>0</x:v>
      </x:c>
      <x:c r="E33" s="199">
        <x:v>0</x:v>
      </x:c>
      <x:c r="F33" s="199">
        <x:v>0</x:v>
      </x:c>
      <x:c r="G33" s="199">
        <x:v>0</x:v>
      </x:c>
      <x:c r="H33" s="199" t="n">
        <x:v>2387269</x:v>
      </x:c>
      <x:c r="I33" s="612">
        <x:f>SUM(C33:H33)</x:f>
        <x:v>0</x:v>
      </x:c>
      <x:c r="J33" s="203" t="b">
        <x:f t="shared" ref="J33:J36" si="13">SUM(C33:H33)=I33</x:f>
        <x:v>1</x:v>
      </x:c>
    </x:row>
    <x:row r="34" spans="2:10" x14ac:dyDescent="0.25">
      <x:c r="B34" s="89" t="s">
        <x:v>131</x:v>
      </x:c>
      <x:c r="C34" s="199" t="n">
        <x:v>0</x:v>
      </x:c>
      <x:c r="D34" s="199">
        <x:v>0</x:v>
      </x:c>
      <x:c r="E34" s="199">
        <x:v>0</x:v>
      </x:c>
      <x:c r="F34" s="199">
        <x:v>0</x:v>
      </x:c>
      <x:c r="G34" s="199">
        <x:v>0</x:v>
      </x:c>
      <x:c r="H34" s="199" t="n">
        <x:v>3503528.11</x:v>
      </x:c>
      <x:c r="I34" s="612">
        <x:f t="shared" ref="I34:I35" si="14">SUM(C34:H34)</x:f>
        <x:v>0</x:v>
      </x:c>
      <x:c r="J34" s="203" t="b">
        <x:f t="shared" si="13"/>
        <x:v>1</x:v>
      </x:c>
    </x:row>
    <x:row r="35" spans="2:10" ht="13.8" thickBot="1" x14ac:dyDescent="0.3">
      <x:c r="B35" s="89" t="s">
        <x:v>168</x:v>
      </x:c>
      <x:c r="C35" s="610" t="n">
        <x:v>0</x:v>
      </x:c>
      <x:c r="D35" s="610">
        <x:v>0</x:v>
      </x:c>
      <x:c r="E35" s="610">
        <x:v>0</x:v>
      </x:c>
      <x:c r="F35" s="610">
        <x:v>0</x:v>
      </x:c>
      <x:c r="G35" s="610">
        <x:v>0</x:v>
      </x:c>
      <x:c r="H35" s="610" t="n">
        <x:v>0</x:v>
      </x:c>
      <x:c r="I35" s="613">
        <x:f t="shared" si="14"/>
        <x:v>0</x:v>
      </x:c>
      <x:c r="J35" s="203" t="b">
        <x:f t="shared" si="13"/>
        <x:v>1</x:v>
      </x:c>
    </x:row>
    <x:row r="36" spans="2:10" ht="13.8" thickBot="1" x14ac:dyDescent="0.3">
      <x:c r="B36" s="89" t="s">
        <x:v>70</x:v>
      </x:c>
      <x:c r="C36" s="170">
        <x:f>SUM(C32:C35)</x:f>
        <x:v>0</x:v>
      </x:c>
      <x:c r="D36" s="170">
        <x:f t="shared" ref="D36:G36" si="15">SUM(D32:D35)</x:f>
        <x:v>0</x:v>
      </x:c>
      <x:c r="E36" s="170">
        <x:f t="shared" si="15"/>
        <x:v>0</x:v>
      </x:c>
      <x:c r="F36" s="170">
        <x:f t="shared" si="15"/>
        <x:v>0</x:v>
      </x:c>
      <x:c r="G36" s="170">
        <x:f t="shared" si="15"/>
        <x:v>0</x:v>
      </x:c>
      <x:c r="H36" s="170">
        <x:f>SUM(H32:H35)</x:f>
        <x:v>0</x:v>
      </x:c>
      <x:c r="I36" s="611">
        <x:f>SUM(I32:I35)</x:f>
        <x:v>0</x:v>
      </x:c>
      <x:c r="J36" s="203" t="b">
        <x:f t="shared" si="13"/>
        <x:v>1</x:v>
      </x:c>
    </x:row>
    <x:row r="38" spans="2:10" ht="13.8" x14ac:dyDescent="0.25">
      <x:c r="B38" s="50" t="s">
        <x:v>102</x:v>
      </x:c>
    </x:row>
    <x:row r="39" spans="2:10" x14ac:dyDescent="0.25">
      <x:c r="B39" s="107" t="s">
        <x:v>96</x:v>
      </x:c>
    </x:row>
    <x:row r="40" spans="2:10" x14ac:dyDescent="0.25">
      <x:c r="C40" s="201" t="s">
        <x:v>155</x:v>
      </x:c>
      <x:c r="D40" s="201" t="s">
        <x:v>76</x:v>
      </x:c>
      <x:c r="E40" s="201" t="s">
        <x:v>85</x:v>
      </x:c>
      <x:c r="F40" s="201" t="s">
        <x:v>120</x:v>
      </x:c>
      <x:c r="G40" s="201" t="s">
        <x:v>326</x:v>
      </x:c>
      <x:c r="H40" s="201" t="s">
        <x:v>119</x:v>
      </x:c>
      <x:c r="I40" s="201" t="s">
        <x:v>70</x:v>
      </x:c>
    </x:row>
    <x:row r="41" spans="2:10" x14ac:dyDescent="0.25">
      <x:c r="B41" s="89" t="s">
        <x:v>97</x:v>
      </x:c>
      <x:c r="C41" s="199" t="n">
        <x:v>10340898687</x:v>
      </x:c>
      <x:c r="D41" s="199">
        <x:v>0</x:v>
      </x:c>
      <x:c r="E41" s="199">
        <x:v>0</x:v>
      </x:c>
      <x:c r="F41" s="199" t="n">
        <x:v>7264980</x:v>
      </x:c>
      <x:c r="G41" s="199">
        <x:v>0</x:v>
      </x:c>
      <x:c r="H41" s="199" t="n">
        <x:v>200757639.13</x:v>
      </x:c>
      <x:c r="I41" s="612">
        <x:f t="shared" ref="I41:I44" si="16">SUM(C41:H41)</x:f>
        <x:v>0</x:v>
      </x:c>
      <x:c r="J41" s="203" t="b">
        <x:f>SUM(C41:H41)=I41</x:f>
        <x:v>1</x:v>
      </x:c>
    </x:row>
    <x:row r="42" spans="2:10" x14ac:dyDescent="0.25">
      <x:c r="B42" s="89" t="s">
        <x:v>98</x:v>
      </x:c>
      <x:c r="C42" s="199" t="n">
        <x:v>35795695</x:v>
      </x:c>
      <x:c r="D42" s="199">
        <x:v>0</x:v>
      </x:c>
      <x:c r="E42" s="199">
        <x:v>0</x:v>
      </x:c>
      <x:c r="F42" s="199" t="n">
        <x:v>7975330</x:v>
      </x:c>
      <x:c r="G42" s="199">
        <x:v>0</x:v>
      </x:c>
      <x:c r="H42" s="199" t="n">
        <x:v>11928035.6</x:v>
      </x:c>
      <x:c r="I42" s="612">
        <x:f t="shared" si="16"/>
        <x:v>0</x:v>
      </x:c>
      <x:c r="J42" s="203" t="b">
        <x:f t="shared" ref="J42:J45" si="17">SUM(C42:H42)=I42</x:f>
        <x:v>1</x:v>
      </x:c>
    </x:row>
    <x:row r="43" spans="2:10" x14ac:dyDescent="0.25">
      <x:c r="B43" s="89" t="s">
        <x:v>131</x:v>
      </x:c>
      <x:c r="C43" s="199" t="n">
        <x:v>0</x:v>
      </x:c>
      <x:c r="D43" s="199">
        <x:v>0</x:v>
      </x:c>
      <x:c r="E43" s="199">
        <x:v>0</x:v>
      </x:c>
      <x:c r="F43" s="199" t="n">
        <x:v>0</x:v>
      </x:c>
      <x:c r="G43" s="199">
        <x:v>0</x:v>
      </x:c>
      <x:c r="H43" s="199" t="n">
        <x:v>26456711.27</x:v>
      </x:c>
      <x:c r="I43" s="612">
        <x:f t="shared" si="16"/>
        <x:v>0</x:v>
      </x:c>
      <x:c r="J43" s="203" t="b">
        <x:f t="shared" si="17"/>
        <x:v>1</x:v>
      </x:c>
    </x:row>
    <x:row r="44" spans="2:10" ht="13.8" thickBot="1" x14ac:dyDescent="0.3">
      <x:c r="B44" s="89" t="s">
        <x:v>168</x:v>
      </x:c>
      <x:c r="C44" s="610" t="n">
        <x:v>0</x:v>
      </x:c>
      <x:c r="D44" s="610">
        <x:v>0</x:v>
      </x:c>
      <x:c r="E44" s="610">
        <x:v>0</x:v>
      </x:c>
      <x:c r="F44" s="610" t="n">
        <x:v>0</x:v>
      </x:c>
      <x:c r="G44" s="610">
        <x:v>0</x:v>
      </x:c>
      <x:c r="H44" s="610" t="n">
        <x:v>0</x:v>
      </x:c>
      <x:c r="I44" s="613">
        <x:f t="shared" si="16"/>
        <x:v>0</x:v>
      </x:c>
      <x:c r="J44" s="203" t="b">
        <x:f t="shared" si="17"/>
        <x:v>1</x:v>
      </x:c>
    </x:row>
    <x:row r="45" spans="2:10" ht="13.8" thickBot="1" x14ac:dyDescent="0.3">
      <x:c r="B45" s="89" t="s">
        <x:v>70</x:v>
      </x:c>
      <x:c r="C45" s="170">
        <x:f>SUM(C41:C44)</x:f>
        <x:v>0</x:v>
      </x:c>
      <x:c r="D45" s="170">
        <x:f t="shared" ref="D45:E45" si="18">SUM(D41:D44)</x:f>
        <x:v>0</x:v>
      </x:c>
      <x:c r="E45" s="170">
        <x:f t="shared" si="18"/>
        <x:v>0</x:v>
      </x:c>
      <x:c r="F45" s="170">
        <x:f>SUM(F41:F44)</x:f>
        <x:v>0</x:v>
      </x:c>
      <x:c r="G45" s="170">
        <x:f>SUM(G41:G44)</x:f>
        <x:v>0</x:v>
      </x:c>
      <x:c r="H45" s="170">
        <x:f>SUM(H41:H44)</x:f>
        <x:v>0</x:v>
      </x:c>
      <x:c r="I45" s="611">
        <x:f>SUM(I41:I44)</x:f>
        <x:v>0</x:v>
      </x:c>
      <x:c r="J45" s="203" t="b">
        <x:f t="shared" si="17"/>
        <x:v>1</x:v>
      </x:c>
    </x:row>
    <x:row r="46" spans="2:10" x14ac:dyDescent="0.25">
      <x:c r="B46" s="89"/>
      <x:c r="C46" s="106"/>
      <x:c r="D46" s="106"/>
      <x:c r="E46" s="106"/>
      <x:c r="F46" s="106"/>
      <x:c r="G46" s="106"/>
      <x:c r="H46" s="106"/>
    </x:row>
    <x:row r="47" spans="2:10" x14ac:dyDescent="0.25">
      <x:c r="F47" s="191"/>
      <x:c r="G47" s="191"/>
    </x:row>
    <x:row r="48" spans="2:10" ht="13.8" x14ac:dyDescent="0.25">
      <x:c r="B48" s="50" t="s">
        <x:v>103</x:v>
      </x:c>
    </x:row>
    <x:row r="49" spans="2:10" x14ac:dyDescent="0.25">
      <x:c r="B49" s="107" t="s">
        <x:v>96</x:v>
      </x:c>
    </x:row>
    <x:row r="50" spans="2:10" x14ac:dyDescent="0.25">
      <x:c r="C50" s="201" t="s">
        <x:v>155</x:v>
      </x:c>
      <x:c r="D50" s="201" t="s">
        <x:v>76</x:v>
      </x:c>
      <x:c r="E50" s="201" t="s">
        <x:v>85</x:v>
      </x:c>
      <x:c r="F50" s="201" t="s">
        <x:v>120</x:v>
      </x:c>
      <x:c r="G50" s="201" t="s">
        <x:v>326</x:v>
      </x:c>
      <x:c r="H50" s="201" t="s">
        <x:v>119</x:v>
      </x:c>
      <x:c r="I50" s="201" t="s">
        <x:v>70</x:v>
      </x:c>
    </x:row>
    <x:row r="51" spans="2:10" x14ac:dyDescent="0.25">
      <x:c r="B51" t="s">
        <x:v>97</x:v>
      </x:c>
      <x:c r="C51" s="199" t="n">
        <x:v>8240568549</x:v>
      </x:c>
      <x:c r="D51" s="199">
        <x:v>0</x:v>
      </x:c>
      <x:c r="E51" s="199">
        <x:v>0</x:v>
      </x:c>
      <x:c r="F51" s="199">
        <x:v>0</x:v>
      </x:c>
      <x:c r="G51" s="199" t="n">
        <x:v>126372915</x:v>
      </x:c>
      <x:c r="H51" s="199" t="n">
        <x:v>178634316.15</x:v>
      </x:c>
      <x:c r="I51" s="612">
        <x:f t="shared" ref="I51:I54" si="19">SUM(C51:H51)</x:f>
        <x:v>0</x:v>
      </x:c>
      <x:c r="J51" s="203" t="b">
        <x:f>SUM(C51:H51)=I51</x:f>
        <x:v>1</x:v>
      </x:c>
    </x:row>
    <x:row r="52" spans="2:10" x14ac:dyDescent="0.25">
      <x:c r="B52" s="89" t="s">
        <x:v>98</x:v>
      </x:c>
      <x:c r="C52" s="199" t="n">
        <x:v>38409110</x:v>
      </x:c>
      <x:c r="D52" s="199">
        <x:v>0</x:v>
      </x:c>
      <x:c r="E52" s="199">
        <x:v>0</x:v>
      </x:c>
      <x:c r="F52" s="199">
        <x:v>0</x:v>
      </x:c>
      <x:c r="G52" s="199" t="n">
        <x:v>3163741</x:v>
      </x:c>
      <x:c r="H52" s="199" t="n">
        <x:v>2431000</x:v>
      </x:c>
      <x:c r="I52" s="612">
        <x:f>SUM(C52:H52)</x:f>
        <x:v>0</x:v>
      </x:c>
      <x:c r="J52" s="203" t="b">
        <x:f t="shared" ref="J52:J55" si="20">SUM(C52:H52)=I52</x:f>
        <x:v>1</x:v>
      </x:c>
    </x:row>
    <x:row r="53" spans="2:10" x14ac:dyDescent="0.25">
      <x:c r="B53" s="89" t="s">
        <x:v>131</x:v>
      </x:c>
      <x:c r="C53" s="199" t="n">
        <x:v>0</x:v>
      </x:c>
      <x:c r="D53" s="199">
        <x:v>0</x:v>
      </x:c>
      <x:c r="E53" s="199">
        <x:v>0</x:v>
      </x:c>
      <x:c r="F53" s="199">
        <x:v>0</x:v>
      </x:c>
      <x:c r="G53" s="199" t="n">
        <x:v>0</x:v>
      </x:c>
      <x:c r="H53" s="199" t="n">
        <x:v>668245.85</x:v>
      </x:c>
      <x:c r="I53" s="612">
        <x:f t="shared" si="19"/>
        <x:v>0</x:v>
      </x:c>
      <x:c r="J53" s="203" t="b">
        <x:f t="shared" si="20"/>
        <x:v>1</x:v>
      </x:c>
    </x:row>
    <x:row r="54" spans="2:10" ht="13.8" thickBot="1" x14ac:dyDescent="0.3">
      <x:c r="B54" s="89" t="s">
        <x:v>168</x:v>
      </x:c>
      <x:c r="C54" s="610" t="n">
        <x:v>0</x:v>
      </x:c>
      <x:c r="D54" s="610">
        <x:v>0</x:v>
      </x:c>
      <x:c r="E54" s="610">
        <x:v>0</x:v>
      </x:c>
      <x:c r="F54" s="610">
        <x:v>0</x:v>
      </x:c>
      <x:c r="G54" s="610" t="n">
        <x:v>0</x:v>
      </x:c>
      <x:c r="H54" s="610" t="n">
        <x:v>0</x:v>
      </x:c>
      <x:c r="I54" s="613">
        <x:f t="shared" si="19"/>
        <x:v>0</x:v>
      </x:c>
      <x:c r="J54" s="203" t="b">
        <x:f t="shared" si="20"/>
        <x:v>1</x:v>
      </x:c>
    </x:row>
    <x:row r="55" spans="2:10" ht="13.8" thickBot="1" x14ac:dyDescent="0.3">
      <x:c r="B55" s="89" t="s">
        <x:v>70</x:v>
      </x:c>
      <x:c r="C55" s="170">
        <x:f>SUM(C51:C54)</x:f>
        <x:v>0</x:v>
      </x:c>
      <x:c r="D55" s="170">
        <x:f t="shared" ref="D55:G55" si="21">SUM(D51:D54)</x:f>
        <x:v>0</x:v>
      </x:c>
      <x:c r="E55" s="170">
        <x:f t="shared" si="21"/>
        <x:v>0</x:v>
      </x:c>
      <x:c r="F55" s="170">
        <x:f t="shared" si="21"/>
        <x:v>0</x:v>
      </x:c>
      <x:c r="G55" s="170">
        <x:f t="shared" si="21"/>
        <x:v>0</x:v>
      </x:c>
      <x:c r="H55" s="170">
        <x:f>SUM(H51:H54)</x:f>
        <x:v>0</x:v>
      </x:c>
      <x:c r="I55" s="611">
        <x:f>SUM(I51:I54)</x:f>
        <x:v>0</x:v>
      </x:c>
      <x:c r="J55" s="203" t="b">
        <x:f t="shared" si="20"/>
        <x:v>1</x:v>
      </x:c>
    </x:row>
    <x:row r="57" spans="2:10" x14ac:dyDescent="0.25">
      <x:c r="H57" s="191"/>
      <x:c r="I57" s="191"/>
    </x:row>
    <x:row r="58" spans="2:10" ht="13.8" thickBot="1" x14ac:dyDescent="0.3">
      <x:c r="F58" s="191"/>
      <x:c r="G58" s="191"/>
      <x:c r="H58" s="191"/>
      <x:c r="I58" s="191"/>
    </x:row>
    <x:row r="59" spans="2:10" ht="18" thickBot="1" x14ac:dyDescent="0.35">
      <x:c r="B59" s="596" t="s">
        <x:v>334</x:v>
      </x:c>
      <x:c r="C59" s="614" t="n">
        <x:v>1</x:v>
      </x:c>
      <x:c r="D59" s="597" t="s">
        <x:v>344</x:v>
      </x:c>
      <x:c r="H59" s="151"/>
    </x:row>
    <x:row r="60" spans="2:10" x14ac:dyDescent="0.25">
      <x:c r="H60" s="191"/>
    </x:row>
    <x:row r="61" spans="2:10" x14ac:dyDescent="0.25">
      <x:c r="B61" t="s">
        <x:v>1</x:v>
      </x:c>
      <x:c r="C61" s="132"/>
      <x:c r="E61" s="131"/>
    </x:row>
    <x:row r="62" spans="2:10" x14ac:dyDescent="0.25">
      <x:c r="B62" s="598" t="s">
        <x:v>207</x:v>
      </x:c>
      <x:c r="C62" s="599">
        <x:f>IF($C$59=1,'Recaudo ENEL'!D21,'Recaudo ENEL'!F21)</x:f>
        <x:v>0</x:v>
      </x:c>
      <x:c r="D62" s="598" t="b">
        <x:f>C17=C62</x:f>
        <x:v>1</x:v>
      </x:c>
      <x:c r="E62" s="600">
        <x:f>C17-C62</x:f>
        <x:v>0</x:v>
      </x:c>
      <x:c r="F62" s="191"/>
    </x:row>
    <x:row r="63" spans="2:10" x14ac:dyDescent="0.25">
      <x:c r="B63" s="598" t="s">
        <x:v>335</x:v>
      </x:c>
      <x:c r="C63" s="599">
        <x:f>IF($C$59=1,'Recaudo ENERBIT'!D21,'Recaudo ENERBIT'!F21)</x:f>
        <x:v>0</x:v>
      </x:c>
      <x:c r="D63" s="598" t="b">
        <x:f>G17=C63</x:f>
        <x:v>1</x:v>
      </x:c>
      <x:c r="E63" s="600">
        <x:f>G17-C63</x:f>
        <x:v>0</x:v>
      </x:c>
    </x:row>
    <x:row r="64" spans="2:10" x14ac:dyDescent="0.25">
      <x:c r="B64" s="601" t="s">
        <x:v>209</x:v>
      </x:c>
      <x:c r="C64" s="602">
        <x:f>IF($C$59=1,'Recaudo EAAB Reciprocidad'!D22,'Recaudo EAAB Reciprocidad'!F22)</x:f>
        <x:v>0</x:v>
      </x:c>
      <x:c r="D64" s="601" t="b">
        <x:f>F27=C64</x:f>
        <x:v>1</x:v>
      </x:c>
      <x:c r="E64" s="603">
        <x:f>F27-C64</x:f>
        <x:v>0</x:v>
      </x:c>
      <x:c r="H64" s="151"/>
    </x:row>
    <x:row r="65" spans="2:7" x14ac:dyDescent="0.25">
      <x:c r="B65" s="601" t="s">
        <x:v>324</x:v>
      </x:c>
      <x:c r="C65" s="602">
        <x:f>IF($C$59=1,'Recaudo ENEL'!D22,'Recaudo ENEL'!F22)</x:f>
        <x:v>0</x:v>
      </x:c>
      <x:c r="D65" s="601" t="b">
        <x:f>C27=C65</x:f>
        <x:v>1</x:v>
      </x:c>
      <x:c r="E65" s="603">
        <x:f>C27-C65</x:f>
        <x:v>0</x:v>
      </x:c>
      <x:c r="F65" s="131"/>
    </x:row>
    <x:row r="66" spans="2:7" x14ac:dyDescent="0.25">
      <x:c r="B66" s="601" t="s">
        <x:v>336</x:v>
      </x:c>
      <x:c r="C66" s="602">
        <x:f>IF($C$59=1,'Recaudo ENERBIT'!D22,'Recaudo ENERBIT'!F22)</x:f>
        <x:v>0</x:v>
      </x:c>
      <x:c r="D66" s="601" t="b">
        <x:f>G27=C66</x:f>
        <x:v>1</x:v>
      </x:c>
      <x:c r="E66" s="603">
        <x:f>G27-C66</x:f>
        <x:v>0</x:v>
      </x:c>
    </x:row>
    <x:row r="67" spans="2:7" x14ac:dyDescent="0.25">
      <x:c r="B67" s="598" t="s">
        <x:v>211</x:v>
      </x:c>
      <x:c r="C67" s="599">
        <x:f>IF($C$59=1,'Recaudo ENEL'!D23,'Recaudo ENEL'!F23)</x:f>
        <x:v>0</x:v>
      </x:c>
      <x:c r="D67" s="598" t="b">
        <x:f>C36=C67</x:f>
        <x:v>1</x:v>
      </x:c>
      <x:c r="E67" s="600">
        <x:f>C36-C67</x:f>
        <x:v>0</x:v>
      </x:c>
      <x:c r="F67" s="606"/>
    </x:row>
    <x:row r="68" spans="2:7" x14ac:dyDescent="0.25">
      <x:c r="B68" s="598" t="s">
        <x:v>337</x:v>
      </x:c>
      <x:c r="C68" s="599">
        <x:f>IF($C$59=1,'Recaudo ENERBIT'!D23,'Recaudo ENERBIT'!F23)</x:f>
        <x:v>0</x:v>
      </x:c>
      <x:c r="D68" s="598" t="b">
        <x:f>G36=C68</x:f>
        <x:v>1</x:v>
      </x:c>
      <x:c r="E68" s="600">
        <x:f>G36-C68</x:f>
        <x:v>0</x:v>
      </x:c>
    </x:row>
    <x:row r="69" spans="2:7" x14ac:dyDescent="0.25">
      <x:c r="B69" s="601" t="s">
        <x:v>210</x:v>
      </x:c>
      <x:c r="C69" s="602">
        <x:f>IF($C$59=1,'Recaudo EAAB Reciprocidad'!D24,'Recaudo EAAB Reciprocidad'!F24)</x:f>
        <x:v>0</x:v>
      </x:c>
      <x:c r="D69" s="601" t="b">
        <x:f>F45=C69</x:f>
        <x:v>1</x:v>
      </x:c>
      <x:c r="E69" s="603">
        <x:f>F45-C69</x:f>
        <x:v>0</x:v>
      </x:c>
    </x:row>
    <x:row r="70" spans="2:7" x14ac:dyDescent="0.25">
      <x:c r="B70" s="601" t="s">
        <x:v>325</x:v>
      </x:c>
      <x:c r="C70" s="602">
        <x:f>IF($C$59=1,'Recaudo ENEL'!D24,'Recaudo ENEL'!F24)</x:f>
        <x:v>0</x:v>
      </x:c>
      <x:c r="D70" s="601" t="b">
        <x:f>C45=C70</x:f>
        <x:v>1</x:v>
      </x:c>
      <x:c r="E70" s="603">
        <x:f>C45-C70</x:f>
        <x:v>0</x:v>
      </x:c>
      <x:c r="F70" s="131"/>
    </x:row>
    <x:row r="71" spans="2:7" x14ac:dyDescent="0.25">
      <x:c r="B71" s="601" t="s">
        <x:v>338</x:v>
      </x:c>
      <x:c r="C71" s="602">
        <x:f>IF($C$59=1,'Recaudo ENERBIT'!D24,'Recaudo ENERBIT'!F24)</x:f>
        <x:v>0</x:v>
      </x:c>
      <x:c r="D71" s="601" t="b">
        <x:f>G45=C71</x:f>
        <x:v>1</x:v>
      </x:c>
      <x:c r="E71" s="603">
        <x:f>G45-C71</x:f>
        <x:v>0</x:v>
      </x:c>
      <x:c r="F71" s="191"/>
    </x:row>
    <x:row r="72" spans="2:7" x14ac:dyDescent="0.25">
      <x:c r="B72" s="598" t="s">
        <x:v>208</x:v>
      </x:c>
      <x:c r="C72" s="599">
        <x:f>IF($C$59=1,'Recaudo ENEL'!D25,'Recaudo ENEL'!F25)</x:f>
        <x:v>0</x:v>
      </x:c>
      <x:c r="D72" s="598" t="b">
        <x:f>C55=C72</x:f>
        <x:v>1</x:v>
      </x:c>
      <x:c r="E72" s="600">
        <x:f>C55-C72</x:f>
        <x:v>0</x:v>
      </x:c>
      <x:c r="F72" s="131"/>
    </x:row>
    <x:row r="73" spans="2:7" x14ac:dyDescent="0.25">
      <x:c r="B73" s="598" t="s">
        <x:v>327</x:v>
      </x:c>
      <x:c r="C73" s="599">
        <x:f>IF($C$59=1,'Recaudo ENERBIT'!D25,'Recaudo ENERBIT'!F25)</x:f>
        <x:v>0</x:v>
      </x:c>
      <x:c r="D73" s="598" t="b">
        <x:f>G55=C73</x:f>
        <x:v>1</x:v>
      </x:c>
      <x:c r="E73" s="600">
        <x:f>G55-C73</x:f>
        <x:v>0</x:v>
      </x:c>
    </x:row>
    <x:row r="74" spans="2:7" x14ac:dyDescent="0.25">
      <x:c r="C74" s="151"/>
    </x:row>
    <x:row r="75" spans="2:7" x14ac:dyDescent="0.25">
      <x:c r="B75" s="598" t="s">
        <x:v>261</x:v>
      </x:c>
      <x:c r="C75" s="599">
        <x:f>IF($C$59=1,'Recaudo Directa Occidente'!D21,'Recaudo Directa Occidente'!F21)</x:f>
        <x:v>0</x:v>
      </x:c>
      <x:c r="D75" s="598" t="b">
        <x:f>C75=H17</x:f>
        <x:v>1</x:v>
      </x:c>
      <x:c r="E75" s="600">
        <x:f>C75-H17</x:f>
        <x:v>0</x:v>
      </x:c>
      <x:c r="F75" s="574"/>
      <x:c r="G75" s="574"/>
    </x:row>
    <x:row r="76" spans="2:7" x14ac:dyDescent="0.25">
      <x:c r="B76" s="601" t="s">
        <x:v>262</x:v>
      </x:c>
      <x:c r="C76" s="602">
        <x:f>IF($C$59=1,'Recaudo Directa Occidente'!D22,'Recaudo Directa Occidente'!F22)</x:f>
        <x:v>0</x:v>
      </x:c>
      <x:c r="D76" s="601" t="b">
        <x:f>C76=H27</x:f>
        <x:v>1</x:v>
      </x:c>
      <x:c r="E76" s="603">
        <x:f>C76-H27</x:f>
        <x:v>0</x:v>
      </x:c>
    </x:row>
    <x:row r="77" spans="2:7" x14ac:dyDescent="0.25">
      <x:c r="B77" s="598" t="s">
        <x:v>263</x:v>
      </x:c>
      <x:c r="C77" s="599">
        <x:f>IF($C$59=1,'Recaudo Directa Occidente'!D23,'Recaudo Directa Occidente'!F23)</x:f>
        <x:v>0</x:v>
      </x:c>
      <x:c r="D77" s="598" t="b">
        <x:f>C77=H36</x:f>
        <x:v>1</x:v>
      </x:c>
      <x:c r="E77" s="600">
        <x:f>C77-H36</x:f>
        <x:v>0</x:v>
      </x:c>
      <x:c r="F77" s="191"/>
      <x:c r="G77" s="191"/>
    </x:row>
    <x:row r="78" spans="2:7" x14ac:dyDescent="0.25">
      <x:c r="B78" s="601" t="s">
        <x:v>264</x:v>
      </x:c>
      <x:c r="C78" s="602">
        <x:f>IF($C$59=1,'Recaudo Directa Occidente'!D24,'Recaudo Directa Occidente'!F24)</x:f>
        <x:v>0</x:v>
      </x:c>
      <x:c r="D78" s="601" t="b">
        <x:f>C78=H45</x:f>
        <x:v>1</x:v>
      </x:c>
      <x:c r="E78" s="603">
        <x:f>C78-H45</x:f>
        <x:v>0</x:v>
      </x:c>
    </x:row>
    <x:row r="79" spans="2:7" x14ac:dyDescent="0.25">
      <x:c r="B79" s="598" t="s">
        <x:v>265</x:v>
      </x:c>
      <x:c r="C79" s="599">
        <x:f>IF($C$59=1,'Recaudo Directa Occidente'!D25,'Recaudo Directa Occidente'!F25)</x:f>
        <x:v>0</x:v>
      </x:c>
      <x:c r="D79" s="598" t="b">
        <x:f>C79=H55</x:f>
        <x:v>1</x:v>
      </x:c>
      <x:c r="E79" s="600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="88" zoomScaleNormal="88" workbookViewId="0">
      <x:selection activeCell="P22" sqref="P22"/>
    </x:sheetView>
  </x:sheetViews>
  <x:sheetFormatPr baseColWidth="10" defaultRowHeight="13.2" x14ac:dyDescent="0.25"/>
  <x:cols>
    <x:col min="1" max="1" width="3.44140625" customWidth="1"/>
    <x:col min="2" max="2" width="20.6640625" bestFit="1" customWidth="1"/>
    <x:col min="3" max="3" width="13.33203125" bestFit="1" customWidth="1"/>
    <x:col min="4" max="6" width="12.6640625" bestFit="1" customWidth="1"/>
    <x:col min="7" max="7" width="12.5546875" customWidth="1"/>
    <x:col min="8" max="14" width="12.6640625" bestFit="1" customWidth="1"/>
    <x:col min="16" max="16" width="12.6640625" bestFit="1" customWidth="1"/>
  </x:cols>
  <x:sheetData>
    <x:row r="1" spans="1:16" ht="13.8" thickBot="1" x14ac:dyDescent="0.3">
      <x:c r="C1" s="769" t="s">
        <x:v>99</x:v>
      </x:c>
      <x:c r="D1" s="769"/>
      <x:c r="E1" s="769" t="s">
        <x:v>100</x:v>
      </x:c>
      <x:c r="F1" s="769"/>
      <x:c r="G1" s="769" t="s">
        <x:v>101</x:v>
      </x:c>
      <x:c r="H1" s="769"/>
      <x:c r="I1" s="769" t="s">
        <x:v>102</x:v>
      </x:c>
      <x:c r="J1" s="769"/>
      <x:c r="K1" s="769" t="s">
        <x:v>103</x:v>
      </x:c>
      <x:c r="L1" s="769"/>
      <x:c r="M1" s="769" t="s">
        <x:v>2</x:v>
      </x:c>
      <x:c r="N1" s="769"/>
    </x:row>
    <x:row r="2" spans="1:16" x14ac:dyDescent="0.25">
      <x:c r="C2" s="204" t="s">
        <x:v>149</x:v>
      </x:c>
      <x:c r="D2" s="595" t="s">
        <x:v>150</x:v>
      </x:c>
      <x:c r="E2" s="595" t="s">
        <x:v>149</x:v>
      </x:c>
      <x:c r="F2" s="595" t="s">
        <x:v>150</x:v>
      </x:c>
      <x:c r="G2" s="595" t="s">
        <x:v>149</x:v>
      </x:c>
      <x:c r="H2" s="595" t="s">
        <x:v>150</x:v>
      </x:c>
      <x:c r="I2" s="595" t="s">
        <x:v>149</x:v>
      </x:c>
      <x:c r="J2" s="595" t="s">
        <x:v>150</x:v>
      </x:c>
      <x:c r="K2" s="595" t="s">
        <x:v>149</x:v>
      </x:c>
      <x:c r="L2" s="595" t="s">
        <x:v>150</x:v>
      </x:c>
      <x:c r="M2" s="204" t="s">
        <x:v>149</x:v>
      </x:c>
      <x:c r="N2" s="205" t="s">
        <x:v>150</x:v>
      </x:c>
    </x:row>
    <x:row r="3" spans="1:16" x14ac:dyDescent="0.25">
      <x:c r="B3" s="617" t="s">
        <x:v>151</x:v>
      </x:c>
      <x:c r="C3" s="738">
        <x:f>C11+C19+C27+C35+C43</x:f>
        <x:v>0</x:v>
      </x:c>
      <x:c r="D3" s="739">
        <x:f>D11+D19+D27+D35+D43</x:f>
        <x:v>0</x:v>
      </x:c>
      <x:c r="E3" s="739">
        <x:f t="shared" ref="E3:K3" si="0">E11+E19+E27+E35+E43</x:f>
        <x:v>0</x:v>
      </x:c>
      <x:c r="F3" s="739">
        <x:f>F11+F19+F27+F35+F43</x:f>
        <x:v>0</x:v>
      </x:c>
      <x:c r="G3" s="739">
        <x:f t="shared" si="0"/>
        <x:v>0</x:v>
      </x:c>
      <x:c r="H3" s="739">
        <x:f t="shared" si="0"/>
        <x:v>0</x:v>
      </x:c>
      <x:c r="I3" s="739">
        <x:f t="shared" si="0"/>
        <x:v>0</x:v>
      </x:c>
      <x:c r="J3" s="739">
        <x:f t="shared" si="0"/>
        <x:v>0</x:v>
      </x:c>
      <x:c r="K3" s="739">
        <x:f t="shared" si="0"/>
        <x:v>0</x:v>
      </x:c>
      <x:c r="L3" s="739">
        <x:f>L11+L19+L27+L35+L43</x:f>
        <x:v>0</x:v>
      </x:c>
      <x:c r="M3" s="740">
        <x:f>C3+E3+G3+I3+K3</x:f>
        <x:v>0</x:v>
      </x:c>
      <x:c r="N3" s="741">
        <x:f>D3+F3+H3+J3+L3</x:f>
        <x:v>0</x:v>
      </x:c>
      <x:c r="P3" s="188" t="b">
        <x:f>N3=(-VALIDACION_TOTAL!M9)</x:f>
        <x:v>1</x:v>
      </x:c>
    </x:row>
    <x:row r="4" spans="1:16" ht="13.8" thickBot="1" x14ac:dyDescent="0.3">
      <x:c r="B4" s="617" t="s">
        <x:v>152</x:v>
      </x:c>
      <x:c r="C4" s="742">
        <x:f>C12+C20+C28+C36+C44</x:f>
        <x:v>0</x:v>
      </x:c>
      <x:c r="D4" s="743">
        <x:f>D12+D20+D28+D36+D44</x:f>
        <x:v>0</x:v>
      </x:c>
      <x:c r="E4" s="743">
        <x:f t="shared" ref="E4:K4" si="1">E12+E20+E28+E36+E44</x:f>
        <x:v>0</x:v>
      </x:c>
      <x:c r="F4" s="743">
        <x:f t="shared" si="1"/>
        <x:v>0</x:v>
      </x:c>
      <x:c r="G4" s="743">
        <x:f t="shared" si="1"/>
        <x:v>0</x:v>
      </x:c>
      <x:c r="H4" s="743">
        <x:f t="shared" si="1"/>
        <x:v>0</x:v>
      </x:c>
      <x:c r="I4" s="743">
        <x:f t="shared" si="1"/>
        <x:v>0</x:v>
      </x:c>
      <x:c r="J4" s="743">
        <x:f t="shared" si="1"/>
        <x:v>0</x:v>
      </x:c>
      <x:c r="K4" s="743">
        <x:f t="shared" si="1"/>
        <x:v>0</x:v>
      </x:c>
      <x:c r="L4" s="743">
        <x:f>L12+L20+L28+L36+L44</x:f>
        <x:v>0</x:v>
      </x:c>
      <x:c r="M4" s="744">
        <x:f>C4+E4+G4+I4+K4</x:f>
        <x:v>0</x:v>
      </x:c>
      <x:c r="N4" s="745">
        <x:f>D4+F4+H4+J4+L4</x:f>
        <x:v>0</x:v>
      </x:c>
      <x:c r="P4" s="188" t="b">
        <x:f>N4=(-'CONSOLIDADO_TOTAL RECAUDO'!L131)</x:f>
        <x:v>1</x:v>
      </x:c>
    </x:row>
    <x:row r="5" spans="1:16" ht="13.8" thickBot="1" x14ac:dyDescent="0.3">
      <x:c r="B5" s="190" t="s">
        <x:v>2</x:v>
      </x:c>
      <x:c r="C5" s="746">
        <x:f>SUM(C3:C4)</x:f>
        <x:v>0</x:v>
      </x:c>
      <x:c r="D5" s="746">
        <x:f t="shared" ref="D5:L5" si="2">SUM(D3:D4)</x:f>
        <x:v>0</x:v>
      </x:c>
      <x:c r="E5" s="746">
        <x:f t="shared" si="2"/>
        <x:v>0</x:v>
      </x:c>
      <x:c r="F5" s="746">
        <x:f t="shared" si="2"/>
        <x:v>0</x:v>
      </x:c>
      <x:c r="G5" s="746">
        <x:f t="shared" si="2"/>
        <x:v>0</x:v>
      </x:c>
      <x:c r="H5" s="746">
        <x:f t="shared" si="2"/>
        <x:v>0</x:v>
      </x:c>
      <x:c r="I5" s="746">
        <x:f t="shared" si="2"/>
        <x:v>0</x:v>
      </x:c>
      <x:c r="J5" s="746">
        <x:f t="shared" si="2"/>
        <x:v>0</x:v>
      </x:c>
      <x:c r="K5" s="746">
        <x:f>SUM(K3:K4)</x:f>
        <x:v>0</x:v>
      </x:c>
      <x:c r="L5" s="746">
        <x:f t="shared" si="2"/>
        <x:v>0</x:v>
      </x:c>
      <x:c r="M5" s="746">
        <x:f t="shared" ref="M5" si="3">SUM(M3:M4)</x:f>
        <x:v>0</x:v>
      </x:c>
      <x:c r="N5" s="746">
        <x:f>SUM(N3:N4)</x:f>
        <x:v>0</x:v>
      </x:c>
    </x:row>
    <x:row r="6" spans="1:16" x14ac:dyDescent="0.25">
      <x:c r="C6" s="188" t="b">
        <x:f t="shared" ref="C6:K6" si="4">C5=(C13+C21+C29+C37+C45)</x:f>
        <x:v>1</x:v>
      </x:c>
      <x:c r="D6" s="188" t="b">
        <x:f t="shared" si="4"/>
        <x:v>1</x:v>
      </x:c>
      <x:c r="E6" s="188" t="b">
        <x:f t="shared" si="4"/>
        <x:v>1</x:v>
      </x:c>
      <x:c r="F6" s="188" t="b">
        <x:f t="shared" si="4"/>
        <x:v>1</x:v>
      </x:c>
      <x:c r="G6" s="188" t="b">
        <x:f t="shared" si="4"/>
        <x:v>1</x:v>
      </x:c>
      <x:c r="H6" s="188" t="b">
        <x:f t="shared" si="4"/>
        <x:v>1</x:v>
      </x:c>
      <x:c r="I6" s="188" t="b">
        <x:f t="shared" si="4"/>
        <x:v>1</x:v>
      </x:c>
      <x:c r="J6" s="188" t="b">
        <x:f t="shared" si="4"/>
        <x:v>1</x:v>
      </x:c>
      <x:c r="K6" s="188" t="b">
        <x:f t="shared" si="4"/>
        <x:v>1</x:v>
      </x:c>
      <x:c r="L6" s="188" t="b">
        <x:f>L5=(L13+L21+L29+L37+L45)</x:f>
        <x:v>1</x:v>
      </x:c>
      <x:c r="M6" s="188" t="b">
        <x:f t="shared" ref="M6" si="5">M5=(M13+M21+M29+M37+M45)</x:f>
        <x:v>1</x:v>
      </x:c>
      <x:c r="N6" s="188" t="b">
        <x:f>N5=(N13+N21+N29+N37+N45)</x:f>
        <x:v>1</x:v>
      </x:c>
    </x:row>
    <x:row r="7" spans="1:16" x14ac:dyDescent="0.25">
      <x:c r="A7" s="197"/>
      <x:c r="B7" s="197"/>
      <x:c r="C7" s="197"/>
      <x:c r="D7" s="197"/>
      <x:c r="E7" s="197"/>
      <x:c r="F7" s="197"/>
      <x:c r="G7" s="197"/>
      <x:c r="H7" s="197"/>
      <x:c r="I7" s="197"/>
      <x:c r="J7" s="197"/>
      <x:c r="K7" s="197"/>
      <x:c r="L7" s="197"/>
      <x:c r="M7" s="197"/>
      <x:c r="N7" s="197"/>
      <x:c r="O7" s="197"/>
      <x:c r="P7" s="197"/>
    </x:row>
    <x:row r="8" spans="1:16" ht="14.4" x14ac:dyDescent="0.3">
      <x:c r="B8" s="187" t="s">
        <x:v>148</x:v>
      </x:c>
      <x:c r="C8" s="188"/>
    </x:row>
    <x:row r="9" spans="1:16" x14ac:dyDescent="0.25">
      <x:c r="C9" s="769" t="s">
        <x:v>99</x:v>
      </x:c>
      <x:c r="D9" s="769"/>
      <x:c r="E9" s="769" t="s">
        <x:v>100</x:v>
      </x:c>
      <x:c r="F9" s="769"/>
      <x:c r="G9" s="769" t="s">
        <x:v>101</x:v>
      </x:c>
      <x:c r="H9" s="769"/>
      <x:c r="I9" s="769" t="s">
        <x:v>102</x:v>
      </x:c>
      <x:c r="J9" s="769"/>
      <x:c r="K9" s="769" t="s">
        <x:v>103</x:v>
      </x:c>
      <x:c r="L9" s="769"/>
      <x:c r="M9" s="769" t="s">
        <x:v>2</x:v>
      </x:c>
      <x:c r="N9" s="769"/>
    </x:row>
    <x:row r="10" spans="1:16" x14ac:dyDescent="0.25">
      <x:c r="C10" s="189" t="s">
        <x:v>149</x:v>
      </x:c>
      <x:c r="D10" s="189" t="s">
        <x:v>150</x:v>
      </x:c>
      <x:c r="E10" s="189" t="s">
        <x:v>149</x:v>
      </x:c>
      <x:c r="F10" s="189" t="s">
        <x:v>150</x:v>
      </x:c>
      <x:c r="G10" s="189" t="s">
        <x:v>149</x:v>
      </x:c>
      <x:c r="H10" s="189" t="s">
        <x:v>150</x:v>
      </x:c>
      <x:c r="I10" s="189" t="s">
        <x:v>149</x:v>
      </x:c>
      <x:c r="J10" s="189" t="s">
        <x:v>150</x:v>
      </x:c>
      <x:c r="K10" s="189" t="s">
        <x:v>149</x:v>
      </x:c>
      <x:c r="L10" s="189" t="s">
        <x:v>150</x:v>
      </x:c>
      <x:c r="M10" s="189" t="s">
        <x:v>149</x:v>
      </x:c>
      <x:c r="N10" s="189" t="s">
        <x:v>150</x:v>
      </x:c>
    </x:row>
    <x:row r="11" spans="1:16" x14ac:dyDescent="0.25">
      <x:c r="B11" s="617" t="s">
        <x:v>151</x:v>
      </x:c>
      <x:c r="C11" s="200">
        <x:v>0</x:v>
      </x:c>
      <x:c r="D11" s="200">
        <x:v>0</x:v>
      </x:c>
      <x:c r="E11" s="200">
        <x:v>0</x:v>
      </x:c>
      <x:c r="F11" s="200">
        <x:v>0</x:v>
      </x:c>
      <x:c r="G11" s="200">
        <x:v>0</x:v>
      </x:c>
      <x:c r="H11" s="200">
        <x:v>0</x:v>
      </x:c>
      <x:c r="I11" s="200">
        <x:v>0</x:v>
      </x:c>
      <x:c r="J11" s="200">
        <x:v>0</x:v>
      </x:c>
      <x:c r="K11" s="199">
        <x:v>0</x:v>
      </x:c>
      <x:c r="L11" s="200">
        <x:v>0</x:v>
      </x:c>
      <x:c r="M11" s="615">
        <x:f>C11+E11+G11+I11+K11</x:f>
        <x:v>0</x:v>
      </x:c>
      <x:c r="N11" s="616">
        <x:f>D11+F11+H11+J11+L11</x:f>
        <x:v>0</x:v>
      </x:c>
    </x:row>
    <x:row r="12" spans="1:16" ht="13.8" thickBot="1" x14ac:dyDescent="0.3">
      <x:c r="B12" s="617" t="s">
        <x:v>152</x:v>
      </x:c>
      <x:c r="C12" s="200">
        <x:v>0</x:v>
      </x:c>
      <x:c r="D12" s="200">
        <x:v>0</x:v>
      </x:c>
      <x:c r="E12" s="200">
        <x:v>0</x:v>
      </x:c>
      <x:c r="F12" s="200">
        <x:v>0</x:v>
      </x:c>
      <x:c r="G12" s="200">
        <x:v>0</x:v>
      </x:c>
      <x:c r="H12" s="200">
        <x:v>0</x:v>
      </x:c>
      <x:c r="I12" s="200">
        <x:v>0</x:v>
      </x:c>
      <x:c r="J12" s="200">
        <x:v>0</x:v>
      </x:c>
      <x:c r="K12" s="199">
        <x:v>0</x:v>
      </x:c>
      <x:c r="L12" s="200">
        <x:v>0</x:v>
      </x:c>
      <x:c r="M12" s="615">
        <x:f>C12+E12+G12+I12+K12</x:f>
        <x:v>0</x:v>
      </x:c>
      <x:c r="N12" s="616">
        <x:f>D12+F12+H12+J12+L12</x:f>
        <x:v>0</x:v>
      </x:c>
    </x:row>
    <x:row r="13" spans="1:16" ht="13.8" thickBot="1" x14ac:dyDescent="0.3">
      <x:c r="B13" s="190" t="s">
        <x:v>2</x:v>
      </x:c>
      <x:c r="C13" s="170">
        <x:f>SUM(C11:C12)</x:f>
        <x:v>0</x:v>
      </x:c>
      <x:c r="D13" s="170">
        <x:f t="shared" ref="D13:N13" si="6">SUM(D11:D12)</x:f>
        <x:v>0</x:v>
      </x:c>
      <x:c r="E13" s="170">
        <x:f t="shared" si="6"/>
        <x:v>0</x:v>
      </x:c>
      <x:c r="F13" s="170">
        <x:f t="shared" si="6"/>
        <x:v>0</x:v>
      </x:c>
      <x:c r="G13" s="170">
        <x:f>SUM(G11:G12)</x:f>
        <x:v>0</x:v>
      </x:c>
      <x:c r="H13" s="170">
        <x:f>SUM(H11:H12)</x:f>
        <x:v>0</x:v>
      </x:c>
      <x:c r="I13" s="170">
        <x:f t="shared" si="6"/>
        <x:v>0</x:v>
      </x:c>
      <x:c r="J13" s="170">
        <x:f t="shared" si="6"/>
        <x:v>0</x:v>
      </x:c>
      <x:c r="K13" s="170">
        <x:f t="shared" si="6"/>
        <x:v>0</x:v>
      </x:c>
      <x:c r="L13" s="170">
        <x:f t="shared" si="6"/>
        <x:v>0</x:v>
      </x:c>
      <x:c r="M13" s="170">
        <x:f t="shared" si="6"/>
        <x:v>0</x:v>
      </x:c>
      <x:c r="N13" s="170">
        <x:f t="shared" si="6"/>
        <x:v>0</x:v>
      </x:c>
    </x:row>
    <x:row r="14" spans="1:16" x14ac:dyDescent="0.25">
      <x:c r="E14" s="191"/>
    </x:row>
    <x:row r="16" spans="1:16" ht="14.4" x14ac:dyDescent="0.3">
      <x:c r="B16" s="187" t="s">
        <x:v>153</x:v>
      </x:c>
      <x:c r="C16" s="188"/>
    </x:row>
    <x:row r="17" spans="2:14" x14ac:dyDescent="0.25">
      <x:c r="C17" s="769" t="s">
        <x:v>99</x:v>
      </x:c>
      <x:c r="D17" s="769"/>
      <x:c r="E17" s="769" t="s">
        <x:v>100</x:v>
      </x:c>
      <x:c r="F17" s="769"/>
      <x:c r="G17" s="769" t="s">
        <x:v>101</x:v>
      </x:c>
      <x:c r="H17" s="769"/>
      <x:c r="I17" s="769" t="s">
        <x:v>102</x:v>
      </x:c>
      <x:c r="J17" s="769"/>
      <x:c r="K17" s="769" t="s">
        <x:v>103</x:v>
      </x:c>
      <x:c r="L17" s="769"/>
      <x:c r="M17" s="769" t="s">
        <x:v>2</x:v>
      </x:c>
      <x:c r="N17" s="769"/>
    </x:row>
    <x:row r="18" spans="2:14" x14ac:dyDescent="0.25">
      <x:c r="C18" s="189" t="s">
        <x:v>149</x:v>
      </x:c>
      <x:c r="D18" s="189" t="s">
        <x:v>150</x:v>
      </x:c>
      <x:c r="E18" s="189" t="s">
        <x:v>149</x:v>
      </x:c>
      <x:c r="F18" s="189" t="s">
        <x:v>150</x:v>
      </x:c>
      <x:c r="G18" s="189" t="s">
        <x:v>149</x:v>
      </x:c>
      <x:c r="H18" s="189" t="s">
        <x:v>150</x:v>
      </x:c>
      <x:c r="I18" s="189" t="s">
        <x:v>149</x:v>
      </x:c>
      <x:c r="J18" s="189" t="s">
        <x:v>150</x:v>
      </x:c>
      <x:c r="K18" s="189" t="s">
        <x:v>149</x:v>
      </x:c>
      <x:c r="L18" s="189" t="s">
        <x:v>150</x:v>
      </x:c>
      <x:c r="M18" s="189" t="s">
        <x:v>149</x:v>
      </x:c>
      <x:c r="N18" s="189" t="s">
        <x:v>150</x:v>
      </x:c>
    </x:row>
    <x:row r="19" spans="2:14" x14ac:dyDescent="0.25">
      <x:c r="B19" s="617" t="s">
        <x:v>151</x:v>
      </x:c>
      <x:c r="C19" s="200">
        <x:v>0</x:v>
      </x:c>
      <x:c r="D19" s="200">
        <x:v>0</x:v>
      </x:c>
      <x:c r="E19" s="200">
        <x:v>0</x:v>
      </x:c>
      <x:c r="F19" s="200">
        <x:v>0</x:v>
      </x:c>
      <x:c r="G19" s="200">
        <x:v>0</x:v>
      </x:c>
      <x:c r="H19" s="200">
        <x:v>0</x:v>
      </x:c>
      <x:c r="I19" s="200">
        <x:v>0</x:v>
      </x:c>
      <x:c r="J19" s="200">
        <x:v>0</x:v>
      </x:c>
      <x:c r="K19" s="199">
        <x:v>0</x:v>
      </x:c>
      <x:c r="L19" s="200">
        <x:v>0</x:v>
      </x:c>
      <x:c r="M19" s="615">
        <x:f>C19+E19+G19+I19+K19</x:f>
        <x:v>0</x:v>
      </x:c>
      <x:c r="N19" s="616">
        <x:f>D19+F19+H19+J19+L19</x:f>
        <x:v>0</x:v>
      </x:c>
    </x:row>
    <x:row r="20" spans="2:14" ht="13.8" thickBot="1" x14ac:dyDescent="0.3">
      <x:c r="B20" s="617" t="s">
        <x:v>152</x:v>
      </x:c>
      <x:c r="C20" s="200">
        <x:v>0</x:v>
      </x:c>
      <x:c r="D20" s="200">
        <x:v>0</x:v>
      </x:c>
      <x:c r="E20" s="200">
        <x:v>0</x:v>
      </x:c>
      <x:c r="F20" s="200">
        <x:v>0</x:v>
      </x:c>
      <x:c r="G20" s="200">
        <x:v>0</x:v>
      </x:c>
      <x:c r="H20" s="200">
        <x:v>0</x:v>
      </x:c>
      <x:c r="I20" s="200">
        <x:v>0</x:v>
      </x:c>
      <x:c r="J20" s="200">
        <x:v>0</x:v>
      </x:c>
      <x:c r="K20" s="199">
        <x:v>0</x:v>
      </x:c>
      <x:c r="L20" s="200">
        <x:v>0</x:v>
      </x:c>
      <x:c r="M20" s="615">
        <x:f>C20+E20+G20+I20+K20</x:f>
        <x:v>0</x:v>
      </x:c>
      <x:c r="N20" s="616">
        <x:f>D20+F20+H20+J20+L20</x:f>
        <x:v>0</x:v>
      </x:c>
    </x:row>
    <x:row r="21" spans="2:14" ht="13.8" thickBot="1" x14ac:dyDescent="0.3">
      <x:c r="B21" s="190" t="s">
        <x:v>2</x:v>
      </x:c>
      <x:c r="C21" s="170">
        <x:f>SUM(C19:C20)</x:f>
        <x:v>0</x:v>
      </x:c>
      <x:c r="D21" s="170">
        <x:f t="shared" ref="D21:L21" si="7">SUM(D19:D20)</x:f>
        <x:v>0</x:v>
      </x:c>
      <x:c r="E21" s="170">
        <x:f t="shared" si="7"/>
        <x:v>0</x:v>
      </x:c>
      <x:c r="F21" s="170">
        <x:f t="shared" si="7"/>
        <x:v>0</x:v>
      </x:c>
      <x:c r="G21" s="170">
        <x:f t="shared" si="7"/>
        <x:v>0</x:v>
      </x:c>
      <x:c r="H21" s="170">
        <x:f t="shared" si="7"/>
        <x:v>0</x:v>
      </x:c>
      <x:c r="I21" s="170">
        <x:f t="shared" si="7"/>
        <x:v>0</x:v>
      </x:c>
      <x:c r="J21" s="170">
        <x:f t="shared" si="7"/>
        <x:v>0</x:v>
      </x:c>
      <x:c r="K21" s="170">
        <x:f t="shared" si="7"/>
        <x:v>0</x:v>
      </x:c>
      <x:c r="L21" s="170">
        <x:f t="shared" si="7"/>
        <x:v>0</x:v>
      </x:c>
      <x:c r="M21" s="170">
        <x:f>C21+E21+G21+I21+K21</x:f>
        <x:v>0</x:v>
      </x:c>
      <x:c r="N21" s="170">
        <x:f t="shared" ref="N21" si="8">SUM(N19:N20)</x:f>
        <x:v>0</x:v>
      </x:c>
    </x:row>
    <x:row r="24" spans="2:14" ht="14.4" x14ac:dyDescent="0.3">
      <x:c r="B24" s="187" t="s">
        <x:v>154</x:v>
      </x:c>
      <x:c r="C24" s="188"/>
    </x:row>
    <x:row r="25" spans="2:14" x14ac:dyDescent="0.25">
      <x:c r="C25" s="769" t="s">
        <x:v>99</x:v>
      </x:c>
      <x:c r="D25" s="769"/>
      <x:c r="E25" s="769" t="s">
        <x:v>100</x:v>
      </x:c>
      <x:c r="F25" s="769"/>
      <x:c r="G25" s="769" t="s">
        <x:v>101</x:v>
      </x:c>
      <x:c r="H25" s="769"/>
      <x:c r="I25" s="769" t="s">
        <x:v>102</x:v>
      </x:c>
      <x:c r="J25" s="769"/>
      <x:c r="K25" s="769" t="s">
        <x:v>103</x:v>
      </x:c>
      <x:c r="L25" s="769"/>
      <x:c r="M25" s="769" t="s">
        <x:v>2</x:v>
      </x:c>
      <x:c r="N25" s="769"/>
    </x:row>
    <x:row r="26" spans="2:14" x14ac:dyDescent="0.25">
      <x:c r="C26" s="189" t="s">
        <x:v>149</x:v>
      </x:c>
      <x:c r="D26" s="189" t="s">
        <x:v>150</x:v>
      </x:c>
      <x:c r="E26" s="189" t="s">
        <x:v>149</x:v>
      </x:c>
      <x:c r="F26" s="189" t="s">
        <x:v>150</x:v>
      </x:c>
      <x:c r="G26" s="189" t="s">
        <x:v>149</x:v>
      </x:c>
      <x:c r="H26" s="189" t="s">
        <x:v>150</x:v>
      </x:c>
      <x:c r="I26" s="189" t="s">
        <x:v>149</x:v>
      </x:c>
      <x:c r="J26" s="189" t="s">
        <x:v>150</x:v>
      </x:c>
      <x:c r="K26" s="189" t="s">
        <x:v>149</x:v>
      </x:c>
      <x:c r="L26" s="189" t="s">
        <x:v>150</x:v>
      </x:c>
      <x:c r="M26" s="189" t="s">
        <x:v>149</x:v>
      </x:c>
      <x:c r="N26" s="189" t="s">
        <x:v>150</x:v>
      </x:c>
    </x:row>
    <x:row r="27" spans="2:14" x14ac:dyDescent="0.25">
      <x:c r="B27" s="617" t="s">
        <x:v>151</x:v>
      </x:c>
      <x:c r="C27" s="200">
        <x:v>0</x:v>
      </x:c>
      <x:c r="D27" s="200">
        <x:v>0</x:v>
      </x:c>
      <x:c r="E27" s="200">
        <x:v>0</x:v>
      </x:c>
      <x:c r="F27" s="200">
        <x:v>0</x:v>
      </x:c>
      <x:c r="G27" s="200">
        <x:v>0</x:v>
      </x:c>
      <x:c r="H27" s="200">
        <x:v>0</x:v>
      </x:c>
      <x:c r="I27" s="200">
        <x:v>0</x:v>
      </x:c>
      <x:c r="J27" s="200">
        <x:v>0</x:v>
      </x:c>
      <x:c r="K27" s="199">
        <x:v>0</x:v>
      </x:c>
      <x:c r="L27" s="200">
        <x:v>0</x:v>
      </x:c>
      <x:c r="M27" s="615">
        <x:f>C27+E27+G27+I27+K27</x:f>
        <x:v>0</x:v>
      </x:c>
      <x:c r="N27" s="616">
        <x:f>D27+F27+H27+J27+L27</x:f>
        <x:v>0</x:v>
      </x:c>
    </x:row>
    <x:row r="28" spans="2:14" ht="13.8" thickBot="1" x14ac:dyDescent="0.3">
      <x:c r="B28" s="617" t="s">
        <x:v>152</x:v>
      </x:c>
      <x:c r="C28" s="200">
        <x:v>0</x:v>
      </x:c>
      <x:c r="D28" s="200">
        <x:v>0</x:v>
      </x:c>
      <x:c r="E28" s="200">
        <x:v>0</x:v>
      </x:c>
      <x:c r="F28" s="200">
        <x:v>0</x:v>
      </x:c>
      <x:c r="G28" s="200">
        <x:v>0</x:v>
      </x:c>
      <x:c r="H28" s="200">
        <x:v>0</x:v>
      </x:c>
      <x:c r="I28" s="200">
        <x:v>0</x:v>
      </x:c>
      <x:c r="J28" s="200">
        <x:v>0</x:v>
      </x:c>
      <x:c r="K28" s="199">
        <x:v>0</x:v>
      </x:c>
      <x:c r="L28" s="200">
        <x:v>0</x:v>
      </x:c>
      <x:c r="M28" s="615">
        <x:f>C28+E28+G28+I28+K28</x:f>
        <x:v>0</x:v>
      </x:c>
      <x:c r="N28" s="616">
        <x:f>D28+F28+H28+J28+L28</x:f>
        <x:v>0</x:v>
      </x:c>
    </x:row>
    <x:row r="29" spans="2:14" ht="13.8" thickBot="1" x14ac:dyDescent="0.3">
      <x:c r="B29" s="190" t="s">
        <x:v>2</x:v>
      </x:c>
      <x:c r="C29" s="170">
        <x:f t="shared" ref="C29:N29" si="9">SUM(C27:C28)</x:f>
        <x:v>0</x:v>
      </x:c>
      <x:c r="D29" s="170">
        <x:f t="shared" si="9"/>
        <x:v>0</x:v>
      </x:c>
      <x:c r="E29" s="170">
        <x:f t="shared" si="9"/>
        <x:v>0</x:v>
      </x:c>
      <x:c r="F29" s="170">
        <x:f t="shared" si="9"/>
        <x:v>0</x:v>
      </x:c>
      <x:c r="G29" s="170">
        <x:f t="shared" si="9"/>
        <x:v>0</x:v>
      </x:c>
      <x:c r="H29" s="170">
        <x:f t="shared" si="9"/>
        <x:v>0</x:v>
      </x:c>
      <x:c r="I29" s="170">
        <x:f t="shared" si="9"/>
        <x:v>0</x:v>
      </x:c>
      <x:c r="J29" s="170">
        <x:f t="shared" si="9"/>
        <x:v>0</x:v>
      </x:c>
      <x:c r="K29" s="170">
        <x:f t="shared" si="9"/>
        <x:v>0</x:v>
      </x:c>
      <x:c r="L29" s="170">
        <x:f t="shared" si="9"/>
        <x:v>0</x:v>
      </x:c>
      <x:c r="M29" s="170">
        <x:f t="shared" si="9"/>
        <x:v>0</x:v>
      </x:c>
      <x:c r="N29" s="170">
        <x:f t="shared" si="9"/>
        <x:v>0</x:v>
      </x:c>
    </x:row>
    <x:row r="32" spans="2:14" ht="14.4" x14ac:dyDescent="0.3">
      <x:c r="B32" s="187" t="s">
        <x:v>155</x:v>
      </x:c>
      <x:c r="C32" s="188"/>
    </x:row>
    <x:row r="33" spans="2:14" x14ac:dyDescent="0.25">
      <x:c r="C33" s="769" t="s">
        <x:v>99</x:v>
      </x:c>
      <x:c r="D33" s="769"/>
      <x:c r="E33" s="769" t="s">
        <x:v>100</x:v>
      </x:c>
      <x:c r="F33" s="769"/>
      <x:c r="G33" s="769" t="s">
        <x:v>101</x:v>
      </x:c>
      <x:c r="H33" s="769"/>
      <x:c r="I33" s="769" t="s">
        <x:v>102</x:v>
      </x:c>
      <x:c r="J33" s="769"/>
      <x:c r="K33" s="769" t="s">
        <x:v>103</x:v>
      </x:c>
      <x:c r="L33" s="769"/>
      <x:c r="M33" s="769" t="s">
        <x:v>2</x:v>
      </x:c>
      <x:c r="N33" s="769"/>
    </x:row>
    <x:row r="34" spans="2:14" x14ac:dyDescent="0.25">
      <x:c r="C34" s="189" t="s">
        <x:v>149</x:v>
      </x:c>
      <x:c r="D34" s="189" t="s">
        <x:v>150</x:v>
      </x:c>
      <x:c r="E34" s="189" t="s">
        <x:v>149</x:v>
      </x:c>
      <x:c r="F34" s="189" t="s">
        <x:v>150</x:v>
      </x:c>
      <x:c r="G34" s="189" t="s">
        <x:v>149</x:v>
      </x:c>
      <x:c r="H34" s="189" t="s">
        <x:v>150</x:v>
      </x:c>
      <x:c r="I34" s="189" t="s">
        <x:v>149</x:v>
      </x:c>
      <x:c r="J34" s="189" t="s">
        <x:v>150</x:v>
      </x:c>
      <x:c r="K34" s="189" t="s">
        <x:v>149</x:v>
      </x:c>
      <x:c r="L34" s="189" t="s">
        <x:v>150</x:v>
      </x:c>
      <x:c r="M34" s="189" t="s">
        <x:v>149</x:v>
      </x:c>
      <x:c r="N34" s="189" t="s">
        <x:v>150</x:v>
      </x:c>
    </x:row>
    <x:row r="35" spans="2:14" x14ac:dyDescent="0.25">
      <x:c r="B35" s="617" t="s">
        <x:v>151</x:v>
      </x:c>
      <x:c r="C35" s="200">
        <x:v>0</x:v>
      </x:c>
      <x:c r="D35" s="200">
        <x:v>0</x:v>
      </x:c>
      <x:c r="E35" s="200">
        <x:v>0</x:v>
      </x:c>
      <x:c r="F35" s="200">
        <x:v>0</x:v>
      </x:c>
      <x:c r="G35" s="200">
        <x:v>0</x:v>
      </x:c>
      <x:c r="H35" s="200">
        <x:v>0</x:v>
      </x:c>
      <x:c r="I35" s="200">
        <x:v>0</x:v>
      </x:c>
      <x:c r="J35" s="200">
        <x:v>0</x:v>
      </x:c>
      <x:c r="K35" s="199">
        <x:v>0</x:v>
      </x:c>
      <x:c r="L35" s="200">
        <x:v>0</x:v>
      </x:c>
      <x:c r="M35" s="615">
        <x:f>C35+E35+G35+I35+K35</x:f>
        <x:v>0</x:v>
      </x:c>
      <x:c r="N35" s="616">
        <x:f>D35+F35+H35+J35+L35</x:f>
        <x:v>0</x:v>
      </x:c>
    </x:row>
    <x:row r="36" spans="2:14" ht="13.8" thickBot="1" x14ac:dyDescent="0.3">
      <x:c r="B36" s="617" t="s">
        <x:v>152</x:v>
      </x:c>
      <x:c r="C36" s="200">
        <x:v>0</x:v>
      </x:c>
      <x:c r="D36" s="200">
        <x:v>0</x:v>
      </x:c>
      <x:c r="E36" s="200">
        <x:v>0</x:v>
      </x:c>
      <x:c r="F36" s="200">
        <x:v>0</x:v>
      </x:c>
      <x:c r="G36" s="200">
        <x:v>0</x:v>
      </x:c>
      <x:c r="H36" s="200">
        <x:v>0</x:v>
      </x:c>
      <x:c r="I36" s="200">
        <x:v>0</x:v>
      </x:c>
      <x:c r="J36" s="200">
        <x:v>0</x:v>
      </x:c>
      <x:c r="K36" s="199">
        <x:v>0</x:v>
      </x:c>
      <x:c r="L36" s="200">
        <x:v>0</x:v>
      </x:c>
      <x:c r="M36" s="615">
        <x:f>C36+E36+G36+I36+K36</x:f>
        <x:v>0</x:v>
      </x:c>
      <x:c r="N36" s="616">
        <x:f>D36+F36+H36+J36+L36</x:f>
        <x:v>0</x:v>
      </x:c>
    </x:row>
    <x:row r="37" spans="2:14" ht="13.8" thickBot="1" x14ac:dyDescent="0.3">
      <x:c r="B37" s="190" t="s">
        <x:v>2</x:v>
      </x:c>
      <x:c r="C37" s="170">
        <x:f>SUM(C35:C36)</x:f>
        <x:v>0</x:v>
      </x:c>
      <x:c r="D37" s="170">
        <x:f t="shared" ref="D37:L37" si="10">SUM(D35:D36)</x:f>
        <x:v>0</x:v>
      </x:c>
      <x:c r="E37" s="170">
        <x:f t="shared" si="10"/>
        <x:v>0</x:v>
      </x:c>
      <x:c r="F37" s="170">
        <x:f t="shared" si="10"/>
        <x:v>0</x:v>
      </x:c>
      <x:c r="G37" s="170">
        <x:f t="shared" si="10"/>
        <x:v>0</x:v>
      </x:c>
      <x:c r="H37" s="170">
        <x:f t="shared" si="10"/>
        <x:v>0</x:v>
      </x:c>
      <x:c r="I37" s="170">
        <x:f t="shared" si="10"/>
        <x:v>0</x:v>
      </x:c>
      <x:c r="J37" s="170">
        <x:f t="shared" si="10"/>
        <x:v>0</x:v>
      </x:c>
      <x:c r="K37" s="170">
        <x:f t="shared" si="10"/>
        <x:v>0</x:v>
      </x:c>
      <x:c r="L37" s="170">
        <x:f t="shared" si="10"/>
        <x:v>0</x:v>
      </x:c>
      <x:c r="M37" s="170">
        <x:f>SUM(M35:M36)</x:f>
        <x:v>0</x:v>
      </x:c>
      <x:c r="N37" s="170">
        <x:f t="shared" ref="N37" si="11">SUM(N35:N36)</x:f>
        <x:v>0</x:v>
      </x:c>
    </x:row>
    <x:row r="39" spans="2:14" x14ac:dyDescent="0.25">
      <x:c r="L39" s="191"/>
    </x:row>
    <x:row r="40" spans="2:14" ht="14.4" x14ac:dyDescent="0.3">
      <x:c r="B40" s="187" t="s">
        <x:v>326</x:v>
      </x:c>
      <x:c r="C40" s="188"/>
    </x:row>
    <x:row r="41" spans="2:14" x14ac:dyDescent="0.25">
      <x:c r="C41" s="769" t="s">
        <x:v>99</x:v>
      </x:c>
      <x:c r="D41" s="769"/>
      <x:c r="E41" s="769" t="s">
        <x:v>100</x:v>
      </x:c>
      <x:c r="F41" s="769"/>
      <x:c r="G41" s="769" t="s">
        <x:v>101</x:v>
      </x:c>
      <x:c r="H41" s="769"/>
      <x:c r="I41" s="769" t="s">
        <x:v>102</x:v>
      </x:c>
      <x:c r="J41" s="769"/>
      <x:c r="K41" s="769" t="s">
        <x:v>103</x:v>
      </x:c>
      <x:c r="L41" s="769"/>
      <x:c r="M41" s="769" t="s">
        <x:v>2</x:v>
      </x:c>
      <x:c r="N41" s="769"/>
    </x:row>
    <x:row r="42" spans="2:14" x14ac:dyDescent="0.25">
      <x:c r="C42" s="189" t="s">
        <x:v>149</x:v>
      </x:c>
      <x:c r="D42" s="189" t="s">
        <x:v>150</x:v>
      </x:c>
      <x:c r="E42" s="189" t="s">
        <x:v>149</x:v>
      </x:c>
      <x:c r="F42" s="189" t="s">
        <x:v>150</x:v>
      </x:c>
      <x:c r="G42" s="189" t="s">
        <x:v>149</x:v>
      </x:c>
      <x:c r="H42" s="189" t="s">
        <x:v>150</x:v>
      </x:c>
      <x:c r="I42" s="189" t="s">
        <x:v>149</x:v>
      </x:c>
      <x:c r="J42" s="189" t="s">
        <x:v>150</x:v>
      </x:c>
      <x:c r="K42" s="189" t="s">
        <x:v>149</x:v>
      </x:c>
      <x:c r="L42" s="189" t="s">
        <x:v>150</x:v>
      </x:c>
      <x:c r="M42" s="189" t="s">
        <x:v>149</x:v>
      </x:c>
      <x:c r="N42" s="189" t="s">
        <x:v>150</x:v>
      </x:c>
    </x:row>
    <x:row r="43" spans="2:14" x14ac:dyDescent="0.25">
      <x:c r="B43" s="617" t="s">
        <x:v>151</x:v>
      </x:c>
      <x:c r="C43" s="200">
        <x:v>0</x:v>
      </x:c>
      <x:c r="D43" s="200">
        <x:v>0</x:v>
      </x:c>
      <x:c r="E43" s="200">
        <x:v>0</x:v>
      </x:c>
      <x:c r="F43" s="200">
        <x:v>0</x:v>
      </x:c>
      <x:c r="G43" s="200">
        <x:v>0</x:v>
      </x:c>
      <x:c r="H43" s="200">
        <x:v>0</x:v>
      </x:c>
      <x:c r="I43" s="200">
        <x:v>0</x:v>
      </x:c>
      <x:c r="J43" s="200">
        <x:v>0</x:v>
      </x:c>
      <x:c r="K43" s="199">
        <x:v>0</x:v>
      </x:c>
      <x:c r="L43" s="200">
        <x:v>0</x:v>
      </x:c>
      <x:c r="M43" s="615">
        <x:f>C43+E43+G43+I43+K43</x:f>
        <x:v>0</x:v>
      </x:c>
      <x:c r="N43" s="616">
        <x:f>D43+F43+H43+J43+L43</x:f>
        <x:v>0</x:v>
      </x:c>
    </x:row>
    <x:row r="44" spans="2:14" ht="13.8" thickBot="1" x14ac:dyDescent="0.3">
      <x:c r="B44" s="617" t="s">
        <x:v>152</x:v>
      </x:c>
      <x:c r="C44" s="200">
        <x:v>0</x:v>
      </x:c>
      <x:c r="D44" s="200">
        <x:v>0</x:v>
      </x:c>
      <x:c r="E44" s="200">
        <x:v>0</x:v>
      </x:c>
      <x:c r="F44" s="200">
        <x:v>0</x:v>
      </x:c>
      <x:c r="G44" s="200">
        <x:v>0</x:v>
      </x:c>
      <x:c r="H44" s="200">
        <x:v>0</x:v>
      </x:c>
      <x:c r="I44" s="200">
        <x:v>0</x:v>
      </x:c>
      <x:c r="J44" s="200">
        <x:v>0</x:v>
      </x:c>
      <x:c r="K44" s="199">
        <x:v>0</x:v>
      </x:c>
      <x:c r="L44" s="200">
        <x:v>0</x:v>
      </x:c>
      <x:c r="M44" s="615">
        <x:f>C44+E44+G44+I44+K44</x:f>
        <x:v>0</x:v>
      </x:c>
      <x:c r="N44" s="616">
        <x:f>D44+F44+H44+J44+L44</x:f>
        <x:v>0</x:v>
      </x:c>
    </x:row>
    <x:row r="45" spans="2:14" ht="13.8" thickBot="1" x14ac:dyDescent="0.3">
      <x:c r="B45" s="190" t="s">
        <x:v>2</x:v>
      </x:c>
      <x:c r="C45" s="170">
        <x:f>SUM(C43:C44)</x:f>
        <x:v>0</x:v>
      </x:c>
      <x:c r="D45" s="170">
        <x:f t="shared" ref="D45:J45" si="12">SUM(D43:D44)</x:f>
        <x:v>0</x:v>
      </x:c>
      <x:c r="E45" s="170">
        <x:f t="shared" si="12"/>
        <x:v>0</x:v>
      </x:c>
      <x:c r="F45" s="170">
        <x:f t="shared" si="12"/>
        <x:v>0</x:v>
      </x:c>
      <x:c r="G45" s="170">
        <x:f t="shared" si="12"/>
        <x:v>0</x:v>
      </x:c>
      <x:c r="H45" s="170">
        <x:f t="shared" si="12"/>
        <x:v>0</x:v>
      </x:c>
      <x:c r="I45" s="170">
        <x:f t="shared" si="12"/>
        <x:v>0</x:v>
      </x:c>
      <x:c r="J45" s="170">
        <x:f t="shared" si="12"/>
        <x:v>0</x:v>
      </x:c>
      <x:c r="K45" s="170">
        <x:f>SUM(K43:K44)</x:f>
        <x:v>0</x:v>
      </x:c>
      <x:c r="L45" s="170">
        <x:f>SUM(L43:L44)</x:f>
        <x:v>0</x:v>
      </x:c>
      <x:c r="M45" s="170">
        <x:f>SUM(M43:M44)</x:f>
        <x:v>0</x:v>
      </x:c>
      <x:c r="N45" s="170">
        <x:f t="shared" ref="N45" si="13">SUM(N43:N44)</x:f>
        <x:v>0</x:v>
      </x:c>
    </x:row>
  </x:sheetData>
  <x:mergeCells count="36">
    <x:mergeCell ref="M33:N33"/>
    <x:mergeCell ref="C33:D33"/>
    <x:mergeCell ref="E33:F33"/>
    <x:mergeCell ref="G33:H33"/>
    <x:mergeCell ref="I33:J33"/>
    <x:mergeCell ref="K33:L33"/>
    <x:mergeCell ref="M9:N9"/>
    <x:mergeCell ref="C9:D9"/>
    <x:mergeCell ref="E9:F9"/>
    <x:mergeCell ref="G9:H9"/>
    <x:mergeCell ref="I9:J9"/>
    <x:mergeCell ref="K9:L9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1:N1"/>
    <x:mergeCell ref="C1:D1"/>
    <x:mergeCell ref="E1:F1"/>
    <x:mergeCell ref="G1:H1"/>
    <x:mergeCell ref="I1:J1"/>
    <x:mergeCell ref="K1:L1"/>
    <x:mergeCell ref="M41:N41"/>
    <x:mergeCell ref="C41:D41"/>
    <x:mergeCell ref="E41:F41"/>
    <x:mergeCell ref="G41:H41"/>
    <x:mergeCell ref="I41:J41"/>
    <x:mergeCell ref="K41:L41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40"/>
  <x:sheetViews>
    <x:sheetView zoomScale="88" zoomScaleNormal="88" workbookViewId="0">
      <x:selection activeCell="O15" sqref="O15"/>
    </x:sheetView>
  </x:sheetViews>
  <x:sheetFormatPr baseColWidth="10" defaultRowHeight="13.2" x14ac:dyDescent="0.25"/>
  <x:cols>
    <x:col min="1" max="1" width="2.44140625" customWidth="1"/>
    <x:col min="2" max="2" width="8" customWidth="1"/>
    <x:col min="3" max="3" width="15.6640625" bestFit="1" customWidth="1"/>
    <x:col min="4" max="4" width="1.6640625" customWidth="1"/>
    <x:col min="5" max="5" width="14.6640625" customWidth="1"/>
    <x:col min="6" max="6" width="15.6640625" bestFit="1" customWidth="1"/>
    <x:col min="7" max="7" width="1.6640625" customWidth="1"/>
    <x:col min="8" max="8" width="9.33203125" customWidth="1"/>
    <x:col min="9" max="9" width="15.6640625" bestFit="1" customWidth="1"/>
    <x:col min="10" max="10" width="1.6640625" customWidth="1"/>
    <x:col min="11" max="11" width="14.33203125" customWidth="1"/>
    <x:col min="12" max="12" width="17.44140625" customWidth="1"/>
    <x:col min="13" max="13" width="1.6640625" customWidth="1"/>
    <x:col min="14" max="14" width="14.33203125" customWidth="1"/>
    <x:col min="15" max="15" width="17.44140625" customWidth="1"/>
    <x:col min="16" max="16" width="1.6640625" customWidth="1"/>
    <x:col min="17" max="17" width="20.33203125" customWidth="1"/>
    <x:col min="18" max="18" width="15.6640625" bestFit="1" customWidth="1"/>
    <x:col min="19" max="19" width="3.5546875" customWidth="1"/>
    <x:col min="20" max="20" width="48.44140625" bestFit="1" customWidth="1"/>
  </x:cols>
  <x:sheetData>
    <x:row r="1" spans="2:20" s="50" customFormat="1" ht="14.4" thickBot="1" x14ac:dyDescent="0.3">
      <x:c r="B1" s="50" t="s">
        <x:v>2</x:v>
      </x:c>
      <x:c r="D1" s="618"/>
      <x:c r="E1" s="50" t="s">
        <x:v>160</x:v>
      </x:c>
      <x:c r="G1" s="618"/>
      <x:c r="H1" s="50" t="s">
        <x:v>155</x:v>
      </x:c>
      <x:c r="J1" s="618"/>
      <x:c r="K1" s="619" t="s">
        <x:v>326</x:v>
      </x:c>
      <x:c r="L1" s="619"/>
      <x:c r="M1" s="618"/>
      <x:c r="N1" s="50" t="s">
        <x:v>119</x:v>
      </x:c>
      <x:c r="P1" s="618"/>
      <x:c r="Q1" s="50" t="s">
        <x:v>165</x:v>
      </x:c>
    </x:row>
    <x:row r="2" spans="2:20" ht="36.6" thickBot="1" x14ac:dyDescent="0.3">
      <x:c r="B2" s="11" t="s">
        <x:v>3</x:v>
      </x:c>
      <x:c r="C2" s="12" t="s">
        <x:v>114</x:v>
      </x:c>
      <x:c r="D2" s="197"/>
      <x:c r="E2" s="11" t="s">
        <x:v>3</x:v>
      </x:c>
      <x:c r="F2" s="12" t="s">
        <x:v>114</x:v>
      </x:c>
      <x:c r="G2" s="197"/>
      <x:c r="H2" s="11" t="s">
        <x:v>3</x:v>
      </x:c>
      <x:c r="I2" s="12" t="s">
        <x:v>114</x:v>
      </x:c>
      <x:c r="J2" s="197"/>
      <x:c r="K2" s="11" t="s">
        <x:v>3</x:v>
      </x:c>
      <x:c r="L2" s="12" t="s">
        <x:v>114</x:v>
      </x:c>
      <x:c r="M2" s="197"/>
      <x:c r="N2" s="11" t="s">
        <x:v>3</x:v>
      </x:c>
      <x:c r="O2" s="12" t="s">
        <x:v>114</x:v>
      </x:c>
      <x:c r="P2" s="197"/>
      <x:c r="Q2" s="11" t="s">
        <x:v>3</x:v>
      </x:c>
      <x:c r="R2" s="12" t="s">
        <x:v>114</x:v>
      </x:c>
      <x:c r="T2" t="s">
        <x:v>94</x:v>
      </x:c>
    </x:row>
    <x:row r="3" spans="2:20" x14ac:dyDescent="0.25">
      <x:c r="B3" s="14">
        <x:v>1</x:v>
      </x:c>
      <x:c r="C3" s="747">
        <x:f>'REPORTE RECAUDO x BANCO'!I14</x:f>
        <x:v>0</x:v>
      </x:c>
      <x:c r="D3" s="197"/>
      <x:c r="E3" s="14">
        <x:v>1</x:v>
      </x:c>
      <x:c r="F3" s="15">
        <x:f>'REPORTE RECAUDO x BANCO'!F14</x:f>
        <x:v>0</x:v>
      </x:c>
      <x:c r="G3" s="197"/>
      <x:c r="H3" s="14">
        <x:v>1</x:v>
      </x:c>
      <x:c r="I3" s="15">
        <x:f>'REPORTE RECAUDO x BANCO'!C14</x:f>
        <x:v>0</x:v>
      </x:c>
      <x:c r="J3" s="197"/>
      <x:c r="K3" s="14">
        <x:v>1</x:v>
      </x:c>
      <x:c r="L3" s="15">
        <x:f>'REPORTE RECAUDO x BANCO'!G14</x:f>
        <x:v>0</x:v>
      </x:c>
      <x:c r="M3" s="197"/>
      <x:c r="N3" s="14">
        <x:v>1</x:v>
      </x:c>
      <x:c r="O3" s="15">
        <x:f>'REPORTE RECAUDO x BANCO'!H14</x:f>
        <x:v>0</x:v>
      </x:c>
      <x:c r="P3" s="197"/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5">
      <x:c r="B4" s="16">
        <x:v>2</x:v>
      </x:c>
      <x:c r="C4" s="747">
        <x:f>'REPORTE RECAUDO x BANCO'!I24</x:f>
        <x:v>0</x:v>
      </x:c>
      <x:c r="D4" s="197"/>
      <x:c r="E4" s="16">
        <x:v>2</x:v>
      </x:c>
      <x:c r="F4" s="15">
        <x:f>'REPORTE RECAUDO x BANCO'!F24</x:f>
        <x:v>0</x:v>
      </x:c>
      <x:c r="G4" s="197"/>
      <x:c r="H4" s="16">
        <x:v>2</x:v>
      </x:c>
      <x:c r="I4" s="15">
        <x:f>'REPORTE RECAUDO x BANCO'!C24</x:f>
        <x:v>0</x:v>
      </x:c>
      <x:c r="J4" s="197"/>
      <x:c r="K4" s="16">
        <x:v>2</x:v>
      </x:c>
      <x:c r="L4" s="15">
        <x:f>'REPORTE RECAUDO x BANCO'!G24</x:f>
        <x:v>0</x:v>
      </x:c>
      <x:c r="M4" s="197"/>
      <x:c r="N4" s="16">
        <x:v>2</x:v>
      </x:c>
      <x:c r="O4" s="15">
        <x:f>'REPORTE RECAUDO x BANCO'!H24</x:f>
        <x:v>0</x:v>
      </x:c>
      <x:c r="P4" s="197"/>
      <x:c r="Q4" s="16">
        <x:v>2</x:v>
      </x:c>
      <x:c r="R4" s="15">
        <x:f>'REPORTE RECAUDO x BANCO'!D24+'REPORTE RECAUDO x BANCO'!E24</x:f>
        <x:v>0</x:v>
      </x:c>
    </x:row>
    <x:row r="5" spans="2:20" x14ac:dyDescent="0.25">
      <x:c r="B5" s="16">
        <x:v>3</x:v>
      </x:c>
      <x:c r="C5" s="747">
        <x:f>'REPORTE RECAUDO x BANCO'!I33</x:f>
        <x:v>0</x:v>
      </x:c>
      <x:c r="D5" s="197"/>
      <x:c r="E5" s="16">
        <x:v>3</x:v>
      </x:c>
      <x:c r="F5" s="15">
        <x:f>'REPORTE RECAUDO x BANCO'!F33</x:f>
        <x:v>0</x:v>
      </x:c>
      <x:c r="G5" s="197"/>
      <x:c r="H5" s="16">
        <x:v>3</x:v>
      </x:c>
      <x:c r="I5" s="15">
        <x:f>'REPORTE RECAUDO x BANCO'!C33</x:f>
        <x:v>0</x:v>
      </x:c>
      <x:c r="J5" s="197"/>
      <x:c r="K5" s="16">
        <x:v>3</x:v>
      </x:c>
      <x:c r="L5" s="15">
        <x:f>'REPORTE RECAUDO x BANCO'!G33</x:f>
        <x:v>0</x:v>
      </x:c>
      <x:c r="M5" s="197"/>
      <x:c r="N5" s="16">
        <x:v>3</x:v>
      </x:c>
      <x:c r="O5" s="15">
        <x:f>'REPORTE RECAUDO x BANCO'!H33</x:f>
        <x:v>0</x:v>
      </x:c>
      <x:c r="P5" s="197"/>
      <x:c r="Q5" s="16">
        <x:v>3</x:v>
      </x:c>
      <x:c r="R5" s="15">
        <x:f>'REPORTE RECAUDO x BANCO'!D33+'REPORTE RECAUDO x BANCO'!E33</x:f>
        <x:v>0</x:v>
      </x:c>
    </x:row>
    <x:row r="6" spans="2:20" x14ac:dyDescent="0.25">
      <x:c r="B6" s="16">
        <x:v>4</x:v>
      </x:c>
      <x:c r="C6" s="747">
        <x:f>'REPORTE RECAUDO x BANCO'!I42</x:f>
        <x:v>0</x:v>
      </x:c>
      <x:c r="D6" s="197"/>
      <x:c r="E6" s="16">
        <x:v>4</x:v>
      </x:c>
      <x:c r="F6" s="15">
        <x:f>'REPORTE RECAUDO x BANCO'!F42</x:f>
        <x:v>0</x:v>
      </x:c>
      <x:c r="G6" s="197"/>
      <x:c r="H6" s="16">
        <x:v>4</x:v>
      </x:c>
      <x:c r="I6" s="15">
        <x:f>'REPORTE RECAUDO x BANCO'!C42</x:f>
        <x:v>0</x:v>
      </x:c>
      <x:c r="J6" s="197"/>
      <x:c r="K6" s="16">
        <x:v>4</x:v>
      </x:c>
      <x:c r="L6" s="15">
        <x:f>'REPORTE RECAUDO x BANCO'!G42</x:f>
        <x:v>0</x:v>
      </x:c>
      <x:c r="M6" s="197"/>
      <x:c r="N6" s="16">
        <x:v>4</x:v>
      </x:c>
      <x:c r="O6" s="15">
        <x:f>'REPORTE RECAUDO x BANCO'!H42</x:f>
        <x:v>0</x:v>
      </x:c>
      <x:c r="P6" s="197"/>
      <x:c r="Q6" s="16">
        <x:v>4</x:v>
      </x:c>
      <x:c r="R6" s="15">
        <x:f>'REPORTE RECAUDO x BANCO'!D42+'REPORTE RECAUDO x BANCO'!E42</x:f>
        <x:v>0</x:v>
      </x:c>
    </x:row>
    <x:row r="7" spans="2:20" ht="13.8" thickBot="1" x14ac:dyDescent="0.3">
      <x:c r="B7" s="19">
        <x:v>5</x:v>
      </x:c>
      <x:c r="C7" s="747">
        <x:f>'REPORTE RECAUDO x BANCO'!I52</x:f>
        <x:v>0</x:v>
      </x:c>
      <x:c r="D7" s="197"/>
      <x:c r="E7" s="19">
        <x:v>5</x:v>
      </x:c>
      <x:c r="F7" s="15">
        <x:f>'REPORTE RECAUDO x BANCO'!F52</x:f>
        <x:v>0</x:v>
      </x:c>
      <x:c r="G7" s="197"/>
      <x:c r="H7" s="19">
        <x:v>5</x:v>
      </x:c>
      <x:c r="I7" s="15">
        <x:f>'REPORTE RECAUDO x BANCO'!C52</x:f>
        <x:v>0</x:v>
      </x:c>
      <x:c r="J7" s="197"/>
      <x:c r="K7" s="19">
        <x:v>5</x:v>
      </x:c>
      <x:c r="L7" s="15">
        <x:f>'REPORTE RECAUDO x BANCO'!G52</x:f>
        <x:v>0</x:v>
      </x:c>
      <x:c r="M7" s="197"/>
      <x:c r="N7" s="19">
        <x:v>5</x:v>
      </x:c>
      <x:c r="O7" s="15">
        <x:f>'REPORTE RECAUDO x BANCO'!H52</x:f>
        <x:v>0</x:v>
      </x:c>
      <x:c r="P7" s="197"/>
      <x:c r="Q7" s="19">
        <x:v>5</x:v>
      </x:c>
      <x:c r="R7" s="15">
        <x:f>'REPORTE RECAUDO x BANCO'!D52+'REPORTE RECAUDO x BANCO'!E52</x:f>
        <x:v>0</x:v>
      </x:c>
    </x:row>
    <x:row r="8" spans="2:20" ht="13.8" thickBot="1" x14ac:dyDescent="0.3">
      <x:c r="B8" s="21"/>
      <x:c r="C8" s="748">
        <x:f>SUM(C3:C7)</x:f>
        <x:v>0</x:v>
      </x:c>
      <x:c r="D8" s="197"/>
      <x:c r="E8" s="21"/>
      <x:c r="F8" s="170">
        <x:f>SUM(F3:F7)</x:f>
        <x:v>0</x:v>
      </x:c>
      <x:c r="G8" s="197"/>
      <x:c r="H8" s="21"/>
      <x:c r="I8" s="170">
        <x:f>SUM(I3:I7)</x:f>
        <x:v>0</x:v>
      </x:c>
      <x:c r="J8" s="197"/>
      <x:c r="K8" s="21"/>
      <x:c r="L8" s="170">
        <x:f>SUM(L3:L7)</x:f>
        <x:v>0</x:v>
      </x:c>
      <x:c r="M8" s="197"/>
      <x:c r="N8" s="21"/>
      <x:c r="O8" s="170">
        <x:f>SUM(O3:O7)</x:f>
        <x:v>0</x:v>
      </x:c>
      <x:c r="P8" s="197"/>
      <x:c r="Q8" s="21"/>
      <x:c r="R8" s="170">
        <x:f>SUM(R3:R7)</x:f>
        <x:v>0</x:v>
      </x:c>
    </x:row>
    <x:row r="9" spans="2:20" x14ac:dyDescent="0.25">
      <x:c r="C9" s="188" t="b">
        <x:f>C8='REPORTE RECAUDO x BANCO'!I3</x:f>
        <x:v>1</x:v>
      </x:c>
      <x:c r="D9" s="197"/>
      <x:c r="F9" s="188" t="b">
        <x:f>F8='REPORTE RECAUDO x BANCO'!F3</x:f>
        <x:v>1</x:v>
      </x:c>
      <x:c r="G9" s="197"/>
      <x:c r="I9" s="188" t="b">
        <x:f>I8='REPORTE RECAUDO x BANCO'!C3</x:f>
        <x:v>1</x:v>
      </x:c>
      <x:c r="J9" s="197"/>
      <x:c r="L9" s="188" t="b">
        <x:f>L8='REPORTE RECAUDO x BANCO'!G3</x:f>
        <x:v>1</x:v>
      </x:c>
      <x:c r="M9" s="197"/>
      <x:c r="O9" s="188" t="b">
        <x:f>O8='REPORTE RECAUDO x BANCO'!H3</x:f>
        <x:v>1</x:v>
      </x:c>
      <x:c r="P9" s="197"/>
      <x:c r="R9" s="188" t="b">
        <x:f>R8='REPORTE RECAUDO x BANCO'!D3+'REPORTE RECAUDO x BANCO'!E3</x:f>
        <x:v>1</x:v>
      </x:c>
    </x:row>
    <x:row r="10" spans="2:20" ht="13.8" thickBot="1" x14ac:dyDescent="0.3">
      <x:c r="D10" s="197"/>
      <x:c r="G10" s="197"/>
      <x:c r="J10" s="197"/>
      <x:c r="M10" s="197"/>
      <x:c r="P10" s="197"/>
    </x:row>
    <x:row r="11" spans="2:20" ht="60.6" thickBot="1" x14ac:dyDescent="0.3">
      <x:c r="B11" s="11" t="s">
        <x:v>3</x:v>
      </x:c>
      <x:c r="C11" s="12" t="s">
        <x:v>145</x:v>
      </x:c>
      <x:c r="D11" s="197"/>
      <x:c r="E11" s="11" t="s">
        <x:v>3</x:v>
      </x:c>
      <x:c r="F11" s="12" t="s">
        <x:v>145</x:v>
      </x:c>
      <x:c r="G11" s="197"/>
      <x:c r="H11" s="11" t="s">
        <x:v>3</x:v>
      </x:c>
      <x:c r="I11" s="12" t="s">
        <x:v>145</x:v>
      </x:c>
      <x:c r="J11" s="197"/>
      <x:c r="K11" s="11" t="s">
        <x:v>3</x:v>
      </x:c>
      <x:c r="L11" s="12" t="s">
        <x:v>145</x:v>
      </x:c>
      <x:c r="M11" s="197"/>
      <x:c r="N11" s="11" t="s">
        <x:v>3</x:v>
      </x:c>
      <x:c r="O11" s="12" t="s">
        <x:v>145</x:v>
      </x:c>
      <x:c r="P11" s="197"/>
      <x:c r="Q11" s="11" t="s">
        <x:v>3</x:v>
      </x:c>
      <x:c r="R11" s="12" t="s">
        <x:v>145</x:v>
      </x:c>
      <x:c r="T11" s="131" t="s">
        <x:v>146</x:v>
      </x:c>
    </x:row>
    <x:row r="12" spans="2:20" x14ac:dyDescent="0.25">
      <x:c r="B12" s="14">
        <x:v>1</x:v>
      </x:c>
      <x:c r="C12" s="747">
        <x:f>'ANT EXT-REV'!C4</x:f>
        <x:v>0</x:v>
      </x:c>
      <x:c r="D12" s="197"/>
      <x:c r="E12" s="14">
        <x:v>1</x:v>
      </x:c>
      <x:c r="F12" s="15">
        <x:f>'ANT EXT-REV'!C20</x:f>
        <x:v>0</x:v>
      </x:c>
      <x:c r="G12" s="197"/>
      <x:c r="H12" s="14">
        <x:v>1</x:v>
      </x:c>
      <x:c r="I12" s="15">
        <x:f>'ANT EXT-REV'!C36</x:f>
        <x:v>0</x:v>
      </x:c>
      <x:c r="J12" s="197"/>
      <x:c r="K12" s="14">
        <x:v>1</x:v>
      </x:c>
      <x:c r="L12" s="15">
        <x:f>'ANT EXT-REV'!C44</x:f>
        <x:v>0</x:v>
      </x:c>
      <x:c r="M12" s="197"/>
      <x:c r="N12" s="14">
        <x:v>1</x:v>
      </x:c>
      <x:c r="O12" s="15">
        <x:f>'ANT EXT-REV'!C12</x:f>
        <x:v>0</x:v>
      </x:c>
      <x:c r="P12" s="197"/>
      <x:c r="Q12" s="14">
        <x:v>1</x:v>
      </x:c>
      <x:c r="R12" s="15">
        <x:f>'ANT EXT-REV'!C28</x:f>
        <x:v>0</x:v>
      </x:c>
      <x:c r="T12" s="131" t="s">
        <x:v>147</x:v>
      </x:c>
    </x:row>
    <x:row r="13" spans="2:20" x14ac:dyDescent="0.25">
      <x:c r="B13" s="16">
        <x:v>2</x:v>
      </x:c>
      <x:c r="C13" s="747">
        <x:f>'ANT EXT-REV'!E4</x:f>
        <x:v>0</x:v>
      </x:c>
      <x:c r="D13" s="197"/>
      <x:c r="E13" s="16">
        <x:v>2</x:v>
      </x:c>
      <x:c r="F13" s="15">
        <x:f>'ANT EXT-REV'!E20</x:f>
        <x:v>0</x:v>
      </x:c>
      <x:c r="G13" s="197"/>
      <x:c r="H13" s="16">
        <x:v>2</x:v>
      </x:c>
      <x:c r="I13" s="15">
        <x:f>'ANT EXT-REV'!E36</x:f>
        <x:v>0</x:v>
      </x:c>
      <x:c r="J13" s="197"/>
      <x:c r="K13" s="16">
        <x:v>2</x:v>
      </x:c>
      <x:c r="L13" s="15">
        <x:f>'ANT EXT-REV'!E44</x:f>
        <x:v>0</x:v>
      </x:c>
      <x:c r="M13" s="197"/>
      <x:c r="N13" s="16">
        <x:v>2</x:v>
      </x:c>
      <x:c r="O13" s="15">
        <x:f>'ANT EXT-REV'!E12</x:f>
        <x:v>0</x:v>
      </x:c>
      <x:c r="P13" s="197"/>
      <x:c r="Q13" s="16">
        <x:v>2</x:v>
      </x:c>
      <x:c r="R13" s="15">
        <x:f>'ANT EXT-REV'!E28</x:f>
        <x:v>0</x:v>
      </x:c>
    </x:row>
    <x:row r="14" spans="2:20" x14ac:dyDescent="0.25">
      <x:c r="B14" s="16">
        <x:v>3</x:v>
      </x:c>
      <x:c r="C14" s="747">
        <x:f>'ANT EXT-REV'!G4</x:f>
        <x:v>0</x:v>
      </x:c>
      <x:c r="D14" s="197"/>
      <x:c r="E14" s="16">
        <x:v>3</x:v>
      </x:c>
      <x:c r="F14" s="15">
        <x:f>'ANT EXT-REV'!G20</x:f>
        <x:v>0</x:v>
      </x:c>
      <x:c r="G14" s="197"/>
      <x:c r="H14" s="16">
        <x:v>3</x:v>
      </x:c>
      <x:c r="I14" s="15">
        <x:f>'ANT EXT-REV'!G36</x:f>
        <x:v>0</x:v>
      </x:c>
      <x:c r="J14" s="197"/>
      <x:c r="K14" s="16">
        <x:v>3</x:v>
      </x:c>
      <x:c r="L14" s="15">
        <x:f>'ANT EXT-REV'!G44</x:f>
        <x:v>0</x:v>
      </x:c>
      <x:c r="M14" s="197"/>
      <x:c r="N14" s="16">
        <x:v>3</x:v>
      </x:c>
      <x:c r="O14" s="15">
        <x:f>'ANT EXT-REV'!G12</x:f>
        <x:v>0</x:v>
      </x:c>
      <x:c r="P14" s="197"/>
      <x:c r="Q14" s="16">
        <x:v>3</x:v>
      </x:c>
      <x:c r="R14" s="15">
        <x:f>'ANT EXT-REV'!G28</x:f>
        <x:v>0</x:v>
      </x:c>
    </x:row>
    <x:row r="15" spans="2:20" x14ac:dyDescent="0.25">
      <x:c r="B15" s="16">
        <x:v>4</x:v>
      </x:c>
      <x:c r="C15" s="747">
        <x:f>'ANT EXT-REV'!I4</x:f>
        <x:v>0</x:v>
      </x:c>
      <x:c r="D15" s="197"/>
      <x:c r="E15" s="16">
        <x:v>4</x:v>
      </x:c>
      <x:c r="F15" s="15">
        <x:f>'ANT EXT-REV'!I20</x:f>
        <x:v>0</x:v>
      </x:c>
      <x:c r="G15" s="197"/>
      <x:c r="H15" s="16">
        <x:v>4</x:v>
      </x:c>
      <x:c r="I15" s="15">
        <x:f>'ANT EXT-REV'!I36</x:f>
        <x:v>0</x:v>
      </x:c>
      <x:c r="J15" s="197"/>
      <x:c r="K15" s="16">
        <x:v>4</x:v>
      </x:c>
      <x:c r="L15" s="15">
        <x:f>'ANT EXT-REV'!I44</x:f>
        <x:v>0</x:v>
      </x:c>
      <x:c r="M15" s="197"/>
      <x:c r="N15" s="16">
        <x:v>4</x:v>
      </x:c>
      <x:c r="O15" s="15">
        <x:f>'ANT EXT-REV'!I12</x:f>
        <x:v>0</x:v>
      </x:c>
      <x:c r="P15" s="197"/>
      <x:c r="Q15" s="16">
        <x:v>4</x:v>
      </x:c>
      <x:c r="R15" s="15">
        <x:f>'ANT EXT-REV'!I28</x:f>
        <x:v>0</x:v>
      </x:c>
    </x:row>
    <x:row r="16" spans="2:20" ht="13.8" thickBot="1" x14ac:dyDescent="0.3">
      <x:c r="B16" s="19">
        <x:v>5</x:v>
      </x:c>
      <x:c r="C16" s="747">
        <x:f>'ANT EXT-REV'!K4</x:f>
        <x:v>0</x:v>
      </x:c>
      <x:c r="D16" s="197"/>
      <x:c r="E16" s="19">
        <x:v>5</x:v>
      </x:c>
      <x:c r="F16" s="15">
        <x:f>'ANT EXT-REV'!K20</x:f>
        <x:v>0</x:v>
      </x:c>
      <x:c r="G16" s="197"/>
      <x:c r="H16" s="19">
        <x:v>5</x:v>
      </x:c>
      <x:c r="I16" s="15">
        <x:f>'ANT EXT-REV'!K36</x:f>
        <x:v>0</x:v>
      </x:c>
      <x:c r="J16" s="197"/>
      <x:c r="K16" s="19">
        <x:v>5</x:v>
      </x:c>
      <x:c r="L16" s="15">
        <x:f>'ANT EXT-REV'!K44</x:f>
        <x:v>0</x:v>
      </x:c>
      <x:c r="M16" s="197"/>
      <x:c r="N16" s="19">
        <x:v>5</x:v>
      </x:c>
      <x:c r="O16" s="15">
        <x:f>'ANT EXT-REV'!K12</x:f>
        <x:v>0</x:v>
      </x:c>
      <x:c r="P16" s="197"/>
      <x:c r="Q16" s="19">
        <x:v>5</x:v>
      </x:c>
      <x:c r="R16" s="15">
        <x:f>'ANT EXT-REV'!K28</x:f>
        <x:v>0</x:v>
      </x:c>
    </x:row>
    <x:row r="17" spans="2:20" ht="13.8" thickBot="1" x14ac:dyDescent="0.3">
      <x:c r="B17" s="21"/>
      <x:c r="C17" s="748">
        <x:f>SUM(C12:C16)</x:f>
        <x:v>0</x:v>
      </x:c>
      <x:c r="D17" s="197"/>
      <x:c r="E17" s="21"/>
      <x:c r="F17" s="170">
        <x:f>SUM(F12:F16)</x:f>
        <x:v>0</x:v>
      </x:c>
      <x:c r="G17" s="197"/>
      <x:c r="H17" s="21"/>
      <x:c r="I17" s="170">
        <x:f>SUM(I12:I16)</x:f>
        <x:v>0</x:v>
      </x:c>
      <x:c r="J17" s="197"/>
      <x:c r="K17" s="21"/>
      <x:c r="L17" s="170">
        <x:f>SUM(L12:L16)</x:f>
        <x:v>0</x:v>
      </x:c>
      <x:c r="M17" s="197"/>
      <x:c r="N17" s="21"/>
      <x:c r="O17" s="170">
        <x:f>SUM(O12:O16)</x:f>
        <x:v>0</x:v>
      </x:c>
      <x:c r="P17" s="197"/>
      <x:c r="Q17" s="21"/>
      <x:c r="R17" s="170">
        <x:f>SUM(R12:R16)</x:f>
        <x:v>0</x:v>
      </x:c>
    </x:row>
    <x:row r="18" spans="2:20" x14ac:dyDescent="0.25">
      <x:c r="C18" s="188" t="b">
        <x:f>C17='ANT EXT-REV'!M4</x:f>
        <x:v>1</x:v>
      </x:c>
      <x:c r="D18" s="197"/>
      <x:c r="F18" s="188" t="b">
        <x:f>F17='ANT EXT-REV'!M20</x:f>
        <x:v>1</x:v>
      </x:c>
      <x:c r="G18" s="197"/>
      <x:c r="I18" s="188" t="b">
        <x:f>I17='ANT EXT-REV'!M36</x:f>
        <x:v>1</x:v>
      </x:c>
      <x:c r="J18" s="197"/>
      <x:c r="L18" s="188" t="b">
        <x:f>L17='ANT EXT-REV'!M44</x:f>
        <x:v>1</x:v>
      </x:c>
      <x:c r="M18" s="197"/>
      <x:c r="O18" s="188" t="b">
        <x:f>O17='ANT EXT-REV'!M12</x:f>
        <x:v>1</x:v>
      </x:c>
      <x:c r="P18" s="197"/>
      <x:c r="R18" s="188" t="b">
        <x:f>R17='ANT EXT-REV'!M28</x:f>
        <x:v>1</x:v>
      </x:c>
    </x:row>
    <x:row r="19" spans="2:20" ht="13.8" thickBot="1" x14ac:dyDescent="0.3">
      <x:c r="D19" s="197"/>
      <x:c r="G19" s="197"/>
      <x:c r="J19" s="197"/>
      <x:c r="M19" s="197"/>
      <x:c r="P19" s="197"/>
    </x:row>
    <x:row r="20" spans="2:20" ht="36.6" thickBot="1" x14ac:dyDescent="0.3">
      <x:c r="B20" s="11" t="s">
        <x:v>3</x:v>
      </x:c>
      <x:c r="C20" s="12" t="s">
        <x:v>169</x:v>
      </x:c>
      <x:c r="D20" s="197"/>
      <x:c r="E20" s="11" t="s">
        <x:v>3</x:v>
      </x:c>
      <x:c r="F20" s="12" t="s">
        <x:v>169</x:v>
      </x:c>
      <x:c r="G20" s="197"/>
      <x:c r="H20" s="11" t="s">
        <x:v>3</x:v>
      </x:c>
      <x:c r="I20" s="12" t="s">
        <x:v>169</x:v>
      </x:c>
      <x:c r="J20" s="197"/>
      <x:c r="K20" s="11" t="s">
        <x:v>3</x:v>
      </x:c>
      <x:c r="L20" s="12" t="s">
        <x:v>169</x:v>
      </x:c>
      <x:c r="M20" s="197"/>
      <x:c r="N20" s="11" t="s">
        <x:v>3</x:v>
      </x:c>
      <x:c r="O20" s="12" t="s">
        <x:v>169</x:v>
      </x:c>
      <x:c r="P20" s="197"/>
      <x:c r="Q20" s="11" t="s">
        <x:v>3</x:v>
      </x:c>
      <x:c r="R20" s="12" t="s">
        <x:v>169</x:v>
      </x:c>
      <x:c r="T20" s="131" t="s">
        <x:v>170</x:v>
      </x:c>
    </x:row>
    <x:row r="21" spans="2:20" x14ac:dyDescent="0.25">
      <x:c r="B21" s="14">
        <x:v>1</x:v>
      </x:c>
      <x:c r="C21" s="747">
        <x:f>'ANT EXT-REV'!D4</x:f>
        <x:v>0</x:v>
      </x:c>
      <x:c r="D21" s="197"/>
      <x:c r="E21" s="14">
        <x:v>1</x:v>
      </x:c>
      <x:c r="F21" s="15">
        <x:f>'ANT EXT-REV'!D20</x:f>
        <x:v>0</x:v>
      </x:c>
      <x:c r="G21" s="197"/>
      <x:c r="H21" s="14">
        <x:v>1</x:v>
      </x:c>
      <x:c r="I21" s="15">
        <x:f>'ANT EXT-REV'!D36</x:f>
        <x:v>0</x:v>
      </x:c>
      <x:c r="J21" s="197"/>
      <x:c r="K21" s="14">
        <x:v>1</x:v>
      </x:c>
      <x:c r="L21" s="15">
        <x:f>'ANT EXT-REV'!D44</x:f>
        <x:v>0</x:v>
      </x:c>
      <x:c r="M21" s="197"/>
      <x:c r="N21" s="14">
        <x:v>1</x:v>
      </x:c>
      <x:c r="O21" s="15">
        <x:f>'ANT EXT-REV'!D12</x:f>
        <x:v>0</x:v>
      </x:c>
      <x:c r="P21" s="197"/>
      <x:c r="Q21" s="14">
        <x:v>1</x:v>
      </x:c>
      <x:c r="R21" s="15">
        <x:f>'ANT EXT-REV'!D28</x:f>
        <x:v>0</x:v>
      </x:c>
      <x:c r="T21" s="131" t="s">
        <x:v>147</x:v>
      </x:c>
    </x:row>
    <x:row r="22" spans="2:20" x14ac:dyDescent="0.25">
      <x:c r="B22" s="16">
        <x:v>2</x:v>
      </x:c>
      <x:c r="C22" s="747">
        <x:f>'ANT EXT-REV'!F4</x:f>
        <x:v>0</x:v>
      </x:c>
      <x:c r="D22" s="197"/>
      <x:c r="E22" s="16">
        <x:v>2</x:v>
      </x:c>
      <x:c r="F22" s="15">
        <x:f>'ANT EXT-REV'!F20</x:f>
        <x:v>0</x:v>
      </x:c>
      <x:c r="G22" s="197"/>
      <x:c r="H22" s="16">
        <x:v>2</x:v>
      </x:c>
      <x:c r="I22" s="15">
        <x:f>'ANT EXT-REV'!F36</x:f>
        <x:v>0</x:v>
      </x:c>
      <x:c r="J22" s="197"/>
      <x:c r="K22" s="16">
        <x:v>2</x:v>
      </x:c>
      <x:c r="L22" s="15">
        <x:f>'ANT EXT-REV'!F44</x:f>
        <x:v>0</x:v>
      </x:c>
      <x:c r="M22" s="197"/>
      <x:c r="N22" s="16">
        <x:v>2</x:v>
      </x:c>
      <x:c r="O22" s="15">
        <x:f>'ANT EXT-REV'!F12</x:f>
        <x:v>0</x:v>
      </x:c>
      <x:c r="P22" s="197"/>
      <x:c r="Q22" s="16">
        <x:v>2</x:v>
      </x:c>
      <x:c r="R22" s="15">
        <x:f>'ANT EXT-REV'!F28</x:f>
        <x:v>0</x:v>
      </x:c>
    </x:row>
    <x:row r="23" spans="2:20" x14ac:dyDescent="0.25">
      <x:c r="B23" s="16">
        <x:v>3</x:v>
      </x:c>
      <x:c r="C23" s="747">
        <x:f>'ANT EXT-REV'!H4</x:f>
        <x:v>0</x:v>
      </x:c>
      <x:c r="D23" s="197"/>
      <x:c r="E23" s="16">
        <x:v>3</x:v>
      </x:c>
      <x:c r="F23" s="15">
        <x:f>'ANT EXT-REV'!H20</x:f>
        <x:v>0</x:v>
      </x:c>
      <x:c r="G23" s="197"/>
      <x:c r="H23" s="16">
        <x:v>3</x:v>
      </x:c>
      <x:c r="I23" s="15">
        <x:f>'ANT EXT-REV'!H36</x:f>
        <x:v>0</x:v>
      </x:c>
      <x:c r="J23" s="197"/>
      <x:c r="K23" s="16">
        <x:v>3</x:v>
      </x:c>
      <x:c r="L23" s="15">
        <x:f>'ANT EXT-REV'!H44</x:f>
        <x:v>0</x:v>
      </x:c>
      <x:c r="M23" s="197"/>
      <x:c r="N23" s="16">
        <x:v>3</x:v>
      </x:c>
      <x:c r="O23" s="15">
        <x:f>'ANT EXT-REV'!H12</x:f>
        <x:v>0</x:v>
      </x:c>
      <x:c r="P23" s="197"/>
      <x:c r="Q23" s="16">
        <x:v>3</x:v>
      </x:c>
      <x:c r="R23" s="15">
        <x:f>'ANT EXT-REV'!H28</x:f>
        <x:v>0</x:v>
      </x:c>
    </x:row>
    <x:row r="24" spans="2:20" x14ac:dyDescent="0.25">
      <x:c r="B24" s="16">
        <x:v>4</x:v>
      </x:c>
      <x:c r="C24" s="747">
        <x:f>'ANT EXT-REV'!J4</x:f>
        <x:v>0</x:v>
      </x:c>
      <x:c r="D24" s="197"/>
      <x:c r="E24" s="16">
        <x:v>4</x:v>
      </x:c>
      <x:c r="F24" s="15">
        <x:f>'ANT EXT-REV'!J20</x:f>
        <x:v>0</x:v>
      </x:c>
      <x:c r="G24" s="197"/>
      <x:c r="H24" s="16">
        <x:v>4</x:v>
      </x:c>
      <x:c r="I24" s="15">
        <x:f>'ANT EXT-REV'!J36</x:f>
        <x:v>0</x:v>
      </x:c>
      <x:c r="J24" s="197"/>
      <x:c r="K24" s="16">
        <x:v>4</x:v>
      </x:c>
      <x:c r="L24" s="15">
        <x:f>'ANT EXT-REV'!J44</x:f>
        <x:v>0</x:v>
      </x:c>
      <x:c r="M24" s="197"/>
      <x:c r="N24" s="16">
        <x:v>4</x:v>
      </x:c>
      <x:c r="O24" s="15">
        <x:f>'ANT EXT-REV'!J12</x:f>
        <x:v>0</x:v>
      </x:c>
      <x:c r="P24" s="197"/>
      <x:c r="Q24" s="16">
        <x:v>4</x:v>
      </x:c>
      <x:c r="R24" s="15">
        <x:f>'ANT EXT-REV'!J28</x:f>
        <x:v>0</x:v>
      </x:c>
    </x:row>
    <x:row r="25" spans="2:20" ht="13.8" thickBot="1" x14ac:dyDescent="0.3">
      <x:c r="B25" s="19">
        <x:v>5</x:v>
      </x:c>
      <x:c r="C25" s="747">
        <x:f>'ANT EXT-REV'!L4</x:f>
        <x:v>0</x:v>
      </x:c>
      <x:c r="D25" s="197"/>
      <x:c r="E25" s="19">
        <x:v>5</x:v>
      </x:c>
      <x:c r="F25" s="15">
        <x:f>'ANT EXT-REV'!L20</x:f>
        <x:v>0</x:v>
      </x:c>
      <x:c r="G25" s="197"/>
      <x:c r="H25" s="19">
        <x:v>5</x:v>
      </x:c>
      <x:c r="I25" s="15">
        <x:f>'ANT EXT-REV'!L36</x:f>
        <x:v>0</x:v>
      </x:c>
      <x:c r="J25" s="197"/>
      <x:c r="K25" s="19">
        <x:v>5</x:v>
      </x:c>
      <x:c r="L25" s="15">
        <x:f>'ANT EXT-REV'!L44</x:f>
        <x:v>0</x:v>
      </x:c>
      <x:c r="M25" s="197"/>
      <x:c r="N25" s="19">
        <x:v>5</x:v>
      </x:c>
      <x:c r="O25" s="15">
        <x:f>'ANT EXT-REV'!L12</x:f>
        <x:v>0</x:v>
      </x:c>
      <x:c r="P25" s="197"/>
      <x:c r="Q25" s="19">
        <x:v>5</x:v>
      </x:c>
      <x:c r="R25" s="15">
        <x:f>'ANT EXT-REV'!L28</x:f>
        <x:v>0</x:v>
      </x:c>
    </x:row>
    <x:row r="26" spans="2:20" ht="13.8" thickBot="1" x14ac:dyDescent="0.3">
      <x:c r="B26" s="21"/>
      <x:c r="C26" s="748">
        <x:f t="shared" ref="C26" si="0">SUM(C21:C25)</x:f>
        <x:v>0</x:v>
      </x:c>
      <x:c r="D26" s="197"/>
      <x:c r="E26" s="21"/>
      <x:c r="F26" s="170">
        <x:f t="shared" ref="F26" si="1">SUM(F21:F25)</x:f>
        <x:v>0</x:v>
      </x:c>
      <x:c r="G26" s="197"/>
      <x:c r="H26" s="21"/>
      <x:c r="I26" s="170">
        <x:f t="shared" ref="I26" si="2">SUM(I21:I25)</x:f>
        <x:v>0</x:v>
      </x:c>
      <x:c r="J26" s="197"/>
      <x:c r="K26" s="21"/>
      <x:c r="L26" s="170">
        <x:f t="shared" ref="L26:O26" si="3">SUM(L21:L25)</x:f>
        <x:v>0</x:v>
      </x:c>
      <x:c r="M26" s="197"/>
      <x:c r="N26" s="21"/>
      <x:c r="O26" s="170">
        <x:f t="shared" si="3"/>
        <x:v>0</x:v>
      </x:c>
      <x:c r="P26" s="197"/>
      <x:c r="Q26" s="21"/>
      <x:c r="R26" s="170">
        <x:f t="shared" ref="R26" si="4">SUM(R21:R25)</x:f>
        <x:v>0</x:v>
      </x:c>
    </x:row>
    <x:row r="27" spans="2:20" x14ac:dyDescent="0.25">
      <x:c r="C27" s="188" t="b">
        <x:f>C26='ANT EXT-REV'!N4</x:f>
        <x:v>1</x:v>
      </x:c>
      <x:c r="D27" s="197"/>
      <x:c r="F27" s="188" t="b">
        <x:f>F26='ANT EXT-REV'!N20</x:f>
        <x:v>1</x:v>
      </x:c>
      <x:c r="G27" s="197"/>
      <x:c r="I27" s="188" t="b">
        <x:f>I26='ANT EXT-REV'!N36</x:f>
        <x:v>1</x:v>
      </x:c>
      <x:c r="J27" s="197"/>
      <x:c r="L27" s="188" t="b">
        <x:f>L26='ANT EXT-REV'!N44</x:f>
        <x:v>1</x:v>
      </x:c>
      <x:c r="M27" s="197"/>
      <x:c r="O27" s="188" t="b">
        <x:f>O26='ANT EXT-REV'!N12</x:f>
        <x:v>1</x:v>
      </x:c>
      <x:c r="P27" s="197"/>
      <x:c r="R27" s="188" t="b">
        <x:f>R26='ANT EXT-REV'!N28</x:f>
        <x:v>1</x:v>
      </x:c>
    </x:row>
    <x:row r="28" spans="2:20" x14ac:dyDescent="0.25">
      <x:c r="D28" s="197"/>
      <x:c r="G28" s="197"/>
      <x:c r="J28" s="197"/>
      <x:c r="M28" s="197"/>
      <x:c r="P28" s="197"/>
    </x:row>
    <x:row r="29" spans="2:20" x14ac:dyDescent="0.25">
      <x:c r="D29" s="197"/>
      <x:c r="G29" s="197"/>
      <x:c r="J29" s="197"/>
      <x:c r="M29" s="197"/>
      <x:c r="P29" s="197"/>
    </x:row>
    <x:row r="30" spans="2:20" x14ac:dyDescent="0.25">
      <x:c r="D30" s="197"/>
      <x:c r="G30" s="197"/>
      <x:c r="J30" s="197"/>
      <x:c r="M30" s="197"/>
      <x:c r="P30" s="197"/>
    </x:row>
    <x:row r="31" spans="2:20" x14ac:dyDescent="0.25">
      <x:c r="D31" s="197"/>
      <x:c r="G31" s="197"/>
      <x:c r="J31" s="197"/>
      <x:c r="M31" s="197"/>
      <x:c r="P31" s="197"/>
    </x:row>
    <x:row r="32" spans="2:20" x14ac:dyDescent="0.25">
      <x:c r="D32" s="197"/>
      <x:c r="G32" s="197"/>
      <x:c r="J32" s="197"/>
      <x:c r="M32" s="197"/>
      <x:c r="P32" s="197"/>
    </x:row>
    <x:row r="33" spans="4:16" x14ac:dyDescent="0.25">
      <x:c r="D33" s="197"/>
      <x:c r="G33" s="197"/>
      <x:c r="J33" s="197"/>
      <x:c r="M33" s="197"/>
      <x:c r="P33" s="197"/>
    </x:row>
    <x:row r="34" spans="4:16" x14ac:dyDescent="0.25">
      <x:c r="D34" s="197"/>
      <x:c r="G34" s="197"/>
      <x:c r="J34" s="197"/>
      <x:c r="M34" s="197"/>
      <x:c r="P34" s="197"/>
    </x:row>
    <x:row r="35" spans="4:16" x14ac:dyDescent="0.25">
      <x:c r="D35" s="197"/>
      <x:c r="G35" s="197"/>
      <x:c r="J35" s="197"/>
      <x:c r="M35" s="197"/>
      <x:c r="P35" s="197"/>
    </x:row>
    <x:row r="36" spans="4:16" x14ac:dyDescent="0.25">
      <x:c r="D36" s="197"/>
      <x:c r="G36" s="197"/>
      <x:c r="J36" s="197"/>
      <x:c r="M36" s="197"/>
      <x:c r="P36" s="197"/>
    </x:row>
    <x:row r="37" spans="4:16" x14ac:dyDescent="0.25">
      <x:c r="D37" s="197"/>
      <x:c r="G37" s="197"/>
      <x:c r="J37" s="197"/>
      <x:c r="M37" s="197"/>
      <x:c r="P37" s="197"/>
    </x:row>
    <x:row r="38" spans="4:16" x14ac:dyDescent="0.25">
      <x:c r="D38" s="197"/>
      <x:c r="G38" s="197"/>
      <x:c r="J38" s="197"/>
      <x:c r="M38" s="197"/>
      <x:c r="P38" s="197"/>
    </x:row>
    <x:row r="39" spans="4:16" x14ac:dyDescent="0.25">
      <x:c r="D39" s="197"/>
      <x:c r="G39" s="197"/>
      <x:c r="J39" s="197"/>
      <x:c r="M39" s="197"/>
      <x:c r="P39" s="197"/>
    </x:row>
    <x:row r="40" spans="4:16" x14ac:dyDescent="0.25">
      <x:c r="D40" s="197"/>
      <x:c r="G40" s="197"/>
      <x:c r="J40" s="197"/>
      <x:c r="M40" s="197"/>
      <x:c r="P40" s="197"/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I13" sqref="I13"/>
    </x:sheetView>
  </x:sheetViews>
  <x:sheetFormatPr baseColWidth="10" defaultRowHeight="13.2" x14ac:dyDescent="0.25"/>
  <x:cols>
    <x:col min="3" max="3" width="11.44140625" style="116"/>
    <x:col min="4" max="4" width="19.33203125" customWidth="1"/>
    <x:col min="5" max="5" width="18.33203125" customWidth="1"/>
    <x:col min="6" max="7" width="18" customWidth="1"/>
    <x:col min="8" max="8" width="27.6640625" customWidth="1"/>
    <x:col min="9" max="9" width="33.5546875" customWidth="1"/>
    <x:col min="13" max="13" width="28.44140625" customWidth="1"/>
    <x:col min="17" max="17" width="12.6640625" bestFit="1" customWidth="1"/>
  </x:cols>
  <x:sheetData>
    <x:row r="1" spans="1:17" ht="13.8" thickBot="1" x14ac:dyDescent="0.3">
      <x:c r="H1" s="426" t="s">
        <x:v>1</x:v>
      </x:c>
    </x:row>
    <x:row r="2" spans="1:17" ht="15" thickBot="1" x14ac:dyDescent="0.35">
      <x:c r="C2" s="117" t="s">
        <x:v>3</x:v>
      </x:c>
      <x:c r="D2" s="620" t="s">
        <x:v>110</x:v>
      </x:c>
      <x:c r="E2" s="620" t="s">
        <x:v>109</x:v>
      </x:c>
      <x:c r="F2" s="118" t="s">
        <x:v>111</x:v>
      </x:c>
      <x:c r="G2" s="421"/>
      <x:c r="H2" s="621" t="s">
        <x:v>196</x:v>
      </x:c>
      <x:c r="M2" s="594"/>
      <x:c r="Q2" s="509"/>
    </x:row>
    <x:row r="3" spans="1:17" ht="13.8" thickBot="1" x14ac:dyDescent="0.3">
      <x:c r="C3" s="432">
        <x:v>1</x:v>
      </x:c>
      <x:c r="D3" s="749" t="n">
        <x:v>-1223871491.13</x:v>
      </x:c>
      <x:c r="E3" s="750" t="n">
        <x:v>3256235169.97</x:v>
      </x:c>
      <x:c r="F3" s="751">
        <x:f>D3+E3</x:f>
        <x:v>0</x:v>
      </x:c>
      <x:c r="G3" s="422"/>
      <x:c r="H3" s="756">
        <x:f>DetRetri2026071!J9</x:f>
        <x:v>0</x:v>
      </x:c>
      <x:c r="I3" s="757">
        <x:f>F3-H3</x:f>
        <x:v>0</x:v>
      </x:c>
    </x:row>
    <x:row r="4" spans="1:17" ht="13.8" thickBot="1" x14ac:dyDescent="0.3">
      <x:c r="C4" s="433">
        <x:v>2</x:v>
      </x:c>
      <x:c r="D4" s="752" t="n">
        <x:v>-6958007481.98</x:v>
      </x:c>
      <x:c r="E4" s="753" t="n">
        <x:v>1946491828.39</x:v>
      </x:c>
      <x:c r="F4" s="751">
        <x:f>D4+E4</x:f>
        <x:v>0</x:v>
      </x:c>
      <x:c r="G4" s="422"/>
      <x:c r="H4" s="758">
        <x:f>DetRetri2026071!J10</x:f>
        <x:v>0</x:v>
      </x:c>
      <x:c r="I4" s="757">
        <x:f t="shared" ref="I4:I7" si="0">F4-H4</x:f>
        <x:v>0</x:v>
      </x:c>
    </x:row>
    <x:row r="5" spans="1:17" ht="13.8" thickBot="1" x14ac:dyDescent="0.3">
      <x:c r="C5" s="433">
        <x:v>3</x:v>
      </x:c>
      <x:c r="D5" s="752" t="n">
        <x:v>-3132932285.76</x:v>
      </x:c>
      <x:c r="E5" s="753" t="n">
        <x:v>1936109874.45</x:v>
      </x:c>
      <x:c r="F5" s="751">
        <x:f>D5+E5</x:f>
        <x:v>0</x:v>
      </x:c>
      <x:c r="G5" s="422"/>
      <x:c r="H5" s="758">
        <x:f>DetRetri2026071!J11</x:f>
        <x:v>0</x:v>
      </x:c>
      <x:c r="I5" s="757">
        <x:f t="shared" si="0"/>
        <x:v>0</x:v>
      </x:c>
    </x:row>
    <x:row r="6" spans="1:17" ht="13.8" thickBot="1" x14ac:dyDescent="0.3">
      <x:c r="C6" s="433">
        <x:v>4</x:v>
      </x:c>
      <x:c r="D6" s="752" t="n">
        <x:v>-438200379.42</x:v>
      </x:c>
      <x:c r="E6" s="753" t="n">
        <x:v>474156195.46</x:v>
      </x:c>
      <x:c r="F6" s="751">
        <x:f>D6+E6</x:f>
        <x:v>0</x:v>
      </x:c>
      <x:c r="G6" s="422"/>
      <x:c r="H6" s="758">
        <x:f>DetRetri2026071!J12</x:f>
        <x:v>0</x:v>
      </x:c>
      <x:c r="I6" s="757">
        <x:f t="shared" si="0"/>
        <x:v>0</x:v>
      </x:c>
    </x:row>
    <x:row r="7" spans="1:17" ht="13.8" thickBot="1" x14ac:dyDescent="0.3">
      <x:c r="C7" s="434">
        <x:v>5</x:v>
      </x:c>
      <x:c r="D7" s="754" t="n">
        <x:v>-2477195172.11</x:v>
      </x:c>
      <x:c r="E7" s="755" t="n">
        <x:v>1266769543.8</x:v>
      </x:c>
      <x:c r="F7" s="751">
        <x:f>D7+E7</x:f>
        <x:v>0</x:v>
      </x:c>
      <x:c r="G7" s="422"/>
      <x:c r="H7" s="759">
        <x:f>DetRetri2026071!J13</x:f>
        <x:v>0</x:v>
      </x:c>
      <x:c r="I7" s="757">
        <x:f t="shared" si="0"/>
        <x:v>0</x:v>
      </x:c>
    </x:row>
    <x:row r="8" spans="1:17" ht="13.8" thickBot="1" x14ac:dyDescent="0.3">
      <x:c r="D8" s="133"/>
      <x:c r="E8" s="133"/>
      <x:c r="F8" s="133"/>
      <x:c r="G8" s="423"/>
      <x:c r="H8" s="132"/>
      <x:c r="I8" s="217"/>
    </x:row>
    <x:row r="9" spans="1:17" ht="13.8" thickBot="1" x14ac:dyDescent="0.3">
      <x:c r="D9" s="133"/>
      <x:c r="E9" s="133"/>
      <x:c r="F9" s="748">
        <x:f>SUM(F3:F7)</x:f>
        <x:v>0</x:v>
      </x:c>
      <x:c r="G9" s="422"/>
      <x:c r="H9" s="746">
        <x:f>SUM(H3:H7)</x:f>
        <x:v>0</x:v>
      </x:c>
      <x:c r="I9" s="746">
        <x:f>F9-H9</x:f>
        <x:v>0</x:v>
      </x:c>
    </x:row>
    <x:row r="10" spans="1:17" ht="13.8" thickBot="1" x14ac:dyDescent="0.3">
      <x:c r="D10" s="133"/>
      <x:c r="E10" s="133"/>
      <x:c r="F10" s="133"/>
      <x:c r="G10" s="423"/>
      <x:c r="H10" s="206" t="b">
        <x:f>H9=DetRetri2026071!J14</x:f>
        <x:v>1</x:v>
      </x:c>
    </x:row>
    <x:row r="11" spans="1:17" ht="13.8" thickBot="1" x14ac:dyDescent="0.3">
      <x:c r="D11" s="748">
        <x:f>SUM(D3:D7)</x:f>
        <x:v>0</x:v>
      </x:c>
      <x:c r="E11" s="748">
        <x:f t="shared" ref="E11" si="1">SUM(E3:E7)</x:f>
        <x:v>0</x:v>
      </x:c>
      <x:c r="F11" s="748">
        <x:f>SUM(D3:E7)</x:f>
        <x:v>0</x:v>
      </x:c>
      <x:c r="G11" s="424"/>
      <x:c r="H11" s="133"/>
    </x:row>
    <x:row r="12" spans="1:17" x14ac:dyDescent="0.25">
      <x:c r="D12" s="133"/>
      <x:c r="E12" s="133"/>
      <x:c r="F12" s="206" t="b">
        <x:f>ROUND(F11,2)=ROUND(F9,2)</x:f>
        <x:v>1</x:v>
      </x:c>
      <x:c r="H12" s="133"/>
    </x:row>
    <x:row r="13" spans="1:17" x14ac:dyDescent="0.25">
      <x:c r="D13" s="133"/>
      <x:c r="E13" s="133"/>
      <x:c r="F13" s="508">
        <x:f>ROUND(F11,2)-ROUND(F9,2)</x:f>
        <x:v>0</x:v>
      </x:c>
      <x:c r="G13" s="423"/>
      <x:c r="H13" s="133"/>
    </x:row>
    <x:row r="14" spans="1:17" x14ac:dyDescent="0.25">
      <x:c r="H14" s="132"/>
      <x:c r="I14" s="126"/>
    </x:row>
    <x:row r="15" spans="1:17" x14ac:dyDescent="0.25">
      <x:c r="H15" s="132"/>
      <x:c r="I15" s="126"/>
    </x:row>
    <x:row r="16" spans="1:17" x14ac:dyDescent="0.25">
      <x:c r="A16" s="197"/>
      <x:c r="B16" s="197"/>
      <x:c r="C16" s="418"/>
      <x:c r="D16" s="197"/>
      <x:c r="E16" s="197"/>
      <x:c r="F16" s="197"/>
      <x:c r="G16" s="197"/>
      <x:c r="H16" s="419"/>
      <x:c r="I16" s="420"/>
      <x:c r="J16" s="197"/>
    </x:row>
    <x:row r="17" spans="4:9" ht="13.8" thickBot="1" x14ac:dyDescent="0.3">
      <x:c r="D17" s="207"/>
      <x:c r="E17" s="207"/>
      <x:c r="F17" s="207"/>
      <x:c r="G17" s="207"/>
      <x:c r="H17" s="132"/>
      <x:c r="I17" s="126"/>
    </x:row>
    <x:row r="18" spans="4:9" ht="15" thickBot="1" x14ac:dyDescent="0.35">
      <x:c r="D18" s="117" t="s">
        <x:v>3</x:v>
      </x:c>
      <x:c r="E18" s="427" t="s">
        <x:v>195</x:v>
      </x:c>
      <x:c r="F18" s="431" t="s">
        <x:v>199</x:v>
      </x:c>
      <x:c r="G18" s="425" t="s">
        <x:v>198</x:v>
      </x:c>
      <x:c r="H18" s="622" t="s">
        <x:v>197</x:v>
      </x:c>
      <x:c r="I18" s="126"/>
    </x:row>
    <x:row r="19" spans="4:9" x14ac:dyDescent="0.25">
      <x:c r="D19" s="432">
        <x:v>1</x:v>
      </x:c>
      <x:c r="E19" s="760">
        <x:f>'CONSOLIDADO_TOTAL RECAUDO'!J104</x:f>
        <x:v>0</x:v>
      </x:c>
      <x:c r="F19" s="435" t="b">
        <x:f>E19=F3</x:f>
        <x:v>1</x:v>
      </x:c>
      <x:c r="G19" s="435" t="b">
        <x:f>E19=H3</x:f>
        <x:v>1</x:v>
      </x:c>
      <x:c r="H19" s="764">
        <x:f>E19-H3</x:f>
        <x:v>0</x:v>
      </x:c>
      <x:c r="I19" s="126"/>
    </x:row>
    <x:row r="20" spans="4:9" x14ac:dyDescent="0.25">
      <x:c r="D20" s="433">
        <x:v>2</x:v>
      </x:c>
      <x:c r="E20" s="761">
        <x:f>'CONSOLIDADO_TOTAL RECAUDO'!J105</x:f>
        <x:v>0</x:v>
      </x:c>
      <x:c r="F20" s="428" t="b">
        <x:f t="shared" ref="F20:F23" si="2">E20=F4</x:f>
        <x:v>1</x:v>
      </x:c>
      <x:c r="G20" s="428" t="b">
        <x:f t="shared" ref="G20:G23" si="3">E20=H4</x:f>
        <x:v>1</x:v>
      </x:c>
      <x:c r="H20" s="765">
        <x:f t="shared" ref="H20:H22" si="4">E20-H4</x:f>
        <x:v>0</x:v>
      </x:c>
      <x:c r="I20" s="126"/>
    </x:row>
    <x:row r="21" spans="4:9" x14ac:dyDescent="0.25">
      <x:c r="D21" s="433">
        <x:v>3</x:v>
      </x:c>
      <x:c r="E21" s="761">
        <x:f>'CONSOLIDADO_TOTAL RECAUDO'!J106</x:f>
        <x:v>0</x:v>
      </x:c>
      <x:c r="F21" s="428" t="b">
        <x:f t="shared" si="2"/>
        <x:v>1</x:v>
      </x:c>
      <x:c r="G21" s="428" t="b">
        <x:f t="shared" si="3"/>
        <x:v>1</x:v>
      </x:c>
      <x:c r="H21" s="765">
        <x:f t="shared" si="4"/>
        <x:v>0</x:v>
      </x:c>
    </x:row>
    <x:row r="22" spans="4:9" x14ac:dyDescent="0.25">
      <x:c r="D22" s="433">
        <x:v>4</x:v>
      </x:c>
      <x:c r="E22" s="761">
        <x:f>'CONSOLIDADO_TOTAL RECAUDO'!J107</x:f>
        <x:v>0</x:v>
      </x:c>
      <x:c r="F22" s="428" t="b">
        <x:f t="shared" si="2"/>
        <x:v>1</x:v>
      </x:c>
      <x:c r="G22" s="428" t="b">
        <x:f t="shared" si="3"/>
        <x:v>1</x:v>
      </x:c>
      <x:c r="H22" s="765">
        <x:f t="shared" si="4"/>
        <x:v>0</x:v>
      </x:c>
    </x:row>
    <x:row r="23" spans="4:9" ht="13.8" thickBot="1" x14ac:dyDescent="0.3">
      <x:c r="D23" s="434">
        <x:v>5</x:v>
      </x:c>
      <x:c r="E23" s="762">
        <x:f>'CONSOLIDADO_TOTAL RECAUDO'!J108</x:f>
        <x:v>0</x:v>
      </x:c>
      <x:c r="F23" s="436" t="b">
        <x:f t="shared" si="2"/>
        <x:v>1</x:v>
      </x:c>
      <x:c r="G23" s="436" t="b">
        <x:f t="shared" si="3"/>
        <x:v>1</x:v>
      </x:c>
      <x:c r="H23" s="766">
        <x:f>E23-H7</x:f>
        <x:v>0</x:v>
      </x:c>
    </x:row>
    <x:row r="24" spans="4:9" ht="13.8" thickBot="1" x14ac:dyDescent="0.3">
      <x:c r="E24" s="763">
        <x:f>SUM(E19:E23)</x:f>
        <x:v>0</x:v>
      </x:c>
      <x:c r="F24" s="429" t="b">
        <x:f>E24=F9</x:f>
        <x:v>1</x:v>
      </x:c>
      <x:c r="G24" s="430" t="b">
        <x:f>E24=H9</x:f>
        <x:v>1</x:v>
      </x:c>
      <x:c r="H24" s="746">
        <x:f>E24-H9</x:f>
        <x:v>0</x:v>
      </x:c>
    </x:row>
    <x:row r="26" spans="4:9" x14ac:dyDescent="0.25">
      <x:c r="F26" s="126"/>
    </x:row>
    <x:row r="28" spans="4:9" x14ac:dyDescent="0.25">
      <x:c r="F28" s="207"/>
    </x:row>
    <x:row r="29" spans="4:9" x14ac:dyDescent="0.25">
      <x:c r="F29" s="207"/>
    </x:row>
    <x:row r="30" spans="4:9" x14ac:dyDescent="0.25">
      <x:c r="F30" s="207"/>
    </x:row>
    <x:row r="31" spans="4:9" x14ac:dyDescent="0.25">
      <x:c r="F31" s="207"/>
    </x:row>
    <x:row r="32" spans="4:9" x14ac:dyDescent="0.25">
      <x:c r="F32" s="207"/>
    </x:row>
    <x:row r="33" spans="6:7" x14ac:dyDescent="0.25">
      <x:c r="F33" s="207"/>
    </x:row>
    <x:row r="34" spans="6:7" x14ac:dyDescent="0.25">
      <x:c r="F34" s="207"/>
      <x:c r="G34" s="126"/>
    </x:row>
    <x:row r="35" spans="6:7" x14ac:dyDescent="0.25">
      <x:c r="F35" s="207"/>
    </x:row>
  </x:sheetData>
  <x:conditionalFormatting sqref="F19:G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BN551"/>
  <x:sheetViews>
    <x:sheetView zoomScale="89" zoomScaleNormal="89" workbookViewId="0">
      <x:pane ySplit="5" topLeftCell="A6" activePane="bottomLeft" state="frozen"/>
      <x:selection activeCell="A3" sqref="A3"/>
      <x:selection pane="bottomLeft" activeCell="E1" sqref="E1"/>
    </x:sheetView>
  </x:sheetViews>
  <x:sheetFormatPr baseColWidth="10" defaultColWidth="11.5546875" defaultRowHeight="13.8" x14ac:dyDescent="0.25"/>
  <x:cols>
    <x:col min="1" max="1" width="12.33203125" style="25" bestFit="1" customWidth="1"/>
    <x:col min="2" max="2" width="27.5546875" style="25" bestFit="1" customWidth="1"/>
    <x:col min="3" max="3" width="18.6640625" style="25" bestFit="1" customWidth="1"/>
    <x:col min="4" max="4" width="18" style="25" bestFit="1" customWidth="1"/>
    <x:col min="5" max="5" width="25.33203125" style="25" bestFit="1" customWidth="1"/>
    <x:col min="6" max="6" width="17.88671875" style="25" bestFit="1" customWidth="1"/>
    <x:col min="7" max="7" width="18.109375" style="25" bestFit="1" customWidth="1"/>
    <x:col min="8" max="8" width="17.88671875" style="25" bestFit="1" customWidth="1"/>
    <x:col min="9" max="9" width="15" style="25" bestFit="1" customWidth="1"/>
    <x:col min="10" max="10" width="18.44140625" style="25" bestFit="1" customWidth="1"/>
    <x:col min="11" max="11" width="19.44140625" style="25" bestFit="1" customWidth="1"/>
    <x:col min="12" max="12" width="24.33203125" style="25" bestFit="1" customWidth="1"/>
    <x:col min="13" max="13" width="18.33203125" style="25" bestFit="1" customWidth="1"/>
    <x:col min="14" max="16" width="18.109375" style="25" bestFit="1" customWidth="1"/>
    <x:col min="17" max="17" width="23.33203125" style="25" bestFit="1" customWidth="1"/>
    <x:col min="18" max="18" width="15.109375" style="25" bestFit="1" customWidth="1"/>
    <x:col min="19" max="19" width="21.6640625" style="25" bestFit="1" customWidth="1"/>
    <x:col min="20" max="20" width="30.33203125" style="25" bestFit="1" customWidth="1"/>
    <x:col min="21" max="22" width="29.6640625" style="25" bestFit="1" customWidth="1"/>
    <x:col min="23" max="23" width="23.6640625" style="25" bestFit="1" customWidth="1"/>
    <x:col min="24" max="24" width="21.88671875" style="25" bestFit="1" customWidth="1"/>
    <x:col min="25" max="25" width="30.33203125" style="25" bestFit="1" customWidth="1"/>
    <x:col min="26" max="26" width="14.44140625" style="25" bestFit="1" customWidth="1"/>
    <x:col min="27" max="42" width="5" style="25" bestFit="1" customWidth="1"/>
    <x:col min="43" max="65" width="11.5546875" style="25"/>
    <x:col min="66" max="66" width="3" style="25" customWidth="1"/>
    <x:col min="67" max="16384" width="11.5546875" style="25"/>
  </x:cols>
  <x:sheetData>
    <x:row r="1" spans="1:66" x14ac:dyDescent="0.25">
      <x:c r="F1" s="623"/>
      <x:c r="BN1" s="624"/>
    </x:row>
    <x:row r="2" spans="1:66" x14ac:dyDescent="0.25">
      <x:c r="BN2" s="624"/>
    </x:row>
    <x:row r="3" spans="1:66" x14ac:dyDescent="0.25">
      <x:c r="A3" s="624"/>
      <x:c r="B3" s="624"/>
      <x:c r="C3" s="624"/>
      <x:c r="D3" s="624"/>
      <x:c r="E3" s="624"/>
      <x:c r="F3" s="624"/>
      <x:c r="G3" s="624"/>
      <x:c r="H3" s="624"/>
      <x:c r="I3" s="624"/>
      <x:c r="J3" s="624"/>
      <x:c r="K3" s="624"/>
      <x:c r="L3" s="624"/>
      <x:c r="M3" s="624"/>
      <x:c r="N3" s="624"/>
      <x:c r="O3" s="624"/>
      <x:c r="P3" s="624"/>
      <x:c r="Q3" s="624"/>
      <x:c r="R3" s="624"/>
      <x:c r="S3" s="624"/>
      <x:c r="T3" s="624"/>
      <x:c r="U3" s="624"/>
      <x:c r="V3" s="624"/>
      <x:c r="W3" s="624"/>
      <x:c r="X3" s="624"/>
      <x:c r="Y3" s="624"/>
      <x:c r="Z3" s="624"/>
      <x:c r="AA3" s="624"/>
      <x:c r="AB3" s="624"/>
      <x:c r="AC3" s="624"/>
      <x:c r="AD3" s="624"/>
      <x:c r="AE3" s="624"/>
      <x:c r="AF3" s="624"/>
      <x:c r="AG3" s="624"/>
      <x:c r="AH3" s="624"/>
      <x:c r="AI3" s="624"/>
      <x:c r="AJ3" s="624"/>
      <x:c r="AK3" s="624"/>
      <x:c r="AL3" s="624"/>
      <x:c r="AM3" s="624"/>
      <x:c r="AN3" s="624"/>
      <x:c r="AO3" s="624"/>
      <x:c r="AP3" s="624"/>
      <x:c r="AQ3" s="624"/>
      <x:c r="AR3" s="624"/>
      <x:c r="AS3" s="624"/>
      <x:c r="AT3" s="624"/>
      <x:c r="AU3" s="624"/>
      <x:c r="AV3" s="624"/>
      <x:c r="AW3" s="624"/>
      <x:c r="AX3" s="624"/>
      <x:c r="AY3" s="624"/>
      <x:c r="AZ3" s="624"/>
      <x:c r="BA3" s="624"/>
      <x:c r="BB3" s="624"/>
      <x:c r="BC3" s="624"/>
      <x:c r="BD3" s="624"/>
      <x:c r="BE3" s="624"/>
      <x:c r="BF3" s="624"/>
      <x:c r="BG3" s="624"/>
      <x:c r="BH3" s="624"/>
      <x:c r="BI3" s="624"/>
      <x:c r="BJ3" s="624"/>
      <x:c r="BK3" s="624"/>
      <x:c r="BL3" s="624"/>
      <x:c r="BM3" s="624"/>
      <x:c r="BN3" s="624"/>
    </x:row>
    <x:row r="4" spans="1:66" x14ac:dyDescent="0.25">
      <x:c r="B4" s="50" t="s">
        <x:v>74</x:v>
      </x:c>
      <x:c r="BN4" s="624"/>
    </x:row>
    <x:row r="5" spans="1:66" s="50" customFormat="1" ht="27.6" x14ac:dyDescent="0.25">
      <x:c r="F5" s="669" t="s">
        <x:v>70</x:v>
      </x:c>
      <x:c r="G5" s="669" t="s">
        <x:v>64</x:v>
      </x:c>
      <x:c r="H5" s="669" t="s">
        <x:v>65</x:v>
      </x:c>
      <x:c r="I5" s="626" t="s">
        <x:v>164</x:v>
      </x:c>
      <x:c r="J5" s="669" t="s">
        <x:v>69</x:v>
      </x:c>
      <x:c r="K5" s="669" t="s">
        <x:v>68</x:v>
      </x:c>
      <x:c r="L5" s="669" t="s">
        <x:v>71</x:v>
      </x:c>
      <x:c r="M5" s="669" t="s">
        <x:v>66</x:v>
      </x:c>
      <x:c r="N5" s="669" t="s">
        <x:v>63</x:v>
      </x:c>
      <x:c r="O5" s="669" t="s">
        <x:v>61</x:v>
      </x:c>
      <x:c r="P5" s="669" t="s">
        <x:v>62</x:v>
      </x:c>
      <x:c r="Q5" s="669" t="s">
        <x:v>67</x:v>
      </x:c>
      <x:c r="R5" s="669" t="s">
        <x:v>77</x:v>
      </x:c>
      <x:c r="S5" s="669" t="s">
        <x:v>80</x:v>
      </x:c>
      <x:c r="T5" s="669" t="s">
        <x:v>135</x:v>
      </x:c>
      <x:c r="U5" s="669" t="s">
        <x:v>223</x:v>
      </x:c>
      <x:c r="V5" s="669" t="s">
        <x:v>223</x:v>
      </x:c>
      <x:c r="W5" s="669" t="s">
        <x:v>172</x:v>
      </x:c>
      <x:c r="X5" s="50" t="s">
        <x:v>166</x:v>
      </x:c>
      <x:c r="Y5" s="669" t="s">
        <x:v>135</x:v>
      </x:c>
      <x:c r="Z5" s="669" t="s">
        <x:v>166</x:v>
      </x:c>
      <x:c r="BN5" s="618"/>
    </x:row>
    <x:row r="6" spans="1:66" x14ac:dyDescent="0.25">
      <x:c r="A6"/>
      <x:c r="B6"/>
      <x:c r="C6"/>
      <x:c r="D6"/>
      <x:c r="E6" s="625" t="inlineStr">
        <x:is>
          <x:t>Vlr Servicio</x:t>
        </x:is>
      </x:c>
      <x:c r="F6" s="627" t="n">
        <x:v>6311519.11</x:v>
      </x:c>
      <x:c r="G6" s="627" t="n">
        <x:v>1237788.99</x:v>
      </x:c>
      <x:c r="H6" s="627" t="n">
        <x:v>698932.72</x:v>
      </x:c>
      <x:c r="I6" s="627" t="n">
        <x:v>368148.99</x:v>
      </x:c>
      <x:c r="J6" s="627" t="n">
        <x:v>164076.41</x:v>
      </x:c>
      <x:c r="K6" s="627" t="n">
        <x:v>5902</x:v>
      </x:c>
      <x:c r="L6" s="627" t="n">
        <x:v>0</x:v>
      </x:c>
      <x:c r="M6" s="627" t="n">
        <x:v>51771.85</x:v>
      </x:c>
      <x:c r="N6" s="627" t="n">
        <x:v>67502.58</x:v>
      </x:c>
      <x:c r="O6" s="627" t="n">
        <x:v>315251.82</x:v>
      </x:c>
      <x:c r="P6" s="627" t="n">
        <x:v>3392526.69</x:v>
      </x:c>
      <x:c r="Q6" s="627" t="n">
        <x:v>9629.46</x:v>
      </x:c>
      <x:c r="R6" s="627" t="n">
        <x:v>-12.4</x:v>
      </x:c>
      <x:c r="S6" s="627" t="n">
        <x:v>0</x:v>
      </x:c>
      <x:c r="T6" s="627" t="n">
        <x:v>0</x:v>
      </x:c>
      <x:c r="U6" s="627">
        <x:v>0</x:v>
      </x:c>
      <x:c r="V6" s="627">
        <x:v>0</x:v>
      </x:c>
      <x:c r="W6" s="627">
        <x:v>0</x:v>
      </x:c>
      <x:c r="X6" s="627">
        <x:v>0</x:v>
      </x:c>
      <x:c r="Y6" s="627">
        <x:v>0</x:v>
      </x:c>
      <x:c r="Z6" s="627">
        <x:v>0</x:v>
      </x:c>
      <x:c r="BN6" s="624"/>
    </x:row>
    <x:row r="7" spans="1:66" x14ac:dyDescent="0.25">
      <x:c r="A7"/>
      <x:c r="B7"/>
      <x:c r="C7"/>
      <x:c r="D7" s="25"/>
      <x:c r="E7" s="625" t="inlineStr">
        <x:is>
          <x:t>Vlr Intereses</x:t>
        </x:is>
      </x:c>
      <x:c r="F7" s="627" t="n">
        <x:v>19996.26</x:v>
      </x:c>
      <x:c r="G7" s="627" t="n">
        <x:v>4031.92</x:v>
      </x:c>
      <x:c r="H7" s="627" t="n">
        <x:v>2277.16</x:v>
      </x:c>
      <x:c r="I7" s="627" t="n">
        <x:v>1198.72</x:v>
      </x:c>
      <x:c r="J7" s="627" t="n">
        <x:v>279.31</x:v>
      </x:c>
      <x:c r="K7" s="627" t="n">
        <x:v>16.58</x:v>
      </x:c>
      <x:c r="L7" s="627" t="n">
        <x:v>0</x:v>
      </x:c>
      <x:c r="M7" s="627" t="n">
        <x:v>145.13</x:v>
      </x:c>
      <x:c r="N7" s="627" t="n">
        <x:v>172.52</x:v>
      </x:c>
      <x:c r="O7" s="627" t="n">
        <x:v>800.55</x:v>
      </x:c>
      <x:c r="P7" s="627" t="n">
        <x:v>11047.38</x:v>
      </x:c>
      <x:c r="Q7" s="627" t="n">
        <x:v>26.98</x:v>
      </x:c>
      <x:c r="R7" s="627" t="n">
        <x:v>0.01</x:v>
      </x:c>
      <x:c r="S7" s="627" t="n">
        <x:v>0</x:v>
      </x:c>
      <x:c r="T7" s="627" t="n">
        <x:v>0</x:v>
      </x:c>
      <x:c r="U7" s="627">
        <x:v>0</x:v>
      </x:c>
      <x:c r="V7" s="627">
        <x:v>0</x:v>
      </x:c>
      <x:c r="W7" s="627">
        <x:v>0</x:v>
      </x:c>
      <x:c r="X7" s="627">
        <x:v>0</x:v>
      </x:c>
      <x:c r="Y7" s="627">
        <x:v>0</x:v>
      </x:c>
      <x:c r="Z7" s="627">
        <x:v>0</x:v>
      </x:c>
      <x:c r="BN7" s="624"/>
    </x:row>
    <x:row r="8" spans="1:66" x14ac:dyDescent="0.25">
      <x:c r="A8" s="628"/>
      <x:c r="B8" s="628"/>
      <x:c r="C8" s="628"/>
      <x:c r="D8" s="628" t="inlineStr">
        <x:is>
          <x:t>T</x:t>
        </x:is>
      </x:c>
      <x:c r="E8" s="629" t="inlineStr">
        <x:is>
          <x:t>Total</x:t>
        </x:is>
      </x:c>
      <x:c r="F8" s="630" t="n">
        <x:v>6331515.37</x:v>
      </x:c>
      <x:c r="G8" s="630" t="n">
        <x:v>1241820.91</x:v>
      </x:c>
      <x:c r="H8" s="630" t="n">
        <x:v>701209.88</x:v>
      </x:c>
      <x:c r="I8" s="630" t="n">
        <x:v>369347.71</x:v>
      </x:c>
      <x:c r="J8" s="630" t="n">
        <x:v>164355.72</x:v>
      </x:c>
      <x:c r="K8" s="630" t="n">
        <x:v>5918.58</x:v>
      </x:c>
      <x:c r="L8" s="630" t="n">
        <x:v>0</x:v>
      </x:c>
      <x:c r="M8" s="630" t="n">
        <x:v>51916.98</x:v>
      </x:c>
      <x:c r="N8" s="630" t="n">
        <x:v>67675.1</x:v>
      </x:c>
      <x:c r="O8" s="630" t="n">
        <x:v>316052.37</x:v>
      </x:c>
      <x:c r="P8" s="630" t="n">
        <x:v>3403574.07</x:v>
      </x:c>
      <x:c r="Q8" s="630" t="n">
        <x:v>9656.44</x:v>
      </x:c>
      <x:c r="R8" s="630" t="n">
        <x:v>-12.39</x:v>
      </x:c>
      <x:c r="S8" s="630" t="n">
        <x:v>0</x:v>
      </x:c>
      <x:c r="T8" s="630" t="n">
        <x:v>0</x:v>
      </x:c>
      <x:c r="U8" s="630">
        <x:v>0</x:v>
      </x:c>
      <x:c r="V8" s="630">
        <x:v>0</x:v>
      </x:c>
      <x:c r="W8" s="630">
        <x:v>0</x:v>
      </x:c>
      <x:c r="X8" s="630">
        <x:v>0</x:v>
      </x:c>
      <x:c r="Y8" s="630">
        <x:v>0</x:v>
      </x:c>
      <x:c r="Z8" s="630">
        <x:v>0</x:v>
      </x:c>
      <x:c r="AA8" s="628"/>
      <x:c r="AB8" s="628"/>
      <x:c r="AC8" s="628"/>
      <x:c r="AD8" s="628"/>
      <x:c r="AE8" s="628"/>
      <x:c r="AF8" s="628"/>
      <x:c r="AG8" s="628"/>
      <x:c r="AH8" s="628"/>
      <x:c r="AI8" s="628"/>
      <x:c r="AJ8" s="628"/>
      <x:c r="AK8" s="628"/>
      <x:c r="AL8" s="628"/>
      <x:c r="AM8" s="628"/>
      <x:c r="AN8" s="628"/>
      <x:c r="AO8" s="628"/>
      <x:c r="AP8" s="628"/>
      <x:c r="AQ8" s="628"/>
      <x:c r="AR8" s="628"/>
      <x:c r="AS8" s="628"/>
      <x:c r="AT8" s="628"/>
      <x:c r="AU8" s="628"/>
      <x:c r="AV8" s="628"/>
      <x:c r="AW8" s="628"/>
      <x:c r="AX8" s="628"/>
      <x:c r="AY8" s="628"/>
      <x:c r="AZ8" s="628"/>
      <x:c r="BA8" s="628"/>
      <x:c r="BB8" s="628"/>
      <x:c r="BC8" s="628"/>
      <x:c r="BD8" s="628"/>
      <x:c r="BE8" s="628"/>
      <x:c r="BF8" s="628"/>
      <x:c r="BG8" s="628"/>
      <x:c r="BH8" s="628"/>
      <x:c r="BI8" s="628"/>
      <x:c r="BJ8" s="628"/>
      <x:c r="BK8" s="628"/>
      <x:c r="BL8" s="628"/>
      <x:c r="BM8" s="628"/>
      <x:c r="BN8" s="624"/>
    </x:row>
    <x:row r="9" spans="1:66" x14ac:dyDescent="0.25">
      <x:c r="A9"/>
      <x:c r="B9"/>
      <x:c r="C9" t="inlineStr">
        <x:is>
          <x:t>OCCIDENTE</x:t>
        </x:is>
      </x:c>
      <x:c r="D9" t="inlineStr">
        <x:is>
          <x:t>Total</x:t>
        </x:is>
      </x:c>
      <x:c r="E9" s="625"/>
      <x:c r="F9" s="627" t="n">
        <x:v>6331515.37</x:v>
      </x:c>
      <x:c r="G9" s="627" t="n">
        <x:v>1241820.91</x:v>
      </x:c>
      <x:c r="H9" s="627" t="n">
        <x:v>701209.88</x:v>
      </x:c>
      <x:c r="I9" s="627" t="n">
        <x:v>369347.71</x:v>
      </x:c>
      <x:c r="J9" s="627" t="n">
        <x:v>164355.72</x:v>
      </x:c>
      <x:c r="K9" s="627" t="n">
        <x:v>5918.58</x:v>
      </x:c>
      <x:c r="L9" s="627" t="n">
        <x:v>0</x:v>
      </x:c>
      <x:c r="M9" s="627" t="n">
        <x:v>51916.98</x:v>
      </x:c>
      <x:c r="N9" s="627" t="n">
        <x:v>67675.1</x:v>
      </x:c>
      <x:c r="O9" s="627" t="n">
        <x:v>316052.37</x:v>
      </x:c>
      <x:c r="P9" s="627" t="n">
        <x:v>3403574.07</x:v>
      </x:c>
      <x:c r="Q9" s="627" t="n">
        <x:v>9656.44</x:v>
      </x:c>
      <x:c r="R9" s="627" t="n">
        <x:v>-12.39</x:v>
      </x:c>
      <x:c r="S9" s="627" t="n">
        <x:v>0</x:v>
      </x:c>
      <x:c r="T9" s="627" t="n">
        <x:v>0</x:v>
      </x:c>
      <x:c r="U9" s="627">
        <x:v>0</x:v>
      </x:c>
      <x:c r="V9" s="627">
        <x:v>0</x:v>
      </x:c>
      <x:c r="W9" s="627">
        <x:v>0</x:v>
      </x:c>
      <x:c r="X9" s="627">
        <x:v>0</x:v>
      </x:c>
      <x:c r="Y9" s="627">
        <x:v>0</x:v>
      </x:c>
      <x:c r="Z9" s="627">
        <x:v>0</x:v>
      </x:c>
      <x:c r="BN9" s="624"/>
    </x:row>
    <x:row r="10" spans="1:66" x14ac:dyDescent="0.25">
      <x:c r="A10"/>
      <x:c r="B10" t="inlineStr">
        <x:is>
          <x:t>Aplicacion nuevos x reversion</x:t>
        </x:is>
      </x:c>
      <x:c r="C10" t="inlineStr">
        <x:is>
          <x:t>Total</x:t>
        </x:is>
      </x:c>
      <x:c r="D10" s="25"/>
      <x:c r="E10" s="625"/>
      <x:c r="F10" s="627" t="n">
        <x:v>6331515.37</x:v>
      </x:c>
      <x:c r="G10" s="627" t="n">
        <x:v>1241820.91</x:v>
      </x:c>
      <x:c r="H10" s="627" t="n">
        <x:v>701209.88</x:v>
      </x:c>
      <x:c r="I10" s="627" t="n">
        <x:v>369347.71</x:v>
      </x:c>
      <x:c r="J10" s="627" t="n">
        <x:v>164355.72</x:v>
      </x:c>
      <x:c r="K10" s="627" t="n">
        <x:v>5918.58</x:v>
      </x:c>
      <x:c r="L10" s="627" t="n">
        <x:v>0</x:v>
      </x:c>
      <x:c r="M10" s="627" t="n">
        <x:v>51916.98</x:v>
      </x:c>
      <x:c r="N10" s="627" t="n">
        <x:v>67675.1</x:v>
      </x:c>
      <x:c r="O10" s="627" t="n">
        <x:v>316052.37</x:v>
      </x:c>
      <x:c r="P10" s="627" t="n">
        <x:v>3403574.07</x:v>
      </x:c>
      <x:c r="Q10" s="627" t="n">
        <x:v>9656.44</x:v>
      </x:c>
      <x:c r="R10" s="627" t="n">
        <x:v>-12.39</x:v>
      </x:c>
      <x:c r="S10" s="627" t="n">
        <x:v>0</x:v>
      </x:c>
      <x:c r="T10" s="627" t="n">
        <x:v>0</x:v>
      </x:c>
      <x:c r="U10" s="627">
        <x:v>0</x:v>
      </x:c>
      <x:c r="V10" s="627">
        <x:v>0</x:v>
      </x:c>
      <x:c r="W10" s="627">
        <x:v>0</x:v>
      </x:c>
      <x:c r="X10" s="627">
        <x:v>0</x:v>
      </x:c>
      <x:c r="Y10" s="627">
        <x:v>0</x:v>
      </x:c>
      <x:c r="Z10" s="627">
        <x:v>0</x:v>
      </x:c>
      <x:c r="BN10" s="624"/>
    </x:row>
    <x:row r="11" spans="1:66" x14ac:dyDescent="0.25">
      <x:c r="A11" s="631"/>
      <x:c r="B11" s="631"/>
      <x:c r="C11" s="632"/>
      <x:c r="D11" s="632"/>
      <x:c r="E11" s="631" t="inlineStr">
        <x:is>
          <x:t>Vlr Servicio</x:t>
        </x:is>
      </x:c>
      <x:c r="F11" s="633" t="n">
        <x:v>19101452288.53</x:v>
      </x:c>
      <x:c r="G11" s="633" t="n">
        <x:v>913369031.08</x:v>
      </x:c>
      <x:c r="H11" s="633" t="n">
        <x:v>515314289.34</x:v>
      </x:c>
      <x:c r="I11" s="633" t="n">
        <x:v>270565097.94</x:v>
      </x:c>
      <x:c r="J11" s="633" t="n">
        <x:v>4834618087.09</x:v>
      </x:c>
      <x:c r="K11" s="633" t="n">
        <x:v>167759979.6</x:v>
      </x:c>
      <x:c r="L11" s="633" t="n">
        <x:v>14321632.13</x:v>
      </x:c>
      <x:c r="M11" s="633" t="n">
        <x:v>1472439700.31</x:v>
      </x:c>
      <x:c r="N11" s="633" t="n">
        <x:v>1422499241.37</x:v>
      </x:c>
      <x:c r="O11" s="633" t="n">
        <x:v>6731702696.42</x:v>
      </x:c>
      <x:c r="P11" s="633" t="n">
        <x:v>2485164502.55</x:v>
      </x:c>
      <x:c r="Q11" s="633" t="n">
        <x:v>273731944.67</x:v>
      </x:c>
      <x:c r="R11" s="633" t="n">
        <x:v>-33913.97</x:v>
      </x:c>
      <x:c r="S11" s="633" t="n">
        <x:v>0</x:v>
      </x:c>
      <x:c r="T11" s="633" t="n">
        <x:v>0</x:v>
      </x:c>
      <x:c r="U11" s="633">
        <x:v>0</x:v>
      </x:c>
      <x:c r="V11" s="633">
        <x:v>0</x:v>
      </x:c>
      <x:c r="W11" s="633">
        <x:v>0</x:v>
      </x:c>
      <x:c r="X11" s="633">
        <x:v>0</x:v>
      </x:c>
      <x:c r="Y11" s="633">
        <x:v>0</x:v>
      </x:c>
      <x:c r="Z11" s="633">
        <x:v>0</x:v>
      </x:c>
      <x:c r="AA11" s="631"/>
      <x:c r="AB11" s="631"/>
      <x:c r="AC11" s="631"/>
      <x:c r="AD11" s="631"/>
      <x:c r="AE11" s="631"/>
      <x:c r="AF11" s="631"/>
      <x:c r="AG11" s="631"/>
      <x:c r="AH11" s="631"/>
      <x:c r="AI11" s="631"/>
      <x:c r="AJ11" s="631"/>
      <x:c r="AK11" s="631"/>
      <x:c r="AL11" s="631"/>
      <x:c r="AM11" s="631"/>
      <x:c r="AN11" s="631"/>
      <x:c r="AO11" s="631"/>
      <x:c r="AP11" s="631"/>
      <x:c r="AQ11" s="631"/>
      <x:c r="AR11" s="631"/>
      <x:c r="AS11" s="631"/>
      <x:c r="AT11" s="631"/>
      <x:c r="AU11" s="631"/>
      <x:c r="AV11" s="631"/>
      <x:c r="AW11" s="631"/>
      <x:c r="AX11" s="631"/>
      <x:c r="AY11" s="631"/>
      <x:c r="AZ11" s="631"/>
      <x:c r="BA11" s="631"/>
      <x:c r="BB11" s="631"/>
      <x:c r="BC11" s="631"/>
      <x:c r="BD11" s="631"/>
      <x:c r="BE11" s="631"/>
      <x:c r="BF11" s="631"/>
      <x:c r="BG11" s="631"/>
      <x:c r="BH11" s="631"/>
      <x:c r="BI11" s="631"/>
      <x:c r="BJ11" s="631"/>
      <x:c r="BK11" s="631"/>
      <x:c r="BL11" s="631"/>
      <x:c r="BM11" s="631"/>
      <x:c r="BN11" s="624"/>
    </x:row>
    <x:row r="12" spans="1:66" x14ac:dyDescent="0.25">
      <x:c r="A12"/>
      <x:c r="B12" s="25"/>
      <x:c r="C12" s="25"/>
      <x:c r="D12"/>
      <x:c r="E12" s="625" t="inlineStr">
        <x:is>
          <x:t>Vlr Intereses</x:t>
        </x:is>
      </x:c>
      <x:c r="F12" s="627" t="n">
        <x:v>2792245.77</x:v>
      </x:c>
      <x:c r="G12" s="627" t="n">
        <x:v>155660.99</x:v>
      </x:c>
      <x:c r="H12" s="627" t="n">
        <x:v>79689.82</x:v>
      </x:c>
      <x:c r="I12" s="627" t="n">
        <x:v>41740.83</x:v>
      </x:c>
      <x:c r="J12" s="627" t="n">
        <x:v>633473.57</x:v>
      </x:c>
      <x:c r="K12" s="627" t="n">
        <x:v>26506.79</x:v>
      </x:c>
      <x:c r="L12" s="627" t="n">
        <x:v>312.58</x:v>
      </x:c>
      <x:c r="M12" s="627" t="n">
        <x:v>234143.87</x:v>
      </x:c>
      <x:c r="N12" s="627" t="n">
        <x:v>212449.63</x:v>
      </x:c>
      <x:c r="O12" s="627" t="n">
        <x:v>946855.03</x:v>
      </x:c>
      <x:c r="P12" s="627" t="n">
        <x:v>417682.52</x:v>
      </x:c>
      <x:c r="Q12" s="627" t="n">
        <x:v>43448.47</x:v>
      </x:c>
      <x:c r="R12" s="627" t="n">
        <x:v>2.45</x:v>
      </x:c>
      <x:c r="S12" s="627" t="n">
        <x:v>-0.01</x:v>
      </x:c>
      <x:c r="T12" s="627" t="n">
        <x:v>279.23</x:v>
      </x:c>
      <x:c r="U12" s="627">
        <x:v>0</x:v>
      </x:c>
      <x:c r="V12" s="627">
        <x:v>0</x:v>
      </x:c>
      <x:c r="W12" s="627">
        <x:v>0</x:v>
      </x:c>
      <x:c r="X12" s="627">
        <x:v>0</x:v>
      </x:c>
      <x:c r="Y12" s="627">
        <x:v>0</x:v>
      </x:c>
      <x:c r="Z12" s="627">
        <x:v>0</x:v>
      </x:c>
      <x:c r="BN12" s="624"/>
    </x:row>
    <x:row r="13" spans="1:66" x14ac:dyDescent="0.25">
      <x:c r="A13" s="634"/>
      <x:c r="B13" s="634"/>
      <x:c r="C13" s="634"/>
      <x:c r="D13" s="634" t="inlineStr">
        <x:is>
          <x:t>E</x:t>
        </x:is>
      </x:c>
      <x:c r="E13" s="634" t="inlineStr">
        <x:is>
          <x:t>Total</x:t>
        </x:is>
      </x:c>
      <x:c r="F13" s="670" t="n">
        <x:v>19104244534.3</x:v>
      </x:c>
      <x:c r="G13" s="670" t="n">
        <x:v>913524692.07</x:v>
      </x:c>
      <x:c r="H13" s="670" t="n">
        <x:v>515393979.16</x:v>
      </x:c>
      <x:c r="I13" s="670" t="n">
        <x:v>270606838.77</x:v>
      </x:c>
      <x:c r="J13" s="670" t="n">
        <x:v>4835251560.66</x:v>
      </x:c>
      <x:c r="K13" s="670" t="n">
        <x:v>167786486.39</x:v>
      </x:c>
      <x:c r="L13" s="670" t="n">
        <x:v>14321944.71</x:v>
      </x:c>
      <x:c r="M13" s="670" t="n">
        <x:v>1472673844.18</x:v>
      </x:c>
      <x:c r="N13" s="670" t="n">
        <x:v>1422711691</x:v>
      </x:c>
      <x:c r="O13" s="670" t="n">
        <x:v>6732649551.45</x:v>
      </x:c>
      <x:c r="P13" s="670" t="n">
        <x:v>2485582185.07</x:v>
      </x:c>
      <x:c r="Q13" s="670" t="n">
        <x:v>273775393.14</x:v>
      </x:c>
      <x:c r="R13" s="670" t="n">
        <x:v>-33911.52</x:v>
      </x:c>
      <x:c r="S13" s="670" t="n">
        <x:v>-0.01</x:v>
      </x:c>
      <x:c r="T13" s="670" t="n">
        <x:v>279.23</x:v>
      </x:c>
      <x:c r="U13" s="670">
        <x:v>0</x:v>
      </x:c>
      <x:c r="V13" s="670">
        <x:v>0</x:v>
      </x:c>
      <x:c r="W13" s="670">
        <x:v>0</x:v>
      </x:c>
      <x:c r="X13" s="670">
        <x:v>0</x:v>
      </x:c>
      <x:c r="Y13" s="670">
        <x:v>0</x:v>
      </x:c>
      <x:c r="Z13" s="670">
        <x:v>0</x:v>
      </x:c>
      <x:c r="AA13" s="634"/>
      <x:c r="AB13" s="634"/>
      <x:c r="AC13" s="634"/>
      <x:c r="AD13" s="634"/>
      <x:c r="AE13" s="634"/>
      <x:c r="AF13" s="634"/>
      <x:c r="AG13" s="634"/>
      <x:c r="AH13" s="634"/>
      <x:c r="AI13" s="634"/>
      <x:c r="AJ13" s="634"/>
      <x:c r="AK13" s="634"/>
      <x:c r="AL13" s="634"/>
      <x:c r="AM13" s="634"/>
      <x:c r="AN13" s="634"/>
      <x:c r="AO13" s="634"/>
      <x:c r="AP13" s="634"/>
      <x:c r="AQ13" s="634"/>
      <x:c r="AR13" s="634"/>
      <x:c r="AS13" s="634"/>
      <x:c r="AT13" s="634"/>
      <x:c r="AU13" s="634"/>
      <x:c r="AV13" s="634"/>
      <x:c r="AW13" s="634"/>
      <x:c r="AX13" s="634"/>
      <x:c r="AY13" s="634"/>
      <x:c r="AZ13" s="634"/>
      <x:c r="BA13" s="634"/>
      <x:c r="BB13" s="634"/>
      <x:c r="BC13" s="634"/>
      <x:c r="BD13" s="634"/>
      <x:c r="BE13" s="634"/>
      <x:c r="BF13" s="634"/>
      <x:c r="BG13" s="634"/>
      <x:c r="BH13" s="634"/>
      <x:c r="BI13" s="634"/>
      <x:c r="BJ13" s="634"/>
      <x:c r="BK13" s="634"/>
      <x:c r="BL13" s="634"/>
      <x:c r="BM13" s="634"/>
      <x:c r="BN13" s="624"/>
    </x:row>
    <x:row r="14" spans="1:66" x14ac:dyDescent="0.25">
      <x:c r="A14" s="635"/>
      <x:c r="B14"/>
      <x:c r="C14" t="inlineStr">
        <x:is>
          <x:t>ENEL</x:t>
        </x:is>
      </x:c>
      <x:c r="D14" t="inlineStr">
        <x:is>
          <x:t>Total</x:t>
        </x:is>
      </x:c>
      <x:c r="E14" s="625"/>
      <x:c r="F14" s="627" t="n">
        <x:v>19104244534.3</x:v>
      </x:c>
      <x:c r="G14" s="627" t="n">
        <x:v>913524692.07</x:v>
      </x:c>
      <x:c r="H14" s="627" t="n">
        <x:v>515393979.16</x:v>
      </x:c>
      <x:c r="I14" s="627" t="n">
        <x:v>270606838.77</x:v>
      </x:c>
      <x:c r="J14" s="627" t="n">
        <x:v>4835251560.66</x:v>
      </x:c>
      <x:c r="K14" s="627" t="n">
        <x:v>167786486.39</x:v>
      </x:c>
      <x:c r="L14" s="627" t="n">
        <x:v>14321944.71</x:v>
      </x:c>
      <x:c r="M14" s="627" t="n">
        <x:v>1472673844.18</x:v>
      </x:c>
      <x:c r="N14" s="627" t="n">
        <x:v>1422711691</x:v>
      </x:c>
      <x:c r="O14" s="627" t="n">
        <x:v>6732649551.45</x:v>
      </x:c>
      <x:c r="P14" s="627" t="n">
        <x:v>2485582185.07</x:v>
      </x:c>
      <x:c r="Q14" s="627" t="n">
        <x:v>273775393.14</x:v>
      </x:c>
      <x:c r="R14" s="627" t="n">
        <x:v>-33911.52</x:v>
      </x:c>
      <x:c r="S14" s="627" t="n">
        <x:v>-0.01</x:v>
      </x:c>
      <x:c r="T14" s="627" t="n">
        <x:v>279.23</x:v>
      </x:c>
      <x:c r="U14" s="627">
        <x:v>0</x:v>
      </x:c>
      <x:c r="V14" s="627">
        <x:v>0</x:v>
      </x:c>
      <x:c r="W14" s="627">
        <x:v>0</x:v>
      </x:c>
      <x:c r="X14" s="627">
        <x:v>0</x:v>
      </x:c>
      <x:c r="Y14" s="627">
        <x:v>0</x:v>
      </x:c>
      <x:c r="Z14" s="627">
        <x:v>0</x:v>
      </x:c>
      <x:c r="BN14" s="624"/>
    </x:row>
    <x:row r="15" spans="1:66" x14ac:dyDescent="0.25">
      <x:c r="A15"/>
      <x:c r="B15"/>
      <x:c r="C15"/>
      <x:c r="D15" s="25"/>
      <x:c r="E15" s="625" t="inlineStr">
        <x:is>
          <x:t>Vlr Servicio</x:t>
        </x:is>
      </x:c>
      <x:c r="F15" s="627" t="n">
        <x:v>28587197.65</x:v>
      </x:c>
      <x:c r="G15" s="627" t="n">
        <x:v>2185895.47</x:v>
      </x:c>
      <x:c r="H15" s="627" t="n">
        <x:v>1219113.55</x:v>
      </x:c>
      <x:c r="I15" s="627" t="n">
        <x:v>644213.84</x:v>
      </x:c>
      <x:c r="J15" s="627" t="n">
        <x:v>5793883.4</x:v>
      </x:c>
      <x:c r="K15" s="627" t="n">
        <x:v>177172.65</x:v>
      </x:c>
      <x:c r="L15" s="627" t="n">
        <x:v>0</x:v>
      </x:c>
      <x:c r="M15" s="627" t="n">
        <x:v>1538870.77</x:v>
      </x:c>
      <x:c r="N15" s="627" t="n">
        <x:v>1889153.43</x:v>
      </x:c>
      <x:c r="O15" s="627" t="n">
        <x:v>8885237.53</x:v>
      </x:c>
      <x:c r="P15" s="627" t="n">
        <x:v>5963781.68</x:v>
      </x:c>
      <x:c r="Q15" s="627" t="n">
        <x:v>289690.76</x:v>
      </x:c>
      <x:c r="R15" s="627" t="n">
        <x:v>184.57</x:v>
      </x:c>
      <x:c r="S15" s="627" t="n">
        <x:v>0</x:v>
      </x:c>
      <x:c r="T15" s="627" t="n">
        <x:v>0</x:v>
      </x:c>
      <x:c r="U15" s="627">
        <x:v>0</x:v>
      </x:c>
      <x:c r="V15" s="627">
        <x:v>0</x:v>
      </x:c>
      <x:c r="W15" s="627">
        <x:v>0</x:v>
      </x:c>
      <x:c r="X15" s="627">
        <x:v>0</x:v>
      </x:c>
      <x:c r="Y15" s="627">
        <x:v>0</x:v>
      </x:c>
      <x:c r="Z15" s="627">
        <x:v>0</x:v>
      </x:c>
      <x:c r="BN15" s="624"/>
    </x:row>
    <x:row r="16" spans="1:66" x14ac:dyDescent="0.25">
      <x:c r="A16" s="628"/>
      <x:c r="B16" s="628"/>
      <x:c r="C16" s="628"/>
      <x:c r="D16" s="628"/>
      <x:c r="E16" s="629" t="inlineStr">
        <x:is>
          <x:t>Vlr Intereses</x:t>
        </x:is>
      </x:c>
      <x:c r="F16" s="630" t="n">
        <x:v>82135.18</x:v>
      </x:c>
      <x:c r="G16" s="630" t="n">
        <x:v>4908.79</x:v>
      </x:c>
      <x:c r="H16" s="630" t="n">
        <x:v>2288.07</x:v>
      </x:c>
      <x:c r="I16" s="630" t="n">
        <x:v>1256.9</x:v>
      </x:c>
      <x:c r="J16" s="630" t="n">
        <x:v>18570</x:v>
      </x:c>
      <x:c r="K16" s="630" t="n">
        <x:v>653.25</x:v>
      </x:c>
      <x:c r="L16" s="630" t="n">
        <x:v>0</x:v>
      </x:c>
      <x:c r="M16" s="630" t="n">
        <x:v>5731.29</x:v>
      </x:c>
      <x:c r="N16" s="630" t="n">
        <x:v>6136.85</x:v>
      </x:c>
      <x:c r="O16" s="630" t="n">
        <x:v>28338.84</x:v>
      </x:c>
      <x:c r="P16" s="630" t="n">
        <x:v>13182.06</x:v>
      </x:c>
      <x:c r="Q16" s="630" t="n">
        <x:v>1068.81</x:v>
      </x:c>
      <x:c r="R16" s="630" t="n">
        <x:v>0.36</x:v>
      </x:c>
      <x:c r="S16" s="630" t="n">
        <x:v>-0.04</x:v>
      </x:c>
      <x:c r="T16" s="630" t="n">
        <x:v>0</x:v>
      </x:c>
      <x:c r="U16" s="630">
        <x:v>0</x:v>
      </x:c>
      <x:c r="V16" s="630">
        <x:v>0</x:v>
      </x:c>
      <x:c r="W16" s="630">
        <x:v>0</x:v>
      </x:c>
      <x:c r="X16" s="630">
        <x:v>0</x:v>
      </x:c>
      <x:c r="Y16" s="630">
        <x:v>0</x:v>
      </x:c>
      <x:c r="Z16" s="630">
        <x:v>0</x:v>
      </x:c>
      <x:c r="AA16" s="628"/>
      <x:c r="AB16" s="628"/>
      <x:c r="AC16" s="628"/>
      <x:c r="AD16" s="628"/>
      <x:c r="AE16" s="628"/>
      <x:c r="AF16" s="628"/>
      <x:c r="AG16" s="628"/>
      <x:c r="AH16" s="628"/>
      <x:c r="AI16" s="628"/>
      <x:c r="AJ16" s="628"/>
      <x:c r="AK16" s="628"/>
      <x:c r="AL16" s="628"/>
      <x:c r="AM16" s="628"/>
      <x:c r="AN16" s="628"/>
      <x:c r="AO16" s="628"/>
      <x:c r="AP16" s="628"/>
      <x:c r="AQ16" s="628"/>
      <x:c r="AR16" s="628"/>
      <x:c r="AS16" s="628"/>
      <x:c r="AT16" s="628"/>
      <x:c r="AU16" s="628"/>
      <x:c r="AV16" s="628"/>
      <x:c r="AW16" s="628"/>
      <x:c r="AX16" s="628"/>
      <x:c r="AY16" s="628"/>
      <x:c r="AZ16" s="628"/>
      <x:c r="BA16" s="628"/>
      <x:c r="BB16" s="628"/>
      <x:c r="BC16" s="628"/>
      <x:c r="BD16" s="628"/>
      <x:c r="BE16" s="628"/>
      <x:c r="BF16" s="628"/>
      <x:c r="BG16" s="628"/>
      <x:c r="BH16" s="628"/>
      <x:c r="BI16" s="628"/>
      <x:c r="BJ16" s="628"/>
      <x:c r="BK16" s="628"/>
      <x:c r="BL16" s="628"/>
      <x:c r="BM16" s="628"/>
      <x:c r="BN16" s="624"/>
    </x:row>
    <x:row r="17" spans="1:66" x14ac:dyDescent="0.25">
      <x:c r="A17" s="635"/>
      <x:c r="B17" s="635"/>
      <x:c r="C17" s="635"/>
      <x:c r="D17" s="635" t="inlineStr">
        <x:is>
          <x:t>H</x:t>
        </x:is>
      </x:c>
      <x:c r="E17" s="636" t="inlineStr">
        <x:is>
          <x:t>Total</x:t>
        </x:is>
      </x:c>
      <x:c r="F17" s="637" t="n">
        <x:v>28669332.83</x:v>
      </x:c>
      <x:c r="G17" s="637" t="n">
        <x:v>2190804.26</x:v>
      </x:c>
      <x:c r="H17" s="637" t="n">
        <x:v>1221401.62</x:v>
      </x:c>
      <x:c r="I17" s="637" t="n">
        <x:v>645470.74</x:v>
      </x:c>
      <x:c r="J17" s="637" t="n">
        <x:v>5812453.4</x:v>
      </x:c>
      <x:c r="K17" s="637" t="n">
        <x:v>177825.9</x:v>
      </x:c>
      <x:c r="L17" s="637" t="n">
        <x:v>0</x:v>
      </x:c>
      <x:c r="M17" s="637" t="n">
        <x:v>1544602.06</x:v>
      </x:c>
      <x:c r="N17" s="637" t="n">
        <x:v>1895290.28</x:v>
      </x:c>
      <x:c r="O17" s="637" t="n">
        <x:v>8913576.37</x:v>
      </x:c>
      <x:c r="P17" s="637" t="n">
        <x:v>5976963.74</x:v>
      </x:c>
      <x:c r="Q17" s="637" t="n">
        <x:v>290759.57</x:v>
      </x:c>
      <x:c r="R17" s="637" t="n">
        <x:v>184.93</x:v>
      </x:c>
      <x:c r="S17" s="637" t="n">
        <x:v>-0.04</x:v>
      </x:c>
      <x:c r="T17" s="637" t="n">
        <x:v>0</x:v>
      </x:c>
      <x:c r="U17" s="637">
        <x:v>0</x:v>
      </x:c>
      <x:c r="V17" s="637">
        <x:v>0</x:v>
      </x:c>
      <x:c r="W17" s="637">
        <x:v>0</x:v>
      </x:c>
      <x:c r="X17" s="637">
        <x:v>0</x:v>
      </x:c>
      <x:c r="Y17" s="637">
        <x:v>0</x:v>
      </x:c>
      <x:c r="Z17" s="637">
        <x:v>0</x:v>
      </x:c>
      <x:c r="AA17" s="635"/>
      <x:c r="AB17" s="635"/>
      <x:c r="AC17" s="635"/>
      <x:c r="AD17" s="635"/>
      <x:c r="AE17" s="635"/>
      <x:c r="AF17" s="635"/>
      <x:c r="AG17" s="635"/>
      <x:c r="AH17" s="635"/>
      <x:c r="AI17" s="635"/>
      <x:c r="AJ17" s="635"/>
      <x:c r="AK17" s="635"/>
      <x:c r="AL17" s="635"/>
      <x:c r="AM17" s="635"/>
      <x:c r="AN17" s="635"/>
      <x:c r="AO17" s="635"/>
      <x:c r="AP17" s="635"/>
      <x:c r="AQ17" s="635"/>
      <x:c r="AR17" s="635"/>
      <x:c r="AS17" s="635"/>
      <x:c r="AT17" s="635"/>
      <x:c r="AU17" s="635"/>
      <x:c r="AV17" s="635"/>
      <x:c r="AW17" s="635"/>
      <x:c r="AX17" s="635"/>
      <x:c r="AY17" s="635"/>
      <x:c r="AZ17" s="635"/>
      <x:c r="BA17" s="635"/>
      <x:c r="BB17" s="635"/>
      <x:c r="BC17" s="635"/>
      <x:c r="BD17" s="635"/>
      <x:c r="BE17" s="635"/>
      <x:c r="BF17" s="635"/>
      <x:c r="BG17" s="635"/>
      <x:c r="BH17" s="635"/>
      <x:c r="BI17" s="635"/>
      <x:c r="BJ17" s="635"/>
      <x:c r="BK17" s="635"/>
      <x:c r="BL17" s="635"/>
      <x:c r="BM17" s="635"/>
      <x:c r="BN17" s="624"/>
    </x:row>
    <x:row r="18" spans="1:66" x14ac:dyDescent="0.25">
      <x:c r="A18"/>
      <x:c r="B18"/>
      <x:c r="C18"/>
      <x:c r="D18"/>
      <x:c r="E18" s="625" t="inlineStr">
        <x:is>
          <x:t>Vlr Servicio</x:t>
        </x:is>
      </x:c>
      <x:c r="F18" s="627" t="n">
        <x:v>47294938.27</x:v>
      </x:c>
      <x:c r="G18" s="627" t="n">
        <x:v>3974790.22</x:v>
      </x:c>
      <x:c r="H18" s="627" t="n">
        <x:v>2180819.49</x:v>
      </x:c>
      <x:c r="I18" s="627" t="n">
        <x:v>1154125.09</x:v>
      </x:c>
      <x:c r="J18" s="627" t="n">
        <x:v>8019548.79</x:v>
      </x:c>
      <x:c r="K18" s="627" t="n">
        <x:v>328408.33</x:v>
      </x:c>
      <x:c r="L18" s="627" t="n">
        <x:v>0</x:v>
      </x:c>
      <x:c r="M18" s="627" t="n">
        <x:v>2889896.88</x:v>
      </x:c>
      <x:c r="N18" s="627" t="n">
        <x:v>3056486.53</x:v>
      </x:c>
      <x:c r="O18" s="627" t="n">
        <x:v>14327776.82</x:v>
      </x:c>
      <x:c r="P18" s="627" t="n">
        <x:v>10827505.82</x:v>
      </x:c>
      <x:c r="Q18" s="627" t="n">
        <x:v>535821.41</x:v>
      </x:c>
      <x:c r="R18" s="627" t="n">
        <x:v>-241.11</x:v>
      </x:c>
      <x:c r="S18" s="627" t="n">
        <x:v>0</x:v>
      </x:c>
      <x:c r="T18" s="627" t="n">
        <x:v>0</x:v>
      </x:c>
      <x:c r="U18" s="627">
        <x:v>0</x:v>
      </x:c>
      <x:c r="V18" s="627">
        <x:v>0</x:v>
      </x:c>
      <x:c r="W18" s="627">
        <x:v>0</x:v>
      </x:c>
      <x:c r="X18" s="627">
        <x:v>0</x:v>
      </x:c>
      <x:c r="Y18" s="627">
        <x:v>0</x:v>
      </x:c>
      <x:c r="Z18" s="627">
        <x:v>0</x:v>
      </x:c>
      <x:c r="BN18" s="624"/>
    </x:row>
    <x:row r="19" spans="1:66" x14ac:dyDescent="0.25">
      <x:c r="A19"/>
      <x:c r="B19"/>
      <x:c r="C19"/>
      <x:c r="D19"/>
      <x:c r="E19" s="625" t="inlineStr">
        <x:is>
          <x:t>Vlr Intereses</x:t>
        </x:is>
      </x:c>
      <x:c r="F19" s="627" t="n">
        <x:v>4126283.29</x:v>
      </x:c>
      <x:c r="G19" s="627" t="n">
        <x:v>86954.59</x:v>
      </x:c>
      <x:c r="H19" s="627" t="n">
        <x:v>33264.93</x:v>
      </x:c>
      <x:c r="I19" s="627" t="n">
        <x:v>11195.04</x:v>
      </x:c>
      <x:c r="J19" s="627" t="n">
        <x:v>965832.37</x:v>
      </x:c>
      <x:c r="K19" s="627" t="n">
        <x:v>60914.74</x:v>
      </x:c>
      <x:c r="L19" s="627" t="n">
        <x:v>0</x:v>
      </x:c>
      <x:c r="M19" s="627" t="n">
        <x:v>534335.02</x:v>
      </x:c>
      <x:c r="N19" s="627" t="n">
        <x:v>449770.44</x:v>
      </x:c>
      <x:c r="O19" s="627" t="n">
        <x:v>1653345.41</x:v>
      </x:c>
      <x:c r="P19" s="627" t="n">
        <x:v>231094.93</x:v>
      </x:c>
      <x:c r="Q19" s="627" t="n">
        <x:v>99387.59</x:v>
      </x:c>
      <x:c r="R19" s="627" t="n">
        <x:v>188.15</x:v>
      </x:c>
      <x:c r="S19" s="627" t="n">
        <x:v>0</x:v>
      </x:c>
      <x:c r="T19" s="627" t="n">
        <x:v>0.08</x:v>
      </x:c>
      <x:c r="U19" s="627">
        <x:v>0</x:v>
      </x:c>
      <x:c r="V19" s="627">
        <x:v>0</x:v>
      </x:c>
      <x:c r="W19" s="627">
        <x:v>0</x:v>
      </x:c>
      <x:c r="X19" s="627">
        <x:v>0</x:v>
      </x:c>
      <x:c r="Y19" s="627">
        <x:v>0</x:v>
      </x:c>
      <x:c r="Z19" s="627">
        <x:v>0</x:v>
      </x:c>
      <x:c r="BN19" s="624"/>
    </x:row>
    <x:row r="20" spans="1:66" x14ac:dyDescent="0.25">
      <x:c r="A20"/>
      <x:c r="B20"/>
      <x:c r="C20"/>
      <x:c r="D20" s="25" t="inlineStr">
        <x:is>
          <x:t>O</x:t>
        </x:is>
      </x:c>
      <x:c r="E20" s="625" t="inlineStr">
        <x:is>
          <x:t>Total</x:t>
        </x:is>
      </x:c>
      <x:c r="F20" s="627" t="n">
        <x:v>51421221.56</x:v>
      </x:c>
      <x:c r="G20" s="627" t="n">
        <x:v>4061744.81</x:v>
      </x:c>
      <x:c r="H20" s="627" t="n">
        <x:v>2214084.42</x:v>
      </x:c>
      <x:c r="I20" s="627" t="n">
        <x:v>1165320.13</x:v>
      </x:c>
      <x:c r="J20" s="627" t="n">
        <x:v>8985381.16</x:v>
      </x:c>
      <x:c r="K20" s="627" t="n">
        <x:v>389323.07</x:v>
      </x:c>
      <x:c r="L20" s="627" t="n">
        <x:v>0</x:v>
      </x:c>
      <x:c r="M20" s="627" t="n">
        <x:v>3424231.9</x:v>
      </x:c>
      <x:c r="N20" s="627" t="n">
        <x:v>3506256.97</x:v>
      </x:c>
      <x:c r="O20" s="627" t="n">
        <x:v>15981122.23</x:v>
      </x:c>
      <x:c r="P20" s="627" t="n">
        <x:v>11058600.75</x:v>
      </x:c>
      <x:c r="Q20" s="627" t="n">
        <x:v>635209</x:v>
      </x:c>
      <x:c r="R20" s="627" t="n">
        <x:v>-52.96</x:v>
      </x:c>
      <x:c r="S20" s="627" t="n">
        <x:v>0</x:v>
      </x:c>
      <x:c r="T20" s="627" t="n">
        <x:v>0.08</x:v>
      </x:c>
      <x:c r="U20" s="627">
        <x:v>0</x:v>
      </x:c>
      <x:c r="V20" s="627">
        <x:v>0</x:v>
      </x:c>
      <x:c r="W20" s="627">
        <x:v>0</x:v>
      </x:c>
      <x:c r="X20" s="627">
        <x:v>0</x:v>
      </x:c>
      <x:c r="Y20" s="627">
        <x:v>0</x:v>
      </x:c>
      <x:c r="Z20" s="627">
        <x:v>0</x:v>
      </x:c>
      <x:c r="BN20" s="624"/>
    </x:row>
    <x:row r="21" spans="1:66" x14ac:dyDescent="0.25">
      <x:c r="A21" s="628"/>
      <x:c r="B21" s="628"/>
      <x:c r="C21" s="628"/>
      <x:c r="D21" s="628"/>
      <x:c r="E21" s="629" t="inlineStr">
        <x:is>
          <x:t>Vlr Servicio</x:t>
        </x:is>
      </x:c>
      <x:c r="F21" s="630" t="n">
        <x:v>364297991.8</x:v>
      </x:c>
      <x:c r="G21" s="630" t="n">
        <x:v>65257819.11</x:v>
      </x:c>
      <x:c r="H21" s="630" t="n">
        <x:v>34884826.59</x:v>
      </x:c>
      <x:c r="I21" s="630" t="n">
        <x:v>18959564.8</x:v>
      </x:c>
      <x:c r="J21" s="630" t="n">
        <x:v>20111068.55</x:v>
      </x:c>
      <x:c r="K21" s="630" t="n">
        <x:v>558599.01</x:v>
      </x:c>
      <x:c r="L21" s="630" t="n">
        <x:v>3865005</x:v>
      </x:c>
      <x:c r="M21" s="630" t="n">
        <x:v>4887941.6</x:v>
      </x:c>
      <x:c r="N21" s="630" t="n">
        <x:v>6309958.97</x:v>
      </x:c>
      <x:c r="O21" s="630" t="n">
        <x:v>29570698.28</x:v>
      </x:c>
      <x:c r="P21" s="630" t="n">
        <x:v>178981116.43</x:v>
      </x:c>
      <x:c r="Q21" s="630" t="n">
        <x:v>911394.98</x:v>
      </x:c>
      <x:c r="R21" s="630" t="n">
        <x:v>-1.52</x:v>
      </x:c>
      <x:c r="S21" s="630" t="n">
        <x:v>0</x:v>
      </x:c>
      <x:c r="T21" s="630" t="n">
        <x:v>0</x:v>
      </x:c>
      <x:c r="U21" s="630">
        <x:v>0</x:v>
      </x:c>
      <x:c r="V21" s="630">
        <x:v>0</x:v>
      </x:c>
      <x:c r="W21" s="630">
        <x:v>0</x:v>
      </x:c>
      <x:c r="X21" s="630">
        <x:v>0</x:v>
      </x:c>
      <x:c r="Y21" s="630">
        <x:v>0</x:v>
      </x:c>
      <x:c r="Z21" s="630">
        <x:v>0</x:v>
      </x:c>
      <x:c r="AA21" s="628"/>
      <x:c r="AB21" s="628"/>
      <x:c r="AC21" s="628"/>
      <x:c r="AD21" s="628"/>
      <x:c r="AE21" s="628"/>
      <x:c r="AF21" s="628"/>
      <x:c r="AG21" s="628"/>
      <x:c r="AH21" s="628"/>
      <x:c r="AI21" s="628"/>
      <x:c r="AJ21" s="628"/>
      <x:c r="AK21" s="628"/>
      <x:c r="AL21" s="628"/>
      <x:c r="AM21" s="628"/>
      <x:c r="AN21" s="628"/>
      <x:c r="AO21" s="628"/>
      <x:c r="AP21" s="628"/>
      <x:c r="AQ21" s="628"/>
      <x:c r="AR21" s="628"/>
      <x:c r="AS21" s="628"/>
      <x:c r="AT21" s="628"/>
      <x:c r="AU21" s="628"/>
      <x:c r="AV21" s="628"/>
      <x:c r="AW21" s="628"/>
      <x:c r="AX21" s="628"/>
      <x:c r="AY21" s="628"/>
      <x:c r="AZ21" s="628"/>
      <x:c r="BA21" s="628"/>
      <x:c r="BB21" s="628"/>
      <x:c r="BC21" s="628"/>
      <x:c r="BD21" s="628"/>
      <x:c r="BE21" s="628"/>
      <x:c r="BF21" s="628"/>
      <x:c r="BG21" s="628"/>
      <x:c r="BH21" s="628"/>
      <x:c r="BI21" s="628"/>
      <x:c r="BJ21" s="628"/>
      <x:c r="BK21" s="628"/>
      <x:c r="BL21" s="628"/>
      <x:c r="BM21" s="628"/>
      <x:c r="BN21" s="624"/>
    </x:row>
    <x:row r="22" spans="1:66" x14ac:dyDescent="0.25">
      <x:c r="A22"/>
      <x:c r="B22"/>
      <x:c r="C22"/>
      <x:c r="D22"/>
      <x:c r="E22" s="625" t="inlineStr">
        <x:is>
          <x:t>Vlr Intereses</x:t>
        </x:is>
      </x:c>
      <x:c r="F22" s="627" t="n">
        <x:v>1153870.13</x:v>
      </x:c>
      <x:c r="G22" s="627" t="n">
        <x:v>222671.28</x:v>
      </x:c>
      <x:c r="H22" s="627" t="n">
        <x:v>115190.8</x:v>
      </x:c>
      <x:c r="I22" s="627" t="n">
        <x:v>63892.82</x:v>
      </x:c>
      <x:c r="J22" s="627" t="n">
        <x:v>40091.93</x:v>
      </x:c>
      <x:c r="K22" s="627" t="n">
        <x:v>1378.05</x:v>
      </x:c>
      <x:c r="L22" s="627" t="n">
        <x:v>6789.53</x:v>
      </x:c>
      <x:c r="M22" s="627" t="n">
        <x:v>12094.95</x:v>
      </x:c>
      <x:c r="N22" s="627" t="n">
        <x:v>13714.71</x:v>
      </x:c>
      <x:c r="O22" s="627" t="n">
        <x:v>63652.17</x:v>
      </x:c>
      <x:c r="P22" s="627" t="n">
        <x:v>612144.4</x:v>
      </x:c>
      <x:c r="Q22" s="627" t="n">
        <x:v>2249.01</x:v>
      </x:c>
      <x:c r="R22" s="627" t="n">
        <x:v>0.47</x:v>
      </x:c>
      <x:c r="S22" s="627" t="n">
        <x:v>-0.01</x:v>
      </x:c>
      <x:c r="T22" s="627" t="n">
        <x:v>0.02</x:v>
      </x:c>
      <x:c r="U22" s="627">
        <x:v>0</x:v>
      </x:c>
      <x:c r="V22" s="627">
        <x:v>0</x:v>
      </x:c>
      <x:c r="W22" s="627">
        <x:v>0</x:v>
      </x:c>
      <x:c r="X22" s="627">
        <x:v>0</x:v>
      </x:c>
      <x:c r="Y22" s="627">
        <x:v>0</x:v>
      </x:c>
      <x:c r="Z22" s="627">
        <x:v>0</x:v>
      </x:c>
      <x:c r="BN22" s="624"/>
    </x:row>
    <x:row r="23" spans="1:66" x14ac:dyDescent="0.25">
      <x:c r="A23"/>
      <x:c r="B23"/>
      <x:c r="C23"/>
      <x:c r="D23" t="inlineStr">
        <x:is>
          <x:t>T</x:t>
        </x:is>
      </x:c>
      <x:c r="E23" s="625" t="inlineStr">
        <x:is>
          <x:t>Total</x:t>
        </x:is>
      </x:c>
      <x:c r="F23" s="627" t="n">
        <x:v>365451861.93</x:v>
      </x:c>
      <x:c r="G23" s="627" t="n">
        <x:v>65480490.39</x:v>
      </x:c>
      <x:c r="H23" s="627" t="n">
        <x:v>35000017.39</x:v>
      </x:c>
      <x:c r="I23" s="627" t="n">
        <x:v>19023457.62</x:v>
      </x:c>
      <x:c r="J23" s="627" t="n">
        <x:v>20151160.48</x:v>
      </x:c>
      <x:c r="K23" s="627" t="n">
        <x:v>559977.06</x:v>
      </x:c>
      <x:c r="L23" s="627" t="n">
        <x:v>3871794.53</x:v>
      </x:c>
      <x:c r="M23" s="627" t="n">
        <x:v>4900036.55</x:v>
      </x:c>
      <x:c r="N23" s="627" t="n">
        <x:v>6323673.68</x:v>
      </x:c>
      <x:c r="O23" s="627" t="n">
        <x:v>29634350.45</x:v>
      </x:c>
      <x:c r="P23" s="627" t="n">
        <x:v>179593260.83</x:v>
      </x:c>
      <x:c r="Q23" s="627" t="n">
        <x:v>913643.99</x:v>
      </x:c>
      <x:c r="R23" s="627" t="n">
        <x:v>-1.05</x:v>
      </x:c>
      <x:c r="S23" s="627" t="n">
        <x:v>-0.01</x:v>
      </x:c>
      <x:c r="T23" s="627" t="n">
        <x:v>0.02</x:v>
      </x:c>
      <x:c r="U23" s="627">
        <x:v>0</x:v>
      </x:c>
      <x:c r="V23" s="627">
        <x:v>0</x:v>
      </x:c>
      <x:c r="W23" s="627">
        <x:v>0</x:v>
      </x:c>
      <x:c r="X23" s="627">
        <x:v>0</x:v>
      </x:c>
      <x:c r="Y23" s="627">
        <x:v>0</x:v>
      </x:c>
      <x:c r="Z23" s="627">
        <x:v>0</x:v>
      </x:c>
      <x:c r="BN23" s="624"/>
    </x:row>
    <x:row r="24" spans="1:66" x14ac:dyDescent="0.25">
      <x:c r="A24"/>
      <x:c r="B24"/>
      <x:c r="C24" t="inlineStr">
        <x:is>
          <x:t>OCCIDENTE</x:t>
        </x:is>
      </x:c>
      <x:c r="D24" s="625" t="inlineStr">
        <x:is>
          <x:t>Total</x:t>
        </x:is>
      </x:c>
      <x:c r="E24" s="625"/>
      <x:c r="F24" s="627" t="n">
        <x:v>445542416.32</x:v>
      </x:c>
      <x:c r="G24" s="627" t="n">
        <x:v>71733039.46</x:v>
      </x:c>
      <x:c r="H24" s="627" t="n">
        <x:v>38435503.43</x:v>
      </x:c>
      <x:c r="I24" s="627" t="n">
        <x:v>20834248.49</x:v>
      </x:c>
      <x:c r="J24" s="627" t="n">
        <x:v>34948995.04</x:v>
      </x:c>
      <x:c r="K24" s="627" t="n">
        <x:v>1127126.03</x:v>
      </x:c>
      <x:c r="L24" s="627" t="n">
        <x:v>3871794.53</x:v>
      </x:c>
      <x:c r="M24" s="627" t="n">
        <x:v>9868870.51</x:v>
      </x:c>
      <x:c r="N24" s="627" t="n">
        <x:v>11725220.93</x:v>
      </x:c>
      <x:c r="O24" s="627" t="n">
        <x:v>54529049.05</x:v>
      </x:c>
      <x:c r="P24" s="627" t="n">
        <x:v>196628825.32</x:v>
      </x:c>
      <x:c r="Q24" s="627" t="n">
        <x:v>1839612.56</x:v>
      </x:c>
      <x:c r="R24" s="627" t="n">
        <x:v>130.92</x:v>
      </x:c>
      <x:c r="S24" s="627" t="n">
        <x:v>-0.05</x:v>
      </x:c>
      <x:c r="T24" s="627" t="n">
        <x:v>0.1</x:v>
      </x:c>
      <x:c r="U24" s="627">
        <x:v>0</x:v>
      </x:c>
      <x:c r="V24" s="627">
        <x:v>0</x:v>
      </x:c>
      <x:c r="W24" s="627">
        <x:v>0</x:v>
      </x:c>
      <x:c r="X24" s="627">
        <x:v>0</x:v>
      </x:c>
      <x:c r="Y24" s="627">
        <x:v>0</x:v>
      </x:c>
      <x:c r="Z24" s="627">
        <x:v>0</x:v>
      </x:c>
      <x:c r="BN24" s="624"/>
    </x:row>
    <x:row r="25" spans="1:66" x14ac:dyDescent="0.25">
      <x:c r="A25"/>
      <x:c r="B25" t="inlineStr">
        <x:is>
          <x:t>Mes</x:t>
        </x:is>
      </x:c>
      <x:c r="C25" t="inlineStr">
        <x:is>
          <x:t>Total</x:t>
        </x:is>
      </x:c>
      <x:c r="D25"/>
      <x:c r="E25" s="625"/>
      <x:c r="F25" s="627" t="n">
        <x:v>19549786950.62</x:v>
      </x:c>
      <x:c r="G25" s="627" t="n">
        <x:v>985257731.53</x:v>
      </x:c>
      <x:c r="H25" s="627" t="n">
        <x:v>553829482.59</x:v>
      </x:c>
      <x:c r="I25" s="627" t="n">
        <x:v>291441087.26</x:v>
      </x:c>
      <x:c r="J25" s="627" t="n">
        <x:v>4870200555.7</x:v>
      </x:c>
      <x:c r="K25" s="627" t="n">
        <x:v>168913612.42</x:v>
      </x:c>
      <x:c r="L25" s="627" t="n">
        <x:v>18193739.24</x:v>
      </x:c>
      <x:c r="M25" s="627" t="n">
        <x:v>1482542714.69</x:v>
      </x:c>
      <x:c r="N25" s="627" t="n">
        <x:v>1434436911.93</x:v>
      </x:c>
      <x:c r="O25" s="627" t="n">
        <x:v>6787178600.5</x:v>
      </x:c>
      <x:c r="P25" s="627" t="n">
        <x:v>2682211010.39</x:v>
      </x:c>
      <x:c r="Q25" s="627" t="n">
        <x:v>275615005.7</x:v>
      </x:c>
      <x:c r="R25" s="627" t="n">
        <x:v>-33780.6</x:v>
      </x:c>
      <x:c r="S25" s="627" t="n">
        <x:v>-0.06</x:v>
      </x:c>
      <x:c r="T25" s="627" t="n">
        <x:v>279.33</x:v>
      </x:c>
      <x:c r="U25" s="627">
        <x:v>0</x:v>
      </x:c>
      <x:c r="V25" s="627">
        <x:v>0</x:v>
      </x:c>
      <x:c r="W25" s="627">
        <x:v>0</x:v>
      </x:c>
      <x:c r="X25" s="627">
        <x:v>0</x:v>
      </x:c>
      <x:c r="Y25" s="627">
        <x:v>0</x:v>
      </x:c>
      <x:c r="Z25" s="627">
        <x:v>0</x:v>
      </x:c>
      <x:c r="BN25" s="624"/>
    </x:row>
    <x:row r="26" spans="1:66" x14ac:dyDescent="0.25">
      <x:c r="A26" t="inlineStr">
        <x:is>
          <x:t>Componente</x:t>
        </x:is>
      </x:c>
      <x:c r="B26" t="inlineStr">
        <x:is>
          <x:t>Total</x:t>
        </x:is>
      </x:c>
      <x:c r="C26"/>
      <x:c r="D26"/>
      <x:c r="E26" s="625"/>
      <x:c r="F26" s="627" t="n">
        <x:v>19556118465.99</x:v>
      </x:c>
      <x:c r="G26" s="627" t="n">
        <x:v>986499552.44</x:v>
      </x:c>
      <x:c r="H26" s="627" t="n">
        <x:v>554530692.47</x:v>
      </x:c>
      <x:c r="I26" s="627" t="n">
        <x:v>291810434.97</x:v>
      </x:c>
      <x:c r="J26" s="627" t="n">
        <x:v>4870364911.42</x:v>
      </x:c>
      <x:c r="K26" s="627" t="n">
        <x:v>168919531</x:v>
      </x:c>
      <x:c r="L26" s="627" t="n">
        <x:v>18193739.24</x:v>
      </x:c>
      <x:c r="M26" s="627" t="n">
        <x:v>1482594631.67</x:v>
      </x:c>
      <x:c r="N26" s="627" t="n">
        <x:v>1434504587.03</x:v>
      </x:c>
      <x:c r="O26" s="627" t="n">
        <x:v>6787494652.87</x:v>
      </x:c>
      <x:c r="P26" s="627" t="n">
        <x:v>2685614584.46</x:v>
      </x:c>
      <x:c r="Q26" s="627" t="n">
        <x:v>275624662.14</x:v>
      </x:c>
      <x:c r="R26" s="627" t="n">
        <x:v>-33792.99</x:v>
      </x:c>
      <x:c r="S26" s="627" t="n">
        <x:v>-0.06</x:v>
      </x:c>
      <x:c r="T26" s="627" t="n">
        <x:v>279.33</x:v>
      </x:c>
      <x:c r="U26" s="627">
        <x:v>0</x:v>
      </x:c>
      <x:c r="V26" s="627">
        <x:v>0</x:v>
      </x:c>
      <x:c r="W26" s="627">
        <x:v>0</x:v>
      </x:c>
      <x:c r="X26" s="627">
        <x:v>0</x:v>
      </x:c>
      <x:c r="Y26" s="627">
        <x:v>0</x:v>
      </x:c>
      <x:c r="Z26" s="627">
        <x:v>0</x:v>
      </x:c>
      <x:c r="BN26" s="624"/>
    </x:row>
    <x:row r="27" spans="1:66" x14ac:dyDescent="0.25">
      <x:c r="A27"/>
      <x:c r="B27"/>
      <x:c r="C27"/>
      <x:c r="D27" s="625"/>
      <x:c r="E27" s="625" t="inlineStr">
        <x:is>
          <x:t>Subsidio(-)/Contribucion(+)</x:t>
        </x:is>
      </x:c>
      <x:c r="F27" s="627" t="n">
        <x:v>5341504.63</x:v>
      </x:c>
      <x:c r="G27" s="627" t="n">
        <x:v>1097764.07</x:v>
      </x:c>
      <x:c r="H27" s="627" t="n">
        <x:v>620054.15</x:v>
      </x:c>
      <x:c r="I27" s="627" t="n">
        <x:v>326455.64</x:v>
      </x:c>
      <x:c r="J27" s="627" t="n">
        <x:v>77296.09</x:v>
      </x:c>
      <x:c r="K27" s="627" t="n">
        <x:v>2815.34</x:v>
      </x:c>
      <x:c r="L27" s="627" t="n">
        <x:v>0</x:v>
      </x:c>
      <x:c r="M27" s="627" t="n">
        <x:v>24695.93</x:v>
      </x:c>
      <x:c r="N27" s="627" t="n">
        <x:v>31713.91</x:v>
      </x:c>
      <x:c r="O27" s="627" t="n">
        <x:v>147438.86</x:v>
      </x:c>
      <x:c r="P27" s="627" t="n">
        <x:v>3008677.22</x:v>
      </x:c>
      <x:c r="Q27" s="627" t="n">
        <x:v>4593.42</x:v>
      </x:c>
      <x:c r="R27" s="627" t="n">
        <x:v>0</x:v>
      </x:c>
      <x:c r="S27" s="627" t="n">
        <x:v>0</x:v>
      </x:c>
      <x:c r="T27" s="627" t="n">
        <x:v>0</x:v>
      </x:c>
      <x:c r="U27" s="627">
        <x:v>0</x:v>
      </x:c>
      <x:c r="V27" s="627">
        <x:v>0</x:v>
      </x:c>
      <x:c r="W27" s="627">
        <x:v>0</x:v>
      </x:c>
      <x:c r="X27" s="627">
        <x:v>0</x:v>
      </x:c>
      <x:c r="Y27" s="627">
        <x:v>0</x:v>
      </x:c>
      <x:c r="Z27" s="627">
        <x:v>0</x:v>
      </x:c>
      <x:c r="BN27" s="624"/>
    </x:row>
    <x:row r="28" spans="1:66" x14ac:dyDescent="0.25">
      <x:c r="A28"/>
      <x:c r="B28"/>
      <x:c r="C28" s="625"/>
      <x:c r="D28" s="625" t="inlineStr">
        <x:is>
          <x:t>T</x:t>
        </x:is>
      </x:c>
      <x:c r="E28" s="25" t="inlineStr">
        <x:is>
          <x:t>Total</x:t>
        </x:is>
      </x:c>
      <x:c r="F28" s="627" t="n">
        <x:v>5341504.63</x:v>
      </x:c>
      <x:c r="G28" s="627" t="n">
        <x:v>1097764.07</x:v>
      </x:c>
      <x:c r="H28" s="627" t="n">
        <x:v>620054.15</x:v>
      </x:c>
      <x:c r="I28" s="627" t="n">
        <x:v>326455.64</x:v>
      </x:c>
      <x:c r="J28" s="627" t="n">
        <x:v>77296.09</x:v>
      </x:c>
      <x:c r="K28" s="627" t="n">
        <x:v>2815.34</x:v>
      </x:c>
      <x:c r="L28" s="627" t="n">
        <x:v>0</x:v>
      </x:c>
      <x:c r="M28" s="627" t="n">
        <x:v>24695.93</x:v>
      </x:c>
      <x:c r="N28" s="627" t="n">
        <x:v>31713.91</x:v>
      </x:c>
      <x:c r="O28" s="627" t="n">
        <x:v>147438.86</x:v>
      </x:c>
      <x:c r="P28" s="627" t="n">
        <x:v>3008677.22</x:v>
      </x:c>
      <x:c r="Q28" s="627" t="n">
        <x:v>4593.42</x:v>
      </x:c>
      <x:c r="R28" s="627" t="n">
        <x:v>0</x:v>
      </x:c>
      <x:c r="S28" s="627" t="n">
        <x:v>0</x:v>
      </x:c>
      <x:c r="T28" s="627" t="n">
        <x:v>0</x:v>
      </x:c>
      <x:c r="U28" s="627">
        <x:v>0</x:v>
      </x:c>
      <x:c r="V28" s="627">
        <x:v>0</x:v>
      </x:c>
      <x:c r="W28" s="627">
        <x:v>0</x:v>
      </x:c>
      <x:c r="X28" s="627">
        <x:v>0</x:v>
      </x:c>
      <x:c r="Y28" s="627">
        <x:v>0</x:v>
      </x:c>
      <x:c r="Z28" s="627">
        <x:v>0</x:v>
      </x:c>
      <x:c r="BN28" s="624"/>
    </x:row>
    <x:row r="29" spans="1:66" x14ac:dyDescent="0.25">
      <x:c r="A29"/>
      <x:c r="B29" s="625"/>
      <x:c r="C29" s="625" t="inlineStr">
        <x:is>
          <x:t>OCCIDENTE</x:t>
        </x:is>
      </x:c>
      <x:c r="D29" t="inlineStr">
        <x:is>
          <x:t>Total</x:t>
        </x:is>
      </x:c>
      <x:c r="E29" s="25"/>
      <x:c r="F29" s="627" t="n">
        <x:v>5341504.63</x:v>
      </x:c>
      <x:c r="G29" s="627" t="n">
        <x:v>1097764.07</x:v>
      </x:c>
      <x:c r="H29" s="627" t="n">
        <x:v>620054.15</x:v>
      </x:c>
      <x:c r="I29" s="627" t="n">
        <x:v>326455.64</x:v>
      </x:c>
      <x:c r="J29" s="627" t="n">
        <x:v>77296.09</x:v>
      </x:c>
      <x:c r="K29" s="627" t="n">
        <x:v>2815.34</x:v>
      </x:c>
      <x:c r="L29" s="627" t="n">
        <x:v>0</x:v>
      </x:c>
      <x:c r="M29" s="627" t="n">
        <x:v>24695.93</x:v>
      </x:c>
      <x:c r="N29" s="627" t="n">
        <x:v>31713.91</x:v>
      </x:c>
      <x:c r="O29" s="627" t="n">
        <x:v>147438.86</x:v>
      </x:c>
      <x:c r="P29" s="627" t="n">
        <x:v>3008677.22</x:v>
      </x:c>
      <x:c r="Q29" s="627" t="n">
        <x:v>4593.42</x:v>
      </x:c>
      <x:c r="R29" s="627" t="n">
        <x:v>0</x:v>
      </x:c>
      <x:c r="S29" s="627" t="n">
        <x:v>0</x:v>
      </x:c>
      <x:c r="T29" s="627" t="n">
        <x:v>0</x:v>
      </x:c>
      <x:c r="U29" s="627">
        <x:v>0</x:v>
      </x:c>
      <x:c r="V29" s="627">
        <x:v>0</x:v>
      </x:c>
      <x:c r="W29" s="627">
        <x:v>0</x:v>
      </x:c>
      <x:c r="X29" s="627">
        <x:v>0</x:v>
      </x:c>
      <x:c r="Y29" s="627">
        <x:v>0</x:v>
      </x:c>
      <x:c r="Z29" s="627">
        <x:v>0</x:v>
      </x:c>
      <x:c r="BN29" s="624"/>
    </x:row>
    <x:row r="30" spans="1:66" x14ac:dyDescent="0.25">
      <x:c r="A30"/>
      <x:c r="B30" t="inlineStr">
        <x:is>
          <x:t>Aplicacion nuevos x reversion</x:t>
        </x:is>
      </x:c>
      <x:c r="C30" s="625" t="inlineStr">
        <x:is>
          <x:t>Total</x:t>
        </x:is>
      </x:c>
      <x:c r="D30" s="625"/>
      <x:c r="E30" s="25"/>
      <x:c r="F30" s="627" t="n">
        <x:v>5341504.63</x:v>
      </x:c>
      <x:c r="G30" s="627" t="n">
        <x:v>1097764.07</x:v>
      </x:c>
      <x:c r="H30" s="627" t="n">
        <x:v>620054.15</x:v>
      </x:c>
      <x:c r="I30" s="627" t="n">
        <x:v>326455.64</x:v>
      </x:c>
      <x:c r="J30" s="627" t="n">
        <x:v>77296.09</x:v>
      </x:c>
      <x:c r="K30" s="627" t="n">
        <x:v>2815.34</x:v>
      </x:c>
      <x:c r="L30" s="627" t="n">
        <x:v>0</x:v>
      </x:c>
      <x:c r="M30" s="627" t="n">
        <x:v>24695.93</x:v>
      </x:c>
      <x:c r="N30" s="627" t="n">
        <x:v>31713.91</x:v>
      </x:c>
      <x:c r="O30" s="627" t="n">
        <x:v>147438.86</x:v>
      </x:c>
      <x:c r="P30" s="627" t="n">
        <x:v>3008677.22</x:v>
      </x:c>
      <x:c r="Q30" s="627" t="n">
        <x:v>4593.42</x:v>
      </x:c>
      <x:c r="R30" s="627" t="n">
        <x:v>0</x:v>
      </x:c>
      <x:c r="S30" s="627" t="n">
        <x:v>0</x:v>
      </x:c>
      <x:c r="T30" s="627" t="n">
        <x:v>0</x:v>
      </x:c>
      <x:c r="U30" s="627">
        <x:v>0</x:v>
      </x:c>
      <x:c r="V30" s="627">
        <x:v>0</x:v>
      </x:c>
      <x:c r="W30" s="627">
        <x:v>0</x:v>
      </x:c>
      <x:c r="X30" s="627">
        <x:v>0</x:v>
      </x:c>
      <x:c r="Y30" s="627">
        <x:v>0</x:v>
      </x:c>
      <x:c r="Z30" s="627">
        <x:v>0</x:v>
      </x:c>
      <x:c r="BN30" s="624"/>
    </x:row>
    <x:row r="31" spans="1:66" x14ac:dyDescent="0.25">
      <x:c r="A31" s="631"/>
      <x:c r="B31" s="631"/>
      <x:c r="C31" s="632"/>
      <x:c r="D31" s="632"/>
      <x:c r="E31" s="631" t="inlineStr">
        <x:is>
          <x:t>Subsidio(-)/Contribucion(+)</x:t>
        </x:is>
      </x:c>
      <x:c r="F31" s="633" t="n">
        <x:v>-2909727085.3</x:v>
      </x:c>
      <x:c r="G31" s="633" t="n">
        <x:v>-71434201.25</x:v>
      </x:c>
      <x:c r="H31" s="633" t="n">
        <x:v>-40271750.79</x:v>
      </x:c>
      <x:c r="I31" s="633" t="n">
        <x:v>-21151234.06</x:v>
      </x:c>
      <x:c r="J31" s="633" t="n">
        <x:v>-851080477.97</x:v>
      </x:c>
      <x:c r="K31" s="633" t="n">
        <x:v>-28933266.9</x:v>
      </x:c>
      <x:c r="L31" s="633" t="n">
        <x:v>0</x:v>
      </x:c>
      <x:c r="M31" s="633" t="n">
        <x:v>-253940175.32</x:v>
      </x:c>
      <x:c r="N31" s="633" t="n">
        <x:v>-244817632.72</x:v>
      </x:c>
      <x:c r="O31" s="633" t="n">
        <x:v>-1159313569.18</x:v>
      </x:c>
      <x:c r="P31" s="633" t="n">
        <x:v>-191580280.34</x:v>
      </x:c>
      <x:c r="Q31" s="633" t="n">
        <x:v>-47204496.77</x:v>
      </x:c>
      <x:c r="R31" s="633" t="n">
        <x:v>0</x:v>
      </x:c>
      <x:c r="S31" s="633" t="n">
        <x:v>0</x:v>
      </x:c>
      <x:c r="T31" s="633" t="n">
        <x:v>0</x:v>
      </x:c>
      <x:c r="U31" s="633">
        <x:v>0</x:v>
      </x:c>
      <x:c r="V31" s="633">
        <x:v>0</x:v>
      </x:c>
      <x:c r="W31" s="633">
        <x:v>0</x:v>
      </x:c>
      <x:c r="X31" s="633">
        <x:v>0</x:v>
      </x:c>
      <x:c r="Y31" s="633">
        <x:v>0</x:v>
      </x:c>
      <x:c r="Z31" s="633">
        <x:v>0</x:v>
      </x:c>
      <x:c r="AA31" s="631"/>
      <x:c r="AB31" s="631"/>
      <x:c r="AC31" s="631"/>
      <x:c r="AD31" s="631"/>
      <x:c r="AE31" s="631"/>
      <x:c r="AF31" s="631"/>
      <x:c r="AG31" s="631"/>
      <x:c r="AH31" s="631"/>
      <x:c r="AI31" s="631"/>
      <x:c r="AJ31" s="631"/>
      <x:c r="AK31" s="631"/>
      <x:c r="AL31" s="631"/>
      <x:c r="AM31" s="631"/>
      <x:c r="AN31" s="631"/>
      <x:c r="AO31" s="631"/>
      <x:c r="AP31" s="631"/>
      <x:c r="AQ31" s="631"/>
      <x:c r="AR31" s="631"/>
      <x:c r="AS31" s="631"/>
      <x:c r="AT31" s="631"/>
      <x:c r="AU31" s="631"/>
      <x:c r="AV31" s="631"/>
      <x:c r="AW31" s="631"/>
      <x:c r="AX31" s="631"/>
      <x:c r="AY31" s="631"/>
      <x:c r="AZ31" s="631"/>
      <x:c r="BA31" s="631"/>
      <x:c r="BB31" s="631"/>
      <x:c r="BC31" s="631"/>
      <x:c r="BD31" s="631"/>
      <x:c r="BE31" s="631"/>
      <x:c r="BF31" s="631"/>
      <x:c r="BG31" s="631"/>
      <x:c r="BH31" s="631"/>
      <x:c r="BI31" s="631"/>
      <x:c r="BJ31" s="631"/>
      <x:c r="BK31" s="631"/>
      <x:c r="BL31" s="631"/>
      <x:c r="BM31" s="631"/>
      <x:c r="BN31" s="624"/>
    </x:row>
    <x:row r="32" spans="1:66" x14ac:dyDescent="0.25">
      <x:c r="A32" s="638"/>
      <x:c r="B32" s="639"/>
      <x:c r="C32" s="639"/>
      <x:c r="D32" s="638" t="inlineStr">
        <x:is>
          <x:t>E</x:t>
        </x:is>
      </x:c>
      <x:c r="E32" s="638" t="inlineStr">
        <x:is>
          <x:t>Total</x:t>
        </x:is>
      </x:c>
      <x:c r="F32" s="640" t="n">
        <x:v>-2909727085.3</x:v>
      </x:c>
      <x:c r="G32" s="640" t="n">
        <x:v>-71434201.25</x:v>
      </x:c>
      <x:c r="H32" s="640" t="n">
        <x:v>-40271750.79</x:v>
      </x:c>
      <x:c r="I32" s="640" t="n">
        <x:v>-21151234.06</x:v>
      </x:c>
      <x:c r="J32" s="640" t="n">
        <x:v>-851080477.97</x:v>
      </x:c>
      <x:c r="K32" s="640" t="n">
        <x:v>-28933266.9</x:v>
      </x:c>
      <x:c r="L32" s="640" t="n">
        <x:v>0</x:v>
      </x:c>
      <x:c r="M32" s="640" t="n">
        <x:v>-253940175.32</x:v>
      </x:c>
      <x:c r="N32" s="640" t="n">
        <x:v>-244817632.72</x:v>
      </x:c>
      <x:c r="O32" s="640" t="n">
        <x:v>-1159313569.18</x:v>
      </x:c>
      <x:c r="P32" s="640" t="n">
        <x:v>-191580280.34</x:v>
      </x:c>
      <x:c r="Q32" s="640" t="n">
        <x:v>-47204496.77</x:v>
      </x:c>
      <x:c r="R32" s="640" t="n">
        <x:v>0</x:v>
      </x:c>
      <x:c r="S32" s="640" t="n">
        <x:v>0</x:v>
      </x:c>
      <x:c r="T32" s="640" t="n">
        <x:v>0</x:v>
      </x:c>
      <x:c r="U32" s="640">
        <x:v>0</x:v>
      </x:c>
      <x:c r="V32" s="640">
        <x:v>0</x:v>
      </x:c>
      <x:c r="W32" s="640">
        <x:v>0</x:v>
      </x:c>
      <x:c r="X32" s="640">
        <x:v>0</x:v>
      </x:c>
      <x:c r="Y32" s="640">
        <x:v>0</x:v>
      </x:c>
      <x:c r="Z32" s="640">
        <x:v>0</x:v>
      </x:c>
      <x:c r="AA32" s="638"/>
      <x:c r="AB32" s="638"/>
      <x:c r="AC32" s="638"/>
      <x:c r="AD32" s="638"/>
      <x:c r="AE32" s="638"/>
      <x:c r="AF32" s="638"/>
      <x:c r="AG32" s="638"/>
      <x:c r="AH32" s="638"/>
      <x:c r="AI32" s="638"/>
      <x:c r="AJ32" s="638"/>
      <x:c r="AK32" s="638"/>
      <x:c r="AL32" s="638"/>
      <x:c r="AM32" s="638"/>
      <x:c r="AN32" s="638"/>
      <x:c r="AO32" s="638"/>
      <x:c r="AP32" s="638"/>
      <x:c r="AQ32" s="638"/>
      <x:c r="AR32" s="638"/>
      <x:c r="AS32" s="638"/>
      <x:c r="AT32" s="638"/>
      <x:c r="AU32" s="638"/>
      <x:c r="AV32" s="638"/>
      <x:c r="AW32" s="638"/>
      <x:c r="AX32" s="638"/>
      <x:c r="AY32" s="638"/>
      <x:c r="AZ32" s="638"/>
      <x:c r="BA32" s="638"/>
      <x:c r="BB32" s="638"/>
      <x:c r="BC32" s="638"/>
      <x:c r="BD32" s="638"/>
      <x:c r="BE32" s="638"/>
      <x:c r="BF32" s="638"/>
      <x:c r="BG32" s="638"/>
      <x:c r="BH32" s="638"/>
      <x:c r="BI32" s="638"/>
      <x:c r="BJ32" s="638"/>
      <x:c r="BK32" s="638"/>
      <x:c r="BL32" s="638"/>
      <x:c r="BM32" s="638"/>
      <x:c r="BN32" s="624"/>
    </x:row>
    <x:row r="33" spans="1:66" x14ac:dyDescent="0.25">
      <x:c r="A33" s="25"/>
      <x:c r="B33" s="25"/>
      <x:c r="C33" t="inlineStr">
        <x:is>
          <x:t>ENEL</x:t>
        </x:is>
      </x:c>
      <x:c r="D33" t="inlineStr">
        <x:is>
          <x:t>Total</x:t>
        </x:is>
      </x:c>
      <x:c r="E33" s="625"/>
      <x:c r="F33" s="627" t="n">
        <x:v>-2909727085.3</x:v>
      </x:c>
      <x:c r="G33" s="627" t="n">
        <x:v>-71434201.25</x:v>
      </x:c>
      <x:c r="H33" s="627" t="n">
        <x:v>-40271750.79</x:v>
      </x:c>
      <x:c r="I33" s="627" t="n">
        <x:v>-21151234.06</x:v>
      </x:c>
      <x:c r="J33" s="627" t="n">
        <x:v>-851080477.97</x:v>
      </x:c>
      <x:c r="K33" s="627" t="n">
        <x:v>-28933266.9</x:v>
      </x:c>
      <x:c r="L33" s="627" t="n">
        <x:v>0</x:v>
      </x:c>
      <x:c r="M33" s="627" t="n">
        <x:v>-253940175.32</x:v>
      </x:c>
      <x:c r="N33" s="627" t="n">
        <x:v>-244817632.72</x:v>
      </x:c>
      <x:c r="O33" s="627" t="n">
        <x:v>-1159313569.18</x:v>
      </x:c>
      <x:c r="P33" s="627" t="n">
        <x:v>-191580280.34</x:v>
      </x:c>
      <x:c r="Q33" s="627" t="n">
        <x:v>-47204496.77</x:v>
      </x:c>
      <x:c r="R33" s="627" t="n">
        <x:v>0</x:v>
      </x:c>
      <x:c r="S33" s="627" t="n">
        <x:v>0</x:v>
      </x:c>
      <x:c r="T33" s="627" t="n">
        <x:v>0</x:v>
      </x:c>
      <x:c r="U33" s="627">
        <x:v>0</x:v>
      </x:c>
      <x:c r="V33" s="627">
        <x:v>0</x:v>
      </x:c>
      <x:c r="W33" s="627">
        <x:v>0</x:v>
      </x:c>
      <x:c r="X33" s="627">
        <x:v>0</x:v>
      </x:c>
      <x:c r="Y33" s="627">
        <x:v>0</x:v>
      </x:c>
      <x:c r="Z33" s="627">
        <x:v>0</x:v>
      </x:c>
      <x:c r="BN33" s="624"/>
    </x:row>
    <x:row r="34" spans="1:66" x14ac:dyDescent="0.25">
      <x:c r="A34"/>
      <x:c r="B34"/>
      <x:c r="C34"/>
      <x:c r="D34"/>
      <x:c r="E34" s="625" t="inlineStr">
        <x:is>
          <x:t>Subsidio(-)/Contribucion(+)</x:t>
        </x:is>
      </x:c>
      <x:c r="F34" s="627" t="n">
        <x:v>6544837.17</x:v>
      </x:c>
      <x:c r="G34" s="627" t="n">
        <x:v>1138624.21</x:v>
      </x:c>
      <x:c r="H34" s="627" t="n">
        <x:v>635941.02</x:v>
      </x:c>
      <x:c r="I34" s="627" t="n">
        <x:v>334662.94</x:v>
      </x:c>
      <x:c r="J34" s="627" t="n">
        <x:v>575474.01</x:v>
      </x:c>
      <x:c r="K34" s="627" t="n">
        <x:v>3731.32</x:v>
      </x:c>
      <x:c r="L34" s="627" t="n">
        <x:v>0</x:v>
      </x:c>
      <x:c r="M34" s="627" t="n">
        <x:v>34025.38</x:v>
      </x:c>
      <x:c r="N34" s="627" t="n">
        <x:v>125376.87</x:v>
      </x:c>
      <x:c r="O34" s="627" t="n">
        <x:v>588048.51</x:v>
      </x:c>
      <x:c r="P34" s="627" t="n">
        <x:v>3102866.16</x:v>
      </x:c>
      <x:c r="Q34" s="627" t="n">
        <x:v>6086.75</x:v>
      </x:c>
      <x:c r="R34" s="627" t="n">
        <x:v>0</x:v>
      </x:c>
      <x:c r="S34" s="627" t="n">
        <x:v>0</x:v>
      </x:c>
      <x:c r="T34" s="627" t="n">
        <x:v>0</x:v>
      </x:c>
      <x:c r="U34" s="627">
        <x:v>0</x:v>
      </x:c>
      <x:c r="V34" s="627">
        <x:v>0</x:v>
      </x:c>
      <x:c r="W34" s="627">
        <x:v>0</x:v>
      </x:c>
      <x:c r="X34" s="627">
        <x:v>0</x:v>
      </x:c>
      <x:c r="Y34" s="627">
        <x:v>0</x:v>
      </x:c>
      <x:c r="Z34" s="627">
        <x:v>0</x:v>
      </x:c>
      <x:c r="BN34" s="624"/>
    </x:row>
    <x:row r="35" spans="1:66" x14ac:dyDescent="0.25">
      <x:c r="A35"/>
      <x:c r="B35"/>
      <x:c r="C35"/>
      <x:c r="D35" s="25" t="inlineStr">
        <x:is>
          <x:t>H</x:t>
        </x:is>
      </x:c>
      <x:c r="E35" s="625" t="inlineStr">
        <x:is>
          <x:t>Total</x:t>
        </x:is>
      </x:c>
      <x:c r="F35" s="627" t="n">
        <x:v>6544837.17</x:v>
      </x:c>
      <x:c r="G35" s="627" t="n">
        <x:v>1138624.21</x:v>
      </x:c>
      <x:c r="H35" s="627" t="n">
        <x:v>635941.02</x:v>
      </x:c>
      <x:c r="I35" s="627" t="n">
        <x:v>334662.94</x:v>
      </x:c>
      <x:c r="J35" s="627" t="n">
        <x:v>575474.01</x:v>
      </x:c>
      <x:c r="K35" s="627" t="n">
        <x:v>3731.32</x:v>
      </x:c>
      <x:c r="L35" s="627" t="n">
        <x:v>0</x:v>
      </x:c>
      <x:c r="M35" s="627" t="n">
        <x:v>34025.38</x:v>
      </x:c>
      <x:c r="N35" s="627" t="n">
        <x:v>125376.87</x:v>
      </x:c>
      <x:c r="O35" s="627" t="n">
        <x:v>588048.51</x:v>
      </x:c>
      <x:c r="P35" s="627" t="n">
        <x:v>3102866.16</x:v>
      </x:c>
      <x:c r="Q35" s="627" t="n">
        <x:v>6086.75</x:v>
      </x:c>
      <x:c r="R35" s="627" t="n">
        <x:v>0</x:v>
      </x:c>
      <x:c r="S35" s="627" t="n">
        <x:v>0</x:v>
      </x:c>
      <x:c r="T35" s="627" t="n">
        <x:v>0</x:v>
      </x:c>
      <x:c r="U35" s="627">
        <x:v>0</x:v>
      </x:c>
      <x:c r="V35" s="627">
        <x:v>0</x:v>
      </x:c>
      <x:c r="W35" s="627">
        <x:v>0</x:v>
      </x:c>
      <x:c r="X35" s="627">
        <x:v>0</x:v>
      </x:c>
      <x:c r="Y35" s="627">
        <x:v>0</x:v>
      </x:c>
      <x:c r="Z35" s="627">
        <x:v>0</x:v>
      </x:c>
      <x:c r="BN35" s="624"/>
    </x:row>
    <x:row r="36" spans="1:66" x14ac:dyDescent="0.25">
      <x:c r="A36" s="628"/>
      <x:c r="B36" s="628"/>
      <x:c r="C36" s="628"/>
      <x:c r="D36" s="628"/>
      <x:c r="E36" s="629" t="inlineStr">
        <x:is>
          <x:t>Subsidio(-)/Contribucion(+)</x:t>
        </x:is>
      </x:c>
      <x:c r="F36" s="630" t="n">
        <x:v>4991152.44</x:v>
      </x:c>
      <x:c r="G36" s="630" t="n">
        <x:v>1838282.8</x:v>
      </x:c>
      <x:c r="H36" s="630" t="n">
        <x:v>703264.52</x:v>
      </x:c>
      <x:c r="I36" s="630" t="n">
        <x:v>369579.31</x:v>
      </x:c>
      <x:c r="J36" s="630" t="n">
        <x:v>-596884.46</x:v>
      </x:c>
      <x:c r="K36" s="630" t="n">
        <x:v>-26041.38</x:v>
      </x:c>
      <x:c r="L36" s="630" t="n">
        <x:v>0</x:v>
      </x:c>
      <x:c r="M36" s="630" t="n">
        <x:v>-227782.49</x:v>
      </x:c>
      <x:c r="N36" s="630" t="n">
        <x:v>-105769.99</x:v>
      </x:c>
      <x:c r="O36" s="630" t="n">
        <x:v>-532864.03</x:v>
      </x:c>
      <x:c r="P36" s="630" t="n">
        <x:v>3611859.26</x:v>
      </x:c>
      <x:c r="Q36" s="630" t="n">
        <x:v>-42491.1</x:v>
      </x:c>
      <x:c r="R36" s="630" t="n">
        <x:v>0</x:v>
      </x:c>
      <x:c r="S36" s="630" t="n">
        <x:v>0</x:v>
      </x:c>
      <x:c r="T36" s="630" t="n">
        <x:v>0</x:v>
      </x:c>
      <x:c r="U36" s="630">
        <x:v>0</x:v>
      </x:c>
      <x:c r="V36" s="630">
        <x:v>0</x:v>
      </x:c>
      <x:c r="W36" s="630">
        <x:v>0</x:v>
      </x:c>
      <x:c r="X36" s="630">
        <x:v>0</x:v>
      </x:c>
      <x:c r="Y36" s="630">
        <x:v>0</x:v>
      </x:c>
      <x:c r="Z36" s="630">
        <x:v>0</x:v>
      </x:c>
      <x:c r="AA36" s="628"/>
      <x:c r="AB36" s="628"/>
      <x:c r="AC36" s="628"/>
      <x:c r="AD36" s="628"/>
      <x:c r="AE36" s="628"/>
      <x:c r="AF36" s="628"/>
      <x:c r="AG36" s="628"/>
      <x:c r="AH36" s="628"/>
      <x:c r="AI36" s="628"/>
      <x:c r="AJ36" s="628"/>
      <x:c r="AK36" s="628"/>
      <x:c r="AL36" s="628"/>
      <x:c r="AM36" s="628"/>
      <x:c r="AN36" s="628"/>
      <x:c r="AO36" s="628"/>
      <x:c r="AP36" s="628"/>
      <x:c r="AQ36" s="628"/>
      <x:c r="AR36" s="628"/>
      <x:c r="AS36" s="628"/>
      <x:c r="AT36" s="628"/>
      <x:c r="AU36" s="628"/>
      <x:c r="AV36" s="628"/>
      <x:c r="AW36" s="628"/>
      <x:c r="AX36" s="628"/>
      <x:c r="AY36" s="628"/>
      <x:c r="AZ36" s="628"/>
      <x:c r="BA36" s="628"/>
      <x:c r="BB36" s="628"/>
      <x:c r="BC36" s="628"/>
      <x:c r="BD36" s="628"/>
      <x:c r="BE36" s="628"/>
      <x:c r="BF36" s="628"/>
      <x:c r="BG36" s="628"/>
      <x:c r="BH36" s="628"/>
      <x:c r="BI36" s="628"/>
      <x:c r="BJ36" s="628"/>
      <x:c r="BK36" s="628"/>
      <x:c r="BL36" s="628"/>
      <x:c r="BM36" s="628"/>
      <x:c r="BN36" s="624"/>
    </x:row>
    <x:row r="37" spans="1:66" x14ac:dyDescent="0.25">
      <x:c r="A37" s="635"/>
      <x:c r="B37" s="635"/>
      <x:c r="C37" s="635"/>
      <x:c r="D37" s="635" t="inlineStr">
        <x:is>
          <x:t>O</x:t>
        </x:is>
      </x:c>
      <x:c r="E37" s="636" t="inlineStr">
        <x:is>
          <x:t>Total</x:t>
        </x:is>
      </x:c>
      <x:c r="F37" s="637" t="n">
        <x:v>4991152.44</x:v>
      </x:c>
      <x:c r="G37" s="637" t="n">
        <x:v>1838282.8</x:v>
      </x:c>
      <x:c r="H37" s="637" t="n">
        <x:v>703264.52</x:v>
      </x:c>
      <x:c r="I37" s="637" t="n">
        <x:v>369579.31</x:v>
      </x:c>
      <x:c r="J37" s="637" t="n">
        <x:v>-596884.46</x:v>
      </x:c>
      <x:c r="K37" s="637" t="n">
        <x:v>-26041.38</x:v>
      </x:c>
      <x:c r="L37" s="637" t="n">
        <x:v>0</x:v>
      </x:c>
      <x:c r="M37" s="637" t="n">
        <x:v>-227782.49</x:v>
      </x:c>
      <x:c r="N37" s="637" t="n">
        <x:v>-105769.99</x:v>
      </x:c>
      <x:c r="O37" s="637" t="n">
        <x:v>-532864.03</x:v>
      </x:c>
      <x:c r="P37" s="637" t="n">
        <x:v>3611859.26</x:v>
      </x:c>
      <x:c r="Q37" s="637" t="n">
        <x:v>-42491.1</x:v>
      </x:c>
      <x:c r="R37" s="637" t="n">
        <x:v>0</x:v>
      </x:c>
      <x:c r="S37" s="637" t="n">
        <x:v>0</x:v>
      </x:c>
      <x:c r="T37" s="637" t="n">
        <x:v>0</x:v>
      </x:c>
      <x:c r="U37" s="637">
        <x:v>0</x:v>
      </x:c>
      <x:c r="V37" s="637">
        <x:v>0</x:v>
      </x:c>
      <x:c r="W37" s="637">
        <x:v>0</x:v>
      </x:c>
      <x:c r="X37" s="637">
        <x:v>0</x:v>
      </x:c>
      <x:c r="Y37" s="637">
        <x:v>0</x:v>
      </x:c>
      <x:c r="Z37" s="637">
        <x:v>0</x:v>
      </x:c>
      <x:c r="AA37" s="635"/>
      <x:c r="AB37" s="635"/>
      <x:c r="AC37" s="635"/>
      <x:c r="AD37" s="635"/>
      <x:c r="AE37" s="635"/>
      <x:c r="AF37" s="635"/>
      <x:c r="AG37" s="635"/>
      <x:c r="AH37" s="635"/>
      <x:c r="AI37" s="635"/>
      <x:c r="AJ37" s="635"/>
      <x:c r="AK37" s="635"/>
      <x:c r="AL37" s="635"/>
      <x:c r="AM37" s="635"/>
      <x:c r="AN37" s="635"/>
      <x:c r="AO37" s="635"/>
      <x:c r="AP37" s="635"/>
      <x:c r="AQ37" s="635"/>
      <x:c r="AR37" s="635"/>
      <x:c r="AS37" s="635"/>
      <x:c r="AT37" s="635"/>
      <x:c r="AU37" s="635"/>
      <x:c r="AV37" s="635"/>
      <x:c r="AW37" s="635"/>
      <x:c r="AX37" s="635"/>
      <x:c r="AY37" s="635"/>
      <x:c r="AZ37" s="635"/>
      <x:c r="BA37" s="635"/>
      <x:c r="BB37" s="635"/>
      <x:c r="BC37" s="635"/>
      <x:c r="BD37" s="635"/>
      <x:c r="BE37" s="635"/>
      <x:c r="BF37" s="635"/>
      <x:c r="BG37" s="635"/>
      <x:c r="BH37" s="635"/>
      <x:c r="BI37" s="635"/>
      <x:c r="BJ37" s="635"/>
      <x:c r="BK37" s="635"/>
      <x:c r="BL37" s="635"/>
      <x:c r="BM37" s="635"/>
      <x:c r="BN37" s="624"/>
    </x:row>
    <x:row r="38" spans="1:66" x14ac:dyDescent="0.25">
      <x:c r="A38"/>
      <x:c r="B38"/>
      <x:c r="C38"/>
      <x:c r="D38"/>
      <x:c r="E38" s="625" t="inlineStr">
        <x:is>
          <x:t>Subsidio(-)/Contribucion(+)</x:t>
        </x:is>
      </x:c>
      <x:c r="F38" s="627" t="n">
        <x:v>70930318.88</x:v>
      </x:c>
      <x:c r="G38" s="627" t="n">
        <x:v>13105075.79</x:v>
      </x:c>
      <x:c r="H38" s="627" t="n">
        <x:v>7318853</x:v>
      </x:c>
      <x:c r="I38" s="627" t="n">
        <x:v>3844097.56</x:v>
      </x:c>
      <x:c r="J38" s="627" t="n">
        <x:v>3676388.65</x:v>
      </x:c>
      <x:c r="K38" s="627" t="n">
        <x:v>77320.12</x:v>
      </x:c>
      <x:c r="L38" s="627" t="n">
        <x:v>0</x:v>
      </x:c>
      <x:c r="M38" s="627" t="n">
        <x:v>692817.17</x:v>
      </x:c>
      <x:c r="N38" s="627" t="n">
        <x:v>1177808.51</x:v>
      </x:c>
      <x:c r="O38" s="627" t="n">
        <x:v>5457053.53</x:v>
      </x:c>
      <x:c r="P38" s="627" t="n">
        <x:v>35454664.02</x:v>
      </x:c>
      <x:c r="Q38" s="627" t="n">
        <x:v>126240.53</x:v>
      </x:c>
      <x:c r="R38" s="627" t="n">
        <x:v>0</x:v>
      </x:c>
      <x:c r="S38" s="627" t="n">
        <x:v>0</x:v>
      </x:c>
      <x:c r="T38" s="627" t="n">
        <x:v>0</x:v>
      </x:c>
      <x:c r="U38" s="627">
        <x:v>0</x:v>
      </x:c>
      <x:c r="V38" s="627">
        <x:v>0</x:v>
      </x:c>
      <x:c r="W38" s="627">
        <x:v>0</x:v>
      </x:c>
      <x:c r="X38" s="627">
        <x:v>0</x:v>
      </x:c>
      <x:c r="Y38" s="627">
        <x:v>0</x:v>
      </x:c>
      <x:c r="Z38" s="627">
        <x:v>0</x:v>
      </x:c>
      <x:c r="BN38" s="624"/>
    </x:row>
    <x:row r="39" spans="1:66" x14ac:dyDescent="0.25">
      <x:c r="A39"/>
      <x:c r="B39"/>
      <x:c r="C39"/>
      <x:c r="D39" s="25" t="inlineStr">
        <x:is>
          <x:t>T</x:t>
        </x:is>
      </x:c>
      <x:c r="E39" s="625" t="inlineStr">
        <x:is>
          <x:t>Total</x:t>
        </x:is>
      </x:c>
      <x:c r="F39" s="627" t="n">
        <x:v>70930318.88</x:v>
      </x:c>
      <x:c r="G39" s="627" t="n">
        <x:v>13105075.79</x:v>
      </x:c>
      <x:c r="H39" s="627" t="n">
        <x:v>7318853</x:v>
      </x:c>
      <x:c r="I39" s="627" t="n">
        <x:v>3844097.56</x:v>
      </x:c>
      <x:c r="J39" s="627" t="n">
        <x:v>3676388.65</x:v>
      </x:c>
      <x:c r="K39" s="627" t="n">
        <x:v>77320.12</x:v>
      </x:c>
      <x:c r="L39" s="627" t="n">
        <x:v>0</x:v>
      </x:c>
      <x:c r="M39" s="627" t="n">
        <x:v>692817.17</x:v>
      </x:c>
      <x:c r="N39" s="627" t="n">
        <x:v>1177808.51</x:v>
      </x:c>
      <x:c r="O39" s="627" t="n">
        <x:v>5457053.53</x:v>
      </x:c>
      <x:c r="P39" s="627" t="n">
        <x:v>35454664.02</x:v>
      </x:c>
      <x:c r="Q39" s="627" t="n">
        <x:v>126240.53</x:v>
      </x:c>
      <x:c r="R39" s="627" t="n">
        <x:v>0</x:v>
      </x:c>
      <x:c r="S39" s="627" t="n">
        <x:v>0</x:v>
      </x:c>
      <x:c r="T39" s="627" t="n">
        <x:v>0</x:v>
      </x:c>
      <x:c r="U39" s="627">
        <x:v>0</x:v>
      </x:c>
      <x:c r="V39" s="627">
        <x:v>0</x:v>
      </x:c>
      <x:c r="W39" s="627">
        <x:v>0</x:v>
      </x:c>
      <x:c r="X39" s="627">
        <x:v>0</x:v>
      </x:c>
      <x:c r="Y39" s="627">
        <x:v>0</x:v>
      </x:c>
      <x:c r="Z39" s="627">
        <x:v>0</x:v>
      </x:c>
      <x:c r="BN39" s="624"/>
    </x:row>
    <x:row r="40" spans="1:66" x14ac:dyDescent="0.25">
      <x:c r="A40" s="628"/>
      <x:c r="B40" s="628"/>
      <x:c r="C40" s="628" t="inlineStr">
        <x:is>
          <x:t>OCCIDENTE</x:t>
        </x:is>
      </x:c>
      <x:c r="D40" s="628" t="inlineStr">
        <x:is>
          <x:t>Total</x:t>
        </x:is>
      </x:c>
      <x:c r="E40" s="629"/>
      <x:c r="F40" s="630" t="n">
        <x:v>82466308.49</x:v>
      </x:c>
      <x:c r="G40" s="630" t="n">
        <x:v>16081982.8</x:v>
      </x:c>
      <x:c r="H40" s="630" t="n">
        <x:v>8658058.54</x:v>
      </x:c>
      <x:c r="I40" s="630" t="n">
        <x:v>4548339.81</x:v>
      </x:c>
      <x:c r="J40" s="630" t="n">
        <x:v>3654978.2</x:v>
      </x:c>
      <x:c r="K40" s="630" t="n">
        <x:v>55010.06</x:v>
      </x:c>
      <x:c r="L40" s="630" t="n">
        <x:v>0</x:v>
      </x:c>
      <x:c r="M40" s="630" t="n">
        <x:v>499060.06</x:v>
      </x:c>
      <x:c r="N40" s="630" t="n">
        <x:v>1197415.39</x:v>
      </x:c>
      <x:c r="O40" s="630" t="n">
        <x:v>5512238.01</x:v>
      </x:c>
      <x:c r="P40" s="630" t="n">
        <x:v>42169389.44</x:v>
      </x:c>
      <x:c r="Q40" s="630" t="n">
        <x:v>89836.18</x:v>
      </x:c>
      <x:c r="R40" s="630" t="n">
        <x:v>0</x:v>
      </x:c>
      <x:c r="S40" s="630" t="n">
        <x:v>0</x:v>
      </x:c>
      <x:c r="T40" s="630" t="n">
        <x:v>0</x:v>
      </x:c>
      <x:c r="U40" s="630">
        <x:v>0</x:v>
      </x:c>
      <x:c r="V40" s="630">
        <x:v>0</x:v>
      </x:c>
      <x:c r="W40" s="630">
        <x:v>0</x:v>
      </x:c>
      <x:c r="X40" s="630">
        <x:v>0</x:v>
      </x:c>
      <x:c r="Y40" s="630">
        <x:v>0</x:v>
      </x:c>
      <x:c r="Z40" s="630">
        <x:v>0</x:v>
      </x:c>
      <x:c r="AA40" s="628"/>
      <x:c r="AB40" s="628"/>
      <x:c r="AC40" s="628"/>
      <x:c r="AD40" s="628"/>
      <x:c r="AE40" s="628"/>
      <x:c r="AF40" s="628"/>
      <x:c r="AG40" s="628"/>
      <x:c r="AH40" s="628"/>
      <x:c r="AI40" s="628"/>
      <x:c r="AJ40" s="628"/>
      <x:c r="AK40" s="628"/>
      <x:c r="AL40" s="628"/>
      <x:c r="AM40" s="628"/>
      <x:c r="AN40" s="628"/>
      <x:c r="AO40" s="628"/>
      <x:c r="AP40" s="628"/>
      <x:c r="AQ40" s="628"/>
      <x:c r="AR40" s="628"/>
      <x:c r="AS40" s="628"/>
      <x:c r="AT40" s="628"/>
      <x:c r="AU40" s="628"/>
      <x:c r="AV40" s="628"/>
      <x:c r="AW40" s="628"/>
      <x:c r="AX40" s="628"/>
      <x:c r="AY40" s="628"/>
      <x:c r="AZ40" s="628"/>
      <x:c r="BA40" s="628"/>
      <x:c r="BB40" s="628"/>
      <x:c r="BC40" s="628"/>
      <x:c r="BD40" s="628"/>
      <x:c r="BE40" s="628"/>
      <x:c r="BF40" s="628"/>
      <x:c r="BG40" s="628"/>
      <x:c r="BH40" s="628"/>
      <x:c r="BI40" s="628"/>
      <x:c r="BJ40" s="628"/>
      <x:c r="BK40" s="628"/>
      <x:c r="BL40" s="628"/>
      <x:c r="BM40" s="628"/>
      <x:c r="BN40" s="624"/>
    </x:row>
    <x:row r="41" spans="1:66" x14ac:dyDescent="0.25">
      <x:c r="A41"/>
      <x:c r="B41" t="inlineStr">
        <x:is>
          <x:t>Mes</x:t>
        </x:is>
      </x:c>
      <x:c r="C41" t="inlineStr">
        <x:is>
          <x:t>Total</x:t>
        </x:is>
      </x:c>
      <x:c r="D41" s="625"/>
      <x:c r="E41" s="625"/>
      <x:c r="F41" s="627" t="n">
        <x:v>-2827260776.81</x:v>
      </x:c>
      <x:c r="G41" s="627" t="n">
        <x:v>-55352218.45</x:v>
      </x:c>
      <x:c r="H41" s="627" t="n">
        <x:v>-31613692.25</x:v>
      </x:c>
      <x:c r="I41" s="627" t="n">
        <x:v>-16602894.25</x:v>
      </x:c>
      <x:c r="J41" s="627" t="n">
        <x:v>-847425499.77</x:v>
      </x:c>
      <x:c r="K41" s="627" t="n">
        <x:v>-28878256.84</x:v>
      </x:c>
      <x:c r="L41" s="627" t="n">
        <x:v>0</x:v>
      </x:c>
      <x:c r="M41" s="627" t="n">
        <x:v>-253441115.26</x:v>
      </x:c>
      <x:c r="N41" s="627" t="n">
        <x:v>-243620217.33</x:v>
      </x:c>
      <x:c r="O41" s="627" t="n">
        <x:v>-1153801331.17</x:v>
      </x:c>
      <x:c r="P41" s="627" t="n">
        <x:v>-149410890.9</x:v>
      </x:c>
      <x:c r="Q41" s="627" t="n">
        <x:v>-47114660.59</x:v>
      </x:c>
      <x:c r="R41" s="627" t="n">
        <x:v>0</x:v>
      </x:c>
      <x:c r="S41" s="627" t="n">
        <x:v>0</x:v>
      </x:c>
      <x:c r="T41" s="627" t="n">
        <x:v>0</x:v>
      </x:c>
      <x:c r="U41" s="627">
        <x:v>0</x:v>
      </x:c>
      <x:c r="V41" s="627">
        <x:v>0</x:v>
      </x:c>
      <x:c r="W41" s="627">
        <x:v>0</x:v>
      </x:c>
      <x:c r="X41" s="627">
        <x:v>0</x:v>
      </x:c>
      <x:c r="Y41" s="627">
        <x:v>0</x:v>
      </x:c>
      <x:c r="Z41" s="627">
        <x:v>0</x:v>
      </x:c>
      <x:c r="BN41" s="624"/>
    </x:row>
    <x:row r="42" spans="1:66" x14ac:dyDescent="0.25">
      <x:c r="A42" t="inlineStr">
        <x:is>
          <x:t>Subs/Cont</x:t>
        </x:is>
      </x:c>
      <x:c r="B42" t="inlineStr">
        <x:is>
          <x:t>Total</x:t>
        </x:is>
      </x:c>
      <x:c r="C42"/>
      <x:c r="D42" s="25"/>
      <x:c r="E42" s="625"/>
      <x:c r="F42" s="627" t="n">
        <x:v>-2821919272.18</x:v>
      </x:c>
      <x:c r="G42" s="627" t="n">
        <x:v>-54254454.38</x:v>
      </x:c>
      <x:c r="H42" s="627" t="n">
        <x:v>-30993638.1</x:v>
      </x:c>
      <x:c r="I42" s="627" t="n">
        <x:v>-16276438.61</x:v>
      </x:c>
      <x:c r="J42" s="627" t="n">
        <x:v>-847348203.68</x:v>
      </x:c>
      <x:c r="K42" s="627" t="n">
        <x:v>-28875441.5</x:v>
      </x:c>
      <x:c r="L42" s="627" t="n">
        <x:v>0</x:v>
      </x:c>
      <x:c r="M42" s="627" t="n">
        <x:v>-253416419.33</x:v>
      </x:c>
      <x:c r="N42" s="627" t="n">
        <x:v>-243588503.42</x:v>
      </x:c>
      <x:c r="O42" s="627" t="n">
        <x:v>-1153653892.31</x:v>
      </x:c>
      <x:c r="P42" s="627" t="n">
        <x:v>-146402213.68</x:v>
      </x:c>
      <x:c r="Q42" s="627" t="n">
        <x:v>-47110067.17</x:v>
      </x:c>
      <x:c r="R42" s="627" t="n">
        <x:v>0</x:v>
      </x:c>
      <x:c r="S42" s="627" t="n">
        <x:v>0</x:v>
      </x:c>
      <x:c r="T42" s="627" t="n">
        <x:v>0</x:v>
      </x:c>
      <x:c r="U42" s="627">
        <x:v>0</x:v>
      </x:c>
      <x:c r="V42" s="627">
        <x:v>0</x:v>
      </x:c>
      <x:c r="W42" s="627">
        <x:v>0</x:v>
      </x:c>
      <x:c r="X42" s="627">
        <x:v>0</x:v>
      </x:c>
      <x:c r="Y42" s="627">
        <x:v>0</x:v>
      </x:c>
      <x:c r="Z42" s="627">
        <x:v>0</x:v>
      </x:c>
      <x:c r="BN42" s="624"/>
    </x:row>
    <x:row r="43" spans="1:66" x14ac:dyDescent="0.25">
      <x:c r="A43" s="625" t="inlineStr">
        <x:is>
          <x:t>Total</x:t>
        </x:is>
      </x:c>
      <x:c r="B43"/>
      <x:c r="C43"/>
      <x:c r="D43"/>
      <x:c r="E43"/>
      <x:c r="F43" s="627" t="n">
        <x:v>16734199193.81</x:v>
      </x:c>
      <x:c r="G43" s="627" t="n">
        <x:v>932245098.06</x:v>
      </x:c>
      <x:c r="H43" s="627" t="n">
        <x:v>523537054.37</x:v>
      </x:c>
      <x:c r="I43" s="627" t="n">
        <x:v>275533996.36</x:v>
      </x:c>
      <x:c r="J43" s="627" t="n">
        <x:v>4023016707.74</x:v>
      </x:c>
      <x:c r="K43" s="627" t="n">
        <x:v>140044089.5</x:v>
      </x:c>
      <x:c r="L43" s="627" t="n">
        <x:v>18193739.24</x:v>
      </x:c>
      <x:c r="M43" s="627" t="n">
        <x:v>1229178212.34</x:v>
      </x:c>
      <x:c r="N43" s="627" t="n">
        <x:v>1190916083.61</x:v>
      </x:c>
      <x:c r="O43" s="627" t="n">
        <x:v>5633840760.56</x:v>
      </x:c>
      <x:c r="P43" s="627" t="n">
        <x:v>2539212370.78</x:v>
      </x:c>
      <x:c r="Q43" s="627" t="n">
        <x:v>228514594.97</x:v>
      </x:c>
      <x:c r="R43" s="627" t="n">
        <x:v>-33792.99</x:v>
      </x:c>
      <x:c r="S43" s="627" t="n">
        <x:v>-0.06</x:v>
      </x:c>
      <x:c r="T43" s="653" t="n">
        <x:v>279.33</x:v>
      </x:c>
      <x:c r="U43" s="653">
        <x:v>0</x:v>
      </x:c>
      <x:c r="V43" s="653">
        <x:v>0</x:v>
      </x:c>
      <x:c r="W43" s="653">
        <x:v>0</x:v>
      </x:c>
      <x:c r="X43" s="627">
        <x:v>0</x:v>
      </x:c>
      <x:c r="Y43" s="627">
        <x:v>0</x:v>
      </x:c>
      <x:c r="Z43" s="653">
        <x:v>0</x:v>
      </x:c>
      <x:c r="BN43" s="624"/>
    </x:row>
    <x:row r="44" spans="1:66" x14ac:dyDescent="0.25">
      <x:c r="A44" s="625"/>
      <x:c r="D44" s="641"/>
      <x:c r="E44" s="642"/>
      <x:c r="F44" s="627"/>
      <x:c r="G44" s="627"/>
      <x:c r="H44" s="627"/>
      <x:c r="I44" s="627"/>
      <x:c r="J44" s="627"/>
      <x:c r="K44" s="627"/>
      <x:c r="L44" s="627"/>
      <x:c r="M44" s="627"/>
      <x:c r="N44" s="627"/>
      <x:c r="O44" s="627"/>
      <x:c r="P44" s="627"/>
      <x:c r="Q44" s="627"/>
      <x:c r="R44" s="627"/>
      <x:c r="S44" s="627"/>
      <x:c r="X44" s="627"/>
      <x:c r="Y44" s="627"/>
      <x:c r="BN44" s="624"/>
    </x:row>
    <x:row r="45" spans="1:66" x14ac:dyDescent="0.25">
      <x:c r="A45" s="625"/>
      <x:c r="F45" s="627"/>
      <x:c r="G45" s="627"/>
      <x:c r="H45" s="627"/>
      <x:c r="I45" s="627"/>
      <x:c r="J45" s="627"/>
      <x:c r="K45" s="627"/>
      <x:c r="L45" s="627"/>
      <x:c r="M45" s="627"/>
      <x:c r="N45" s="627"/>
      <x:c r="O45" s="627"/>
      <x:c r="P45" s="627"/>
      <x:c r="Q45" s="627"/>
      <x:c r="R45" s="627"/>
      <x:c r="S45" s="627"/>
      <x:c r="BN45" s="624"/>
    </x:row>
    <x:row r="46" spans="1:66" x14ac:dyDescent="0.25">
      <x:c r="C46" s="773" t="s">
        <x:v>2</x:v>
      </x:c>
      <x:c r="D46" s="770" t="s">
        <x:v>132</x:v>
      </x:c>
      <x:c r="E46" s="639" t="s">
        <x:v>70</x:v>
      </x:c>
      <x:c r="F46" s="640">
        <x:f>F41+F25-L25</x:f>
        <x:v>0</x:v>
      </x:c>
      <x:c r="G46" s="640">
        <x:f t="shared" ref="G46:AP46" si="0">G25</x:f>
        <x:v>0</x:v>
      </x:c>
      <x:c r="H46" s="640">
        <x:f t="shared" si="0"/>
        <x:v>0</x:v>
      </x:c>
      <x:c r="I46" s="640">
        <x:f t="shared" si="0"/>
        <x:v>0</x:v>
      </x:c>
      <x:c r="J46" s="640">
        <x:f t="shared" si="0"/>
        <x:v>0</x:v>
      </x:c>
      <x:c r="K46" s="640">
        <x:f t="shared" si="0"/>
        <x:v>0</x:v>
      </x:c>
      <x:c r="L46" s="640">
        <x:f t="shared" si="0"/>
        <x:v>0</x:v>
      </x:c>
      <x:c r="M46" s="640">
        <x:f t="shared" si="0"/>
        <x:v>0</x:v>
      </x:c>
      <x:c r="N46" s="640">
        <x:f t="shared" si="0"/>
        <x:v>0</x:v>
      </x:c>
      <x:c r="O46" s="640">
        <x:f t="shared" si="0"/>
        <x:v>0</x:v>
      </x:c>
      <x:c r="P46" s="640">
        <x:f t="shared" si="0"/>
        <x:v>0</x:v>
      </x:c>
      <x:c r="Q46" s="640">
        <x:f t="shared" si="0"/>
        <x:v>0</x:v>
      </x:c>
      <x:c r="R46" s="640">
        <x:f t="shared" si="0"/>
        <x:v>0</x:v>
      </x:c>
      <x:c r="S46" s="640">
        <x:f t="shared" si="0"/>
        <x:v>0</x:v>
      </x:c>
      <x:c r="T46" s="640">
        <x:f t="shared" si="0"/>
        <x:v>0</x:v>
      </x:c>
      <x:c r="U46" s="640">
        <x:f t="shared" si="0"/>
        <x:v>0</x:v>
      </x:c>
      <x:c r="V46" s="640">
        <x:f t="shared" si="0"/>
        <x:v>0</x:v>
      </x:c>
      <x:c r="W46" s="640">
        <x:f t="shared" si="0"/>
        <x:v>0</x:v>
      </x:c>
      <x:c r="X46" s="640">
        <x:f t="shared" si="0"/>
        <x:v>0</x:v>
      </x:c>
      <x:c r="Y46" s="640">
        <x:f t="shared" si="0"/>
        <x:v>0</x:v>
      </x:c>
      <x:c r="Z46" s="640">
        <x:f t="shared" si="0"/>
        <x:v>0</x:v>
      </x:c>
      <x:c r="AA46" s="640">
        <x:f t="shared" si="0"/>
        <x:v>0</x:v>
      </x:c>
      <x:c r="AB46" s="640">
        <x:f t="shared" si="0"/>
        <x:v>0</x:v>
      </x:c>
      <x:c r="AC46" s="640">
        <x:f t="shared" si="0"/>
        <x:v>0</x:v>
      </x:c>
      <x:c r="AD46" s="640">
        <x:f t="shared" si="0"/>
        <x:v>0</x:v>
      </x:c>
      <x:c r="AE46" s="640">
        <x:f t="shared" si="0"/>
        <x:v>0</x:v>
      </x:c>
      <x:c r="AF46" s="640">
        <x:f t="shared" si="0"/>
        <x:v>0</x:v>
      </x:c>
      <x:c r="AG46" s="640">
        <x:f t="shared" si="0"/>
        <x:v>0</x:v>
      </x:c>
      <x:c r="AH46" s="640">
        <x:f t="shared" si="0"/>
        <x:v>0</x:v>
      </x:c>
      <x:c r="AI46" s="640">
        <x:f t="shared" si="0"/>
        <x:v>0</x:v>
      </x:c>
      <x:c r="AJ46" s="640">
        <x:f t="shared" si="0"/>
        <x:v>0</x:v>
      </x:c>
      <x:c r="AK46" s="640">
        <x:f t="shared" si="0"/>
        <x:v>0</x:v>
      </x:c>
      <x:c r="AL46" s="640">
        <x:f t="shared" si="0"/>
        <x:v>0</x:v>
      </x:c>
      <x:c r="AM46" s="640">
        <x:f t="shared" si="0"/>
        <x:v>0</x:v>
      </x:c>
      <x:c r="AN46" s="640">
        <x:f t="shared" si="0"/>
        <x:v>0</x:v>
      </x:c>
      <x:c r="AO46" s="640">
        <x:f t="shared" si="0"/>
        <x:v>0</x:v>
      </x:c>
      <x:c r="AP46" s="640">
        <x:f t="shared" si="0"/>
        <x:v>0</x:v>
      </x:c>
      <x:c r="BN46" s="624"/>
    </x:row>
    <x:row r="47" spans="1:66" x14ac:dyDescent="0.25">
      <x:c r="C47" s="773"/>
      <x:c r="D47" s="770"/>
      <x:c r="E47" s="639" t="s">
        <x:v>73</x:v>
      </x:c>
      <x:c r="F47" s="640">
        <x:f>F43</x:f>
        <x:v>0</x:v>
      </x:c>
      <x:c r="G47" s="627"/>
      <x:c r="H47" s="627"/>
      <x:c r="I47" s="627"/>
      <x:c r="J47" s="627"/>
      <x:c r="K47" s="627"/>
      <x:c r="L47" s="627"/>
      <x:c r="M47" s="627"/>
      <x:c r="N47" s="627"/>
      <x:c r="O47" s="627"/>
      <x:c r="P47" s="627"/>
      <x:c r="Q47" s="627"/>
      <x:c r="R47" s="627"/>
      <x:c r="S47" s="627"/>
      <x:c r="BN47" s="624"/>
    </x:row>
    <x:row r="48" spans="1:66" x14ac:dyDescent="0.25">
      <x:c r="C48" s="773"/>
      <x:c r="D48" s="770" t="s">
        <x:v>133</x:v>
      </x:c>
      <x:c r="E48" s="645" t="s">
        <x:v>70</x:v>
      </x:c>
      <x:c r="F48" s="646">
        <x:f>F30+F10-L10</x:f>
        <x:v>0</x:v>
      </x:c>
      <x:c r="G48" s="646">
        <x:f>G17</x:f>
        <x:v>0</x:v>
      </x:c>
      <x:c r="H48" s="646">
        <x:f t="shared" ref="H48:AP48" si="1">H17</x:f>
        <x:v>0</x:v>
      </x:c>
      <x:c r="I48" s="646">
        <x:f t="shared" si="1"/>
        <x:v>0</x:v>
      </x:c>
      <x:c r="J48" s="646">
        <x:f t="shared" si="1"/>
        <x:v>0</x:v>
      </x:c>
      <x:c r="K48" s="646">
        <x:f t="shared" si="1"/>
        <x:v>0</x:v>
      </x:c>
      <x:c r="L48" s="646">
        <x:f t="shared" si="1"/>
        <x:v>0</x:v>
      </x:c>
      <x:c r="M48" s="646">
        <x:f t="shared" si="1"/>
        <x:v>0</x:v>
      </x:c>
      <x:c r="N48" s="646">
        <x:f t="shared" si="1"/>
        <x:v>0</x:v>
      </x:c>
      <x:c r="O48" s="646">
        <x:f t="shared" si="1"/>
        <x:v>0</x:v>
      </x:c>
      <x:c r="P48" s="646">
        <x:f t="shared" si="1"/>
        <x:v>0</x:v>
      </x:c>
      <x:c r="Q48" s="646">
        <x:f t="shared" si="1"/>
        <x:v>0</x:v>
      </x:c>
      <x:c r="R48" s="646">
        <x:f t="shared" si="1"/>
        <x:v>0</x:v>
      </x:c>
      <x:c r="S48" s="646">
        <x:f t="shared" si="1"/>
        <x:v>0</x:v>
      </x:c>
      <x:c r="T48" s="646">
        <x:f t="shared" si="1"/>
        <x:v>0</x:v>
      </x:c>
      <x:c r="U48" s="646">
        <x:f t="shared" si="1"/>
        <x:v>0</x:v>
      </x:c>
      <x:c r="V48" s="646">
        <x:f t="shared" si="1"/>
        <x:v>0</x:v>
      </x:c>
      <x:c r="W48" s="646">
        <x:f t="shared" si="1"/>
        <x:v>0</x:v>
      </x:c>
      <x:c r="X48" s="646">
        <x:f t="shared" si="1"/>
        <x:v>0</x:v>
      </x:c>
      <x:c r="Y48" s="646">
        <x:f t="shared" si="1"/>
        <x:v>0</x:v>
      </x:c>
      <x:c r="Z48" s="646">
        <x:f t="shared" si="1"/>
        <x:v>0</x:v>
      </x:c>
      <x:c r="AA48" s="646">
        <x:f t="shared" si="1"/>
        <x:v>0</x:v>
      </x:c>
      <x:c r="AB48" s="646">
        <x:f t="shared" si="1"/>
        <x:v>0</x:v>
      </x:c>
      <x:c r="AC48" s="646">
        <x:f t="shared" si="1"/>
        <x:v>0</x:v>
      </x:c>
      <x:c r="AD48" s="646">
        <x:f t="shared" si="1"/>
        <x:v>0</x:v>
      </x:c>
      <x:c r="AE48" s="646">
        <x:f t="shared" si="1"/>
        <x:v>0</x:v>
      </x:c>
      <x:c r="AF48" s="646">
        <x:f t="shared" si="1"/>
        <x:v>0</x:v>
      </x:c>
      <x:c r="AG48" s="646">
        <x:f t="shared" si="1"/>
        <x:v>0</x:v>
      </x:c>
      <x:c r="AH48" s="646">
        <x:f t="shared" si="1"/>
        <x:v>0</x:v>
      </x:c>
      <x:c r="AI48" s="646">
        <x:f t="shared" si="1"/>
        <x:v>0</x:v>
      </x:c>
      <x:c r="AJ48" s="646">
        <x:f t="shared" si="1"/>
        <x:v>0</x:v>
      </x:c>
      <x:c r="AK48" s="646">
        <x:f t="shared" si="1"/>
        <x:v>0</x:v>
      </x:c>
      <x:c r="AL48" s="646">
        <x:f t="shared" si="1"/>
        <x:v>0</x:v>
      </x:c>
      <x:c r="AM48" s="646">
        <x:f t="shared" si="1"/>
        <x:v>0</x:v>
      </x:c>
      <x:c r="AN48" s="646">
        <x:f t="shared" si="1"/>
        <x:v>0</x:v>
      </x:c>
      <x:c r="AO48" s="646">
        <x:f t="shared" si="1"/>
        <x:v>0</x:v>
      </x:c>
      <x:c r="AP48" s="646">
        <x:f t="shared" si="1"/>
        <x:v>0</x:v>
      </x:c>
      <x:c r="BN48" s="624"/>
    </x:row>
    <x:row r="49" spans="1:66" x14ac:dyDescent="0.25">
      <x:c r="C49" s="773"/>
      <x:c r="D49" s="770"/>
      <x:c r="E49" s="645" t="s">
        <x:v>73</x:v>
      </x:c>
      <x:c r="F49" s="646">
        <x:f>F37</x:f>
        <x:v>0</x:v>
      </x:c>
      <x:c r="G49" s="627"/>
      <x:c r="H49" s="627"/>
      <x:c r="I49" s="627"/>
      <x:c r="J49" s="627"/>
      <x:c r="K49" s="627"/>
      <x:c r="L49" s="627"/>
      <x:c r="M49" s="627"/>
      <x:c r="N49" s="627"/>
      <x:c r="O49" s="627"/>
      <x:c r="P49" s="627"/>
      <x:c r="Q49" s="627"/>
      <x:c r="R49" s="627"/>
      <x:c r="BN49" s="624"/>
    </x:row>
    <x:row r="50" spans="1:66" x14ac:dyDescent="0.25">
      <x:c r="A50" s="625"/>
      <x:c r="C50" s="50"/>
      <x:c r="F50" s="627"/>
      <x:c r="G50" s="627"/>
      <x:c r="H50" s="627"/>
      <x:c r="I50" s="627"/>
      <x:c r="J50" s="627"/>
      <x:c r="K50" s="627"/>
      <x:c r="L50" s="627"/>
      <x:c r="M50" s="627"/>
      <x:c r="N50" s="627"/>
      <x:c r="O50" s="627"/>
      <x:c r="P50" s="627"/>
      <x:c r="Q50" s="627"/>
      <x:c r="R50" s="627"/>
      <x:c r="S50" s="627"/>
      <x:c r="BN50" s="624"/>
    </x:row>
    <x:row r="51" spans="1:66" x14ac:dyDescent="0.25">
      <x:c r="C51" s="773" t="s">
        <x:v>160</x:v>
      </x:c>
      <x:c r="D51" s="770" t="s">
        <x:v>132</x:v>
      </x:c>
      <x:c r="E51" s="647" t="s">
        <x:v>70</x:v>
      </x:c>
      <x:c r="F51" s="648">
        <x:v>0</x:v>
      </x:c>
      <x:c r="G51" s="648">
        <x:v>0</x:v>
      </x:c>
      <x:c r="H51" s="648">
        <x:v>0</x:v>
      </x:c>
      <x:c r="I51" s="648">
        <x:v>0</x:v>
      </x:c>
      <x:c r="J51" s="648">
        <x:v>0</x:v>
      </x:c>
      <x:c r="K51" s="648">
        <x:v>0</x:v>
      </x:c>
      <x:c r="L51" s="648">
        <x:v>0</x:v>
      </x:c>
      <x:c r="M51" s="648">
        <x:v>0</x:v>
      </x:c>
      <x:c r="N51" s="648">
        <x:v>0</x:v>
      </x:c>
      <x:c r="O51" s="648">
        <x:v>0</x:v>
      </x:c>
      <x:c r="P51" s="648">
        <x:v>0</x:v>
      </x:c>
      <x:c r="Q51" s="648">
        <x:v>0</x:v>
      </x:c>
      <x:c r="R51" s="648">
        <x:v>0</x:v>
      </x:c>
      <x:c r="S51" s="648">
        <x:v>0</x:v>
      </x:c>
      <x:c r="T51" s="648">
        <x:v>0</x:v>
      </x:c>
      <x:c r="U51" s="648">
        <x:v>0</x:v>
      </x:c>
      <x:c r="V51" s="648">
        <x:v>0</x:v>
      </x:c>
      <x:c r="W51" s="648">
        <x:v>0</x:v>
      </x:c>
      <x:c r="X51" s="648">
        <x:v>0</x:v>
      </x:c>
      <x:c r="Y51" s="648">
        <x:v>0</x:v>
      </x:c>
      <x:c r="Z51" s="648">
        <x:v>0</x:v>
      </x:c>
      <x:c r="AA51" s="648">
        <x:v>0</x:v>
      </x:c>
      <x:c r="AB51" s="648">
        <x:v>0</x:v>
      </x:c>
      <x:c r="AC51" s="648">
        <x:v>0</x:v>
      </x:c>
      <x:c r="AD51" s="648">
        <x:v>0</x:v>
      </x:c>
      <x:c r="AE51" s="648">
        <x:v>0</x:v>
      </x:c>
      <x:c r="AF51" s="648">
        <x:v>0</x:v>
      </x:c>
      <x:c r="AG51" s="648">
        <x:v>0</x:v>
      </x:c>
      <x:c r="AH51" s="648">
        <x:v>0</x:v>
      </x:c>
      <x:c r="AI51" s="648">
        <x:v>0</x:v>
      </x:c>
      <x:c r="AJ51" s="648">
        <x:v>0</x:v>
      </x:c>
      <x:c r="AK51" s="648">
        <x:v>0</x:v>
      </x:c>
      <x:c r="AL51" s="648">
        <x:v>0</x:v>
      </x:c>
      <x:c r="AM51" s="648">
        <x:v>0</x:v>
      </x:c>
      <x:c r="AN51" s="648">
        <x:v>0</x:v>
      </x:c>
      <x:c r="AO51" s="648">
        <x:v>0</x:v>
      </x:c>
      <x:c r="AP51" s="648">
        <x:v>0</x:v>
      </x:c>
      <x:c r="BN51" s="624"/>
    </x:row>
    <x:row r="52" spans="1:66" x14ac:dyDescent="0.25">
      <x:c r="C52" s="773"/>
      <x:c r="D52" s="770"/>
      <x:c r="E52" s="647" t="s">
        <x:v>73</x:v>
      </x:c>
      <x:c r="F52" s="648">
        <x:v>0</x:v>
      </x:c>
      <x:c r="G52" s="627"/>
      <x:c r="H52" s="627"/>
      <x:c r="I52" s="627"/>
      <x:c r="J52" s="627"/>
      <x:c r="K52" s="627"/>
      <x:c r="L52" s="627"/>
      <x:c r="M52" s="627"/>
      <x:c r="N52" s="627"/>
      <x:c r="O52" s="627"/>
      <x:c r="P52" s="627"/>
      <x:c r="Q52" s="627"/>
      <x:c r="R52" s="627"/>
      <x:c r="S52" s="627"/>
      <x:c r="BN52" s="624"/>
    </x:row>
    <x:row r="53" spans="1:66" x14ac:dyDescent="0.25">
      <x:c r="C53" s="773"/>
      <x:c r="D53" s="770" t="s">
        <x:v>133</x:v>
      </x:c>
      <x:c r="E53" s="649" t="s">
        <x:v>70</x:v>
      </x:c>
      <x:c r="F53" s="650">
        <x:v>0</x:v>
      </x:c>
      <x:c r="G53" s="650">
        <x:v>0</x:v>
      </x:c>
      <x:c r="H53" s="650">
        <x:v>0</x:v>
      </x:c>
      <x:c r="I53" s="650">
        <x:v>0</x:v>
      </x:c>
      <x:c r="J53" s="650">
        <x:v>0</x:v>
      </x:c>
      <x:c r="K53" s="650">
        <x:v>0</x:v>
      </x:c>
      <x:c r="L53" s="650">
        <x:v>0</x:v>
      </x:c>
      <x:c r="M53" s="650">
        <x:v>0</x:v>
      </x:c>
      <x:c r="N53" s="650">
        <x:v>0</x:v>
      </x:c>
      <x:c r="O53" s="650">
        <x:v>0</x:v>
      </x:c>
      <x:c r="P53" s="650">
        <x:v>0</x:v>
      </x:c>
      <x:c r="Q53" s="650">
        <x:v>0</x:v>
      </x:c>
      <x:c r="R53" s="650">
        <x:v>0</x:v>
      </x:c>
      <x:c r="S53" s="650">
        <x:v>0</x:v>
      </x:c>
      <x:c r="T53" s="650">
        <x:v>0</x:v>
      </x:c>
      <x:c r="U53" s="650">
        <x:v>0</x:v>
      </x:c>
      <x:c r="V53" s="650">
        <x:v>0</x:v>
      </x:c>
      <x:c r="W53" s="650">
        <x:v>0</x:v>
      </x:c>
      <x:c r="X53" s="650">
        <x:v>0</x:v>
      </x:c>
      <x:c r="Y53" s="650">
        <x:v>0</x:v>
      </x:c>
      <x:c r="Z53" s="650">
        <x:v>0</x:v>
      </x:c>
      <x:c r="AA53" s="650">
        <x:v>0</x:v>
      </x:c>
      <x:c r="AB53" s="650">
        <x:v>0</x:v>
      </x:c>
      <x:c r="AC53" s="650">
        <x:v>0</x:v>
      </x:c>
      <x:c r="AD53" s="650">
        <x:v>0</x:v>
      </x:c>
      <x:c r="AE53" s="650">
        <x:v>0</x:v>
      </x:c>
      <x:c r="AF53" s="650">
        <x:v>0</x:v>
      </x:c>
      <x:c r="AG53" s="650">
        <x:v>0</x:v>
      </x:c>
      <x:c r="AH53" s="650">
        <x:v>0</x:v>
      </x:c>
      <x:c r="AI53" s="650">
        <x:v>0</x:v>
      </x:c>
      <x:c r="AJ53" s="650">
        <x:v>0</x:v>
      </x:c>
      <x:c r="AK53" s="650">
        <x:v>0</x:v>
      </x:c>
      <x:c r="AL53" s="650">
        <x:v>0</x:v>
      </x:c>
      <x:c r="AM53" s="650">
        <x:v>0</x:v>
      </x:c>
      <x:c r="AN53" s="650">
        <x:v>0</x:v>
      </x:c>
      <x:c r="AO53" s="650">
        <x:v>0</x:v>
      </x:c>
      <x:c r="AP53" s="650">
        <x:v>0</x:v>
      </x:c>
      <x:c r="BN53" s="624"/>
    </x:row>
    <x:row r="54" spans="1:66" x14ac:dyDescent="0.25">
      <x:c r="C54" s="773"/>
      <x:c r="D54" s="770"/>
      <x:c r="E54" s="649" t="s">
        <x:v>73</x:v>
      </x:c>
      <x:c r="F54" s="650">
        <x:v>0</x:v>
      </x:c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BN54" s="624"/>
    </x:row>
    <x:row r="55" spans="1:66" x14ac:dyDescent="0.25">
      <x:c r="A55" s="625"/>
      <x:c r="C55" s="50"/>
      <x:c r="F55" s="627"/>
      <x:c r="G55" s="627"/>
      <x:c r="H55" s="627"/>
      <x:c r="I55" s="627"/>
      <x:c r="J55" s="627"/>
      <x:c r="K55" s="627"/>
      <x:c r="L55" s="627"/>
      <x:c r="M55" s="627"/>
      <x:c r="N55" s="627"/>
      <x:c r="O55" s="627"/>
      <x:c r="P55" s="627"/>
      <x:c r="Q55" s="627"/>
      <x:c r="R55" s="627"/>
      <x:c r="S55" s="627"/>
      <x:c r="BN55" s="624"/>
    </x:row>
    <x:row r="56" spans="1:66" x14ac:dyDescent="0.25">
      <x:c r="C56" s="773" t="s">
        <x:v>155</x:v>
      </x:c>
      <x:c r="D56" s="770" t="s">
        <x:v>132</x:v>
      </x:c>
      <x:c r="E56" s="651" t="s">
        <x:v>70</x:v>
      </x:c>
      <x:c r="F56" s="652">
        <x:f>F40+F21+F8-L8-L21</x:f>
        <x:v>0</x:v>
      </x:c>
      <x:c r="G56" s="652">
        <x:f>G21+G8</x:f>
        <x:v>0</x:v>
      </x:c>
      <x:c r="H56" s="652">
        <x:f t="shared" ref="H56:AP56" si="2">H21+H8</x:f>
        <x:v>0</x:v>
      </x:c>
      <x:c r="I56" s="652">
        <x:f t="shared" si="2"/>
        <x:v>0</x:v>
      </x:c>
      <x:c r="J56" s="652">
        <x:f t="shared" si="2"/>
        <x:v>0</x:v>
      </x:c>
      <x:c r="K56" s="652">
        <x:f t="shared" si="2"/>
        <x:v>0</x:v>
      </x:c>
      <x:c r="L56" s="652">
        <x:f t="shared" si="2"/>
        <x:v>0</x:v>
      </x:c>
      <x:c r="M56" s="652">
        <x:f t="shared" si="2"/>
        <x:v>0</x:v>
      </x:c>
      <x:c r="N56" s="652">
        <x:f t="shared" si="2"/>
        <x:v>0</x:v>
      </x:c>
      <x:c r="O56" s="652">
        <x:f t="shared" si="2"/>
        <x:v>0</x:v>
      </x:c>
      <x:c r="P56" s="652">
        <x:f t="shared" si="2"/>
        <x:v>0</x:v>
      </x:c>
      <x:c r="Q56" s="652">
        <x:f t="shared" si="2"/>
        <x:v>0</x:v>
      </x:c>
      <x:c r="R56" s="652">
        <x:f t="shared" si="2"/>
        <x:v>0</x:v>
      </x:c>
      <x:c r="S56" s="652">
        <x:f t="shared" si="2"/>
        <x:v>0</x:v>
      </x:c>
      <x:c r="T56" s="652">
        <x:f t="shared" si="2"/>
        <x:v>0</x:v>
      </x:c>
      <x:c r="U56" s="652">
        <x:f t="shared" si="2"/>
        <x:v>0</x:v>
      </x:c>
      <x:c r="V56" s="652">
        <x:f t="shared" si="2"/>
        <x:v>0</x:v>
      </x:c>
      <x:c r="W56" s="652">
        <x:f t="shared" si="2"/>
        <x:v>0</x:v>
      </x:c>
      <x:c r="X56" s="652">
        <x:f t="shared" si="2"/>
        <x:v>0</x:v>
      </x:c>
      <x:c r="Y56" s="652">
        <x:f t="shared" si="2"/>
        <x:v>0</x:v>
      </x:c>
      <x:c r="Z56" s="652">
        <x:f t="shared" si="2"/>
        <x:v>0</x:v>
      </x:c>
      <x:c r="AA56" s="652">
        <x:f t="shared" si="2"/>
        <x:v>0</x:v>
      </x:c>
      <x:c r="AB56" s="652">
        <x:f t="shared" si="2"/>
        <x:v>0</x:v>
      </x:c>
      <x:c r="AC56" s="652">
        <x:f t="shared" si="2"/>
        <x:v>0</x:v>
      </x:c>
      <x:c r="AD56" s="652">
        <x:f t="shared" si="2"/>
        <x:v>0</x:v>
      </x:c>
      <x:c r="AE56" s="652">
        <x:f t="shared" si="2"/>
        <x:v>0</x:v>
      </x:c>
      <x:c r="AF56" s="652">
        <x:f t="shared" si="2"/>
        <x:v>0</x:v>
      </x:c>
      <x:c r="AG56" s="652">
        <x:f t="shared" si="2"/>
        <x:v>0</x:v>
      </x:c>
      <x:c r="AH56" s="652">
        <x:f t="shared" si="2"/>
        <x:v>0</x:v>
      </x:c>
      <x:c r="AI56" s="652">
        <x:f t="shared" si="2"/>
        <x:v>0</x:v>
      </x:c>
      <x:c r="AJ56" s="652">
        <x:f t="shared" si="2"/>
        <x:v>0</x:v>
      </x:c>
      <x:c r="AK56" s="652">
        <x:f t="shared" si="2"/>
        <x:v>0</x:v>
      </x:c>
      <x:c r="AL56" s="652">
        <x:f t="shared" si="2"/>
        <x:v>0</x:v>
      </x:c>
      <x:c r="AM56" s="652">
        <x:f t="shared" si="2"/>
        <x:v>0</x:v>
      </x:c>
      <x:c r="AN56" s="652">
        <x:f t="shared" si="2"/>
        <x:v>0</x:v>
      </x:c>
      <x:c r="AO56" s="652">
        <x:f t="shared" si="2"/>
        <x:v>0</x:v>
      </x:c>
      <x:c r="AP56" s="652">
        <x:f t="shared" si="2"/>
        <x:v>0</x:v>
      </x:c>
      <x:c r="BN56" s="624"/>
    </x:row>
    <x:row r="57" spans="1:66" x14ac:dyDescent="0.25">
      <x:c r="C57" s="773"/>
      <x:c r="D57" s="770"/>
      <x:c r="E57" s="651" t="s">
        <x:v>73</x:v>
      </x:c>
      <x:c r="F57" s="652">
        <x:f>F40</x:f>
        <x:v>0</x:v>
      </x:c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BN57" s="624"/>
    </x:row>
    <x:row r="58" spans="1:66" x14ac:dyDescent="0.25">
      <x:c r="B58" s="653"/>
      <x:c r="C58" s="773"/>
      <x:c r="D58" s="770" t="s">
        <x:v>133</x:v>
      </x:c>
      <x:c r="E58" s="629" t="s">
        <x:v>70</x:v>
      </x:c>
      <x:c r="F58" s="630">
        <x:f>F36+F16-L16</x:f>
        <x:v>0</x:v>
      </x:c>
      <x:c r="G58" s="630">
        <x:f>G16</x:f>
        <x:v>0</x:v>
      </x:c>
      <x:c r="H58" s="630">
        <x:f t="shared" ref="H58:AP58" si="3">H16</x:f>
        <x:v>0</x:v>
      </x:c>
      <x:c r="I58" s="630">
        <x:f t="shared" si="3"/>
        <x:v>0</x:v>
      </x:c>
      <x:c r="J58" s="630">
        <x:f t="shared" si="3"/>
        <x:v>0</x:v>
      </x:c>
      <x:c r="K58" s="630">
        <x:f t="shared" si="3"/>
        <x:v>0</x:v>
      </x:c>
      <x:c r="L58" s="630">
        <x:f t="shared" si="3"/>
        <x:v>0</x:v>
      </x:c>
      <x:c r="M58" s="630">
        <x:f t="shared" si="3"/>
        <x:v>0</x:v>
      </x:c>
      <x:c r="N58" s="630">
        <x:f t="shared" si="3"/>
        <x:v>0</x:v>
      </x:c>
      <x:c r="O58" s="630">
        <x:f t="shared" si="3"/>
        <x:v>0</x:v>
      </x:c>
      <x:c r="P58" s="630">
        <x:f t="shared" si="3"/>
        <x:v>0</x:v>
      </x:c>
      <x:c r="Q58" s="630">
        <x:f t="shared" si="3"/>
        <x:v>0</x:v>
      </x:c>
      <x:c r="R58" s="630">
        <x:f t="shared" si="3"/>
        <x:v>0</x:v>
      </x:c>
      <x:c r="S58" s="630">
        <x:f t="shared" si="3"/>
        <x:v>0</x:v>
      </x:c>
      <x:c r="T58" s="630">
        <x:f t="shared" si="3"/>
        <x:v>0</x:v>
      </x:c>
      <x:c r="U58" s="630">
        <x:f t="shared" si="3"/>
        <x:v>0</x:v>
      </x:c>
      <x:c r="V58" s="630">
        <x:f t="shared" si="3"/>
        <x:v>0</x:v>
      </x:c>
      <x:c r="W58" s="630">
        <x:f t="shared" si="3"/>
        <x:v>0</x:v>
      </x:c>
      <x:c r="X58" s="630">
        <x:f t="shared" si="3"/>
        <x:v>0</x:v>
      </x:c>
      <x:c r="Y58" s="630">
        <x:f t="shared" si="3"/>
        <x:v>0</x:v>
      </x:c>
      <x:c r="Z58" s="630">
        <x:f t="shared" si="3"/>
        <x:v>0</x:v>
      </x:c>
      <x:c r="AA58" s="630">
        <x:f t="shared" si="3"/>
        <x:v>0</x:v>
      </x:c>
      <x:c r="AB58" s="630">
        <x:f t="shared" si="3"/>
        <x:v>0</x:v>
      </x:c>
      <x:c r="AC58" s="630">
        <x:f t="shared" si="3"/>
        <x:v>0</x:v>
      </x:c>
      <x:c r="AD58" s="630">
        <x:f t="shared" si="3"/>
        <x:v>0</x:v>
      </x:c>
      <x:c r="AE58" s="630">
        <x:f t="shared" si="3"/>
        <x:v>0</x:v>
      </x:c>
      <x:c r="AF58" s="630">
        <x:f t="shared" si="3"/>
        <x:v>0</x:v>
      </x:c>
      <x:c r="AG58" s="630">
        <x:f t="shared" si="3"/>
        <x:v>0</x:v>
      </x:c>
      <x:c r="AH58" s="630">
        <x:f t="shared" si="3"/>
        <x:v>0</x:v>
      </x:c>
      <x:c r="AI58" s="630">
        <x:f t="shared" si="3"/>
        <x:v>0</x:v>
      </x:c>
      <x:c r="AJ58" s="630">
        <x:f t="shared" si="3"/>
        <x:v>0</x:v>
      </x:c>
      <x:c r="AK58" s="630">
        <x:f t="shared" si="3"/>
        <x:v>0</x:v>
      </x:c>
      <x:c r="AL58" s="630">
        <x:f t="shared" si="3"/>
        <x:v>0</x:v>
      </x:c>
      <x:c r="AM58" s="630">
        <x:f t="shared" si="3"/>
        <x:v>0</x:v>
      </x:c>
      <x:c r="AN58" s="630">
        <x:f t="shared" si="3"/>
        <x:v>0</x:v>
      </x:c>
      <x:c r="AO58" s="630">
        <x:f t="shared" si="3"/>
        <x:v>0</x:v>
      </x:c>
      <x:c r="AP58" s="630">
        <x:f t="shared" si="3"/>
        <x:v>0</x:v>
      </x:c>
      <x:c r="BN58" s="624"/>
    </x:row>
    <x:row r="59" spans="1:66" x14ac:dyDescent="0.25">
      <x:c r="B59" s="653"/>
      <x:c r="C59" s="773"/>
      <x:c r="D59" s="770"/>
      <x:c r="E59" s="629" t="s">
        <x:v>73</x:v>
      </x:c>
      <x:c r="F59" s="630">
        <x:f>F36</x:f>
        <x:v>0</x:v>
      </x:c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BN59" s="624"/>
    </x:row>
    <x:row r="60" spans="1:66" x14ac:dyDescent="0.25">
      <x:c r="A60" s="625"/>
      <x:c r="C60" s="50"/>
      <x:c r="F60" s="627"/>
      <x:c r="G60" s="627"/>
      <x:c r="H60" s="627"/>
      <x:c r="I60" s="627"/>
      <x:c r="J60" s="627"/>
      <x:c r="K60" s="627"/>
      <x:c r="L60" s="627"/>
      <x:c r="M60" s="627"/>
      <x:c r="N60" s="627"/>
      <x:c r="O60" s="627"/>
      <x:c r="P60" s="627"/>
      <x:c r="Q60" s="627"/>
      <x:c r="R60" s="627"/>
      <x:c r="S60" s="627"/>
      <x:c r="BN60" s="624"/>
    </x:row>
    <x:row r="61" spans="1:66" x14ac:dyDescent="0.25">
      <x:c r="C61" s="771" t="s">
        <x:v>326</x:v>
      </x:c>
      <x:c r="D61" s="770" t="s">
        <x:v>132</x:v>
      </x:c>
      <x:c r="E61" s="654" t="s">
        <x:v>70</x:v>
      </x:c>
      <x:c r="F61" s="655">
        <x:v>0</x:v>
      </x:c>
      <x:c r="G61" s="655">
        <x:v>0</x:v>
      </x:c>
      <x:c r="H61" s="655">
        <x:v>0</x:v>
      </x:c>
      <x:c r="I61" s="655">
        <x:v>0</x:v>
      </x:c>
      <x:c r="J61" s="655">
        <x:v>0</x:v>
      </x:c>
      <x:c r="K61" s="655">
        <x:v>0</x:v>
      </x:c>
      <x:c r="L61" s="655">
        <x:v>0</x:v>
      </x:c>
      <x:c r="M61" s="655">
        <x:v>0</x:v>
      </x:c>
      <x:c r="N61" s="655">
        <x:v>0</x:v>
      </x:c>
      <x:c r="O61" s="655">
        <x:v>0</x:v>
      </x:c>
      <x:c r="P61" s="655">
        <x:v>0</x:v>
      </x:c>
      <x:c r="Q61" s="655">
        <x:v>0</x:v>
      </x:c>
      <x:c r="R61" s="655">
        <x:v>0</x:v>
      </x:c>
      <x:c r="S61" s="655">
        <x:v>0</x:v>
      </x:c>
      <x:c r="T61" s="655">
        <x:v>0</x:v>
      </x:c>
      <x:c r="U61" s="655">
        <x:v>0</x:v>
      </x:c>
      <x:c r="V61" s="655">
        <x:v>0</x:v>
      </x:c>
      <x:c r="W61" s="655">
        <x:v>0</x:v>
      </x:c>
      <x:c r="X61" s="655">
        <x:v>0</x:v>
      </x:c>
      <x:c r="Y61" s="655">
        <x:v>0</x:v>
      </x:c>
      <x:c r="Z61" s="655">
        <x:v>0</x:v>
      </x:c>
      <x:c r="AA61" s="655">
        <x:v>0</x:v>
      </x:c>
      <x:c r="AB61" s="655">
        <x:v>0</x:v>
      </x:c>
      <x:c r="AC61" s="655">
        <x:v>0</x:v>
      </x:c>
      <x:c r="AD61" s="655">
        <x:v>0</x:v>
      </x:c>
      <x:c r="AE61" s="655">
        <x:v>0</x:v>
      </x:c>
      <x:c r="AF61" s="655">
        <x:v>0</x:v>
      </x:c>
      <x:c r="AG61" s="655">
        <x:v>0</x:v>
      </x:c>
      <x:c r="AH61" s="655">
        <x:v>0</x:v>
      </x:c>
      <x:c r="AI61" s="655">
        <x:v>0</x:v>
      </x:c>
      <x:c r="AJ61" s="655">
        <x:v>0</x:v>
      </x:c>
      <x:c r="AK61" s="655">
        <x:v>0</x:v>
      </x:c>
      <x:c r="AL61" s="655">
        <x:v>0</x:v>
      </x:c>
      <x:c r="AM61" s="655">
        <x:v>0</x:v>
      </x:c>
      <x:c r="AN61" s="655">
        <x:v>0</x:v>
      </x:c>
      <x:c r="AO61" s="655">
        <x:v>0</x:v>
      </x:c>
      <x:c r="BN61" s="624"/>
    </x:row>
    <x:row r="62" spans="1:66" x14ac:dyDescent="0.25">
      <x:c r="C62" s="771"/>
      <x:c r="D62" s="770"/>
      <x:c r="E62" s="654" t="s">
        <x:v>73</x:v>
      </x:c>
      <x:c r="F62" s="655">
        <x:v>0</x:v>
      </x:c>
      <x:c r="G62" s="627"/>
      <x:c r="H62" s="627"/>
      <x:c r="I62" s="627"/>
      <x:c r="J62" s="627"/>
      <x:c r="K62" s="627"/>
      <x:c r="L62" s="627"/>
      <x:c r="M62" s="627"/>
      <x:c r="N62" s="627"/>
      <x:c r="O62" s="627"/>
      <x:c r="P62" s="627"/>
      <x:c r="Q62" s="627"/>
      <x:c r="R62" s="627"/>
      <x:c r="S62" s="627"/>
      <x:c r="BN62" s="624"/>
    </x:row>
    <x:row r="63" spans="1:66" x14ac:dyDescent="0.25">
      <x:c r="C63" s="771"/>
      <x:c r="D63" s="770" t="s">
        <x:v>133</x:v>
      </x:c>
      <x:c r="E63" s="656" t="s">
        <x:v>70</x:v>
      </x:c>
      <x:c r="F63" s="657">
        <x:v>0</x:v>
      </x:c>
      <x:c r="G63" s="657">
        <x:v>0</x:v>
      </x:c>
      <x:c r="H63" s="657">
        <x:v>0</x:v>
      </x:c>
      <x:c r="I63" s="657">
        <x:v>0</x:v>
      </x:c>
      <x:c r="J63" s="657">
        <x:v>0</x:v>
      </x:c>
      <x:c r="K63" s="657">
        <x:v>0</x:v>
      </x:c>
      <x:c r="L63" s="657">
        <x:v>0</x:v>
      </x:c>
      <x:c r="M63" s="657">
        <x:v>0</x:v>
      </x:c>
      <x:c r="N63" s="657">
        <x:v>0</x:v>
      </x:c>
      <x:c r="O63" s="657">
        <x:v>0</x:v>
      </x:c>
      <x:c r="P63" s="657">
        <x:v>0</x:v>
      </x:c>
      <x:c r="Q63" s="657">
        <x:v>0</x:v>
      </x:c>
      <x:c r="R63" s="657">
        <x:v>0</x:v>
      </x:c>
      <x:c r="S63" s="657">
        <x:v>0</x:v>
      </x:c>
      <x:c r="T63" s="657">
        <x:v>0</x:v>
      </x:c>
      <x:c r="U63" s="657">
        <x:v>0</x:v>
      </x:c>
      <x:c r="V63" s="657">
        <x:v>0</x:v>
      </x:c>
      <x:c r="W63" s="657">
        <x:v>0</x:v>
      </x:c>
      <x:c r="X63" s="657">
        <x:v>0</x:v>
      </x:c>
      <x:c r="Y63" s="657">
        <x:v>0</x:v>
      </x:c>
      <x:c r="Z63" s="657">
        <x:v>0</x:v>
      </x:c>
      <x:c r="AA63" s="657">
        <x:v>0</x:v>
      </x:c>
      <x:c r="AB63" s="657">
        <x:v>0</x:v>
      </x:c>
      <x:c r="AC63" s="657">
        <x:v>0</x:v>
      </x:c>
      <x:c r="AD63" s="657">
        <x:v>0</x:v>
      </x:c>
      <x:c r="AE63" s="657">
        <x:v>0</x:v>
      </x:c>
      <x:c r="AF63" s="657">
        <x:v>0</x:v>
      </x:c>
      <x:c r="AG63" s="657">
        <x:v>0</x:v>
      </x:c>
      <x:c r="AH63" s="657">
        <x:v>0</x:v>
      </x:c>
      <x:c r="AI63" s="657">
        <x:v>0</x:v>
      </x:c>
      <x:c r="AJ63" s="657">
        <x:v>0</x:v>
      </x:c>
      <x:c r="AK63" s="657">
        <x:v>0</x:v>
      </x:c>
      <x:c r="AL63" s="657">
        <x:v>0</x:v>
      </x:c>
      <x:c r="AM63" s="657">
        <x:v>0</x:v>
      </x:c>
      <x:c r="AN63" s="657">
        <x:v>0</x:v>
      </x:c>
      <x:c r="AO63" s="657">
        <x:v>0</x:v>
      </x:c>
      <x:c r="BN63" s="624"/>
    </x:row>
    <x:row r="64" spans="1:66" x14ac:dyDescent="0.25">
      <x:c r="C64" s="771"/>
      <x:c r="D64" s="770"/>
      <x:c r="E64" s="656" t="s">
        <x:v>73</x:v>
      </x:c>
      <x:c r="F64" s="657">
        <x:v>0</x:v>
      </x:c>
      <x:c r="G64" s="627"/>
      <x:c r="H64" s="627"/>
      <x:c r="I64" s="627"/>
      <x:c r="J64" s="627"/>
      <x:c r="K64" s="627"/>
      <x:c r="L64" s="627"/>
      <x:c r="M64" s="627"/>
      <x:c r="N64" s="627"/>
      <x:c r="O64" s="627"/>
      <x:c r="P64" s="627"/>
      <x:c r="Q64" s="627"/>
      <x:c r="R64" s="627"/>
      <x:c r="BN64" s="624"/>
    </x:row>
    <x:row r="65" spans="1:66" x14ac:dyDescent="0.25">
      <x:c r="A65" s="625"/>
      <x:c r="C65" s="50"/>
      <x:c r="F65" s="627"/>
      <x:c r="G65" s="627"/>
      <x:c r="H65" s="627"/>
      <x:c r="I65" s="627"/>
      <x:c r="J65" s="627"/>
      <x:c r="K65" s="627"/>
      <x:c r="L65" s="627"/>
      <x:c r="M65" s="627"/>
      <x:c r="N65" s="627"/>
      <x:c r="O65" s="627"/>
      <x:c r="P65" s="627"/>
      <x:c r="Q65" s="627"/>
      <x:c r="R65" s="627"/>
      <x:c r="S65" s="627"/>
      <x:c r="BN65" s="624"/>
    </x:row>
    <x:row r="66" spans="1:66" x14ac:dyDescent="0.25">
      <x:c r="C66" s="773" t="s">
        <x:v>119</x:v>
      </x:c>
      <x:c r="D66" s="770" t="s">
        <x:v>132</x:v>
      </x:c>
      <x:c r="E66" s="632" t="s">
        <x:v>70</x:v>
      </x:c>
      <x:c r="F66" s="633">
        <x:f>F43+F31+F11-L11-L31</x:f>
        <x:v>0</x:v>
      </x:c>
      <x:c r="G66" s="633">
        <x:f t="shared" ref="G66:AP66" si="4">G31+G11</x:f>
        <x:v>0</x:v>
      </x:c>
      <x:c r="H66" s="633">
        <x:f t="shared" si="4"/>
        <x:v>0</x:v>
      </x:c>
      <x:c r="I66" s="633">
        <x:f t="shared" si="4"/>
        <x:v>0</x:v>
      </x:c>
      <x:c r="J66" s="633">
        <x:f t="shared" si="4"/>
        <x:v>0</x:v>
      </x:c>
      <x:c r="K66" s="633">
        <x:f t="shared" si="4"/>
        <x:v>0</x:v>
      </x:c>
      <x:c r="L66" s="633">
        <x:f t="shared" si="4"/>
        <x:v>0</x:v>
      </x:c>
      <x:c r="M66" s="633">
        <x:f t="shared" si="4"/>
        <x:v>0</x:v>
      </x:c>
      <x:c r="N66" s="633">
        <x:f t="shared" si="4"/>
        <x:v>0</x:v>
      </x:c>
      <x:c r="O66" s="633">
        <x:f t="shared" si="4"/>
        <x:v>0</x:v>
      </x:c>
      <x:c r="P66" s="633">
        <x:f t="shared" si="4"/>
        <x:v>0</x:v>
      </x:c>
      <x:c r="Q66" s="633">
        <x:f t="shared" si="4"/>
        <x:v>0</x:v>
      </x:c>
      <x:c r="R66" s="633">
        <x:f t="shared" si="4"/>
        <x:v>0</x:v>
      </x:c>
      <x:c r="S66" s="633">
        <x:f t="shared" si="4"/>
        <x:v>0</x:v>
      </x:c>
      <x:c r="T66" s="633">
        <x:f t="shared" si="4"/>
        <x:v>0</x:v>
      </x:c>
      <x:c r="U66" s="633">
        <x:f t="shared" si="4"/>
        <x:v>0</x:v>
      </x:c>
      <x:c r="V66" s="633">
        <x:f t="shared" si="4"/>
        <x:v>0</x:v>
      </x:c>
      <x:c r="W66" s="633">
        <x:f t="shared" si="4"/>
        <x:v>0</x:v>
      </x:c>
      <x:c r="X66" s="633">
        <x:f t="shared" si="4"/>
        <x:v>0</x:v>
      </x:c>
      <x:c r="Y66" s="633">
        <x:f t="shared" si="4"/>
        <x:v>0</x:v>
      </x:c>
      <x:c r="Z66" s="633">
        <x:f t="shared" si="4"/>
        <x:v>0</x:v>
      </x:c>
      <x:c r="AA66" s="633">
        <x:f t="shared" si="4"/>
        <x:v>0</x:v>
      </x:c>
      <x:c r="AB66" s="633">
        <x:f t="shared" si="4"/>
        <x:v>0</x:v>
      </x:c>
      <x:c r="AC66" s="633">
        <x:f t="shared" si="4"/>
        <x:v>0</x:v>
      </x:c>
      <x:c r="AD66" s="633">
        <x:f t="shared" si="4"/>
        <x:v>0</x:v>
      </x:c>
      <x:c r="AE66" s="633">
        <x:f t="shared" si="4"/>
        <x:v>0</x:v>
      </x:c>
      <x:c r="AF66" s="633">
        <x:f t="shared" si="4"/>
        <x:v>0</x:v>
      </x:c>
      <x:c r="AG66" s="633">
        <x:f t="shared" si="4"/>
        <x:v>0</x:v>
      </x:c>
      <x:c r="AH66" s="633">
        <x:f t="shared" si="4"/>
        <x:v>0</x:v>
      </x:c>
      <x:c r="AI66" s="633">
        <x:f t="shared" si="4"/>
        <x:v>0</x:v>
      </x:c>
      <x:c r="AJ66" s="633">
        <x:f t="shared" si="4"/>
        <x:v>0</x:v>
      </x:c>
      <x:c r="AK66" s="633">
        <x:f t="shared" si="4"/>
        <x:v>0</x:v>
      </x:c>
      <x:c r="AL66" s="633">
        <x:f t="shared" si="4"/>
        <x:v>0</x:v>
      </x:c>
      <x:c r="AM66" s="633">
        <x:f t="shared" si="4"/>
        <x:v>0</x:v>
      </x:c>
      <x:c r="AN66" s="633">
        <x:f t="shared" si="4"/>
        <x:v>0</x:v>
      </x:c>
      <x:c r="AO66" s="633">
        <x:f t="shared" si="4"/>
        <x:v>0</x:v>
      </x:c>
      <x:c r="AP66" s="633">
        <x:f t="shared" si="4"/>
        <x:v>0</x:v>
      </x:c>
      <x:c r="BN66" s="624"/>
    </x:row>
    <x:row r="67" spans="1:66" x14ac:dyDescent="0.25">
      <x:c r="C67" s="773"/>
      <x:c r="D67" s="770"/>
      <x:c r="E67" s="632" t="s">
        <x:v>73</x:v>
      </x:c>
      <x:c r="F67" s="633">
        <x:f>F43</x:f>
        <x:v>0</x:v>
      </x:c>
      <x:c r="G67" s="627"/>
      <x:c r="H67" s="627"/>
      <x:c r="I67" s="627"/>
      <x:c r="J67" s="627"/>
      <x:c r="K67" s="627"/>
      <x:c r="L67" s="627"/>
      <x:c r="M67" s="627"/>
      <x:c r="N67" s="627"/>
      <x:c r="O67" s="627"/>
      <x:c r="P67" s="627"/>
      <x:c r="Q67" s="627"/>
      <x:c r="R67" s="627"/>
      <x:c r="S67" s="627"/>
      <x:c r="BN67" s="624"/>
    </x:row>
    <x:row r="68" spans="1:66" x14ac:dyDescent="0.25">
      <x:c r="C68" s="773"/>
      <x:c r="D68" s="770" t="s">
        <x:v>133</x:v>
      </x:c>
      <x:c r="E68" s="658" t="s">
        <x:v>70</x:v>
      </x:c>
      <x:c r="F68" s="659">
        <x:v>0</x:v>
      </x:c>
      <x:c r="G68" s="659">
        <x:v>0</x:v>
      </x:c>
      <x:c r="H68" s="659">
        <x:v>0</x:v>
      </x:c>
      <x:c r="I68" s="659">
        <x:v>0</x:v>
      </x:c>
      <x:c r="J68" s="659">
        <x:v>0</x:v>
      </x:c>
      <x:c r="K68" s="659">
        <x:v>0</x:v>
      </x:c>
      <x:c r="L68" s="659">
        <x:v>0</x:v>
      </x:c>
      <x:c r="M68" s="659">
        <x:v>0</x:v>
      </x:c>
      <x:c r="N68" s="659">
        <x:v>0</x:v>
      </x:c>
      <x:c r="O68" s="659">
        <x:v>0</x:v>
      </x:c>
      <x:c r="P68" s="659">
        <x:v>0</x:v>
      </x:c>
      <x:c r="Q68" s="659">
        <x:v>0</x:v>
      </x:c>
      <x:c r="R68" s="659">
        <x:v>0</x:v>
      </x:c>
      <x:c r="S68" s="659">
        <x:v>0</x:v>
      </x:c>
      <x:c r="T68" s="659">
        <x:v>0</x:v>
      </x:c>
      <x:c r="U68" s="659">
        <x:v>0</x:v>
      </x:c>
      <x:c r="V68" s="659">
        <x:v>0</x:v>
      </x:c>
      <x:c r="W68" s="659">
        <x:v>0</x:v>
      </x:c>
      <x:c r="X68" s="659">
        <x:v>0</x:v>
      </x:c>
      <x:c r="Y68" s="659">
        <x:v>0</x:v>
      </x:c>
      <x:c r="Z68" s="659">
        <x:v>0</x:v>
      </x:c>
      <x:c r="AA68" s="659">
        <x:v>0</x:v>
      </x:c>
      <x:c r="AB68" s="659">
        <x:v>0</x:v>
      </x:c>
      <x:c r="AC68" s="659">
        <x:v>0</x:v>
      </x:c>
      <x:c r="AD68" s="659">
        <x:v>0</x:v>
      </x:c>
      <x:c r="AE68" s="659">
        <x:v>0</x:v>
      </x:c>
      <x:c r="AF68" s="659">
        <x:v>0</x:v>
      </x:c>
      <x:c r="AG68" s="659">
        <x:v>0</x:v>
      </x:c>
      <x:c r="AH68" s="659">
        <x:v>0</x:v>
      </x:c>
      <x:c r="AI68" s="659">
        <x:v>0</x:v>
      </x:c>
      <x:c r="AJ68" s="659">
        <x:v>0</x:v>
      </x:c>
      <x:c r="AK68" s="659">
        <x:v>0</x:v>
      </x:c>
      <x:c r="AL68" s="659">
        <x:v>0</x:v>
      </x:c>
      <x:c r="AM68" s="659">
        <x:v>0</x:v>
      </x:c>
      <x:c r="AN68" s="659">
        <x:v>0</x:v>
      </x:c>
      <x:c r="AO68" s="659">
        <x:v>0</x:v>
      </x:c>
      <x:c r="AP68" s="659">
        <x:v>0</x:v>
      </x:c>
      <x:c r="BN68" s="624"/>
    </x:row>
    <x:row r="69" spans="1:66" x14ac:dyDescent="0.25">
      <x:c r="C69" s="773"/>
      <x:c r="D69" s="770"/>
      <x:c r="E69" s="658" t="s">
        <x:v>73</x:v>
      </x:c>
      <x:c r="F69" s="659">
        <x:v>0</x:v>
      </x:c>
      <x:c r="G69" s="627"/>
      <x:c r="H69" s="627"/>
      <x:c r="I69" s="627"/>
      <x:c r="J69" s="627"/>
      <x:c r="K69" s="627"/>
      <x:c r="L69" s="627"/>
      <x:c r="M69" s="627"/>
      <x:c r="N69" s="627"/>
      <x:c r="O69" s="627"/>
      <x:c r="P69" s="627"/>
      <x:c r="Q69" s="627"/>
      <x:c r="R69" s="627"/>
      <x:c r="BN69" s="624"/>
    </x:row>
    <x:row r="70" spans="1:66" x14ac:dyDescent="0.25">
      <x:c r="A70" s="625"/>
      <x:c r="C70" s="50"/>
      <x:c r="F70" s="627"/>
      <x:c r="G70" s="627"/>
      <x:c r="H70" s="627"/>
      <x:c r="I70" s="627"/>
      <x:c r="J70" s="627"/>
      <x:c r="K70" s="627"/>
      <x:c r="L70" s="627"/>
      <x:c r="M70" s="627"/>
      <x:c r="N70" s="627"/>
      <x:c r="O70" s="627"/>
      <x:c r="P70" s="627"/>
      <x:c r="Q70" s="627"/>
      <x:c r="R70" s="627"/>
      <x:c r="S70" s="627"/>
      <x:c r="BN70" s="624"/>
    </x:row>
    <x:row r="71" spans="1:66" x14ac:dyDescent="0.25">
      <x:c r="C71" s="772" t="s">
        <x:v>161</x:v>
      </x:c>
      <x:c r="D71" s="770" t="s">
        <x:v>132</x:v>
      </x:c>
      <x:c r="E71" s="661" t="s">
        <x:v>70</x:v>
      </x:c>
      <x:c r="F71" s="662">
        <x:v>0</x:v>
      </x:c>
      <x:c r="G71" s="662">
        <x:v>0</x:v>
      </x:c>
      <x:c r="H71" s="662">
        <x:v>0</x:v>
      </x:c>
      <x:c r="I71" s="662">
        <x:v>0</x:v>
      </x:c>
      <x:c r="J71" s="662">
        <x:v>0</x:v>
      </x:c>
      <x:c r="K71" s="662">
        <x:v>0</x:v>
      </x:c>
      <x:c r="L71" s="662">
        <x:v>0</x:v>
      </x:c>
      <x:c r="M71" s="662">
        <x:v>0</x:v>
      </x:c>
      <x:c r="N71" s="662">
        <x:v>0</x:v>
      </x:c>
      <x:c r="O71" s="662">
        <x:v>0</x:v>
      </x:c>
      <x:c r="P71" s="662">
        <x:v>0</x:v>
      </x:c>
      <x:c r="Q71" s="662">
        <x:v>0</x:v>
      </x:c>
      <x:c r="R71" s="662">
        <x:v>0</x:v>
      </x:c>
      <x:c r="S71" s="662">
        <x:v>0</x:v>
      </x:c>
      <x:c r="T71" s="662">
        <x:v>0</x:v>
      </x:c>
      <x:c r="U71" s="662">
        <x:v>0</x:v>
      </x:c>
      <x:c r="V71" s="662">
        <x:v>0</x:v>
      </x:c>
      <x:c r="W71" s="662">
        <x:v>0</x:v>
      </x:c>
      <x:c r="X71" s="662">
        <x:v>0</x:v>
      </x:c>
      <x:c r="Y71" s="662">
        <x:v>0</x:v>
      </x:c>
      <x:c r="Z71" s="662">
        <x:v>0</x:v>
      </x:c>
      <x:c r="AA71" s="662">
        <x:v>0</x:v>
      </x:c>
      <x:c r="AB71" s="662">
        <x:v>0</x:v>
      </x:c>
      <x:c r="AC71" s="662">
        <x:v>0</x:v>
      </x:c>
      <x:c r="AD71" s="662">
        <x:v>0</x:v>
      </x:c>
      <x:c r="AE71" s="662">
        <x:v>0</x:v>
      </x:c>
      <x:c r="AF71" s="662">
        <x:v>0</x:v>
      </x:c>
      <x:c r="AG71" s="662">
        <x:v>0</x:v>
      </x:c>
      <x:c r="AH71" s="662">
        <x:v>0</x:v>
      </x:c>
      <x:c r="AI71" s="662">
        <x:v>0</x:v>
      </x:c>
      <x:c r="AJ71" s="662">
        <x:v>0</x:v>
      </x:c>
      <x:c r="AK71" s="662">
        <x:v>0</x:v>
      </x:c>
      <x:c r="AL71" s="662">
        <x:v>0</x:v>
      </x:c>
      <x:c r="AM71" s="662">
        <x:v>0</x:v>
      </x:c>
      <x:c r="AN71" s="662">
        <x:v>0</x:v>
      </x:c>
      <x:c r="AO71" s="662">
        <x:v>0</x:v>
      </x:c>
      <x:c r="AP71" s="662">
        <x:v>0</x:v>
      </x:c>
      <x:c r="BN71" s="624"/>
    </x:row>
    <x:row r="72" spans="1:66" x14ac:dyDescent="0.25">
      <x:c r="C72" s="772"/>
      <x:c r="D72" s="770"/>
      <x:c r="E72" s="661" t="s">
        <x:v>73</x:v>
      </x:c>
      <x:c r="F72" s="662">
        <x:v>0</x:v>
      </x:c>
      <x:c r="G72" s="627"/>
      <x:c r="H72" s="627"/>
      <x:c r="I72" s="627"/>
      <x:c r="J72" s="627"/>
      <x:c r="K72" s="627"/>
      <x:c r="L72" s="627"/>
      <x:c r="M72" s="627"/>
      <x:c r="N72" s="627"/>
      <x:c r="O72" s="627"/>
      <x:c r="P72" s="627"/>
      <x:c r="Q72" s="627"/>
      <x:c r="R72" s="627"/>
      <x:c r="S72" s="627"/>
      <x:c r="BN72" s="624"/>
    </x:row>
    <x:row r="73" spans="1:66" x14ac:dyDescent="0.25">
      <x:c r="C73" s="772"/>
      <x:c r="D73" s="770" t="s">
        <x:v>133</x:v>
      </x:c>
      <x:c r="E73" s="663" t="s">
        <x:v>70</x:v>
      </x:c>
      <x:c r="F73" s="664">
        <x:v>0</x:v>
      </x:c>
      <x:c r="G73" s="664">
        <x:v>0</x:v>
      </x:c>
      <x:c r="H73" s="664">
        <x:v>0</x:v>
      </x:c>
      <x:c r="I73" s="664">
        <x:v>0</x:v>
      </x:c>
      <x:c r="J73" s="664">
        <x:v>0</x:v>
      </x:c>
      <x:c r="K73" s="664">
        <x:v>0</x:v>
      </x:c>
      <x:c r="L73" s="664">
        <x:v>0</x:v>
      </x:c>
      <x:c r="M73" s="664">
        <x:v>0</x:v>
      </x:c>
      <x:c r="N73" s="664">
        <x:v>0</x:v>
      </x:c>
      <x:c r="O73" s="664">
        <x:v>0</x:v>
      </x:c>
      <x:c r="P73" s="664">
        <x:v>0</x:v>
      </x:c>
      <x:c r="Q73" s="664">
        <x:v>0</x:v>
      </x:c>
      <x:c r="R73" s="664">
        <x:v>0</x:v>
      </x:c>
      <x:c r="S73" s="664">
        <x:v>0</x:v>
      </x:c>
      <x:c r="T73" s="664">
        <x:v>0</x:v>
      </x:c>
      <x:c r="U73" s="664">
        <x:v>0</x:v>
      </x:c>
      <x:c r="V73" s="664">
        <x:v>0</x:v>
      </x:c>
      <x:c r="W73" s="664">
        <x:v>0</x:v>
      </x:c>
      <x:c r="X73" s="664">
        <x:v>0</x:v>
      </x:c>
      <x:c r="Y73" s="664">
        <x:v>0</x:v>
      </x:c>
      <x:c r="Z73" s="664">
        <x:v>0</x:v>
      </x:c>
      <x:c r="AA73" s="664">
        <x:v>0</x:v>
      </x:c>
      <x:c r="AB73" s="664">
        <x:v>0</x:v>
      </x:c>
      <x:c r="AC73" s="664">
        <x:v>0</x:v>
      </x:c>
      <x:c r="AD73" s="664">
        <x:v>0</x:v>
      </x:c>
      <x:c r="AE73" s="664">
        <x:v>0</x:v>
      </x:c>
      <x:c r="AF73" s="664">
        <x:v>0</x:v>
      </x:c>
      <x:c r="AG73" s="664">
        <x:v>0</x:v>
      </x:c>
      <x:c r="AH73" s="664">
        <x:v>0</x:v>
      </x:c>
      <x:c r="AI73" s="664">
        <x:v>0</x:v>
      </x:c>
      <x:c r="AJ73" s="664">
        <x:v>0</x:v>
      </x:c>
      <x:c r="AK73" s="664">
        <x:v>0</x:v>
      </x:c>
      <x:c r="AL73" s="664">
        <x:v>0</x:v>
      </x:c>
      <x:c r="AM73" s="664">
        <x:v>0</x:v>
      </x:c>
      <x:c r="AN73" s="664">
        <x:v>0</x:v>
      </x:c>
      <x:c r="AO73" s="664">
        <x:v>0</x:v>
      </x:c>
      <x:c r="AP73" s="664">
        <x:v>0</x:v>
      </x:c>
      <x:c r="BN73" s="624"/>
    </x:row>
    <x:row r="74" spans="1:66" x14ac:dyDescent="0.25">
      <x:c r="C74" s="772"/>
      <x:c r="D74" s="770"/>
      <x:c r="E74" s="663" t="s">
        <x:v>73</x:v>
      </x:c>
      <x:c r="F74" s="664">
        <x:v>0</x:v>
      </x:c>
      <x:c r="G74" s="627"/>
      <x:c r="H74" s="627"/>
      <x:c r="I74" s="627"/>
      <x:c r="J74" s="627"/>
      <x:c r="K74" s="627"/>
      <x:c r="L74" s="627"/>
      <x:c r="M74" s="627"/>
      <x:c r="N74" s="627"/>
      <x:c r="O74" s="627"/>
      <x:c r="P74" s="627"/>
      <x:c r="Q74" s="627"/>
      <x:c r="R74" s="627"/>
      <x:c r="BN74" s="624"/>
    </x:row>
    <x:row r="75" spans="1:66" x14ac:dyDescent="0.25">
      <x:c r="C75" s="660"/>
      <x:c r="D75" s="644"/>
      <x:c r="E75" s="625"/>
      <x:c r="F75" s="627"/>
      <x:c r="G75" s="627"/>
      <x:c r="H75" s="627"/>
      <x:c r="I75" s="627"/>
      <x:c r="J75" s="627"/>
      <x:c r="K75" s="627"/>
      <x:c r="L75" s="627"/>
      <x:c r="M75" s="627"/>
      <x:c r="N75" s="627"/>
      <x:c r="O75" s="627"/>
      <x:c r="P75" s="627"/>
      <x:c r="Q75" s="627"/>
      <x:c r="R75" s="627"/>
      <x:c r="BN75" s="624"/>
    </x:row>
    <x:row r="76" spans="1:66" x14ac:dyDescent="0.25">
      <x:c r="D76" s="634" t="s">
        <x:v>185</x:v>
      </x:c>
      <x:c r="E76" s="665" t="s">
        <x:v>70</x:v>
      </x:c>
      <x:c r="F76" s="666">
        <x:f t="shared" ref="F76:AP76" si="5">F13</x:f>
        <x:v>0</x:v>
      </x:c>
      <x:c r="G76" s="666">
        <x:f t="shared" si="5"/>
        <x:v>0</x:v>
      </x:c>
      <x:c r="H76" s="666">
        <x:f t="shared" si="5"/>
        <x:v>0</x:v>
      </x:c>
      <x:c r="I76" s="666">
        <x:f t="shared" si="5"/>
        <x:v>0</x:v>
      </x:c>
      <x:c r="J76" s="666">
        <x:f t="shared" si="5"/>
        <x:v>0</x:v>
      </x:c>
      <x:c r="K76" s="666">
        <x:f t="shared" si="5"/>
        <x:v>0</x:v>
      </x:c>
      <x:c r="L76" s="666">
        <x:f t="shared" si="5"/>
        <x:v>0</x:v>
      </x:c>
      <x:c r="M76" s="666">
        <x:f t="shared" si="5"/>
        <x:v>0</x:v>
      </x:c>
      <x:c r="N76" s="666">
        <x:f t="shared" si="5"/>
        <x:v>0</x:v>
      </x:c>
      <x:c r="O76" s="666">
        <x:f t="shared" si="5"/>
        <x:v>0</x:v>
      </x:c>
      <x:c r="P76" s="666">
        <x:f t="shared" si="5"/>
        <x:v>0</x:v>
      </x:c>
      <x:c r="Q76" s="666">
        <x:f t="shared" si="5"/>
        <x:v>0</x:v>
      </x:c>
      <x:c r="R76" s="666">
        <x:f t="shared" si="5"/>
        <x:v>0</x:v>
      </x:c>
      <x:c r="S76" s="666">
        <x:f t="shared" si="5"/>
        <x:v>0</x:v>
      </x:c>
      <x:c r="T76" s="666">
        <x:f t="shared" si="5"/>
        <x:v>0</x:v>
      </x:c>
      <x:c r="U76" s="666">
        <x:f t="shared" si="5"/>
        <x:v>0</x:v>
      </x:c>
      <x:c r="V76" s="666">
        <x:f t="shared" si="5"/>
        <x:v>0</x:v>
      </x:c>
      <x:c r="W76" s="666">
        <x:f t="shared" si="5"/>
        <x:v>0</x:v>
      </x:c>
      <x:c r="X76" s="666">
        <x:f t="shared" si="5"/>
        <x:v>0</x:v>
      </x:c>
      <x:c r="Y76" s="666">
        <x:f t="shared" si="5"/>
        <x:v>0</x:v>
      </x:c>
      <x:c r="Z76" s="666">
        <x:f t="shared" si="5"/>
        <x:v>0</x:v>
      </x:c>
      <x:c r="AA76" s="666">
        <x:f t="shared" si="5"/>
        <x:v>0</x:v>
      </x:c>
      <x:c r="AB76" s="666">
        <x:f t="shared" si="5"/>
        <x:v>0</x:v>
      </x:c>
      <x:c r="AC76" s="666">
        <x:f t="shared" si="5"/>
        <x:v>0</x:v>
      </x:c>
      <x:c r="AD76" s="666">
        <x:f t="shared" si="5"/>
        <x:v>0</x:v>
      </x:c>
      <x:c r="AE76" s="666">
        <x:f t="shared" si="5"/>
        <x:v>0</x:v>
      </x:c>
      <x:c r="AF76" s="666">
        <x:f t="shared" si="5"/>
        <x:v>0</x:v>
      </x:c>
      <x:c r="AG76" s="666">
        <x:f t="shared" si="5"/>
        <x:v>0</x:v>
      </x:c>
      <x:c r="AH76" s="666">
        <x:f t="shared" si="5"/>
        <x:v>0</x:v>
      </x:c>
      <x:c r="AI76" s="666">
        <x:f t="shared" si="5"/>
        <x:v>0</x:v>
      </x:c>
      <x:c r="AJ76" s="666">
        <x:f t="shared" si="5"/>
        <x:v>0</x:v>
      </x:c>
      <x:c r="AK76" s="666">
        <x:f t="shared" si="5"/>
        <x:v>0</x:v>
      </x:c>
      <x:c r="AL76" s="666">
        <x:f t="shared" si="5"/>
        <x:v>0</x:v>
      </x:c>
      <x:c r="AM76" s="666">
        <x:f t="shared" si="5"/>
        <x:v>0</x:v>
      </x:c>
      <x:c r="AN76" s="666">
        <x:f t="shared" si="5"/>
        <x:v>0</x:v>
      </x:c>
      <x:c r="AO76" s="666">
        <x:f t="shared" si="5"/>
        <x:v>0</x:v>
      </x:c>
      <x:c r="AP76" s="666">
        <x:f t="shared" si="5"/>
        <x:v>0</x:v>
      </x:c>
      <x:c r="BN76" s="624"/>
    </x:row>
    <x:row r="77" spans="1:66" x14ac:dyDescent="0.25">
      <x:c r="C77" s="660"/>
      <x:c r="D77" s="644"/>
      <x:c r="E77" s="625"/>
      <x:c r="F77" s="627"/>
      <x:c r="G77" s="627"/>
      <x:c r="H77" s="627"/>
      <x:c r="I77" s="627"/>
      <x:c r="J77" s="627"/>
      <x:c r="K77" s="627"/>
      <x:c r="L77" s="627"/>
      <x:c r="M77" s="627"/>
      <x:c r="N77" s="627"/>
      <x:c r="O77" s="627"/>
      <x:c r="P77" s="627"/>
      <x:c r="Q77" s="627"/>
      <x:c r="R77" s="627"/>
      <x:c r="BN77" s="624"/>
    </x:row>
    <x:row r="78" spans="1:66" x14ac:dyDescent="0.25">
      <x:c r="A78" s="624"/>
      <x:c r="B78" s="624"/>
      <x:c r="C78" s="624"/>
      <x:c r="D78" s="624"/>
      <x:c r="E78" s="624"/>
      <x:c r="F78" s="624"/>
      <x:c r="G78" s="624"/>
      <x:c r="H78" s="624"/>
      <x:c r="I78" s="624"/>
      <x:c r="J78" s="624"/>
      <x:c r="K78" s="624"/>
      <x:c r="L78" s="624"/>
      <x:c r="M78" s="624"/>
      <x:c r="N78" s="624"/>
      <x:c r="O78" s="624"/>
      <x:c r="P78" s="624"/>
      <x:c r="Q78" s="624"/>
      <x:c r="R78" s="624"/>
      <x:c r="S78" s="624"/>
      <x:c r="T78" s="624"/>
      <x:c r="U78" s="624"/>
      <x:c r="V78" s="624"/>
      <x:c r="W78" s="624"/>
      <x:c r="X78" s="624"/>
      <x:c r="Y78" s="624"/>
      <x:c r="Z78" s="624"/>
      <x:c r="AA78" s="624"/>
      <x:c r="AB78" s="624"/>
      <x:c r="AC78" s="624"/>
      <x:c r="AD78" s="624"/>
      <x:c r="AE78" s="624"/>
      <x:c r="AF78" s="624"/>
      <x:c r="AG78" s="624"/>
      <x:c r="AH78" s="624"/>
      <x:c r="AI78" s="624"/>
      <x:c r="AJ78" s="624"/>
      <x:c r="AK78" s="624"/>
      <x:c r="AL78" s="624"/>
      <x:c r="AM78" s="624"/>
      <x:c r="AN78" s="624"/>
      <x:c r="AO78" s="624"/>
      <x:c r="AP78" s="624"/>
      <x:c r="AQ78" s="624"/>
      <x:c r="AR78" s="624"/>
      <x:c r="AS78" s="624"/>
      <x:c r="AT78" s="624"/>
      <x:c r="AU78" s="624"/>
      <x:c r="AV78" s="624"/>
      <x:c r="AW78" s="624"/>
      <x:c r="AX78" s="624"/>
      <x:c r="AY78" s="624"/>
      <x:c r="AZ78" s="624"/>
      <x:c r="BA78" s="624"/>
      <x:c r="BB78" s="624"/>
      <x:c r="BC78" s="624"/>
      <x:c r="BD78" s="624"/>
      <x:c r="BE78" s="624"/>
      <x:c r="BF78" s="624"/>
      <x:c r="BG78" s="624"/>
      <x:c r="BH78" s="624"/>
      <x:c r="BI78" s="624"/>
      <x:c r="BJ78" s="624"/>
      <x:c r="BK78" s="624"/>
      <x:c r="BL78" s="624"/>
      <x:c r="BM78" s="624"/>
      <x:c r="BN78" s="624"/>
    </x:row>
    <x:row r="79" spans="1:66" x14ac:dyDescent="0.25">
      <x:c r="A79" s="625"/>
      <x:c r="B79" s="50" t="s">
        <x:v>75</x:v>
      </x:c>
      <x:c r="E79" s="627"/>
      <x:c r="F79" s="627"/>
      <x:c r="G79" s="627"/>
      <x:c r="H79" s="627"/>
      <x:c r="I79" s="627"/>
      <x:c r="J79" s="627"/>
      <x:c r="K79" s="627"/>
      <x:c r="L79" s="627"/>
      <x:c r="M79" s="627"/>
      <x:c r="N79" s="627"/>
      <x:c r="O79" s="627"/>
      <x:c r="P79" s="627"/>
      <x:c r="Q79" s="627"/>
      <x:c r="R79" s="627"/>
      <x:c r="BN79" s="624"/>
    </x:row>
    <x:row r="80" spans="1:66" s="50" customFormat="1" ht="27.6" x14ac:dyDescent="0.25">
      <x:c r="F80" s="669" t="s">
        <x:v>70</x:v>
      </x:c>
      <x:c r="G80" s="669" t="s">
        <x:v>64</x:v>
      </x:c>
      <x:c r="H80" s="669" t="s">
        <x:v>65</x:v>
      </x:c>
      <x:c r="I80" s="626" t="s">
        <x:v>164</x:v>
      </x:c>
      <x:c r="J80" s="669" t="s">
        <x:v>69</x:v>
      </x:c>
      <x:c r="K80" s="669" t="s">
        <x:v>68</x:v>
      </x:c>
      <x:c r="L80" s="669" t="s">
        <x:v>71</x:v>
      </x:c>
      <x:c r="M80" s="669" t="s">
        <x:v>66</x:v>
      </x:c>
      <x:c r="N80" s="669" t="s">
        <x:v>63</x:v>
      </x:c>
      <x:c r="O80" s="669" t="s">
        <x:v>61</x:v>
      </x:c>
      <x:c r="P80" s="669" t="s">
        <x:v>62</x:v>
      </x:c>
      <x:c r="Q80" s="669" t="s">
        <x:v>67</x:v>
      </x:c>
      <x:c r="R80" s="669" t="s">
        <x:v>77</x:v>
      </x:c>
      <x:c r="S80" s="669" t="s">
        <x:v>80</x:v>
      </x:c>
      <x:c r="T80" s="669" t="s">
        <x:v>135</x:v>
      </x:c>
      <x:c r="U80" s="669" t="s">
        <x:v>222</x:v>
      </x:c>
      <x:c r="V80" s="669" t="s">
        <x:v>223</x:v>
      </x:c>
      <x:c r="W80" s="669" t="s">
        <x:v>172</x:v>
      </x:c>
      <x:c r="X80" s="50" t="s">
        <x:v>166</x:v>
      </x:c>
      <x:c r="Y80" s="669" t="s">
        <x:v>135</x:v>
      </x:c>
      <x:c r="Z80" s="669" t="s">
        <x:v>166</x:v>
      </x:c>
      <x:c r="BN80" s="618"/>
    </x:row>
    <x:row r="81" spans="1:66" x14ac:dyDescent="0.25">
      <x:c r="A81"/>
      <x:c r="B81"/>
      <x:c r="C81"/>
      <x:c r="D81"/>
      <x:c r="E81" s="25" t="inlineStr">
        <x:is>
          <x:t>Vlr Servicio</x:t>
        </x:is>
      </x:c>
      <x:c r="F81" s="627" t="n">
        <x:v>-1046185.37</x:v>
      </x:c>
      <x:c r="G81" s="627" t="n">
        <x:v>-91219.33</x:v>
      </x:c>
      <x:c r="H81" s="627" t="n">
        <x:v>-38751.51</x:v>
      </x:c>
      <x:c r="I81" s="671" t="n">
        <x:v>-16923.62</x:v>
      </x:c>
      <x:c r="J81" s="627" t="n">
        <x:v>-211175.82</x:v>
      </x:c>
      <x:c r="K81" s="627" t="n">
        <x:v>-8741.75</x:v>
      </x:c>
      <x:c r="L81" s="627" t="n">
        <x:v>0</x:v>
      </x:c>
      <x:c r="M81" s="627" t="n">
        <x:v>-77575.3</x:v>
      </x:c>
      <x:c r="N81" s="627" t="n">
        <x:v>-96108.28</x:v>
      </x:c>
      <x:c r="O81" s="627" t="n">
        <x:v>-322822.01</x:v>
      </x:c>
      <x:c r="P81" s="627" t="n">
        <x:v>-168607.62</x:v>
      </x:c>
      <x:c r="Q81" s="627" t="n">
        <x:v>-14260.13</x:v>
      </x:c>
      <x:c r="R81" s="627" t="n">
        <x:v>0</x:v>
      </x:c>
      <x:c r="S81" s="627" t="n">
        <x:v>0</x:v>
      </x:c>
      <x:c r="T81" s="627" t="n">
        <x:v>0</x:v>
      </x:c>
      <x:c r="U81" s="627">
        <x:v>0</x:v>
      </x:c>
      <x:c r="V81" s="627">
        <x:v>0</x:v>
      </x:c>
      <x:c r="W81" s="627">
        <x:v>0</x:v>
      </x:c>
      <x:c r="X81" s="653">
        <x:v>0</x:v>
      </x:c>
      <x:c r="Y81" s="627">
        <x:v>0</x:v>
      </x:c>
      <x:c r="Z81" s="627" t="n">
        <x:v>0</x:v>
      </x:c>
      <x:c r="BN81" s="624"/>
    </x:row>
    <x:row r="82" spans="1:66" x14ac:dyDescent="0.25">
      <x:c r="A82"/>
      <x:c r="B82"/>
      <x:c r="C82"/>
      <x:c r="D82" s="25" t="inlineStr">
        <x:is>
          <x:t>E</x:t>
        </x:is>
      </x:c>
      <x:c r="E82" s="25" t="inlineStr">
        <x:is>
          <x:t>Total</x:t>
        </x:is>
      </x:c>
      <x:c r="F82" s="627" t="n">
        <x:v>-1046185.37</x:v>
      </x:c>
      <x:c r="G82" s="627" t="n">
        <x:v>-91219.33</x:v>
      </x:c>
      <x:c r="H82" s="627" t="n">
        <x:v>-38751.51</x:v>
      </x:c>
      <x:c r="I82" s="671" t="n">
        <x:v>-16923.62</x:v>
      </x:c>
      <x:c r="J82" s="627" t="n">
        <x:v>-211175.82</x:v>
      </x:c>
      <x:c r="K82" s="627" t="n">
        <x:v>-8741.75</x:v>
      </x:c>
      <x:c r="L82" s="627" t="n">
        <x:v>0</x:v>
      </x:c>
      <x:c r="M82" s="627" t="n">
        <x:v>-77575.3</x:v>
      </x:c>
      <x:c r="N82" s="627" t="n">
        <x:v>-96108.28</x:v>
      </x:c>
      <x:c r="O82" s="627" t="n">
        <x:v>-322822.01</x:v>
      </x:c>
      <x:c r="P82" s="627" t="n">
        <x:v>-168607.62</x:v>
      </x:c>
      <x:c r="Q82" s="627" t="n">
        <x:v>-14260.13</x:v>
      </x:c>
      <x:c r="R82" s="627" t="n">
        <x:v>0</x:v>
      </x:c>
      <x:c r="S82" s="627" t="n">
        <x:v>0</x:v>
      </x:c>
      <x:c r="T82" s="627" t="n">
        <x:v>0</x:v>
      </x:c>
      <x:c r="U82" s="627">
        <x:v>0</x:v>
      </x:c>
      <x:c r="V82" s="627">
        <x:v>0</x:v>
      </x:c>
      <x:c r="W82" s="627">
        <x:v>0</x:v>
      </x:c>
      <x:c r="X82" s="653">
        <x:v>0</x:v>
      </x:c>
      <x:c r="Y82" s="627">
        <x:v>0</x:v>
      </x:c>
      <x:c r="Z82" s="627" t="n">
        <x:v>0</x:v>
      </x:c>
      <x:c r="BN82" s="624"/>
    </x:row>
    <x:row r="83" spans="1:66" x14ac:dyDescent="0.25">
      <x:c r="A83" s="628"/>
      <x:c r="B83" s="628"/>
      <x:c r="C83" s="628" t="inlineStr">
        <x:is>
          <x:t>ENEL</x:t>
        </x:is>
      </x:c>
      <x:c r="D83" s="628" t="inlineStr">
        <x:is>
          <x:t>Total</x:t>
        </x:is>
      </x:c>
      <x:c r="E83" s="629"/>
      <x:c r="F83" s="630" t="n">
        <x:v>-1046185.37</x:v>
      </x:c>
      <x:c r="G83" s="630" t="n">
        <x:v>-91219.33</x:v>
      </x:c>
      <x:c r="H83" s="630" t="n">
        <x:v>-38751.51</x:v>
      </x:c>
      <x:c r="I83" s="630" t="n">
        <x:v>-16923.62</x:v>
      </x:c>
      <x:c r="J83" s="630" t="n">
        <x:v>-211175.82</x:v>
      </x:c>
      <x:c r="K83" s="630" t="n">
        <x:v>-8741.75</x:v>
      </x:c>
      <x:c r="L83" s="630" t="n">
        <x:v>0</x:v>
      </x:c>
      <x:c r="M83" s="630" t="n">
        <x:v>-77575.3</x:v>
      </x:c>
      <x:c r="N83" s="630" t="n">
        <x:v>-96108.28</x:v>
      </x:c>
      <x:c r="O83" s="630" t="n">
        <x:v>-322822.01</x:v>
      </x:c>
      <x:c r="P83" s="630" t="n">
        <x:v>-168607.62</x:v>
      </x:c>
      <x:c r="Q83" s="630" t="n">
        <x:v>-14260.13</x:v>
      </x:c>
      <x:c r="R83" s="630" t="n">
        <x:v>0</x:v>
      </x:c>
      <x:c r="S83" s="630" t="n">
        <x:v>0</x:v>
      </x:c>
      <x:c r="T83" s="630" t="n">
        <x:v>0</x:v>
      </x:c>
      <x:c r="U83" s="630">
        <x:v>0</x:v>
      </x:c>
      <x:c r="V83" s="630">
        <x:v>0</x:v>
      </x:c>
      <x:c r="W83" s="630">
        <x:v>0</x:v>
      </x:c>
      <x:c r="X83" s="630">
        <x:v>0</x:v>
      </x:c>
      <x:c r="Y83" s="630">
        <x:v>0</x:v>
      </x:c>
      <x:c r="Z83" s="630" t="n">
        <x:v>0</x:v>
      </x:c>
      <x:c r="AA83" s="628"/>
      <x:c r="AB83" s="628"/>
      <x:c r="AC83" s="628"/>
      <x:c r="AD83" s="628"/>
      <x:c r="AE83" s="628"/>
      <x:c r="AF83" s="628"/>
      <x:c r="AG83" s="628"/>
      <x:c r="AH83" s="628"/>
      <x:c r="AI83" s="628"/>
      <x:c r="AJ83" s="628"/>
      <x:c r="AK83" s="628"/>
      <x:c r="AL83" s="628"/>
      <x:c r="AM83" s="628"/>
      <x:c r="AN83" s="628"/>
      <x:c r="AO83" s="628"/>
      <x:c r="AP83" s="628"/>
      <x:c r="AQ83" s="628"/>
      <x:c r="AR83" s="628"/>
      <x:c r="AS83" s="628"/>
      <x:c r="AT83" s="628"/>
      <x:c r="AU83" s="628"/>
      <x:c r="AV83" s="628"/>
      <x:c r="AW83" s="628"/>
      <x:c r="AX83" s="628"/>
      <x:c r="AY83" s="628"/>
      <x:c r="AZ83" s="628"/>
      <x:c r="BA83" s="628"/>
      <x:c r="BB83" s="628"/>
      <x:c r="BC83" s="628"/>
      <x:c r="BD83" s="628"/>
      <x:c r="BE83" s="628"/>
      <x:c r="BF83" s="628"/>
      <x:c r="BG83" s="628"/>
      <x:c r="BH83" s="628"/>
      <x:c r="BI83" s="628"/>
      <x:c r="BJ83" s="628"/>
      <x:c r="BK83" s="628"/>
      <x:c r="BL83" s="628"/>
      <x:c r="BM83" s="628"/>
      <x:c r="BN83" s="624"/>
    </x:row>
    <x:row r="84" spans="1:66" x14ac:dyDescent="0.25">
      <x:c r="A84"/>
      <x:c r="B84"/>
      <x:c r="C84"/>
      <x:c r="D84"/>
      <x:c r="E84" s="625" t="inlineStr">
        <x:is>
          <x:t>Vlr Servicio</x:t>
        </x:is>
      </x:c>
      <x:c r="F84" s="627" t="n">
        <x:v>-16473.56</x:v>
      </x:c>
      <x:c r="G84" s="627" t="n">
        <x:v>-1493.1</x:v>
      </x:c>
      <x:c r="H84" s="627" t="n">
        <x:v>-634.32</x:v>
      </x:c>
      <x:c r="I84" s="627" t="n">
        <x:v>-277.02</x:v>
      </x:c>
      <x:c r="J84" s="627" t="n">
        <x:v>-3270.82</x:v>
      </x:c>
      <x:c r="K84" s="627" t="n">
        <x:v>-134.76</x:v>
      </x:c>
      <x:c r="L84" s="627" t="n">
        <x:v>0</x:v>
      </x:c>
      <x:c r="M84" s="627" t="n">
        <x:v>-1182.21</x:v>
      </x:c>
      <x:c r="N84" s="627" t="n">
        <x:v>-1481.89</x:v>
      </x:c>
      <x:c r="O84" s="627" t="n">
        <x:v>-4977.6</x:v>
      </x:c>
      <x:c r="P84" s="627" t="n">
        <x:v>-2801.97</x:v>
      </x:c>
      <x:c r="Q84" s="627" t="n">
        <x:v>-219.87</x:v>
      </x:c>
      <x:c r="R84" s="627" t="n">
        <x:v>0</x:v>
      </x:c>
      <x:c r="S84" s="627" t="n">
        <x:v>0</x:v>
      </x:c>
      <x:c r="T84" s="627" t="n">
        <x:v>0</x:v>
      </x:c>
      <x:c r="U84" s="627">
        <x:v>0</x:v>
      </x:c>
      <x:c r="V84" s="627">
        <x:v>0</x:v>
      </x:c>
      <x:c r="W84" s="627">
        <x:v>0</x:v>
      </x:c>
      <x:c r="X84" s="653">
        <x:v>0</x:v>
      </x:c>
      <x:c r="Y84" s="653">
        <x:v>0</x:v>
      </x:c>
      <x:c r="Z84" s="653" t="n">
        <x:v>0</x:v>
      </x:c>
      <x:c r="BN84" s="624"/>
    </x:row>
    <x:row r="85" spans="1:66" x14ac:dyDescent="0.25">
      <x:c r="A85"/>
      <x:c r="B85"/>
      <x:c r="C85"/>
      <x:c r="D85" s="25" t="inlineStr">
        <x:is>
          <x:t>5</x:t>
        </x:is>
      </x:c>
      <x:c r="E85" s="625" t="inlineStr">
        <x:is>
          <x:t>Total</x:t>
        </x:is>
      </x:c>
      <x:c r="F85" s="627" t="n">
        <x:v>-16473.56</x:v>
      </x:c>
      <x:c r="G85" s="627" t="n">
        <x:v>-1493.1</x:v>
      </x:c>
      <x:c r="H85" s="627" t="n">
        <x:v>-634.32</x:v>
      </x:c>
      <x:c r="I85" s="627" t="n">
        <x:v>-277.02</x:v>
      </x:c>
      <x:c r="J85" s="627" t="n">
        <x:v>-3270.82</x:v>
      </x:c>
      <x:c r="K85" s="627" t="n">
        <x:v>-134.76</x:v>
      </x:c>
      <x:c r="L85" s="627" t="n">
        <x:v>0</x:v>
      </x:c>
      <x:c r="M85" s="627" t="n">
        <x:v>-1182.21</x:v>
      </x:c>
      <x:c r="N85" s="627" t="n">
        <x:v>-1481.89</x:v>
      </x:c>
      <x:c r="O85" s="627" t="n">
        <x:v>-4977.6</x:v>
      </x:c>
      <x:c r="P85" s="627" t="n">
        <x:v>-2801.97</x:v>
      </x:c>
      <x:c r="Q85" s="627" t="n">
        <x:v>-219.87</x:v>
      </x:c>
      <x:c r="R85" s="627" t="n">
        <x:v>0</x:v>
      </x:c>
      <x:c r="S85" s="627" t="n">
        <x:v>0</x:v>
      </x:c>
      <x:c r="T85" s="627" t="n">
        <x:v>0</x:v>
      </x:c>
      <x:c r="U85" s="627">
        <x:v>0</x:v>
      </x:c>
      <x:c r="V85" s="627">
        <x:v>0</x:v>
      </x:c>
      <x:c r="W85" s="627">
        <x:v>0</x:v>
      </x:c>
      <x:c r="X85" s="653">
        <x:v>0</x:v>
      </x:c>
      <x:c r="Y85" s="653">
        <x:v>0</x:v>
      </x:c>
      <x:c r="Z85" s="653" t="n">
        <x:v>0</x:v>
      </x:c>
      <x:c r="BN85" s="624"/>
    </x:row>
    <x:row r="86" spans="1:66" x14ac:dyDescent="0.25">
      <x:c r="A86" s="631"/>
      <x:c r="B86" s="631"/>
      <x:c r="C86" s="632" t="inlineStr">
        <x:is>
          <x:t>NUEVO ESQUEMA</x:t>
        </x:is>
      </x:c>
      <x:c r="D86" s="632" t="inlineStr">
        <x:is>
          <x:t>Total</x:t>
        </x:is>
      </x:c>
      <x:c r="E86" s="631"/>
      <x:c r="F86" s="633" t="n">
        <x:v>-16473.56</x:v>
      </x:c>
      <x:c r="G86" s="633" t="n">
        <x:v>-1493.1</x:v>
      </x:c>
      <x:c r="H86" s="633" t="n">
        <x:v>-634.32</x:v>
      </x:c>
      <x:c r="I86" s="633" t="n">
        <x:v>-277.02</x:v>
      </x:c>
      <x:c r="J86" s="633" t="n">
        <x:v>-3270.82</x:v>
      </x:c>
      <x:c r="K86" s="633" t="n">
        <x:v>-134.76</x:v>
      </x:c>
      <x:c r="L86" s="633" t="n">
        <x:v>0</x:v>
      </x:c>
      <x:c r="M86" s="633" t="n">
        <x:v>-1182.21</x:v>
      </x:c>
      <x:c r="N86" s="633" t="n">
        <x:v>-1481.89</x:v>
      </x:c>
      <x:c r="O86" s="633" t="n">
        <x:v>-4977.6</x:v>
      </x:c>
      <x:c r="P86" s="633" t="n">
        <x:v>-2801.97</x:v>
      </x:c>
      <x:c r="Q86" s="633" t="n">
        <x:v>-219.87</x:v>
      </x:c>
      <x:c r="R86" s="633" t="n">
        <x:v>0</x:v>
      </x:c>
      <x:c r="S86" s="633" t="n">
        <x:v>0</x:v>
      </x:c>
      <x:c r="T86" s="633" t="n">
        <x:v>0</x:v>
      </x:c>
      <x:c r="U86" s="633">
        <x:v>0</x:v>
      </x:c>
      <x:c r="V86" s="633">
        <x:v>0</x:v>
      </x:c>
      <x:c r="W86" s="633">
        <x:v>0</x:v>
      </x:c>
      <x:c r="X86" s="633">
        <x:v>0</x:v>
      </x:c>
      <x:c r="Y86" s="633">
        <x:v>0</x:v>
      </x:c>
      <x:c r="Z86" s="633" t="n">
        <x:v>0</x:v>
      </x:c>
      <x:c r="AA86" s="631"/>
      <x:c r="AB86" s="631"/>
      <x:c r="AC86" s="631"/>
      <x:c r="AD86" s="631"/>
      <x:c r="AE86" s="631"/>
      <x:c r="AF86" s="631"/>
      <x:c r="AG86" s="631"/>
      <x:c r="AH86" s="631"/>
      <x:c r="AI86" s="631"/>
      <x:c r="AJ86" s="631"/>
      <x:c r="AK86" s="631"/>
      <x:c r="AL86" s="631"/>
      <x:c r="AM86" s="631"/>
      <x:c r="AN86" s="631"/>
      <x:c r="AO86" s="631"/>
      <x:c r="AP86" s="631"/>
      <x:c r="AQ86" s="631"/>
      <x:c r="AR86" s="631"/>
      <x:c r="AS86" s="631"/>
      <x:c r="AT86" s="631"/>
      <x:c r="AU86" s="631"/>
      <x:c r="AV86" s="631"/>
      <x:c r="AW86" s="631"/>
      <x:c r="AX86" s="631"/>
      <x:c r="AY86" s="631"/>
      <x:c r="AZ86" s="631"/>
      <x:c r="BA86" s="631"/>
      <x:c r="BB86" s="631"/>
      <x:c r="BC86" s="631"/>
      <x:c r="BD86" s="631"/>
      <x:c r="BE86" s="631"/>
      <x:c r="BF86" s="631"/>
      <x:c r="BG86" s="631"/>
      <x:c r="BH86" s="631"/>
      <x:c r="BI86" s="631"/>
      <x:c r="BJ86" s="631"/>
      <x:c r="BK86" s="631"/>
      <x:c r="BL86" s="631"/>
      <x:c r="BM86" s="631"/>
      <x:c r="BN86" s="624"/>
    </x:row>
    <x:row r="87" spans="1:66" x14ac:dyDescent="0.25">
      <x:c r="A87"/>
      <x:c r="B87" s="625"/>
      <x:c r="C87" s="625"/>
      <x:c r="D87"/>
      <x:c r="E87" t="inlineStr">
        <x:is>
          <x:t>Vlr Servicio</x:t>
        </x:is>
      </x:c>
      <x:c r="F87" s="627" t="n">
        <x:v>-57062.45</x:v>
      </x:c>
      <x:c r="G87" s="627" t="n">
        <x:v>-4986.76</x:v>
      </x:c>
      <x:c r="H87" s="627" t="n">
        <x:v>-2118.48</x:v>
      </x:c>
      <x:c r="I87" s="627" t="n">
        <x:v>-925.2</x:v>
      </x:c>
      <x:c r="J87" s="627" t="n">
        <x:v>-11544.09</x:v>
      </x:c>
      <x:c r="K87" s="627" t="n">
        <x:v>-475.66</x:v>
      </x:c>
      <x:c r="L87" s="627" t="n">
        <x:v>0</x:v>
      </x:c>
      <x:c r="M87" s="627" t="n">
        <x:v>-4172.45</x:v>
      </x:c>
      <x:c r="N87" s="627" t="n">
        <x:v>-5230.23</x:v>
      </x:c>
      <x:c r="O87" s="627" t="n">
        <x:v>-17568</x:v>
      </x:c>
      <x:c r="P87" s="627" t="n">
        <x:v>-9265.53</x:v>
      </x:c>
      <x:c r="Q87" s="627" t="n">
        <x:v>-776.05</x:v>
      </x:c>
      <x:c r="R87" s="627" t="n">
        <x:v>0</x:v>
      </x:c>
      <x:c r="S87" s="627" t="n">
        <x:v>0</x:v>
      </x:c>
      <x:c r="T87" s="653" t="n">
        <x:v>0</x:v>
      </x:c>
      <x:c r="U87" s="653">
        <x:v>0</x:v>
      </x:c>
      <x:c r="V87" s="653">
        <x:v>0</x:v>
      </x:c>
      <x:c r="W87" s="653">
        <x:v>0</x:v>
      </x:c>
      <x:c r="X87" s="653">
        <x:v>0</x:v>
      </x:c>
      <x:c r="Y87" s="627">
        <x:v>0</x:v>
      </x:c>
      <x:c r="Z87" s="653" t="n">
        <x:v>0</x:v>
      </x:c>
      <x:c r="BN87" s="624"/>
    </x:row>
    <x:row r="88" spans="1:66" x14ac:dyDescent="0.25">
      <x:c r="A88" s="634"/>
      <x:c r="B88" s="634"/>
      <x:c r="C88" s="634"/>
      <x:c r="D88" s="634" t="inlineStr">
        <x:is>
          <x:t>O</x:t>
        </x:is>
      </x:c>
      <x:c r="E88" s="634" t="inlineStr">
        <x:is>
          <x:t>Total</x:t>
        </x:is>
      </x:c>
      <x:c r="F88" s="670" t="n">
        <x:v>-57062.45</x:v>
      </x:c>
      <x:c r="G88" s="670" t="n">
        <x:v>-4986.76</x:v>
      </x:c>
      <x:c r="H88" s="670" t="n">
        <x:v>-2118.48</x:v>
      </x:c>
      <x:c r="I88" s="670" t="n">
        <x:v>-925.2</x:v>
      </x:c>
      <x:c r="J88" s="670" t="n">
        <x:v>-11544.09</x:v>
      </x:c>
      <x:c r="K88" s="670" t="n">
        <x:v>-475.66</x:v>
      </x:c>
      <x:c r="L88" s="670" t="n">
        <x:v>0</x:v>
      </x:c>
      <x:c r="M88" s="670" t="n">
        <x:v>-4172.45</x:v>
      </x:c>
      <x:c r="N88" s="670" t="n">
        <x:v>-5230.23</x:v>
      </x:c>
      <x:c r="O88" s="670" t="n">
        <x:v>-17568</x:v>
      </x:c>
      <x:c r="P88" s="670" t="n">
        <x:v>-9265.53</x:v>
      </x:c>
      <x:c r="Q88" s="670" t="n">
        <x:v>-776.05</x:v>
      </x:c>
      <x:c r="R88" s="670" t="n">
        <x:v>0</x:v>
      </x:c>
      <x:c r="S88" s="670" t="n">
        <x:v>0</x:v>
      </x:c>
      <x:c r="T88" s="670" t="n">
        <x:v>0</x:v>
      </x:c>
      <x:c r="U88" s="670">
        <x:v>0</x:v>
      </x:c>
      <x:c r="V88" s="670">
        <x:v>0</x:v>
      </x:c>
      <x:c r="W88" s="670">
        <x:v>0</x:v>
      </x:c>
      <x:c r="X88" s="670">
        <x:v>0</x:v>
      </x:c>
      <x:c r="Y88" s="670">
        <x:v>0</x:v>
      </x:c>
      <x:c r="Z88" s="670" t="n">
        <x:v>0</x:v>
      </x:c>
      <x:c r="AA88" s="634"/>
      <x:c r="AB88" s="634"/>
      <x:c r="AC88" s="634"/>
      <x:c r="AD88" s="634"/>
      <x:c r="AE88" s="634"/>
      <x:c r="AF88" s="634"/>
      <x:c r="AG88" s="634"/>
      <x:c r="AH88" s="634"/>
      <x:c r="AI88" s="634"/>
      <x:c r="AJ88" s="634"/>
      <x:c r="AK88" s="634"/>
      <x:c r="AL88" s="634"/>
      <x:c r="AM88" s="634"/>
      <x:c r="AN88" s="634"/>
      <x:c r="AO88" s="634"/>
      <x:c r="AP88" s="634"/>
      <x:c r="AQ88" s="634"/>
      <x:c r="AR88" s="634"/>
      <x:c r="AS88" s="634"/>
      <x:c r="AT88" s="634"/>
      <x:c r="AU88" s="634"/>
      <x:c r="AV88" s="634"/>
      <x:c r="AW88" s="634"/>
      <x:c r="AX88" s="634"/>
      <x:c r="AY88" s="634"/>
      <x:c r="AZ88" s="634"/>
      <x:c r="BA88" s="634"/>
      <x:c r="BB88" s="634"/>
      <x:c r="BC88" s="634"/>
      <x:c r="BD88" s="634"/>
      <x:c r="BE88" s="634"/>
      <x:c r="BF88" s="634"/>
      <x:c r="BG88" s="634"/>
      <x:c r="BH88" s="634"/>
      <x:c r="BI88" s="634"/>
      <x:c r="BJ88" s="634"/>
      <x:c r="BK88" s="634"/>
      <x:c r="BL88" s="634"/>
      <x:c r="BM88" s="634"/>
      <x:c r="BN88" s="624"/>
    </x:row>
    <x:row r="89" spans="1:66" x14ac:dyDescent="0.25">
      <x:c r="A89"/>
      <x:c r="B89"/>
      <x:c r="C89" t="inlineStr">
        <x:is>
          <x:t>OCCIDENTE</x:t>
        </x:is>
      </x:c>
      <x:c r="D89" t="inlineStr">
        <x:is>
          <x:t>Total</x:t>
        </x:is>
      </x:c>
      <x:c r="E89" s="625"/>
      <x:c r="F89" s="627" t="n">
        <x:v>-57062.45</x:v>
      </x:c>
      <x:c r="G89" s="627" t="n">
        <x:v>-4986.76</x:v>
      </x:c>
      <x:c r="H89" s="627" t="n">
        <x:v>-2118.48</x:v>
      </x:c>
      <x:c r="I89" s="627" t="n">
        <x:v>-925.2</x:v>
      </x:c>
      <x:c r="J89" s="627" t="n">
        <x:v>-11544.09</x:v>
      </x:c>
      <x:c r="K89" s="627" t="n">
        <x:v>-475.66</x:v>
      </x:c>
      <x:c r="L89" s="627" t="n">
        <x:v>0</x:v>
      </x:c>
      <x:c r="M89" s="627" t="n">
        <x:v>-4172.45</x:v>
      </x:c>
      <x:c r="N89" s="627" t="n">
        <x:v>-5230.23</x:v>
      </x:c>
      <x:c r="O89" s="627" t="n">
        <x:v>-17568</x:v>
      </x:c>
      <x:c r="P89" s="627" t="n">
        <x:v>-9265.53</x:v>
      </x:c>
      <x:c r="Q89" s="627" t="n">
        <x:v>-776.05</x:v>
      </x:c>
      <x:c r="R89" s="627" t="n">
        <x:v>0</x:v>
      </x:c>
      <x:c r="S89" s="627" t="n">
        <x:v>0</x:v>
      </x:c>
      <x:c r="T89" s="627" t="n">
        <x:v>0</x:v>
      </x:c>
      <x:c r="U89" s="627">
        <x:v>0</x:v>
      </x:c>
      <x:c r="V89" s="627">
        <x:v>0</x:v>
      </x:c>
      <x:c r="W89" s="627">
        <x:v>0</x:v>
      </x:c>
      <x:c r="X89" s="653">
        <x:v>0</x:v>
      </x:c>
      <x:c r="Y89" s="653">
        <x:v>0</x:v>
      </x:c>
      <x:c r="Z89" s="653" t="n">
        <x:v>0</x:v>
      </x:c>
      <x:c r="BN89" s="624"/>
    </x:row>
    <x:row r="90" spans="1:66" x14ac:dyDescent="0.25">
      <x:c r="A90"/>
      <x:c r="B90" t="inlineStr">
        <x:is>
          <x:t>Mes</x:t>
        </x:is>
      </x:c>
      <x:c r="C90" t="inlineStr">
        <x:is>
          <x:t>Total</x:t>
        </x:is>
      </x:c>
      <x:c r="D90"/>
      <x:c r="E90" s="625"/>
      <x:c r="F90" s="627" t="n">
        <x:v>-1119721.38</x:v>
      </x:c>
      <x:c r="G90" s="627" t="n">
        <x:v>-97699.19</x:v>
      </x:c>
      <x:c r="H90" s="627" t="n">
        <x:v>-41504.31</x:v>
      </x:c>
      <x:c r="I90" s="627" t="n">
        <x:v>-18125.84</x:v>
      </x:c>
      <x:c r="J90" s="627" t="n">
        <x:v>-225990.73</x:v>
      </x:c>
      <x:c r="K90" s="627" t="n">
        <x:v>-9352.17</x:v>
      </x:c>
      <x:c r="L90" s="627" t="n">
        <x:v>0</x:v>
      </x:c>
      <x:c r="M90" s="627" t="n">
        <x:v>-82929.96</x:v>
      </x:c>
      <x:c r="N90" s="627" t="n">
        <x:v>-102820.4</x:v>
      </x:c>
      <x:c r="O90" s="627" t="n">
        <x:v>-345367.61</x:v>
      </x:c>
      <x:c r="P90" s="627" t="n">
        <x:v>-180675.12</x:v>
      </x:c>
      <x:c r="Q90" s="627" t="n">
        <x:v>-15256.05</x:v>
      </x:c>
      <x:c r="R90" s="627" t="n">
        <x:v>0</x:v>
      </x:c>
      <x:c r="S90" s="627" t="n">
        <x:v>0</x:v>
      </x:c>
      <x:c r="T90" s="627" t="n">
        <x:v>0</x:v>
      </x:c>
      <x:c r="U90" s="627">
        <x:v>0</x:v>
      </x:c>
      <x:c r="V90" s="627">
        <x:v>0</x:v>
      </x:c>
      <x:c r="W90" s="627">
        <x:v>0</x:v>
      </x:c>
      <x:c r="X90" s="653">
        <x:v>0</x:v>
      </x:c>
      <x:c r="Y90" s="653">
        <x:v>0</x:v>
      </x:c>
      <x:c r="Z90" s="653" t="n">
        <x:v>0</x:v>
      </x:c>
      <x:c r="BN90" s="624"/>
    </x:row>
    <x:row r="91" spans="1:66" x14ac:dyDescent="0.25">
      <x:c r="A91" t="inlineStr">
        <x:is>
          <x:t>AFaseo</x:t>
        </x:is>
      </x:c>
      <x:c r="B91" t="inlineStr">
        <x:is>
          <x:t>Total</x:t>
        </x:is>
      </x:c>
      <x:c r="C91"/>
      <x:c r="D91" s="25"/>
      <x:c r="E91" s="625"/>
      <x:c r="F91" s="627" t="n">
        <x:v>-1119721.38</x:v>
      </x:c>
      <x:c r="G91" s="627" t="n">
        <x:v>-97699.19</x:v>
      </x:c>
      <x:c r="H91" s="627" t="n">
        <x:v>-41504.31</x:v>
      </x:c>
      <x:c r="I91" s="627" t="n">
        <x:v>-18125.84</x:v>
      </x:c>
      <x:c r="J91" s="627" t="n">
        <x:v>-225990.73</x:v>
      </x:c>
      <x:c r="K91" s="627" t="n">
        <x:v>-9352.17</x:v>
      </x:c>
      <x:c r="L91" s="627" t="n">
        <x:v>0</x:v>
      </x:c>
      <x:c r="M91" s="627" t="n">
        <x:v>-82929.96</x:v>
      </x:c>
      <x:c r="N91" s="627" t="n">
        <x:v>-102820.4</x:v>
      </x:c>
      <x:c r="O91" s="627" t="n">
        <x:v>-345367.61</x:v>
      </x:c>
      <x:c r="P91" s="627" t="n">
        <x:v>-180675.12</x:v>
      </x:c>
      <x:c r="Q91" s="627" t="n">
        <x:v>-15256.05</x:v>
      </x:c>
      <x:c r="R91" s="627" t="n">
        <x:v>0</x:v>
      </x:c>
      <x:c r="S91" s="627" t="n">
        <x:v>0</x:v>
      </x:c>
      <x:c r="T91" s="627" t="n">
        <x:v>0</x:v>
      </x:c>
      <x:c r="U91" s="627">
        <x:v>0</x:v>
      </x:c>
      <x:c r="V91" s="627">
        <x:v>0</x:v>
      </x:c>
      <x:c r="W91" s="627">
        <x:v>0</x:v>
      </x:c>
      <x:c r="X91" s="653">
        <x:v>0</x:v>
      </x:c>
      <x:c r="Y91" s="653">
        <x:v>0</x:v>
      </x:c>
      <x:c r="Z91" s="653" t="n">
        <x:v>0</x:v>
      </x:c>
      <x:c r="BN91" s="624"/>
    </x:row>
    <x:row r="92" spans="1:66" x14ac:dyDescent="0.25">
      <x:c r="A92" s="628"/>
      <x:c r="B92" s="628"/>
      <x:c r="C92" s="628"/>
      <x:c r="D92" s="628"/>
      <x:c r="E92" s="629" t="inlineStr">
        <x:is>
          <x:t>Vlr Servicio</x:t>
        </x:is>
      </x:c>
      <x:c r="F92" s="630" t="n">
        <x:v>16314207602.79</x:v>
      </x:c>
      <x:c r="G92" s="630" t="n">
        <x:v>951515068.48</x:v>
      </x:c>
      <x:c r="H92" s="630" t="n">
        <x:v>528521902.96</x:v>
      </x:c>
      <x:c r="I92" s="630" t="n">
        <x:v>275473863.95</x:v>
      </x:c>
      <x:c r="J92" s="630" t="n">
        <x:v>3804186056.39</x:v>
      </x:c>
      <x:c r="K92" s="630" t="n">
        <x:v>145126487.11</x:v>
      </x:c>
      <x:c r="L92" s="630" t="n">
        <x:v>23299357.66</x:v>
      </x:c>
      <x:c r="M92" s="630" t="n">
        <x:v>1275699192.55</x:v>
      </x:c>
      <x:c r="N92" s="630" t="n">
        <x:v>1273183616.4</x:v>
      </x:c>
      <x:c r="O92" s="630" t="n">
        <x:v>5943372481.91</x:v>
      </x:c>
      <x:c r="P92" s="630" t="n">
        <x:v>1856399071.53</x:v>
      </x:c>
      <x:c r="Q92" s="630" t="n">
        <x:v>237445556.11</x:v>
      </x:c>
      <x:c r="R92" s="630" t="n">
        <x:v>-15052.26</x:v>
      </x:c>
      <x:c r="S92" s="630" t="n">
        <x:v>0</x:v>
      </x:c>
      <x:c r="T92" s="630" t="n">
        <x:v>0</x:v>
      </x:c>
      <x:c r="U92" s="630">
        <x:v>0</x:v>
      </x:c>
      <x:c r="V92" s="630">
        <x:v>0</x:v>
      </x:c>
      <x:c r="W92" s="630">
        <x:v>0</x:v>
      </x:c>
      <x:c r="X92" s="630">
        <x:v>0</x:v>
      </x:c>
      <x:c r="Y92" s="630">
        <x:v>0</x:v>
      </x:c>
      <x:c r="Z92" s="630" t="n">
        <x:v>0</x:v>
      </x:c>
      <x:c r="AA92" s="628"/>
      <x:c r="AB92" s="628"/>
      <x:c r="AC92" s="628"/>
      <x:c r="AD92" s="628"/>
      <x:c r="AE92" s="628"/>
      <x:c r="AF92" s="628"/>
      <x:c r="AG92" s="628"/>
      <x:c r="AH92" s="628"/>
      <x:c r="AI92" s="628"/>
      <x:c r="AJ92" s="628"/>
      <x:c r="AK92" s="628"/>
      <x:c r="AL92" s="628"/>
      <x:c r="AM92" s="628"/>
      <x:c r="AN92" s="628"/>
      <x:c r="AO92" s="628"/>
      <x:c r="AP92" s="628"/>
      <x:c r="AQ92" s="628"/>
      <x:c r="AR92" s="628"/>
      <x:c r="AS92" s="628"/>
      <x:c r="AT92" s="628"/>
      <x:c r="AU92" s="628"/>
      <x:c r="AV92" s="628"/>
      <x:c r="AW92" s="628"/>
      <x:c r="AX92" s="628"/>
      <x:c r="AY92" s="628"/>
      <x:c r="AZ92" s="628"/>
      <x:c r="BA92" s="628"/>
      <x:c r="BB92" s="628"/>
      <x:c r="BC92" s="628"/>
      <x:c r="BD92" s="628"/>
      <x:c r="BE92" s="628"/>
      <x:c r="BF92" s="628"/>
      <x:c r="BG92" s="628"/>
      <x:c r="BH92" s="628"/>
      <x:c r="BI92" s="628"/>
      <x:c r="BJ92" s="628"/>
      <x:c r="BK92" s="628"/>
      <x:c r="BL92" s="628"/>
      <x:c r="BM92" s="628"/>
      <x:c r="BN92" s="624"/>
    </x:row>
    <x:row r="93" spans="1:66" x14ac:dyDescent="0.25">
      <x:c r="A93"/>
      <x:c r="B93"/>
      <x:c r="C93"/>
      <x:c r="D93"/>
      <x:c r="E93" s="625" t="inlineStr">
        <x:is>
          <x:t>Vlr Intereses</x:t>
        </x:is>
      </x:c>
      <x:c r="F93" s="627" t="n">
        <x:v>108871351.95</x:v>
      </x:c>
      <x:c r="G93" s="627" t="n">
        <x:v>12946605.51</x:v>
      </x:c>
      <x:c r="H93" s="627" t="n">
        <x:v>5915805.27</x:v>
      </x:c>
      <x:c r="I93" s="627" t="n">
        <x:v>2579809.66</x:v>
      </x:c>
      <x:c r="J93" s="627" t="n">
        <x:v>20057774.89</x:v>
      </x:c>
      <x:c r="K93" s="627" t="n">
        <x:v>708344.44</x:v>
      </x:c>
      <x:c r="L93" s="627" t="n">
        <x:v>17761.05</x:v>
      </x:c>
      <x:c r="M93" s="627" t="n">
        <x:v>6224482.28</x:v>
      </x:c>
      <x:c r="N93" s="627" t="n">
        <x:v>7418679.68</x:v>
      </x:c>
      <x:c r="O93" s="627" t="n">
        <x:v>26472036.65</x:v>
      </x:c>
      <x:c r="P93" s="627" t="n">
        <x:v>25373909.51</x:v>
      </x:c>
      <x:c r="Q93" s="627" t="n">
        <x:v>1156004.55</x:v>
      </x:c>
      <x:c r="R93" s="627" t="n">
        <x:v>259.58</x:v>
      </x:c>
      <x:c r="S93" s="627" t="n">
        <x:v>-3.99</x:v>
      </x:c>
      <x:c r="T93" s="627" t="n">
        <x:v>1.23</x:v>
      </x:c>
      <x:c r="U93" s="627">
        <x:v>0</x:v>
      </x:c>
      <x:c r="V93" s="627">
        <x:v>0</x:v>
      </x:c>
      <x:c r="W93" s="627">
        <x:v>0</x:v>
      </x:c>
      <x:c r="X93" s="653">
        <x:v>0</x:v>
      </x:c>
      <x:c r="Y93" s="653">
        <x:v>0</x:v>
      </x:c>
      <x:c r="Z93" s="653" t="n">
        <x:v>-118.36</x:v>
      </x:c>
      <x:c r="BN93" s="624"/>
    </x:row>
    <x:row r="94" spans="1:66" x14ac:dyDescent="0.25">
      <x:c r="A94"/>
      <x:c r="B94"/>
      <x:c r="C94"/>
      <x:c r="D94" t="inlineStr">
        <x:is>
          <x:t>E</x:t>
        </x:is>
      </x:c>
      <x:c r="E94" s="625" t="inlineStr">
        <x:is>
          <x:t>Total</x:t>
        </x:is>
      </x:c>
      <x:c r="F94" s="627" t="n">
        <x:v>16423078954.74</x:v>
      </x:c>
      <x:c r="G94" s="627" t="n">
        <x:v>964461673.99</x:v>
      </x:c>
      <x:c r="H94" s="627" t="n">
        <x:v>534437708.23</x:v>
      </x:c>
      <x:c r="I94" s="627" t="n">
        <x:v>278053673.61</x:v>
      </x:c>
      <x:c r="J94" s="627" t="n">
        <x:v>3824243831.28</x:v>
      </x:c>
      <x:c r="K94" s="627" t="n">
        <x:v>145834831.55</x:v>
      </x:c>
      <x:c r="L94" s="627" t="n">
        <x:v>23317118.71</x:v>
      </x:c>
      <x:c r="M94" s="627" t="n">
        <x:v>1281923674.83</x:v>
      </x:c>
      <x:c r="N94" s="627" t="n">
        <x:v>1280602296.08</x:v>
      </x:c>
      <x:c r="O94" s="627" t="n">
        <x:v>5969844518.56</x:v>
      </x:c>
      <x:c r="P94" s="627" t="n">
        <x:v>1881772981.04</x:v>
      </x:c>
      <x:c r="Q94" s="627" t="n">
        <x:v>238601560.66</x:v>
      </x:c>
      <x:c r="R94" s="627" t="n">
        <x:v>-14792.68</x:v>
      </x:c>
      <x:c r="S94" s="627" t="n">
        <x:v>-3.99</x:v>
      </x:c>
      <x:c r="T94" s="627" t="n">
        <x:v>1.23</x:v>
      </x:c>
      <x:c r="U94" s="627">
        <x:v>0</x:v>
      </x:c>
      <x:c r="V94" s="627">
        <x:v>0</x:v>
      </x:c>
      <x:c r="W94" s="627">
        <x:v>0</x:v>
      </x:c>
      <x:c r="X94" s="653">
        <x:v>0</x:v>
      </x:c>
      <x:c r="Y94" s="653">
        <x:v>0</x:v>
      </x:c>
      <x:c r="Z94" s="653" t="n">
        <x:v>-118.36</x:v>
      </x:c>
      <x:c r="BN94" s="624"/>
    </x:row>
    <x:row r="95" spans="1:66" x14ac:dyDescent="0.25">
      <x:c r="A95"/>
      <x:c r="B95"/>
      <x:c r="C95" t="inlineStr">
        <x:is>
          <x:t>ENEL</x:t>
        </x:is>
      </x:c>
      <x:c r="D95" s="25" t="inlineStr">
        <x:is>
          <x:t>Total</x:t>
        </x:is>
      </x:c>
      <x:c r="E95" s="625"/>
      <x:c r="F95" s="627" t="n">
        <x:v>16423078954.74</x:v>
      </x:c>
      <x:c r="G95" s="627" t="n">
        <x:v>964461673.99</x:v>
      </x:c>
      <x:c r="H95" s="627" t="n">
        <x:v>534437708.23</x:v>
      </x:c>
      <x:c r="I95" s="627" t="n">
        <x:v>278053673.61</x:v>
      </x:c>
      <x:c r="J95" s="627" t="n">
        <x:v>3824243831.28</x:v>
      </x:c>
      <x:c r="K95" s="627" t="n">
        <x:v>145834831.55</x:v>
      </x:c>
      <x:c r="L95" s="627" t="n">
        <x:v>23317118.71</x:v>
      </x:c>
      <x:c r="M95" s="627" t="n">
        <x:v>1281923674.83</x:v>
      </x:c>
      <x:c r="N95" s="627" t="n">
        <x:v>1280602296.08</x:v>
      </x:c>
      <x:c r="O95" s="627" t="n">
        <x:v>5969844518.56</x:v>
      </x:c>
      <x:c r="P95" s="627" t="n">
        <x:v>1881772981.04</x:v>
      </x:c>
      <x:c r="Q95" s="627" t="n">
        <x:v>238601560.66</x:v>
      </x:c>
      <x:c r="R95" s="627" t="n">
        <x:v>-14792.68</x:v>
      </x:c>
      <x:c r="S95" s="627" t="n">
        <x:v>-3.99</x:v>
      </x:c>
      <x:c r="T95" s="627" t="n">
        <x:v>1.23</x:v>
      </x:c>
      <x:c r="U95" s="627">
        <x:v>0</x:v>
      </x:c>
      <x:c r="V95" s="627">
        <x:v>0</x:v>
      </x:c>
      <x:c r="W95" s="627">
        <x:v>0</x:v>
      </x:c>
      <x:c r="X95" s="653">
        <x:v>0</x:v>
      </x:c>
      <x:c r="Y95" s="653">
        <x:v>0</x:v>
      </x:c>
      <x:c r="Z95" s="653" t="n">
        <x:v>-118.36</x:v>
      </x:c>
      <x:c r="BN95" s="624"/>
    </x:row>
    <x:row r="96" spans="1:66" x14ac:dyDescent="0.25">
      <x:c r="A96"/>
      <x:c r="B96"/>
      <x:c r="C96"/>
      <x:c r="D96"/>
      <x:c r="E96" s="625" t="inlineStr">
        <x:is>
          <x:t>Vlr Servicio</x:t>
        </x:is>
      </x:c>
      <x:c r="F96" s="627" t="n">
        <x:v>2793830.65</x:v>
      </x:c>
      <x:c r="G96" s="627" t="n">
        <x:v>183700.22</x:v>
      </x:c>
      <x:c r="H96" s="627" t="n">
        <x:v>89369.61</x:v>
      </x:c>
      <x:c r="I96" s="627" t="n">
        <x:v>48325.39</x:v>
      </x:c>
      <x:c r="J96" s="627" t="n">
        <x:v>675666.11</x:v>
      </x:c>
      <x:c r="K96" s="627" t="n">
        <x:v>21056.87</x:v>
      </x:c>
      <x:c r="L96" s="627" t="n">
        <x:v>0</x:v>
      </x:c>
      <x:c r="M96" s="627" t="n">
        <x:v>184710.54</x:v>
      </x:c>
      <x:c r="N96" s="627" t="n">
        <x:v>221403.18</x:v>
      </x:c>
      <x:c r="O96" s="627" t="n">
        <x:v>967920.99</x:v>
      </x:c>
      <x:c r="P96" s="627" t="n">
        <x:v>367343.89</x:v>
      </x:c>
      <x:c r="Q96" s="627" t="n">
        <x:v>34356.29</x:v>
      </x:c>
      <x:c r="R96" s="627" t="n">
        <x:v>-22.44</x:v>
      </x:c>
      <x:c r="S96" s="627" t="n">
        <x:v>0</x:v>
      </x:c>
      <x:c r="T96" s="627" t="n">
        <x:v>0</x:v>
      </x:c>
      <x:c r="U96" s="627">
        <x:v>0</x:v>
      </x:c>
      <x:c r="V96" s="627">
        <x:v>0</x:v>
      </x:c>
      <x:c r="W96" s="627">
        <x:v>0</x:v>
      </x:c>
      <x:c r="X96" s="653">
        <x:v>0</x:v>
      </x:c>
      <x:c r="Y96" s="653">
        <x:v>0</x:v>
      </x:c>
      <x:c r="Z96" s="653" t="n">
        <x:v>0</x:v>
      </x:c>
      <x:c r="BN96" s="624"/>
    </x:row>
    <x:row r="97" spans="1:66" x14ac:dyDescent="0.25">
      <x:c r="A97"/>
      <x:c r="B97"/>
      <x:c r="C97"/>
      <x:c r="D97"/>
      <x:c r="E97" s="625" t="inlineStr">
        <x:is>
          <x:t>Vlr Intereses</x:t>
        </x:is>
      </x:c>
      <x:c r="F97" s="627" t="n">
        <x:v>19935.41</x:v>
      </x:c>
      <x:c r="G97" s="627" t="n">
        <x:v>2043.67</x:v>
      </x:c>
      <x:c r="H97" s="627" t="n">
        <x:v>992.48</x:v>
      </x:c>
      <x:c r="I97" s="627" t="n">
        <x:v>555.42</x:v>
      </x:c>
      <x:c r="J97" s="627" t="n">
        <x:v>4248.25</x:v>
      </x:c>
      <x:c r="K97" s="627" t="n">
        <x:v>115.41</x:v>
      </x:c>
      <x:c r="L97" s="627" t="n">
        <x:v>0</x:v>
      </x:c>
      <x:c r="M97" s="627" t="n">
        <x:v>1012.75</x:v>
      </x:c>
      <x:c r="N97" s="627" t="n">
        <x:v>1184.9</x:v>
      </x:c>
      <x:c r="O97" s="627" t="n">
        <x:v>5496.69</x:v>
      </x:c>
      <x:c r="P97" s="627" t="n">
        <x:v>4097.45</x:v>
      </x:c>
      <x:c r="Q97" s="627" t="n">
        <x:v>188.34</x:v>
      </x:c>
      <x:c r="R97" s="627" t="n">
        <x:v>0.05</x:v>
      </x:c>
      <x:c r="S97" s="627" t="n">
        <x:v>0</x:v>
      </x:c>
      <x:c r="T97" s="627" t="n">
        <x:v>0</x:v>
      </x:c>
      <x:c r="U97" s="627">
        <x:v>0</x:v>
      </x:c>
      <x:c r="V97" s="627">
        <x:v>0</x:v>
      </x:c>
      <x:c r="W97" s="627">
        <x:v>0</x:v>
      </x:c>
      <x:c r="X97" s="653">
        <x:v>0</x:v>
      </x:c>
      <x:c r="Y97" s="653">
        <x:v>0</x:v>
      </x:c>
      <x:c r="Z97" s="653" t="n">
        <x:v>0</x:v>
      </x:c>
      <x:c r="BN97" s="624"/>
    </x:row>
    <x:row r="98" spans="1:66" x14ac:dyDescent="0.25">
      <x:c r="A98"/>
      <x:c r="B98"/>
      <x:c r="C98"/>
      <x:c r="D98" s="25" t="inlineStr">
        <x:is>
          <x:t>1</x:t>
        </x:is>
      </x:c>
      <x:c r="E98" s="625" t="inlineStr">
        <x:is>
          <x:t>Total</x:t>
        </x:is>
      </x:c>
      <x:c r="F98" s="627" t="n">
        <x:v>2813766.06</x:v>
      </x:c>
      <x:c r="G98" s="627" t="n">
        <x:v>185743.89</x:v>
      </x:c>
      <x:c r="H98" s="627" t="n">
        <x:v>90362.09</x:v>
      </x:c>
      <x:c r="I98" s="627" t="n">
        <x:v>48880.81</x:v>
      </x:c>
      <x:c r="J98" s="627" t="n">
        <x:v>679914.36</x:v>
      </x:c>
      <x:c r="K98" s="627" t="n">
        <x:v>21172.28</x:v>
      </x:c>
      <x:c r="L98" s="627" t="n">
        <x:v>0</x:v>
      </x:c>
      <x:c r="M98" s="627" t="n">
        <x:v>185723.29</x:v>
      </x:c>
      <x:c r="N98" s="627" t="n">
        <x:v>222588.08</x:v>
      </x:c>
      <x:c r="O98" s="627" t="n">
        <x:v>973417.68</x:v>
      </x:c>
      <x:c r="P98" s="627" t="n">
        <x:v>371441.34</x:v>
      </x:c>
      <x:c r="Q98" s="627" t="n">
        <x:v>34544.63</x:v>
      </x:c>
      <x:c r="R98" s="627" t="n">
        <x:v>-22.39</x:v>
      </x:c>
      <x:c r="S98" s="627" t="n">
        <x:v>0</x:v>
      </x:c>
      <x:c r="T98" s="627" t="n">
        <x:v>0</x:v>
      </x:c>
      <x:c r="U98" s="627">
        <x:v>0</x:v>
      </x:c>
      <x:c r="V98" s="627">
        <x:v>0</x:v>
      </x:c>
      <x:c r="W98" s="627">
        <x:v>0</x:v>
      </x:c>
      <x:c r="X98" s="653">
        <x:v>0</x:v>
      </x:c>
      <x:c r="Y98" s="653">
        <x:v>0</x:v>
      </x:c>
      <x:c r="Z98" s="653" t="n">
        <x:v>0</x:v>
      </x:c>
      <x:c r="BN98" s="624"/>
    </x:row>
    <x:row r="99" spans="1:66" x14ac:dyDescent="0.25">
      <x:c r="A99" s="631"/>
      <x:c r="B99" s="631"/>
      <x:c r="C99" s="632"/>
      <x:c r="D99" s="632"/>
      <x:c r="E99" s="631" t="inlineStr">
        <x:is>
          <x:t>Vlr Servicio</x:t>
        </x:is>
      </x:c>
      <x:c r="F99" s="633" t="n">
        <x:v>15556995.88</x:v>
      </x:c>
      <x:c r="G99" s="633" t="n">
        <x:v>906855.52</x:v>
      </x:c>
      <x:c r="H99" s="633" t="n">
        <x:v>477150.29</x:v>
      </x:c>
      <x:c r="I99" s="633" t="n">
        <x:v>245091.03</x:v>
      </x:c>
      <x:c r="J99" s="633" t="n">
        <x:v>3757740.21</x:v>
      </x:c>
      <x:c r="K99" s="633" t="n">
        <x:v>130011.87</x:v>
      </x:c>
      <x:c r="L99" s="633" t="n">
        <x:v>0</x:v>
      </x:c>
      <x:c r="M99" s="633" t="n">
        <x:v>1141338.06</x:v>
      </x:c>
      <x:c r="N99" s="633" t="n">
        <x:v>1242665.85</x:v>
      </x:c>
      <x:c r="O99" s="633" t="n">
        <x:v>5691716.05</x:v>
      </x:c>
      <x:c r="P99" s="633" t="n">
        <x:v>1752231</x:v>
      </x:c>
      <x:c r="Q99" s="633" t="n">
        <x:v>212228.37</x:v>
      </x:c>
      <x:c r="R99" s="633" t="n">
        <x:v>-32.37</x:v>
      </x:c>
      <x:c r="S99" s="633" t="n">
        <x:v>0</x:v>
      </x:c>
      <x:c r="T99" s="633" t="n">
        <x:v>0</x:v>
      </x:c>
      <x:c r="U99" s="633">
        <x:v>0</x:v>
      </x:c>
      <x:c r="V99" s="633">
        <x:v>0</x:v>
      </x:c>
      <x:c r="W99" s="633">
        <x:v>0</x:v>
      </x:c>
      <x:c r="X99" s="633">
        <x:v>0</x:v>
      </x:c>
      <x:c r="Y99" s="633">
        <x:v>0</x:v>
      </x:c>
      <x:c r="Z99" s="633" t="n">
        <x:v>0</x:v>
      </x:c>
      <x:c r="AA99" s="631"/>
      <x:c r="AB99" s="631"/>
      <x:c r="AC99" s="631"/>
      <x:c r="AD99" s="631"/>
      <x:c r="AE99" s="631"/>
      <x:c r="AF99" s="631"/>
      <x:c r="AG99" s="631"/>
      <x:c r="AH99" s="631"/>
      <x:c r="AI99" s="631"/>
      <x:c r="AJ99" s="631"/>
      <x:c r="AK99" s="631"/>
      <x:c r="AL99" s="631"/>
      <x:c r="AM99" s="631"/>
      <x:c r="AN99" s="631"/>
      <x:c r="AO99" s="631"/>
      <x:c r="AP99" s="631"/>
      <x:c r="AQ99" s="631"/>
      <x:c r="AR99" s="631"/>
      <x:c r="AS99" s="631"/>
      <x:c r="AT99" s="631"/>
      <x:c r="AU99" s="631"/>
      <x:c r="AV99" s="631"/>
      <x:c r="AW99" s="631"/>
      <x:c r="AX99" s="631"/>
      <x:c r="AY99" s="631"/>
      <x:c r="AZ99" s="631"/>
      <x:c r="BA99" s="631"/>
      <x:c r="BB99" s="631"/>
      <x:c r="BC99" s="631"/>
      <x:c r="BD99" s="631"/>
      <x:c r="BE99" s="631"/>
      <x:c r="BF99" s="631"/>
      <x:c r="BG99" s="631"/>
      <x:c r="BH99" s="631"/>
      <x:c r="BI99" s="631"/>
      <x:c r="BJ99" s="631"/>
      <x:c r="BK99" s="631"/>
      <x:c r="BL99" s="631"/>
      <x:c r="BM99" s="631"/>
      <x:c r="BN99" s="624"/>
    </x:row>
    <x:row r="100" spans="1:66" x14ac:dyDescent="0.25">
      <x:c r="A100" s="635"/>
      <x:c r="B100" s="635"/>
      <x:c r="C100" s="635"/>
      <x:c r="D100" s="635"/>
      <x:c r="E100" s="636" t="inlineStr">
        <x:is>
          <x:t>Vlr Intereses</x:t>
        </x:is>
      </x:c>
      <x:c r="F100" s="637" t="n">
        <x:v>532474.38</x:v>
      </x:c>
      <x:c r="G100" s="637" t="n">
        <x:v>54438.68</x:v>
      </x:c>
      <x:c r="H100" s="637" t="n">
        <x:v>25649.66</x:v>
      </x:c>
      <x:c r="I100" s="637" t="n">
        <x:v>10870.44</x:v>
      </x:c>
      <x:c r="J100" s="637" t="n">
        <x:v>111667.2</x:v>
      </x:c>
      <x:c r="K100" s="637" t="n">
        <x:v>3936.77</x:v>
      </x:c>
      <x:c r="L100" s="637" t="n">
        <x:v>0</x:v>
      </x:c>
      <x:c r="M100" s="637" t="n">
        <x:v>34539.11</x:v>
      </x:c>
      <x:c r="N100" s="637" t="n">
        <x:v>42873.9</x:v>
      </x:c>
      <x:c r="O100" s="637" t="n">
        <x:v>140567.45</x:v>
      </x:c>
      <x:c r="P100" s="637" t="n">
        <x:v>101505.72</x:v>
      </x:c>
      <x:c r="Q100" s="637" t="n">
        <x:v>6424.9</x:v>
      </x:c>
      <x:c r="R100" s="637" t="n">
        <x:v>0.55</x:v>
      </x:c>
      <x:c r="S100" s="637" t="n">
        <x:v>0</x:v>
      </x:c>
      <x:c r="T100" s="637" t="n">
        <x:v>0</x:v>
      </x:c>
      <x:c r="U100" s="637">
        <x:v>0</x:v>
      </x:c>
      <x:c r="V100" s="637">
        <x:v>0</x:v>
      </x:c>
      <x:c r="W100" s="637">
        <x:v>0</x:v>
      </x:c>
      <x:c r="X100" s="637">
        <x:v>0</x:v>
      </x:c>
      <x:c r="Y100" s="637">
        <x:v>0</x:v>
      </x:c>
      <x:c r="Z100" s="637" t="n">
        <x:v>0</x:v>
      </x:c>
      <x:c r="AA100" s="635"/>
      <x:c r="AB100" s="635"/>
      <x:c r="AC100" s="635"/>
      <x:c r="AD100" s="635"/>
      <x:c r="AE100" s="635"/>
      <x:c r="AF100" s="635"/>
      <x:c r="AG100" s="635"/>
      <x:c r="AH100" s="635"/>
      <x:c r="AI100" s="635"/>
      <x:c r="AJ100" s="635"/>
      <x:c r="AK100" s="635"/>
      <x:c r="AL100" s="635"/>
      <x:c r="AM100" s="635"/>
      <x:c r="AN100" s="635"/>
      <x:c r="AO100" s="635"/>
      <x:c r="AP100" s="635"/>
      <x:c r="AQ100" s="635"/>
      <x:c r="AR100" s="635"/>
      <x:c r="AS100" s="635"/>
      <x:c r="AT100" s="635"/>
      <x:c r="AU100" s="635"/>
      <x:c r="AV100" s="635"/>
      <x:c r="AW100" s="635"/>
      <x:c r="AX100" s="635"/>
      <x:c r="AY100" s="635"/>
      <x:c r="AZ100" s="635"/>
      <x:c r="BA100" s="635"/>
      <x:c r="BB100" s="635"/>
      <x:c r="BC100" s="635"/>
      <x:c r="BD100" s="635"/>
      <x:c r="BE100" s="635"/>
      <x:c r="BF100" s="635"/>
      <x:c r="BG100" s="635"/>
      <x:c r="BH100" s="635"/>
      <x:c r="BI100" s="635"/>
      <x:c r="BJ100" s="635"/>
      <x:c r="BK100" s="635"/>
      <x:c r="BL100" s="635"/>
      <x:c r="BM100" s="635"/>
      <x:c r="BN100" s="624"/>
    </x:row>
    <x:row r="101" spans="1:66" x14ac:dyDescent="0.25">
      <x:c r="A101"/>
      <x:c r="B101"/>
      <x:c r="C101"/>
      <x:c r="D101" t="inlineStr">
        <x:is>
          <x:t>5</x:t>
        </x:is>
      </x:c>
      <x:c r="E101" s="625" t="inlineStr">
        <x:is>
          <x:t>Total</x:t>
        </x:is>
      </x:c>
      <x:c r="F101" s="627" t="n">
        <x:v>16089470.26</x:v>
      </x:c>
      <x:c r="G101" s="627" t="n">
        <x:v>961294.2</x:v>
      </x:c>
      <x:c r="H101" s="627" t="n">
        <x:v>502799.95</x:v>
      </x:c>
      <x:c r="I101" s="627" t="n">
        <x:v>255961.47</x:v>
      </x:c>
      <x:c r="J101" s="627" t="n">
        <x:v>3869407.41</x:v>
      </x:c>
      <x:c r="K101" s="627" t="n">
        <x:v>133948.64</x:v>
      </x:c>
      <x:c r="L101" s="627" t="n">
        <x:v>0</x:v>
      </x:c>
      <x:c r="M101" s="627" t="n">
        <x:v>1175877.17</x:v>
      </x:c>
      <x:c r="N101" s="627" t="n">
        <x:v>1285539.75</x:v>
      </x:c>
      <x:c r="O101" s="627" t="n">
        <x:v>5832283.5</x:v>
      </x:c>
      <x:c r="P101" s="627" t="n">
        <x:v>1853736.72</x:v>
      </x:c>
      <x:c r="Q101" s="627" t="n">
        <x:v>218653.27</x:v>
      </x:c>
      <x:c r="R101" s="627" t="n">
        <x:v>-31.82</x:v>
      </x:c>
      <x:c r="S101" s="627" t="n">
        <x:v>0</x:v>
      </x:c>
      <x:c r="T101" s="627" t="n">
        <x:v>0</x:v>
      </x:c>
      <x:c r="U101" s="627">
        <x:v>0</x:v>
      </x:c>
      <x:c r="V101" s="627">
        <x:v>0</x:v>
      </x:c>
      <x:c r="W101" s="627">
        <x:v>0</x:v>
      </x:c>
      <x:c r="X101" s="653">
        <x:v>0</x:v>
      </x:c>
      <x:c r="Y101" s="653">
        <x:v>0</x:v>
      </x:c>
      <x:c r="Z101" s="653" t="n">
        <x:v>0</x:v>
      </x:c>
      <x:c r="BN101" s="624"/>
    </x:row>
    <x:row r="102" spans="1:66" x14ac:dyDescent="0.25">
      <x:c r="A102"/>
      <x:c r="B102"/>
      <x:c r="C102" t="inlineStr">
        <x:is>
          <x:t>NUEVO ESQUEMA</x:t>
        </x:is>
      </x:c>
      <x:c r="D102" t="inlineStr">
        <x:is>
          <x:t>Total</x:t>
        </x:is>
      </x:c>
      <x:c r="E102" s="625"/>
      <x:c r="F102" s="627" t="n">
        <x:v>18903236.32</x:v>
      </x:c>
      <x:c r="G102" s="627" t="n">
        <x:v>1147038.09</x:v>
      </x:c>
      <x:c r="H102" s="627" t="n">
        <x:v>593162.04</x:v>
      </x:c>
      <x:c r="I102" s="627" t="n">
        <x:v>304842.28</x:v>
      </x:c>
      <x:c r="J102" s="627" t="n">
        <x:v>4549321.77</x:v>
      </x:c>
      <x:c r="K102" s="627" t="n">
        <x:v>155120.92</x:v>
      </x:c>
      <x:c r="L102" s="627" t="n">
        <x:v>0</x:v>
      </x:c>
      <x:c r="M102" s="627" t="n">
        <x:v>1361600.46</x:v>
      </x:c>
      <x:c r="N102" s="627" t="n">
        <x:v>1508127.83</x:v>
      </x:c>
      <x:c r="O102" s="627" t="n">
        <x:v>6805701.18</x:v>
      </x:c>
      <x:c r="P102" s="627" t="n">
        <x:v>2225178.06</x:v>
      </x:c>
      <x:c r="Q102" s="627" t="n">
        <x:v>253197.9</x:v>
      </x:c>
      <x:c r="R102" s="627" t="n">
        <x:v>-54.21</x:v>
      </x:c>
      <x:c r="S102" s="627" t="n">
        <x:v>0</x:v>
      </x:c>
      <x:c r="T102" s="627" t="n">
        <x:v>0</x:v>
      </x:c>
      <x:c r="U102" s="627">
        <x:v>0</x:v>
      </x:c>
      <x:c r="V102" s="627">
        <x:v>0</x:v>
      </x:c>
      <x:c r="W102" s="627">
        <x:v>0</x:v>
      </x:c>
      <x:c r="X102" s="653">
        <x:v>0</x:v>
      </x:c>
      <x:c r="Y102" s="653">
        <x:v>0</x:v>
      </x:c>
      <x:c r="Z102" s="653" t="n">
        <x:v>0</x:v>
      </x:c>
      <x:c r="BN102" s="624"/>
    </x:row>
    <x:row r="103" spans="1:66" x14ac:dyDescent="0.25">
      <x:c r="A103"/>
      <x:c r="B103"/>
      <x:c r="C103"/>
      <x:c r="D103" s="25"/>
      <x:c r="E103" s="625" t="inlineStr">
        <x:is>
          <x:t>Vlr Servicio</x:t>
        </x:is>
      </x:c>
      <x:c r="F103" s="627" t="n">
        <x:v>92091468.53</x:v>
      </x:c>
      <x:c r="G103" s="627" t="n">
        <x:v>5700742.09</x:v>
      </x:c>
      <x:c r="H103" s="627" t="n">
        <x:v>3218713.67</x:v>
      </x:c>
      <x:c r="I103" s="627" t="n">
        <x:v>1723015.45</x:v>
      </x:c>
      <x:c r="J103" s="627" t="n">
        <x:v>22316123.03</x:v>
      </x:c>
      <x:c r="K103" s="627" t="n">
        <x:v>580773.74</x:v>
      </x:c>
      <x:c r="L103" s="627" t="n">
        <x:v>0</x:v>
      </x:c>
      <x:c r="M103" s="627" t="n">
        <x:v>5106713.49</x:v>
      </x:c>
      <x:c r="N103" s="627" t="n">
        <x:v>7329496.88</x:v>
      </x:c>
      <x:c r="O103" s="627" t="n">
        <x:v>33820604.13</x:v>
      </x:c>
      <x:c r="P103" s="627" t="n">
        <x:v>11341910.95</x:v>
      </x:c>
      <x:c r="Q103" s="627" t="n">
        <x:v>953919.19</x:v>
      </x:c>
      <x:c r="R103" s="627" t="n">
        <x:v>-544.09</x:v>
      </x:c>
      <x:c r="S103" s="627" t="n">
        <x:v>0</x:v>
      </x:c>
      <x:c r="T103" s="627" t="n">
        <x:v>0</x:v>
      </x:c>
      <x:c r="U103" s="627">
        <x:v>0</x:v>
      </x:c>
      <x:c r="V103" s="627">
        <x:v>0</x:v>
      </x:c>
      <x:c r="W103" s="627">
        <x:v>0</x:v>
      </x:c>
      <x:c r="X103" s="653">
        <x:v>0</x:v>
      </x:c>
      <x:c r="Y103" s="653">
        <x:v>0</x:v>
      </x:c>
      <x:c r="Z103" s="653" t="n">
        <x:v>0</x:v>
      </x:c>
      <x:c r="BN103" s="624"/>
    </x:row>
    <x:row r="104" spans="1:66" x14ac:dyDescent="0.25">
      <x:c r="A104" s="628"/>
      <x:c r="B104" s="628"/>
      <x:c r="C104" s="628"/>
      <x:c r="D104" s="628"/>
      <x:c r="E104" s="629" t="inlineStr">
        <x:is>
          <x:t>Vlr Intereses</x:t>
        </x:is>
      </x:c>
      <x:c r="F104" s="630" t="n">
        <x:v>461993.92</x:v>
      </x:c>
      <x:c r="G104" s="630" t="n">
        <x:v>40365.84</x:v>
      </x:c>
      <x:c r="H104" s="630" t="n">
        <x:v>20104.67</x:v>
      </x:c>
      <x:c r="I104" s="630" t="n">
        <x:v>11175.93</x:v>
      </x:c>
      <x:c r="J104" s="630" t="n">
        <x:v>99859.49</x:v>
      </x:c>
      <x:c r="K104" s="630" t="n">
        <x:v>2757.39</x:v>
      </x:c>
      <x:c r="L104" s="630" t="n">
        <x:v>0</x:v>
      </x:c>
      <x:c r="M104" s="630" t="n">
        <x:v>23994.83</x:v>
      </x:c>
      <x:c r="N104" s="630" t="n">
        <x:v>31896.67</x:v>
      </x:c>
      <x:c r="O104" s="630" t="n">
        <x:v>149946.68</x:v>
      </x:c>
      <x:c r="P104" s="630" t="n">
        <x:v>77393.45</x:v>
      </x:c>
      <x:c r="Q104" s="630" t="n">
        <x:v>4501.53</x:v>
      </x:c>
      <x:c r="R104" s="630" t="n">
        <x:v>-2.56</x:v>
      </x:c>
      <x:c r="S104" s="630" t="n">
        <x:v>0</x:v>
      </x:c>
      <x:c r="T104" s="630" t="n">
        <x:v>0</x:v>
      </x:c>
      <x:c r="U104" s="630">
        <x:v>0</x:v>
      </x:c>
      <x:c r="V104" s="630">
        <x:v>0</x:v>
      </x:c>
      <x:c r="W104" s="630">
        <x:v>0</x:v>
      </x:c>
      <x:c r="X104" s="630">
        <x:v>0</x:v>
      </x:c>
      <x:c r="Y104" s="630">
        <x:v>0</x:v>
      </x:c>
      <x:c r="Z104" s="630" t="n">
        <x:v>0</x:v>
      </x:c>
      <x:c r="AA104" s="628"/>
      <x:c r="AB104" s="628"/>
      <x:c r="AC104" s="628"/>
      <x:c r="AD104" s="628"/>
      <x:c r="AE104" s="628"/>
      <x:c r="AF104" s="628"/>
      <x:c r="AG104" s="628"/>
      <x:c r="AH104" s="628"/>
      <x:c r="AI104" s="628"/>
      <x:c r="AJ104" s="628"/>
      <x:c r="AK104" s="628"/>
      <x:c r="AL104" s="628"/>
      <x:c r="AM104" s="628"/>
      <x:c r="AN104" s="628"/>
      <x:c r="AO104" s="628"/>
      <x:c r="AP104" s="628"/>
      <x:c r="AQ104" s="628"/>
      <x:c r="AR104" s="628"/>
      <x:c r="AS104" s="628"/>
      <x:c r="AT104" s="628"/>
      <x:c r="AU104" s="628"/>
      <x:c r="AV104" s="628"/>
      <x:c r="AW104" s="628"/>
      <x:c r="AX104" s="628"/>
      <x:c r="AY104" s="628"/>
      <x:c r="AZ104" s="628"/>
      <x:c r="BA104" s="628"/>
      <x:c r="BB104" s="628"/>
      <x:c r="BC104" s="628"/>
      <x:c r="BD104" s="628"/>
      <x:c r="BE104" s="628"/>
      <x:c r="BF104" s="628"/>
      <x:c r="BG104" s="628"/>
      <x:c r="BH104" s="628"/>
      <x:c r="BI104" s="628"/>
      <x:c r="BJ104" s="628"/>
      <x:c r="BK104" s="628"/>
      <x:c r="BL104" s="628"/>
      <x:c r="BM104" s="628"/>
      <x:c r="BN104" s="624"/>
    </x:row>
    <x:row r="105" spans="1:66" x14ac:dyDescent="0.25">
      <x:c r="A105"/>
      <x:c r="B105"/>
      <x:c r="C105"/>
      <x:c r="D105" s="625" t="inlineStr">
        <x:is>
          <x:t>H</x:t>
        </x:is>
      </x:c>
      <x:c r="E105" s="625" t="inlineStr">
        <x:is>
          <x:t>Total</x:t>
        </x:is>
      </x:c>
      <x:c r="F105" s="627" t="n">
        <x:v>92553462.45</x:v>
      </x:c>
      <x:c r="G105" s="627" t="n">
        <x:v>5741107.93</x:v>
      </x:c>
      <x:c r="H105" s="627" t="n">
        <x:v>3238818.34</x:v>
      </x:c>
      <x:c r="I105" s="627" t="n">
        <x:v>1734191.38</x:v>
      </x:c>
      <x:c r="J105" s="627" t="n">
        <x:v>22415982.52</x:v>
      </x:c>
      <x:c r="K105" s="627" t="n">
        <x:v>583531.13</x:v>
      </x:c>
      <x:c r="L105" s="627" t="n">
        <x:v>0</x:v>
      </x:c>
      <x:c r="M105" s="627" t="n">
        <x:v>5130708.32</x:v>
      </x:c>
      <x:c r="N105" s="627" t="n">
        <x:v>7361393.55</x:v>
      </x:c>
      <x:c r="O105" s="627" t="n">
        <x:v>33970550.81</x:v>
      </x:c>
      <x:c r="P105" s="627" t="n">
        <x:v>11419304.4</x:v>
      </x:c>
      <x:c r="Q105" s="627" t="n">
        <x:v>958420.72</x:v>
      </x:c>
      <x:c r="R105" s="627" t="n">
        <x:v>-546.65</x:v>
      </x:c>
      <x:c r="S105" s="627" t="n">
        <x:v>0</x:v>
      </x:c>
      <x:c r="T105" s="627" t="n">
        <x:v>0</x:v>
      </x:c>
      <x:c r="U105" s="627">
        <x:v>0</x:v>
      </x:c>
      <x:c r="V105" s="627">
        <x:v>0</x:v>
      </x:c>
      <x:c r="W105" s="627">
        <x:v>0</x:v>
      </x:c>
      <x:c r="X105" s="653">
        <x:v>0</x:v>
      </x:c>
      <x:c r="Y105" s="653">
        <x:v>0</x:v>
      </x:c>
      <x:c r="Z105" s="653" t="n">
        <x:v>0</x:v>
      </x:c>
      <x:c r="BN105" s="624"/>
    </x:row>
    <x:row r="106" spans="1:66" x14ac:dyDescent="0.25">
      <x:c r="A106"/>
      <x:c r="B106"/>
      <x:c r="C106"/>
      <x:c r="D106" s="625"/>
      <x:c r="E106" s="625" t="inlineStr">
        <x:is>
          <x:t>Vlr Servicio</x:t>
        </x:is>
      </x:c>
      <x:c r="F106" s="627" t="n">
        <x:v>136334172.27</x:v>
      </x:c>
      <x:c r="G106" s="627" t="n">
        <x:v>13504607.77</x:v>
      </x:c>
      <x:c r="H106" s="627" t="n">
        <x:v>7144893.76</x:v>
      </x:c>
      <x:c r="I106" s="627" t="n">
        <x:v>3636218.55</x:v>
      </x:c>
      <x:c r="J106" s="627" t="n">
        <x:v>25044743.19</x:v>
      </x:c>
      <x:c r="K106" s="627" t="n">
        <x:v>879698.86</x:v>
      </x:c>
      <x:c r="L106" s="627" t="n">
        <x:v>3139000</x:v>
      </x:c>
      <x:c r="M106" s="627" t="n">
        <x:v>7792515.85</x:v>
      </x:c>
      <x:c r="N106" s="627" t="n">
        <x:v>8946101.7</x:v>
      </x:c>
      <x:c r="O106" s="627" t="n">
        <x:v>38207275.93</x:v>
      </x:c>
      <x:c r="P106" s="627" t="n">
        <x:v>26597253.19</x:v>
      </x:c>
      <x:c r="Q106" s="627" t="n">
        <x:v>1442290.7</x:v>
      </x:c>
      <x:c r="R106" s="627" t="n">
        <x:v>-427.23</x:v>
      </x:c>
      <x:c r="S106" s="627" t="n">
        <x:v>0</x:v>
      </x:c>
      <x:c r="T106" s="627" t="n">
        <x:v>0</x:v>
      </x:c>
      <x:c r="U106" s="627">
        <x:v>0</x:v>
      </x:c>
      <x:c r="V106" s="627">
        <x:v>0</x:v>
      </x:c>
      <x:c r="W106" s="627">
        <x:v>0</x:v>
      </x:c>
      <x:c r="X106" s="653">
        <x:v>0</x:v>
      </x:c>
      <x:c r="Y106" s="653">
        <x:v>0</x:v>
      </x:c>
      <x:c r="Z106" s="653" t="n">
        <x:v>0</x:v>
      </x:c>
      <x:c r="BN106" s="624"/>
    </x:row>
    <x:row r="107" spans="1:66" x14ac:dyDescent="0.25">
      <x:c r="A107"/>
      <x:c r="B107"/>
      <x:c r="C107"/>
      <x:c r="D107" s="625"/>
      <x:c r="E107" s="625" t="inlineStr">
        <x:is>
          <x:t>Vlr Intereses</x:t>
        </x:is>
      </x:c>
      <x:c r="F107" s="627" t="n">
        <x:v>6368193.6</x:v>
      </x:c>
      <x:c r="G107" s="627" t="n">
        <x:v>809166.87</x:v>
      </x:c>
      <x:c r="H107" s="627" t="n">
        <x:v>387770.76</x:v>
      </x:c>
      <x:c r="I107" s="627" t="n">
        <x:v>176730.68</x:v>
      </x:c>
      <x:c r="J107" s="627" t="n">
        <x:v>1124122.39</x:v>
      </x:c>
      <x:c r="K107" s="627" t="n">
        <x:v>37781.04</x:v>
      </x:c>
      <x:c r="L107" s="627" t="n">
        <x:v>25063.1</x:v>
      </x:c>
      <x:c r="M107" s="627" t="n">
        <x:v>330975.59</x:v>
      </x:c>
      <x:c r="N107" s="627" t="n">
        <x:v>400076.03</x:v>
      </x:c>
      <x:c r="O107" s="627" t="n">
        <x:v>1459319.25</x:v>
      </x:c>
      <x:c r="P107" s="627" t="n">
        <x:v>1555514.04</x:v>
      </x:c>
      <x:c r="Q107" s="627" t="n">
        <x:v>61661.2</x:v>
      </x:c>
      <x:c r="R107" s="627" t="n">
        <x:v>0.5</x:v>
      </x:c>
      <x:c r="S107" s="627" t="n">
        <x:v>13.08</x:v>
      </x:c>
      <x:c r="T107" s="627" t="n">
        <x:v>0.18</x:v>
      </x:c>
      <x:c r="U107" s="627">
        <x:v>0</x:v>
      </x:c>
      <x:c r="V107" s="627">
        <x:v>0</x:v>
      </x:c>
      <x:c r="W107" s="627">
        <x:v>0</x:v>
      </x:c>
      <x:c r="X107" s="653">
        <x:v>0</x:v>
      </x:c>
      <x:c r="Y107" s="653">
        <x:v>0</x:v>
      </x:c>
      <x:c r="Z107" s="653" t="n">
        <x:v>-1.11</x:v>
      </x:c>
      <x:c r="BN107" s="624"/>
    </x:row>
    <x:row r="108" spans="1:66" x14ac:dyDescent="0.25">
      <x:c r="A108"/>
      <x:c r="B108"/>
      <x:c r="C108"/>
      <x:c r="D108" s="625" t="inlineStr">
        <x:is>
          <x:t>O</x:t>
        </x:is>
      </x:c>
      <x:c r="E108" s="625" t="inlineStr">
        <x:is>
          <x:t>Total</x:t>
        </x:is>
      </x:c>
      <x:c r="F108" s="627" t="n">
        <x:v>142702365.87</x:v>
      </x:c>
      <x:c r="G108" s="627" t="n">
        <x:v>14313774.64</x:v>
      </x:c>
      <x:c r="H108" s="627" t="n">
        <x:v>7532664.52</x:v>
      </x:c>
      <x:c r="I108" s="627" t="n">
        <x:v>3812949.23</x:v>
      </x:c>
      <x:c r="J108" s="627" t="n">
        <x:v>26168865.58</x:v>
      </x:c>
      <x:c r="K108" s="627" t="n">
        <x:v>917479.9</x:v>
      </x:c>
      <x:c r="L108" s="627" t="n">
        <x:v>3164063.1</x:v>
      </x:c>
      <x:c r="M108" s="627" t="n">
        <x:v>8123491.44</x:v>
      </x:c>
      <x:c r="N108" s="627" t="n">
        <x:v>9346177.73</x:v>
      </x:c>
      <x:c r="O108" s="627" t="n">
        <x:v>39666595.18</x:v>
      </x:c>
      <x:c r="P108" s="627" t="n">
        <x:v>28152767.23</x:v>
      </x:c>
      <x:c r="Q108" s="627" t="n">
        <x:v>1503951.9</x:v>
      </x:c>
      <x:c r="R108" s="627" t="n">
        <x:v>-426.73</x:v>
      </x:c>
      <x:c r="S108" s="627" t="n">
        <x:v>13.08</x:v>
      </x:c>
      <x:c r="T108" s="627" t="n">
        <x:v>0.18</x:v>
      </x:c>
      <x:c r="U108" s="627">
        <x:v>0</x:v>
      </x:c>
      <x:c r="V108" s="627">
        <x:v>0</x:v>
      </x:c>
      <x:c r="W108" s="627">
        <x:v>0</x:v>
      </x:c>
      <x:c r="X108" s="653">
        <x:v>0</x:v>
      </x:c>
      <x:c r="Y108" s="653">
        <x:v>0</x:v>
      </x:c>
      <x:c r="Z108" s="653" t="n">
        <x:v>-1.11</x:v>
      </x:c>
      <x:c r="BN108" s="624"/>
    </x:row>
    <x:row r="109" spans="1:66" x14ac:dyDescent="0.25">
      <x:c r="A109"/>
      <x:c r="B109"/>
      <x:c r="C109"/>
      <x:c r="D109" s="625"/>
      <x:c r="E109" s="625" t="inlineStr">
        <x:is>
          <x:t>Vlr Servicio</x:t>
        </x:is>
      </x:c>
      <x:c r="F109" s="627" t="n">
        <x:v>174471804.71</x:v>
      </x:c>
      <x:c r="G109" s="627" t="n">
        <x:v>29959757.29</x:v>
      </x:c>
      <x:c r="H109" s="627" t="n">
        <x:v>16875021.87</x:v>
      </x:c>
      <x:c r="I109" s="627" t="n">
        <x:v>8893691.3</x:v>
      </x:c>
      <x:c r="J109" s="627" t="n">
        <x:v>18333754.7</x:v>
      </x:c>
      <x:c r="K109" s="627" t="n">
        <x:v>428407.94</x:v>
      </x:c>
      <x:c r="L109" s="627" t="n">
        <x:v>5256000</x:v>
      </x:c>
      <x:c r="M109" s="627" t="n">
        <x:v>3787835.97</x:v>
      </x:c>
      <x:c r="N109" s="627" t="n">
        <x:v>5386608.72</x:v>
      </x:c>
      <x:c r="O109" s="627" t="n">
        <x:v>25200362.68</x:v>
      </x:c>
      <x:c r="P109" s="627" t="n">
        <x:v>59642588.49</x:v>
      </x:c>
      <x:c r="Q109" s="627" t="n">
        <x:v>707849.71</x:v>
      </x:c>
      <x:c r="R109" s="627" t="n">
        <x:v>-73.96</x:v>
      </x:c>
      <x:c r="S109" s="627" t="n">
        <x:v>0</x:v>
      </x:c>
      <x:c r="T109" s="627" t="n">
        <x:v>0</x:v>
      </x:c>
      <x:c r="U109" s="627">
        <x:v>0</x:v>
      </x:c>
      <x:c r="V109" s="627">
        <x:v>0</x:v>
      </x:c>
      <x:c r="W109" s="627">
        <x:v>0</x:v>
      </x:c>
      <x:c r="X109" s="653">
        <x:v>0</x:v>
      </x:c>
      <x:c r="Y109" s="653">
        <x:v>0</x:v>
      </x:c>
      <x:c r="Z109" s="653" t="n">
        <x:v>0</x:v>
      </x:c>
      <x:c r="BN109" s="624"/>
    </x:row>
    <x:row r="110" spans="1:66" x14ac:dyDescent="0.25">
      <x:c r="A110"/>
      <x:c r="B110"/>
      <x:c r="C110"/>
      <x:c r="D110" s="25"/>
      <x:c r="E110" s="625" t="inlineStr">
        <x:is>
          <x:t>Vlr Intereses</x:t>
        </x:is>
      </x:c>
      <x:c r="F110" s="627" t="n">
        <x:v>1310407.88</x:v>
      </x:c>
      <x:c r="G110" s="627" t="n">
        <x:v>244581.12</x:v>
      </x:c>
      <x:c r="H110" s="627" t="n">
        <x:v>133735.29</x:v>
      </x:c>
      <x:c r="I110" s="627" t="n">
        <x:v>69359.72</x:v>
      </x:c>
      <x:c r="J110" s="627" t="n">
        <x:v>111129.64</x:v>
      </x:c>
      <x:c r="K110" s="627" t="n">
        <x:v>3614.72</x:v>
      </x:c>
      <x:c r="L110" s="627" t="n">
        <x:v>0</x:v>
      </x:c>
      <x:c r="M110" s="627" t="n">
        <x:v>31543.09</x:v>
      </x:c>
      <x:c r="N110" s="627" t="n">
        <x:v>42996.83</x:v>
      </x:c>
      <x:c r="O110" s="627" t="n">
        <x:v>184629.13</x:v>
      </x:c>
      <x:c r="P110" s="627" t="n">
        <x:v>482915.58</x:v>
      </x:c>
      <x:c r="Q110" s="627" t="n">
        <x:v>5897.64</x:v>
      </x:c>
      <x:c r="R110" s="627" t="n">
        <x:v>4.99</x:v>
      </x:c>
      <x:c r="S110" s="627" t="n">
        <x:v>0.13</x:v>
      </x:c>
      <x:c r="T110" s="627" t="n">
        <x:v>0</x:v>
      </x:c>
      <x:c r="U110" s="627">
        <x:v>0</x:v>
      </x:c>
      <x:c r="V110" s="627">
        <x:v>0</x:v>
      </x:c>
      <x:c r="W110" s="627">
        <x:v>0</x:v>
      </x:c>
      <x:c r="X110" s="653">
        <x:v>0</x:v>
      </x:c>
      <x:c r="Y110" s="653">
        <x:v>0</x:v>
      </x:c>
      <x:c r="Z110" s="653" t="n">
        <x:v>0</x:v>
      </x:c>
      <x:c r="BN110" s="624"/>
    </x:row>
    <x:row r="111" spans="1:66" x14ac:dyDescent="0.25">
      <x:c r="A111"/>
      <x:c r="B111"/>
      <x:c r="C111"/>
      <x:c r="D111" s="625" t="inlineStr">
        <x:is>
          <x:t>T</x:t>
        </x:is>
      </x:c>
      <x:c r="E111" s="625" t="inlineStr">
        <x:is>
          <x:t>Total</x:t>
        </x:is>
      </x:c>
      <x:c r="F111" s="627" t="n">
        <x:v>175782212.59</x:v>
      </x:c>
      <x:c r="G111" s="627" t="n">
        <x:v>30204338.41</x:v>
      </x:c>
      <x:c r="H111" s="627" t="n">
        <x:v>17008757.16</x:v>
      </x:c>
      <x:c r="I111" s="627" t="n">
        <x:v>8963051.02</x:v>
      </x:c>
      <x:c r="J111" s="627" t="n">
        <x:v>18444884.34</x:v>
      </x:c>
      <x:c r="K111" s="627" t="n">
        <x:v>432022.66</x:v>
      </x:c>
      <x:c r="L111" s="627" t="n">
        <x:v>5256000</x:v>
      </x:c>
      <x:c r="M111" s="627" t="n">
        <x:v>3819379.06</x:v>
      </x:c>
      <x:c r="N111" s="627" t="n">
        <x:v>5429605.55</x:v>
      </x:c>
      <x:c r="O111" s="627" t="n">
        <x:v>25384991.81</x:v>
      </x:c>
      <x:c r="P111" s="627" t="n">
        <x:v>60125504.07</x:v>
      </x:c>
      <x:c r="Q111" s="627" t="n">
        <x:v>713747.35</x:v>
      </x:c>
      <x:c r="R111" s="627" t="n">
        <x:v>-68.97</x:v>
      </x:c>
      <x:c r="S111" s="627" t="n">
        <x:v>0.13</x:v>
      </x:c>
      <x:c r="T111" s="627" t="n">
        <x:v>0</x:v>
      </x:c>
      <x:c r="U111" s="627">
        <x:v>0</x:v>
      </x:c>
      <x:c r="V111" s="627">
        <x:v>0</x:v>
      </x:c>
      <x:c r="W111" s="627">
        <x:v>0</x:v>
      </x:c>
      <x:c r="X111" s="653">
        <x:v>0</x:v>
      </x:c>
      <x:c r="Y111" s="653">
        <x:v>0</x:v>
      </x:c>
      <x:c r="Z111" s="653" t="n">
        <x:v>0</x:v>
      </x:c>
      <x:c r="BN111" s="624"/>
    </x:row>
    <x:row r="112" spans="1:66" x14ac:dyDescent="0.25">
      <x:c r="A112"/>
      <x:c r="B112"/>
      <x:c r="C112" t="inlineStr">
        <x:is>
          <x:t>OCCIDENTE</x:t>
        </x:is>
      </x:c>
      <x:c r="D112" t="inlineStr">
        <x:is>
          <x:t>Total</x:t>
        </x:is>
      </x:c>
      <x:c r="E112" s="625"/>
      <x:c r="F112" s="627" t="n">
        <x:v>411038040.91</x:v>
      </x:c>
      <x:c r="G112" s="627" t="n">
        <x:v>50259220.98</x:v>
      </x:c>
      <x:c r="H112" s="627" t="n">
        <x:v>27780240.02</x:v>
      </x:c>
      <x:c r="I112" s="627" t="n">
        <x:v>14510191.63</x:v>
      </x:c>
      <x:c r="J112" s="627" t="n">
        <x:v>67029732.44</x:v>
      </x:c>
      <x:c r="K112" s="627" t="n">
        <x:v>1933033.69</x:v>
      </x:c>
      <x:c r="L112" s="627" t="n">
        <x:v>8420063.1</x:v>
      </x:c>
      <x:c r="M112" s="627" t="n">
        <x:v>17073578.82</x:v>
      </x:c>
      <x:c r="N112" s="627" t="n">
        <x:v>22137176.83</x:v>
      </x:c>
      <x:c r="O112" s="627" t="n">
        <x:v>99022137.8</x:v>
      </x:c>
      <x:c r="P112" s="627" t="n">
        <x:v>99697575.7</x:v>
      </x:c>
      <x:c r="Q112" s="627" t="n">
        <x:v>3176119.97</x:v>
      </x:c>
      <x:c r="R112" s="627" t="n">
        <x:v>-1042.35</x:v>
      </x:c>
      <x:c r="S112" s="627" t="n">
        <x:v>13.21</x:v>
      </x:c>
      <x:c r="T112" s="627" t="n">
        <x:v>0.18</x:v>
      </x:c>
      <x:c r="U112" s="627">
        <x:v>0</x:v>
      </x:c>
      <x:c r="V112" s="627">
        <x:v>0</x:v>
      </x:c>
      <x:c r="W112" s="627">
        <x:v>0</x:v>
      </x:c>
      <x:c r="X112" s="653">
        <x:v>0</x:v>
      </x:c>
      <x:c r="Y112" s="653">
        <x:v>0</x:v>
      </x:c>
      <x:c r="Z112" s="653" t="n">
        <x:v>-1.11</x:v>
      </x:c>
      <x:c r="BN112" s="624"/>
    </x:row>
    <x:row r="113" spans="1:66" x14ac:dyDescent="0.25">
      <x:c r="A113"/>
      <x:c r="B113" t="inlineStr">
        <x:is>
          <x:t>Mes</x:t>
        </x:is>
      </x:c>
      <x:c r="C113" t="inlineStr">
        <x:is>
          <x:t>Total</x:t>
        </x:is>
      </x:c>
      <x:c r="D113" s="25"/>
      <x:c r="E113" s="625"/>
      <x:c r="F113" s="627" t="n">
        <x:v>16853020231.97</x:v>
      </x:c>
      <x:c r="G113" s="627" t="n">
        <x:v>1015867933.06</x:v>
      </x:c>
      <x:c r="H113" s="627" t="n">
        <x:v>562811110.29</x:v>
      </x:c>
      <x:c r="I113" s="627" t="n">
        <x:v>292868707.52</x:v>
      </x:c>
      <x:c r="J113" s="627" t="n">
        <x:v>3895822885.49</x:v>
      </x:c>
      <x:c r="K113" s="627" t="n">
        <x:v>147922986.16</x:v>
      </x:c>
      <x:c r="L113" s="627" t="n">
        <x:v>31737181.81</x:v>
      </x:c>
      <x:c r="M113" s="627" t="n">
        <x:v>1300358854.11</x:v>
      </x:c>
      <x:c r="N113" s="627" t="n">
        <x:v>1304247600.74</x:v>
      </x:c>
      <x:c r="O113" s="627" t="n">
        <x:v>6075672357.54</x:v>
      </x:c>
      <x:c r="P113" s="627" t="n">
        <x:v>1983695734.8</x:v>
      </x:c>
      <x:c r="Q113" s="627" t="n">
        <x:v>242030878.53</x:v>
      </x:c>
      <x:c r="R113" s="627" t="n">
        <x:v>-15889.24</x:v>
      </x:c>
      <x:c r="S113" s="627" t="n">
        <x:v>9.22</x:v>
      </x:c>
      <x:c r="T113" s="627" t="n">
        <x:v>1.41</x:v>
      </x:c>
      <x:c r="U113" s="627">
        <x:v>0</x:v>
      </x:c>
      <x:c r="V113" s="627">
        <x:v>0</x:v>
      </x:c>
      <x:c r="W113" s="627">
        <x:v>0</x:v>
      </x:c>
      <x:c r="X113" s="653">
        <x:v>0</x:v>
      </x:c>
      <x:c r="Y113" s="653">
        <x:v>0</x:v>
      </x:c>
      <x:c r="Z113" s="653" t="n">
        <x:v>-119.47</x:v>
      </x:c>
      <x:c r="BN113" s="624"/>
    </x:row>
    <x:row r="114" spans="1:66" x14ac:dyDescent="0.25">
      <x:c r="A114" s="667" t="inlineStr">
        <x:is>
          <x:t>Componente</x:t>
        </x:is>
      </x:c>
      <x:c r="B114" s="667" t="inlineStr">
        <x:is>
          <x:t>Total</x:t>
        </x:is>
      </x:c>
      <x:c r="C114" s="647"/>
      <x:c r="D114" s="647"/>
      <x:c r="E114" s="667"/>
      <x:c r="F114" s="648" t="n">
        <x:v>16853020231.97</x:v>
      </x:c>
      <x:c r="G114" s="648" t="n">
        <x:v>1015867933.06</x:v>
      </x:c>
      <x:c r="H114" s="648" t="n">
        <x:v>562811110.29</x:v>
      </x:c>
      <x:c r="I114" s="648" t="n">
        <x:v>292868707.52</x:v>
      </x:c>
      <x:c r="J114" s="648" t="n">
        <x:v>3895822885.49</x:v>
      </x:c>
      <x:c r="K114" s="648" t="n">
        <x:v>147922986.16</x:v>
      </x:c>
      <x:c r="L114" s="648" t="n">
        <x:v>31737181.81</x:v>
      </x:c>
      <x:c r="M114" s="648" t="n">
        <x:v>1300358854.11</x:v>
      </x:c>
      <x:c r="N114" s="648" t="n">
        <x:v>1304247600.74</x:v>
      </x:c>
      <x:c r="O114" s="648" t="n">
        <x:v>6075672357.54</x:v>
      </x:c>
      <x:c r="P114" s="648" t="n">
        <x:v>1983695734.8</x:v>
      </x:c>
      <x:c r="Q114" s="648" t="n">
        <x:v>242030878.53</x:v>
      </x:c>
      <x:c r="R114" s="648" t="n">
        <x:v>-15889.24</x:v>
      </x:c>
      <x:c r="S114" s="648" t="n">
        <x:v>9.22</x:v>
      </x:c>
      <x:c r="T114" s="648" t="n">
        <x:v>1.41</x:v>
      </x:c>
      <x:c r="U114" s="648">
        <x:v>0</x:v>
      </x:c>
      <x:c r="V114" s="648">
        <x:v>0</x:v>
      </x:c>
      <x:c r="W114" s="648">
        <x:v>0</x:v>
      </x:c>
      <x:c r="X114" s="672">
        <x:v>0</x:v>
      </x:c>
      <x:c r="Y114" s="672">
        <x:v>0</x:v>
      </x:c>
      <x:c r="Z114" s="672" t="n">
        <x:v>-119.47</x:v>
      </x:c>
      <x:c r="AA114" s="667"/>
      <x:c r="AB114" s="667"/>
      <x:c r="AC114" s="667"/>
      <x:c r="AD114" s="667"/>
      <x:c r="AE114" s="667"/>
      <x:c r="AF114" s="667"/>
      <x:c r="AG114" s="667"/>
      <x:c r="AH114" s="667"/>
      <x:c r="AI114" s="667"/>
      <x:c r="AJ114" s="667"/>
      <x:c r="AK114" s="667"/>
      <x:c r="AL114" s="667"/>
      <x:c r="AM114" s="667"/>
      <x:c r="AN114" s="667"/>
      <x:c r="AO114" s="667"/>
      <x:c r="AP114" s="667"/>
      <x:c r="AQ114" s="667"/>
      <x:c r="AR114" s="667"/>
      <x:c r="AS114" s="667"/>
      <x:c r="AT114" s="667"/>
      <x:c r="AU114" s="667"/>
      <x:c r="AV114" s="667"/>
      <x:c r="AW114" s="667"/>
      <x:c r="AX114" s="667"/>
      <x:c r="AY114" s="667"/>
      <x:c r="AZ114" s="667"/>
      <x:c r="BA114" s="667"/>
      <x:c r="BB114" s="667"/>
      <x:c r="BC114" s="667"/>
      <x:c r="BD114" s="667"/>
      <x:c r="BE114" s="667"/>
      <x:c r="BF114" s="667"/>
      <x:c r="BG114" s="667"/>
      <x:c r="BH114" s="667"/>
      <x:c r="BI114" s="667"/>
      <x:c r="BJ114" s="667"/>
      <x:c r="BK114" s="667"/>
      <x:c r="BL114" s="667"/>
      <x:c r="BM114" s="667"/>
      <x:c r="BN114" s="624"/>
    </x:row>
    <x:row r="115" spans="1:66" x14ac:dyDescent="0.25">
      <x:c r="A115"/>
      <x:c r="B115"/>
      <x:c r="C115" s="625"/>
      <x:c r="D115" s="625"/>
      <x:c r="E115" s="25" t="inlineStr">
        <x:is>
          <x:t>Subsidio(-)/Contribucion(+)</x:t>
        </x:is>
      </x:c>
      <x:c r="F115" s="627" t="n">
        <x:v>-4636257580.37</x:v>
      </x:c>
      <x:c r="G115" s="627" t="n">
        <x:v>-148112632.12</x:v>
      </x:c>
      <x:c r="H115" s="627" t="n">
        <x:v>-78718714.32</x:v>
      </x:c>
      <x:c r="I115" s="627" t="n">
        <x:v>-40123450.97</x:v>
      </x:c>
      <x:c r="J115" s="627" t="n">
        <x:v>-1254246477.51</x:v>
      </x:c>
      <x:c r="K115" s="627" t="n">
        <x:v>-46311892.08</x:v>
      </x:c>
      <x:c r="L115" s="627" t="n">
        <x:v>0</x:v>
      </x:c>
      <x:c r="M115" s="627" t="n">
        <x:v>-406997445.81</x:v>
      </x:c>
      <x:c r="N115" s="627" t="n">
        <x:v>-413228012.98</x:v>
      </x:c>
      <x:c r="O115" s="627" t="n">
        <x:v>-1894308380.72</x:v>
      </x:c>
      <x:c r="P115" s="627" t="n">
        <x:v>-278643881.93</x:v>
      </x:c>
      <x:c r="Q115" s="627" t="n">
        <x:v>-75566691.93</x:v>
      </x:c>
      <x:c r="R115" s="627" t="n">
        <x:v>0</x:v>
      </x:c>
      <x:c r="S115" s="627" t="n">
        <x:v>0</x:v>
      </x:c>
      <x:c r="T115" s="627" t="n">
        <x:v>0</x:v>
      </x:c>
      <x:c r="U115" s="627">
        <x:v>0</x:v>
      </x:c>
      <x:c r="V115" s="627">
        <x:v>0</x:v>
      </x:c>
      <x:c r="W115" s="627">
        <x:v>0</x:v>
      </x:c>
      <x:c r="X115" s="653">
        <x:v>0</x:v>
      </x:c>
      <x:c r="Y115" s="653">
        <x:v>0</x:v>
      </x:c>
      <x:c r="Z115" s="653" t="n">
        <x:v>0</x:v>
      </x:c>
      <x:c r="BN115" s="624"/>
    </x:row>
    <x:row r="116" spans="1:66" x14ac:dyDescent="0.25">
      <x:c r="A116"/>
      <x:c r="B116"/>
      <x:c r="C116" s="625"/>
      <x:c r="D116" s="625" t="inlineStr">
        <x:is>
          <x:t>E</x:t>
        </x:is>
      </x:c>
      <x:c r="E116" s="25" t="inlineStr">
        <x:is>
          <x:t>Total</x:t>
        </x:is>
      </x:c>
      <x:c r="F116" s="627" t="n">
        <x:v>-4636257580.37</x:v>
      </x:c>
      <x:c r="G116" s="627" t="n">
        <x:v>-148112632.12</x:v>
      </x:c>
      <x:c r="H116" s="627" t="n">
        <x:v>-78718714.32</x:v>
      </x:c>
      <x:c r="I116" s="627" t="n">
        <x:v>-40123450.97</x:v>
      </x:c>
      <x:c r="J116" s="627" t="n">
        <x:v>-1254246477.51</x:v>
      </x:c>
      <x:c r="K116" s="627" t="n">
        <x:v>-46311892.08</x:v>
      </x:c>
      <x:c r="L116" s="627" t="n">
        <x:v>0</x:v>
      </x:c>
      <x:c r="M116" s="627" t="n">
        <x:v>-406997445.81</x:v>
      </x:c>
      <x:c r="N116" s="627" t="n">
        <x:v>-413228012.98</x:v>
      </x:c>
      <x:c r="O116" s="627" t="n">
        <x:v>-1894308380.72</x:v>
      </x:c>
      <x:c r="P116" s="627" t="n">
        <x:v>-278643881.93</x:v>
      </x:c>
      <x:c r="Q116" s="627" t="n">
        <x:v>-75566691.93</x:v>
      </x:c>
      <x:c r="R116" s="627" t="n">
        <x:v>0</x:v>
      </x:c>
      <x:c r="S116" s="627" t="n">
        <x:v>0</x:v>
      </x:c>
      <x:c r="T116" s="627" t="n">
        <x:v>0</x:v>
      </x:c>
      <x:c r="U116" s="627">
        <x:v>0</x:v>
      </x:c>
      <x:c r="V116" s="627">
        <x:v>0</x:v>
      </x:c>
      <x:c r="W116" s="627">
        <x:v>0</x:v>
      </x:c>
      <x:c r="X116" s="653">
        <x:v>0</x:v>
      </x:c>
      <x:c r="Y116" s="653">
        <x:v>0</x:v>
      </x:c>
      <x:c r="Z116" s="653" t="n">
        <x:v>0</x:v>
      </x:c>
      <x:c r="BN116" s="624"/>
    </x:row>
    <x:row r="117" spans="1:66" x14ac:dyDescent="0.25">
      <x:c r="A117"/>
      <x:c r="B117"/>
      <x:c r="C117" t="inlineStr">
        <x:is>
          <x:t>ENEL</x:t>
        </x:is>
      </x:c>
      <x:c r="D117" s="25" t="inlineStr">
        <x:is>
          <x:t>Total</x:t>
        </x:is>
      </x:c>
      <x:c r="E117" s="625"/>
      <x:c r="F117" s="627" t="n">
        <x:v>-4636257580.37</x:v>
      </x:c>
      <x:c r="G117" s="627" t="n">
        <x:v>-148112632.12</x:v>
      </x:c>
      <x:c r="H117" s="627" t="n">
        <x:v>-78718714.32</x:v>
      </x:c>
      <x:c r="I117" s="627" t="n">
        <x:v>-40123450.97</x:v>
      </x:c>
      <x:c r="J117" s="627" t="n">
        <x:v>-1254246477.51</x:v>
      </x:c>
      <x:c r="K117" s="627" t="n">
        <x:v>-46311892.08</x:v>
      </x:c>
      <x:c r="L117" s="627" t="n">
        <x:v>0</x:v>
      </x:c>
      <x:c r="M117" s="627" t="n">
        <x:v>-406997445.81</x:v>
      </x:c>
      <x:c r="N117" s="627" t="n">
        <x:v>-413228012.98</x:v>
      </x:c>
      <x:c r="O117" s="627" t="n">
        <x:v>-1894308380.72</x:v>
      </x:c>
      <x:c r="P117" s="627" t="n">
        <x:v>-278643881.93</x:v>
      </x:c>
      <x:c r="Q117" s="627" t="n">
        <x:v>-75566691.93</x:v>
      </x:c>
      <x:c r="R117" s="627" t="n">
        <x:v>0</x:v>
      </x:c>
      <x:c r="S117" s="627" t="n">
        <x:v>0</x:v>
      </x:c>
      <x:c r="T117" s="627" t="n">
        <x:v>0</x:v>
      </x:c>
      <x:c r="U117" s="627">
        <x:v>0</x:v>
      </x:c>
      <x:c r="V117" s="627">
        <x:v>0</x:v>
      </x:c>
      <x:c r="W117" s="627">
        <x:v>0</x:v>
      </x:c>
      <x:c r="X117" s="653">
        <x:v>0</x:v>
      </x:c>
      <x:c r="Y117" s="653">
        <x:v>0</x:v>
      </x:c>
      <x:c r="Z117" s="653" t="n">
        <x:v>0</x:v>
      </x:c>
      <x:c r="BN117" s="624"/>
    </x:row>
    <x:row r="118" spans="1:66" x14ac:dyDescent="0.25">
      <x:c r="A118"/>
      <x:c r="B118"/>
      <x:c r="C118"/>
      <x:c r="D118"/>
      <x:c r="E118" s="625" t="inlineStr">
        <x:is>
          <x:t>Subsidio(-)/Contribucion(+)</x:t>
        </x:is>
      </x:c>
      <x:c r="F118" s="627" t="n">
        <x:v>-467786.06</x:v>
      </x:c>
      <x:c r="G118" s="627" t="n">
        <x:v>-11445.34</x:v>
      </x:c>
      <x:c r="H118" s="627" t="n">
        <x:v>-5486.92</x:v>
      </x:c>
      <x:c r="I118" s="627" t="n">
        <x:v>-2445.28</x:v>
      </x:c>
      <x:c r="J118" s="627" t="n">
        <x:v>-126827.61</x:v>
      </x:c>
      <x:c r="K118" s="627" t="n">
        <x:v>-4450.75</x:v>
      </x:c>
      <x:c r="L118" s="627" t="n">
        <x:v>0</x:v>
      </x:c>
      <x:c r="M118" s="627" t="n">
        <x:v>-39043.45</x:v>
      </x:c>
      <x:c r="N118" s="627" t="n">
        <x:v>-47967.6</x:v>
      </x:c>
      <x:c r="O118" s="627" t="n">
        <x:v>-200257.21</x:v>
      </x:c>
      <x:c r="P118" s="627" t="n">
        <x:v>-22599.77</x:v>
      </x:c>
      <x:c r="Q118" s="627" t="n">
        <x:v>-7262.13</x:v>
      </x:c>
      <x:c r="R118" s="627" t="n">
        <x:v>0</x:v>
      </x:c>
      <x:c r="S118" s="627" t="n">
        <x:v>0</x:v>
      </x:c>
      <x:c r="T118" s="627" t="n">
        <x:v>0</x:v>
      </x:c>
      <x:c r="U118" s="627">
        <x:v>0</x:v>
      </x:c>
      <x:c r="V118" s="627">
        <x:v>0</x:v>
      </x:c>
      <x:c r="W118" s="627">
        <x:v>0</x:v>
      </x:c>
      <x:c r="X118" s="653">
        <x:v>0</x:v>
      </x:c>
      <x:c r="Y118" s="653">
        <x:v>0</x:v>
      </x:c>
      <x:c r="Z118" s="653" t="n">
        <x:v>0</x:v>
      </x:c>
      <x:c r="BN118" s="624"/>
    </x:row>
    <x:row r="119" spans="1:66" x14ac:dyDescent="0.25">
      <x:c r="A119"/>
      <x:c r="B119"/>
      <x:c r="C119"/>
      <x:c r="D119" s="625" t="inlineStr">
        <x:is>
          <x:t>1</x:t>
        </x:is>
      </x:c>
      <x:c r="E119" s="625" t="inlineStr">
        <x:is>
          <x:t>Total</x:t>
        </x:is>
      </x:c>
      <x:c r="F119" s="627" t="n">
        <x:v>-467786.06</x:v>
      </x:c>
      <x:c r="G119" s="627" t="n">
        <x:v>-11445.34</x:v>
      </x:c>
      <x:c r="H119" s="627" t="n">
        <x:v>-5486.92</x:v>
      </x:c>
      <x:c r="I119" s="627" t="n">
        <x:v>-2445.28</x:v>
      </x:c>
      <x:c r="J119" s="627" t="n">
        <x:v>-126827.61</x:v>
      </x:c>
      <x:c r="K119" s="627" t="n">
        <x:v>-4450.75</x:v>
      </x:c>
      <x:c r="L119" s="627" t="n">
        <x:v>0</x:v>
      </x:c>
      <x:c r="M119" s="627" t="n">
        <x:v>-39043.45</x:v>
      </x:c>
      <x:c r="N119" s="627" t="n">
        <x:v>-47967.6</x:v>
      </x:c>
      <x:c r="O119" s="627" t="n">
        <x:v>-200257.21</x:v>
      </x:c>
      <x:c r="P119" s="627" t="n">
        <x:v>-22599.77</x:v>
      </x:c>
      <x:c r="Q119" s="627" t="n">
        <x:v>-7262.13</x:v>
      </x:c>
      <x:c r="R119" s="627" t="n">
        <x:v>0</x:v>
      </x:c>
      <x:c r="S119" s="627" t="n">
        <x:v>0</x:v>
      </x:c>
      <x:c r="T119" s="627" t="n">
        <x:v>0</x:v>
      </x:c>
      <x:c r="U119" s="627">
        <x:v>0</x:v>
      </x:c>
      <x:c r="V119" s="627">
        <x:v>0</x:v>
      </x:c>
      <x:c r="W119" s="627">
        <x:v>0</x:v>
      </x:c>
      <x:c r="X119" s="653">
        <x:v>0</x:v>
      </x:c>
      <x:c r="Y119" s="653">
        <x:v>0</x:v>
      </x:c>
      <x:c r="Z119" s="653" t="n">
        <x:v>0</x:v>
      </x:c>
      <x:c r="BN119" s="624"/>
    </x:row>
    <x:row r="120" spans="1:66" x14ac:dyDescent="0.25">
      <x:c r="A120"/>
      <x:c r="B120"/>
      <x:c r="C120"/>
      <x:c r="D120" s="25"/>
      <x:c r="E120" s="625" t="inlineStr">
        <x:is>
          <x:t>Subsidio(-)/Contribucion(+)</x:t>
        </x:is>
      </x:c>
      <x:c r="F120" s="627" t="n">
        <x:v>-4848916.7</x:v>
      </x:c>
      <x:c r="G120" s="627" t="n">
        <x:v>-207339.37</x:v>
      </x:c>
      <x:c r="H120" s="627" t="n">
        <x:v>-108562.88</x:v>
      </x:c>
      <x:c r="I120" s="627" t="n">
        <x:v>-56193.87</x:v>
      </x:c>
      <x:c r="J120" s="627" t="n">
        <x:v>-1284725.4</x:v>
      </x:c>
      <x:c r="K120" s="627" t="n">
        <x:v>-43801.39</x:v>
      </x:c>
      <x:c r="L120" s="627" t="n">
        <x:v>0</x:v>
      </x:c>
      <x:c r="M120" s="627" t="n">
        <x:v>-384216.82</x:v>
      </x:c>
      <x:c r="N120" s="627" t="n">
        <x:v>-415455.9</x:v>
      </x:c>
      <x:c r="O120" s="627" t="n">
        <x:v>-1879657.48</x:v>
      </x:c>
      <x:c r="P120" s="627" t="n">
        <x:v>-397498.86</x:v>
      </x:c>
      <x:c r="Q120" s="627" t="n">
        <x:v>-71464.73</x:v>
      </x:c>
      <x:c r="R120" s="627" t="n">
        <x:v>0</x:v>
      </x:c>
      <x:c r="S120" s="627" t="n">
        <x:v>0</x:v>
      </x:c>
      <x:c r="T120" s="627" t="n">
        <x:v>0</x:v>
      </x:c>
      <x:c r="U120" s="627">
        <x:v>0</x:v>
      </x:c>
      <x:c r="V120" s="627">
        <x:v>0</x:v>
      </x:c>
      <x:c r="W120" s="627">
        <x:v>0</x:v>
      </x:c>
      <x:c r="X120" s="653">
        <x:v>0</x:v>
      </x:c>
      <x:c r="Y120" s="653">
        <x:v>0</x:v>
      </x:c>
      <x:c r="Z120" s="653" t="n">
        <x:v>0</x:v>
      </x:c>
      <x:c r="BN120" s="624"/>
    </x:row>
    <x:row r="121" spans="1:66" x14ac:dyDescent="0.25">
      <x:c r="A121"/>
      <x:c r="B121"/>
      <x:c r="C121"/>
      <x:c r="D121" t="inlineStr">
        <x:is>
          <x:t>5</x:t>
        </x:is>
      </x:c>
      <x:c r="E121" s="625" t="inlineStr">
        <x:is>
          <x:t>Total</x:t>
        </x:is>
      </x:c>
      <x:c r="F121" s="627" t="n">
        <x:v>-4848916.7</x:v>
      </x:c>
      <x:c r="G121" s="627" t="n">
        <x:v>-207339.37</x:v>
      </x:c>
      <x:c r="H121" s="627" t="n">
        <x:v>-108562.88</x:v>
      </x:c>
      <x:c r="I121" s="627" t="n">
        <x:v>-56193.87</x:v>
      </x:c>
      <x:c r="J121" s="627" t="n">
        <x:v>-1284725.4</x:v>
      </x:c>
      <x:c r="K121" s="627" t="n">
        <x:v>-43801.39</x:v>
      </x:c>
      <x:c r="L121" s="627" t="n">
        <x:v>0</x:v>
      </x:c>
      <x:c r="M121" s="627" t="n">
        <x:v>-384216.82</x:v>
      </x:c>
      <x:c r="N121" s="627" t="n">
        <x:v>-415455.9</x:v>
      </x:c>
      <x:c r="O121" s="627" t="n">
        <x:v>-1879657.48</x:v>
      </x:c>
      <x:c r="P121" s="627" t="n">
        <x:v>-397498.86</x:v>
      </x:c>
      <x:c r="Q121" s="627" t="n">
        <x:v>-71464.73</x:v>
      </x:c>
      <x:c r="R121" s="627" t="n">
        <x:v>0</x:v>
      </x:c>
      <x:c r="S121" s="627" t="n">
        <x:v>0</x:v>
      </x:c>
      <x:c r="T121" s="627" t="n">
        <x:v>0</x:v>
      </x:c>
      <x:c r="U121" s="627">
        <x:v>0</x:v>
      </x:c>
      <x:c r="V121" s="627">
        <x:v>0</x:v>
      </x:c>
      <x:c r="W121" s="627">
        <x:v>0</x:v>
      </x:c>
      <x:c r="X121" s="653">
        <x:v>0</x:v>
      </x:c>
      <x:c r="Y121" s="653">
        <x:v>0</x:v>
      </x:c>
      <x:c r="Z121" s="653" t="n">
        <x:v>0</x:v>
      </x:c>
      <x:c r="BN121" s="624"/>
    </x:row>
    <x:row r="122" spans="1:66" x14ac:dyDescent="0.25">
      <x:c r="A122"/>
      <x:c r="B122"/>
      <x:c r="C122" t="inlineStr">
        <x:is>
          <x:t>NUEVO ESQUEMA</x:t>
        </x:is>
      </x:c>
      <x:c r="D122" s="625" t="inlineStr">
        <x:is>
          <x:t>Total</x:t>
        </x:is>
      </x:c>
      <x:c r="E122" s="625"/>
      <x:c r="F122" s="627" t="n">
        <x:v>-5316702.76</x:v>
      </x:c>
      <x:c r="G122" s="627" t="n">
        <x:v>-218784.71</x:v>
      </x:c>
      <x:c r="H122" s="627" t="n">
        <x:v>-114049.8</x:v>
      </x:c>
      <x:c r="I122" s="627" t="n">
        <x:v>-58639.15</x:v>
      </x:c>
      <x:c r="J122" s="627" t="n">
        <x:v>-1411553.01</x:v>
      </x:c>
      <x:c r="K122" s="627" t="n">
        <x:v>-48252.14</x:v>
      </x:c>
      <x:c r="L122" s="627" t="n">
        <x:v>0</x:v>
      </x:c>
      <x:c r="M122" s="627" t="n">
        <x:v>-423260.27</x:v>
      </x:c>
      <x:c r="N122" s="627" t="n">
        <x:v>-463423.5</x:v>
      </x:c>
      <x:c r="O122" s="627" t="n">
        <x:v>-2079914.69</x:v>
      </x:c>
      <x:c r="P122" s="627" t="n">
        <x:v>-420098.63</x:v>
      </x:c>
      <x:c r="Q122" s="627" t="n">
        <x:v>-78726.86</x:v>
      </x:c>
      <x:c r="R122" s="627" t="n">
        <x:v>0</x:v>
      </x:c>
      <x:c r="S122" s="627" t="n">
        <x:v>0</x:v>
      </x:c>
      <x:c r="T122" s="627" t="n">
        <x:v>0</x:v>
      </x:c>
      <x:c r="U122" s="627">
        <x:v>0</x:v>
      </x:c>
      <x:c r="V122" s="627">
        <x:v>0</x:v>
      </x:c>
      <x:c r="W122" s="627">
        <x:v>0</x:v>
      </x:c>
      <x:c r="X122" s="653">
        <x:v>0</x:v>
      </x:c>
      <x:c r="Y122" s="653">
        <x:v>0</x:v>
      </x:c>
      <x:c r="Z122" s="653" t="n">
        <x:v>0</x:v>
      </x:c>
      <x:c r="BN122" s="624"/>
    </x:row>
    <x:row r="123" spans="1:66" x14ac:dyDescent="0.25">
      <x:c r="A123"/>
      <x:c r="B123"/>
      <x:c r="C123"/>
      <x:c r="D123" s="25"/>
      <x:c r="E123" s="625" t="inlineStr">
        <x:is>
          <x:t>Subsidio(-)/Contribucion(+)</x:t>
        </x:is>
      </x:c>
      <x:c r="F123" s="627" t="n">
        <x:v>-8836082.45</x:v>
      </x:c>
      <x:c r="G123" s="627" t="n">
        <x:v>139503.64</x:v>
      </x:c>
      <x:c r="H123" s="627" t="n">
        <x:v>74546.21</x:v>
      </x:c>
      <x:c r="I123" s="627" t="n">
        <x:v>67535.91</x:v>
      </x:c>
      <x:c r="J123" s="627" t="n">
        <x:v>-3051519.46</x:v>
      </x:c>
      <x:c r="K123" s="627" t="n">
        <x:v>-77257.63</x:v>
      </x:c>
      <x:c r="L123" s="627" t="n">
        <x:v>0</x:v>
      </x:c>
      <x:c r="M123" s="627" t="n">
        <x:v>-679222.47</x:v>
      </x:c>
      <x:c r="N123" s="627" t="n">
        <x:v>-976995.21</x:v>
      </x:c>
      <x:c r="O123" s="627" t="n">
        <x:v>-4506032.93</x:v>
      </x:c>
      <x:c r="P123" s="627" t="n">
        <x:v>299509.99</x:v>
      </x:c>
      <x:c r="Q123" s="627" t="n">
        <x:v>-126150.5</x:v>
      </x:c>
      <x:c r="R123" s="627" t="n">
        <x:v>0</x:v>
      </x:c>
      <x:c r="S123" s="627" t="n">
        <x:v>0</x:v>
      </x:c>
      <x:c r="T123" s="627" t="n">
        <x:v>0</x:v>
      </x:c>
      <x:c r="U123" s="627">
        <x:v>0</x:v>
      </x:c>
      <x:c r="V123" s="627">
        <x:v>0</x:v>
      </x:c>
      <x:c r="W123" s="627">
        <x:v>0</x:v>
      </x:c>
      <x:c r="X123" s="653">
        <x:v>0</x:v>
      </x:c>
      <x:c r="Y123" s="653">
        <x:v>0</x:v>
      </x:c>
      <x:c r="Z123" s="653" t="n">
        <x:v>0</x:v>
      </x:c>
      <x:c r="BN123" s="624"/>
    </x:row>
    <x:row r="124" spans="1:66" x14ac:dyDescent="0.25">
      <x:c r="A124" s="631"/>
      <x:c r="B124" s="631"/>
      <x:c r="C124" s="632"/>
      <x:c r="D124" s="632" t="inlineStr">
        <x:is>
          <x:t>H</x:t>
        </x:is>
      </x:c>
      <x:c r="E124" s="631" t="inlineStr">
        <x:is>
          <x:t>Total</x:t>
        </x:is>
      </x:c>
      <x:c r="F124" s="633" t="n">
        <x:v>-8836082.45</x:v>
      </x:c>
      <x:c r="G124" s="633" t="n">
        <x:v>139503.64</x:v>
      </x:c>
      <x:c r="H124" s="633" t="n">
        <x:v>74546.21</x:v>
      </x:c>
      <x:c r="I124" s="633" t="n">
        <x:v>67535.91</x:v>
      </x:c>
      <x:c r="J124" s="633" t="n">
        <x:v>-3051519.46</x:v>
      </x:c>
      <x:c r="K124" s="633" t="n">
        <x:v>-77257.63</x:v>
      </x:c>
      <x:c r="L124" s="633" t="n">
        <x:v>0</x:v>
      </x:c>
      <x:c r="M124" s="633" t="n">
        <x:v>-679222.47</x:v>
      </x:c>
      <x:c r="N124" s="633" t="n">
        <x:v>-976995.21</x:v>
      </x:c>
      <x:c r="O124" s="633" t="n">
        <x:v>-4506032.93</x:v>
      </x:c>
      <x:c r="P124" s="633" t="n">
        <x:v>299509.99</x:v>
      </x:c>
      <x:c r="Q124" s="633" t="n">
        <x:v>-126150.5</x:v>
      </x:c>
      <x:c r="R124" s="633" t="n">
        <x:v>0</x:v>
      </x:c>
      <x:c r="S124" s="633" t="n">
        <x:v>0</x:v>
      </x:c>
      <x:c r="T124" s="633" t="n">
        <x:v>0</x:v>
      </x:c>
      <x:c r="U124" s="633">
        <x:v>0</x:v>
      </x:c>
      <x:c r="V124" s="633">
        <x:v>0</x:v>
      </x:c>
      <x:c r="W124" s="633">
        <x:v>0</x:v>
      </x:c>
      <x:c r="X124" s="633">
        <x:v>0</x:v>
      </x:c>
      <x:c r="Y124" s="633">
        <x:v>0</x:v>
      </x:c>
      <x:c r="Z124" s="633" t="n">
        <x:v>0</x:v>
      </x:c>
      <x:c r="AA124" s="631"/>
      <x:c r="AB124" s="631"/>
      <x:c r="AC124" s="631"/>
      <x:c r="AD124" s="631"/>
      <x:c r="AE124" s="631"/>
      <x:c r="AF124" s="631"/>
      <x:c r="AG124" s="631"/>
      <x:c r="AH124" s="631"/>
      <x:c r="AI124" s="631"/>
      <x:c r="AJ124" s="631"/>
      <x:c r="AK124" s="631"/>
      <x:c r="AL124" s="631"/>
      <x:c r="AM124" s="631"/>
      <x:c r="AN124" s="631"/>
      <x:c r="AO124" s="631"/>
      <x:c r="AP124" s="631"/>
      <x:c r="AQ124" s="631"/>
      <x:c r="AR124" s="631"/>
      <x:c r="AS124" s="631"/>
      <x:c r="AT124" s="631"/>
      <x:c r="AU124" s="631"/>
      <x:c r="AV124" s="631"/>
      <x:c r="AW124" s="631"/>
      <x:c r="AX124" s="631"/>
      <x:c r="AY124" s="631"/>
      <x:c r="AZ124" s="631"/>
      <x:c r="BA124" s="631"/>
      <x:c r="BB124" s="631"/>
      <x:c r="BC124" s="631"/>
      <x:c r="BD124" s="631"/>
      <x:c r="BE124" s="631"/>
      <x:c r="BF124" s="631"/>
      <x:c r="BG124" s="631"/>
      <x:c r="BH124" s="631"/>
      <x:c r="BI124" s="631"/>
      <x:c r="BJ124" s="631"/>
      <x:c r="BK124" s="631"/>
      <x:c r="BL124" s="631"/>
      <x:c r="BM124" s="631"/>
      <x:c r="BN124" s="624"/>
    </x:row>
    <x:row r="125" spans="1:66" x14ac:dyDescent="0.25">
      <x:c r="A125" s="638"/>
      <x:c r="B125" s="639"/>
      <x:c r="C125" s="639"/>
      <x:c r="D125" s="638"/>
      <x:c r="E125" s="638" t="inlineStr">
        <x:is>
          <x:t>Subsidio(-)/Contribucion(+)</x:t>
        </x:is>
      </x:c>
      <x:c r="F125" s="640" t="n">
        <x:v>-25691473.42</x:v>
      </x:c>
      <x:c r="G125" s="640" t="n">
        <x:v>632495.77</x:v>
      </x:c>
      <x:c r="H125" s="640" t="n">
        <x:v>502662.71</x:v>
      </x:c>
      <x:c r="I125" s="640" t="n">
        <x:v>328861.06</x:v>
      </x:c>
      <x:c r="J125" s="640" t="n">
        <x:v>-9210894.78</x:v>
      </x:c>
      <x:c r="K125" s="640" t="n">
        <x:v>-311635.57</x:v>
      </x:c>
      <x:c r="L125" s="640" t="n">
        <x:v>0</x:v>
      </x:c>
      <x:c r="M125" s="640" t="n">
        <x:v>-2734320.87</x:v>
      </x:c>
      <x:c r="N125" s="640" t="n">
        <x:v>-3143480.96</x:v>
      </x:c>
      <x:c r="O125" s="640" t="n">
        <x:v>-12593238.36</x:v>
      </x:c>
      <x:c r="P125" s="640" t="n">
        <x:v>1346532</x:v>
      </x:c>
      <x:c r="Q125" s="640" t="n">
        <x:v>-508454.42</x:v>
      </x:c>
      <x:c r="R125" s="640" t="n">
        <x:v>0</x:v>
      </x:c>
      <x:c r="S125" s="640" t="n">
        <x:v>0</x:v>
      </x:c>
      <x:c r="T125" s="640" t="n">
        <x:v>0</x:v>
      </x:c>
      <x:c r="U125" s="640">
        <x:v>0</x:v>
      </x:c>
      <x:c r="V125" s="640">
        <x:v>0</x:v>
      </x:c>
      <x:c r="W125" s="640">
        <x:v>0</x:v>
      </x:c>
      <x:c r="X125" s="640">
        <x:v>0</x:v>
      </x:c>
      <x:c r="Y125" s="640">
        <x:v>0</x:v>
      </x:c>
      <x:c r="Z125" s="640" t="n">
        <x:v>0</x:v>
      </x:c>
      <x:c r="AA125" s="638"/>
      <x:c r="AB125" s="638"/>
      <x:c r="AC125" s="638"/>
      <x:c r="AD125" s="638"/>
      <x:c r="AE125" s="638"/>
      <x:c r="AF125" s="638"/>
      <x:c r="AG125" s="638"/>
      <x:c r="AH125" s="638"/>
      <x:c r="AI125" s="638"/>
      <x:c r="AJ125" s="638"/>
      <x:c r="AK125" s="638"/>
      <x:c r="AL125" s="638"/>
      <x:c r="AM125" s="638"/>
      <x:c r="AN125" s="638"/>
      <x:c r="AO125" s="638"/>
      <x:c r="AP125" s="638"/>
      <x:c r="AQ125" s="638"/>
      <x:c r="AR125" s="638"/>
      <x:c r="AS125" s="638"/>
      <x:c r="AT125" s="638"/>
      <x:c r="AU125" s="638"/>
      <x:c r="AV125" s="638"/>
      <x:c r="AW125" s="638"/>
      <x:c r="AX125" s="638"/>
      <x:c r="AY125" s="638"/>
      <x:c r="AZ125" s="638"/>
      <x:c r="BA125" s="638"/>
      <x:c r="BB125" s="638"/>
      <x:c r="BC125" s="638"/>
      <x:c r="BD125" s="638"/>
      <x:c r="BE125" s="638"/>
      <x:c r="BF125" s="638"/>
      <x:c r="BG125" s="638"/>
      <x:c r="BH125" s="638"/>
      <x:c r="BI125" s="638"/>
      <x:c r="BJ125" s="638"/>
      <x:c r="BK125" s="638"/>
      <x:c r="BL125" s="638"/>
      <x:c r="BM125" s="638"/>
      <x:c r="BN125" s="624"/>
    </x:row>
    <x:row r="126" spans="1:66" x14ac:dyDescent="0.25">
      <x:c r="A126" s="25"/>
      <x:c r="B126" s="625"/>
      <x:c r="C126" s="625"/>
      <x:c r="D126" t="inlineStr">
        <x:is>
          <x:t>O</x:t>
        </x:is>
      </x:c>
      <x:c r="E126" t="inlineStr">
        <x:is>
          <x:t>Total</x:t>
        </x:is>
      </x:c>
      <x:c r="F126" s="627" t="n">
        <x:v>-25691473.42</x:v>
      </x:c>
      <x:c r="G126" s="627" t="n">
        <x:v>632495.77</x:v>
      </x:c>
      <x:c r="H126" s="627" t="n">
        <x:v>502662.71</x:v>
      </x:c>
      <x:c r="I126" s="627" t="n">
        <x:v>328861.06</x:v>
      </x:c>
      <x:c r="J126" s="627" t="n">
        <x:v>-9210894.78</x:v>
      </x:c>
      <x:c r="K126" s="627" t="n">
        <x:v>-311635.57</x:v>
      </x:c>
      <x:c r="L126" s="627" t="n">
        <x:v>0</x:v>
      </x:c>
      <x:c r="M126" s="627" t="n">
        <x:v>-2734320.87</x:v>
      </x:c>
      <x:c r="N126" s="627" t="n">
        <x:v>-3143480.96</x:v>
      </x:c>
      <x:c r="O126" s="627" t="n">
        <x:v>-12593238.36</x:v>
      </x:c>
      <x:c r="P126" s="627" t="n">
        <x:v>1346532</x:v>
      </x:c>
      <x:c r="Q126" s="627" t="n">
        <x:v>-508454.42</x:v>
      </x:c>
      <x:c r="R126" s="627" t="n">
        <x:v>0</x:v>
      </x:c>
      <x:c r="S126" s="627" t="n">
        <x:v>0</x:v>
      </x:c>
      <x:c r="T126" s="627" t="n">
        <x:v>0</x:v>
      </x:c>
      <x:c r="U126" s="627">
        <x:v>0</x:v>
      </x:c>
      <x:c r="V126" s="627">
        <x:v>0</x:v>
      </x:c>
      <x:c r="W126" s="627">
        <x:v>0</x:v>
      </x:c>
      <x:c r="X126" s="653">
        <x:v>0</x:v>
      </x:c>
      <x:c r="Y126" s="653">
        <x:v>0</x:v>
      </x:c>
      <x:c r="Z126" s="653" t="n">
        <x:v>0</x:v>
      </x:c>
      <x:c r="BN126" s="624"/>
    </x:row>
    <x:row r="127" spans="1:66" x14ac:dyDescent="0.25">
      <x:c r="A127"/>
      <x:c r="B127" s="625"/>
      <x:c r="C127" s="625"/>
      <x:c r="D127"/>
      <x:c r="E127" s="25" t="inlineStr">
        <x:is>
          <x:t>Subsidio(-)/Contribucion(+)</x:t>
        </x:is>
      </x:c>
      <x:c r="F127" s="627" t="n">
        <x:v>13718951.41</x:v>
      </x:c>
      <x:c r="G127" s="627" t="n">
        <x:v>4147034.56</x:v>
      </x:c>
      <x:c r="H127" s="627" t="n">
        <x:v>2343622.23</x:v>
      </x:c>
      <x:c r="I127" s="627" t="n">
        <x:v>1246828.61</x:v>
      </x:c>
      <x:c r="J127" s="627" t="n">
        <x:v>-256491.19</x:v>
      </x:c>
      <x:c r="K127" s="627" t="n">
        <x:v>-11399.55</x:v>
      </x:c>
      <x:c r="L127" s="627" t="n">
        <x:v>0</x:v>
      </x:c>
      <x:c r="M127" s="627" t="n">
        <x:v>-100195.44</x:v>
      </x:c>
      <x:c r="N127" s="627" t="n">
        <x:v>-150465.05</x:v>
      </x:c>
      <x:c r="O127" s="627" t="n">
        <x:v>-623431.01</x:v>
      </x:c>
      <x:c r="P127" s="627" t="n">
        <x:v>7142058.97</x:v>
      </x:c>
      <x:c r="Q127" s="627" t="n">
        <x:v>-18610.72</x:v>
      </x:c>
      <x:c r="R127" s="627" t="n">
        <x:v>0</x:v>
      </x:c>
      <x:c r="S127" s="627" t="n">
        <x:v>0</x:v>
      </x:c>
      <x:c r="T127" s="627" t="n">
        <x:v>0</x:v>
      </x:c>
      <x:c r="U127" s="627">
        <x:v>0</x:v>
      </x:c>
      <x:c r="V127" s="627">
        <x:v>0</x:v>
      </x:c>
      <x:c r="W127" s="627">
        <x:v>0</x:v>
      </x:c>
      <x:c r="X127" s="653">
        <x:v>0</x:v>
      </x:c>
      <x:c r="Y127" s="653">
        <x:v>0</x:v>
      </x:c>
      <x:c r="Z127" s="653" t="n">
        <x:v>0</x:v>
      </x:c>
      <x:c r="BN127" s="624"/>
    </x:row>
    <x:row r="128" spans="1:66" x14ac:dyDescent="0.25">
      <x:c r="A128"/>
      <x:c r="B128" s="625"/>
      <x:c r="C128" s="625"/>
      <x:c r="D128" s="25" t="inlineStr">
        <x:is>
          <x:t>T</x:t>
        </x:is>
      </x:c>
      <x:c r="E128" s="25" t="inlineStr">
        <x:is>
          <x:t>Total</x:t>
        </x:is>
      </x:c>
      <x:c r="F128" s="627" t="n">
        <x:v>13718951.41</x:v>
      </x:c>
      <x:c r="G128" s="627" t="n">
        <x:v>4147034.56</x:v>
      </x:c>
      <x:c r="H128" s="627" t="n">
        <x:v>2343622.23</x:v>
      </x:c>
      <x:c r="I128" s="627" t="n">
        <x:v>1246828.61</x:v>
      </x:c>
      <x:c r="J128" s="627" t="n">
        <x:v>-256491.19</x:v>
      </x:c>
      <x:c r="K128" s="627" t="n">
        <x:v>-11399.55</x:v>
      </x:c>
      <x:c r="L128" s="627" t="n">
        <x:v>0</x:v>
      </x:c>
      <x:c r="M128" s="627" t="n">
        <x:v>-100195.44</x:v>
      </x:c>
      <x:c r="N128" s="627" t="n">
        <x:v>-150465.05</x:v>
      </x:c>
      <x:c r="O128" s="627" t="n">
        <x:v>-623431.01</x:v>
      </x:c>
      <x:c r="P128" s="627" t="n">
        <x:v>7142058.97</x:v>
      </x:c>
      <x:c r="Q128" s="627" t="n">
        <x:v>-18610.72</x:v>
      </x:c>
      <x:c r="R128" s="627" t="n">
        <x:v>0</x:v>
      </x:c>
      <x:c r="S128" s="627" t="n">
        <x:v>0</x:v>
      </x:c>
      <x:c r="T128" s="627" t="n">
        <x:v>0</x:v>
      </x:c>
      <x:c r="U128" s="627">
        <x:v>0</x:v>
      </x:c>
      <x:c r="V128" s="627">
        <x:v>0</x:v>
      </x:c>
      <x:c r="W128" s="627">
        <x:v>0</x:v>
      </x:c>
      <x:c r="X128" s="653">
        <x:v>0</x:v>
      </x:c>
      <x:c r="Y128" s="653">
        <x:v>0</x:v>
      </x:c>
      <x:c r="Z128" s="653" t="n">
        <x:v>0</x:v>
      </x:c>
      <x:c r="BN128" s="624"/>
    </x:row>
    <x:row r="129" spans="1:66" x14ac:dyDescent="0.25">
      <x:c r="A129" s="628"/>
      <x:c r="B129" s="628"/>
      <x:c r="C129" s="628" t="inlineStr">
        <x:is>
          <x:t>OCCIDENTE</x:t>
        </x:is>
      </x:c>
      <x:c r="D129" s="628" t="inlineStr">
        <x:is>
          <x:t>Total</x:t>
        </x:is>
      </x:c>
      <x:c r="E129" s="629"/>
      <x:c r="F129" s="630" t="n">
        <x:v>-20808604.46</x:v>
      </x:c>
      <x:c r="G129" s="630" t="n">
        <x:v>4919033.97</x:v>
      </x:c>
      <x:c r="H129" s="630" t="n">
        <x:v>2920831.15</x:v>
      </x:c>
      <x:c r="I129" s="630" t="n">
        <x:v>1643225.58</x:v>
      </x:c>
      <x:c r="J129" s="630" t="n">
        <x:v>-12518905.43</x:v>
      </x:c>
      <x:c r="K129" s="630" t="n">
        <x:v>-400292.75</x:v>
      </x:c>
      <x:c r="L129" s="630" t="n">
        <x:v>0</x:v>
      </x:c>
      <x:c r="M129" s="630" t="n">
        <x:v>-3513738.78</x:v>
      </x:c>
      <x:c r="N129" s="630" t="n">
        <x:v>-4270941.22</x:v>
      </x:c>
      <x:c r="O129" s="630" t="n">
        <x:v>-17722702.3</x:v>
      </x:c>
      <x:c r="P129" s="630" t="n">
        <x:v>8788100.96</x:v>
      </x:c>
      <x:c r="Q129" s="630" t="n">
        <x:v>-653215.64</x:v>
      </x:c>
      <x:c r="R129" s="630" t="n">
        <x:v>0</x:v>
      </x:c>
      <x:c r="S129" s="630" t="n">
        <x:v>0</x:v>
      </x:c>
      <x:c r="T129" s="630" t="n">
        <x:v>0</x:v>
      </x:c>
      <x:c r="U129" s="630">
        <x:v>0</x:v>
      </x:c>
      <x:c r="V129" s="630">
        <x:v>0</x:v>
      </x:c>
      <x:c r="W129" s="630">
        <x:v>0</x:v>
      </x:c>
      <x:c r="X129" s="630">
        <x:v>0</x:v>
      </x:c>
      <x:c r="Y129" s="630">
        <x:v>0</x:v>
      </x:c>
      <x:c r="Z129" s="630" t="n">
        <x:v>0</x:v>
      </x:c>
      <x:c r="AA129" s="628"/>
      <x:c r="AB129" s="628"/>
      <x:c r="AC129" s="628"/>
      <x:c r="AD129" s="628"/>
      <x:c r="AE129" s="628"/>
      <x:c r="AF129" s="628"/>
      <x:c r="AG129" s="628"/>
      <x:c r="AH129" s="628"/>
      <x:c r="AI129" s="628"/>
      <x:c r="AJ129" s="628"/>
      <x:c r="AK129" s="628"/>
      <x:c r="AL129" s="628"/>
      <x:c r="AM129" s="628"/>
      <x:c r="AN129" s="628"/>
      <x:c r="AO129" s="628"/>
      <x:c r="AP129" s="628"/>
      <x:c r="AQ129" s="628"/>
      <x:c r="AR129" s="628"/>
      <x:c r="AS129" s="628"/>
      <x:c r="AT129" s="628"/>
      <x:c r="AU129" s="628"/>
      <x:c r="AV129" s="628"/>
      <x:c r="AW129" s="628"/>
      <x:c r="AX129" s="628"/>
      <x:c r="AY129" s="628"/>
      <x:c r="AZ129" s="628"/>
      <x:c r="BA129" s="628"/>
      <x:c r="BB129" s="628"/>
      <x:c r="BC129" s="628"/>
      <x:c r="BD129" s="628"/>
      <x:c r="BE129" s="628"/>
      <x:c r="BF129" s="628"/>
      <x:c r="BG129" s="628"/>
      <x:c r="BH129" s="628"/>
      <x:c r="BI129" s="628"/>
      <x:c r="BJ129" s="628"/>
      <x:c r="BK129" s="628"/>
      <x:c r="BL129" s="628"/>
      <x:c r="BM129" s="628"/>
      <x:c r="BN129" s="624"/>
    </x:row>
    <x:row r="130" spans="1:66" x14ac:dyDescent="0.25">
      <x:c r="A130"/>
      <x:c r="B130" s="625" t="inlineStr">
        <x:is>
          <x:t>Mes</x:t>
        </x:is>
      </x:c>
      <x:c r="C130" s="625" t="inlineStr">
        <x:is>
          <x:t>Total</x:t>
        </x:is>
      </x:c>
      <x:c r="D130"/>
      <x:c r="E130" s="25"/>
      <x:c r="F130" s="627" t="n">
        <x:v>-4662382887.59</x:v>
      </x:c>
      <x:c r="G130" s="627" t="n">
        <x:v>-143412382.86</x:v>
      </x:c>
      <x:c r="H130" s="627" t="n">
        <x:v>-75911932.97</x:v>
      </x:c>
      <x:c r="I130" s="627" t="n">
        <x:v>-38538864.54</x:v>
      </x:c>
      <x:c r="J130" s="627" t="n">
        <x:v>-1268176935.95</x:v>
      </x:c>
      <x:c r="K130" s="627" t="n">
        <x:v>-46760436.97</x:v>
      </x:c>
      <x:c r="L130" s="627" t="n">
        <x:v>0</x:v>
      </x:c>
      <x:c r="M130" s="627" t="n">
        <x:v>-410934444.86</x:v>
      </x:c>
      <x:c r="N130" s="627" t="n">
        <x:v>-417962377.7</x:v>
      </x:c>
      <x:c r="O130" s="627" t="n">
        <x:v>-1914110997.71</x:v>
      </x:c>
      <x:c r="P130" s="627" t="n">
        <x:v>-270275879.6</x:v>
      </x:c>
      <x:c r="Q130" s="627" t="n">
        <x:v>-76298634.43</x:v>
      </x:c>
      <x:c r="R130" s="627" t="n">
        <x:v>0</x:v>
      </x:c>
      <x:c r="S130" s="627" t="n">
        <x:v>0</x:v>
      </x:c>
      <x:c r="T130" s="627" t="n">
        <x:v>0</x:v>
      </x:c>
      <x:c r="U130" s="627">
        <x:v>0</x:v>
      </x:c>
      <x:c r="V130" s="627">
        <x:v>0</x:v>
      </x:c>
      <x:c r="W130" s="627">
        <x:v>0</x:v>
      </x:c>
      <x:c r="X130" s="653">
        <x:v>0</x:v>
      </x:c>
      <x:c r="Y130" s="653">
        <x:v>0</x:v>
      </x:c>
      <x:c r="Z130" s="653" t="n">
        <x:v>0</x:v>
      </x:c>
      <x:c r="BN130" s="624"/>
    </x:row>
    <x:row r="131" spans="1:66" x14ac:dyDescent="0.25">
      <x:c r="A131" t="inlineStr">
        <x:is>
          <x:t>Subs/Cont</x:t>
        </x:is>
      </x:c>
      <x:c r="B131" s="625" t="inlineStr">
        <x:is>
          <x:t>Total</x:t>
        </x:is>
      </x:c>
      <x:c r="C131" s="625"/>
      <x:c r="D131" s="25"/>
      <x:c r="E131" s="25"/>
      <x:c r="F131" s="627" t="n">
        <x:v>-4662382887.59</x:v>
      </x:c>
      <x:c r="G131" s="627" t="n">
        <x:v>-143412382.86</x:v>
      </x:c>
      <x:c r="H131" s="627" t="n">
        <x:v>-75911932.97</x:v>
      </x:c>
      <x:c r="I131" s="627" t="n">
        <x:v>-38538864.54</x:v>
      </x:c>
      <x:c r="J131" s="627" t="n">
        <x:v>-1268176935.95</x:v>
      </x:c>
      <x:c r="K131" s="627" t="n">
        <x:v>-46760436.97</x:v>
      </x:c>
      <x:c r="L131" s="627" t="n">
        <x:v>0</x:v>
      </x:c>
      <x:c r="M131" s="627" t="n">
        <x:v>-410934444.86</x:v>
      </x:c>
      <x:c r="N131" s="627" t="n">
        <x:v>-417962377.7</x:v>
      </x:c>
      <x:c r="O131" s="627" t="n">
        <x:v>-1914110997.71</x:v>
      </x:c>
      <x:c r="P131" s="627" t="n">
        <x:v>-270275879.6</x:v>
      </x:c>
      <x:c r="Q131" s="627" t="n">
        <x:v>-76298634.43</x:v>
      </x:c>
      <x:c r="R131" s="627" t="n">
        <x:v>0</x:v>
      </x:c>
      <x:c r="S131" s="627" t="n">
        <x:v>0</x:v>
      </x:c>
      <x:c r="T131" s="627" t="n">
        <x:v>0</x:v>
      </x:c>
      <x:c r="U131" s="627">
        <x:v>0</x:v>
      </x:c>
      <x:c r="V131" s="627">
        <x:v>0</x:v>
      </x:c>
      <x:c r="W131" s="627">
        <x:v>0</x:v>
      </x:c>
      <x:c r="X131" s="653">
        <x:v>0</x:v>
      </x:c>
      <x:c r="Y131" s="653">
        <x:v>0</x:v>
      </x:c>
      <x:c r="Z131" s="653" t="n">
        <x:v>0</x:v>
      </x:c>
      <x:c r="BN131" s="624"/>
    </x:row>
    <x:row r="132" spans="1:66" x14ac:dyDescent="0.25">
      <x:c r="A132" s="625" t="inlineStr">
        <x:is>
          <x:t>Total</x:t>
        </x:is>
      </x:c>
      <x:c r="B132"/>
      <x:c r="C132"/>
      <x:c r="D132"/>
      <x:c r="E132"/>
      <x:c r="F132" s="627" t="n">
        <x:v>12189517623</x:v>
      </x:c>
      <x:c r="G132" s="627" t="n">
        <x:v>872357851.01</x:v>
      </x:c>
      <x:c r="H132" s="627" t="n">
        <x:v>486857673.01</x:v>
      </x:c>
      <x:c r="I132" s="627" t="n">
        <x:v>254311717.14</x:v>
      </x:c>
      <x:c r="J132" s="627" t="n">
        <x:v>2627419958.81</x:v>
      </x:c>
      <x:c r="K132" s="627" t="n">
        <x:v>101153197.02</x:v>
      </x:c>
      <x:c r="L132" s="627" t="n">
        <x:v>31737181.81</x:v>
      </x:c>
      <x:c r="M132" s="627" t="n">
        <x:v>889341479.29</x:v>
      </x:c>
      <x:c r="N132" s="627" t="n">
        <x:v>886182402.64</x:v>
      </x:c>
      <x:c r="O132" s="627" t="n">
        <x:v>4161215992.22</x:v>
      </x:c>
      <x:c r="P132" s="627" t="n">
        <x:v>1713239180.08</x:v>
      </x:c>
      <x:c r="Q132" s="627" t="n">
        <x:v>165716988.05</x:v>
      </x:c>
      <x:c r="R132" s="627" t="n">
        <x:v>-15889.24</x:v>
      </x:c>
      <x:c r="S132" s="627" t="n">
        <x:v>9.22</x:v>
      </x:c>
      <x:c r="T132" s="627" t="n">
        <x:v>1.41</x:v>
      </x:c>
      <x:c r="U132" s="627">
        <x:v>0</x:v>
      </x:c>
      <x:c r="V132" s="627">
        <x:v>0</x:v>
      </x:c>
      <x:c r="W132" s="627">
        <x:v>0</x:v>
      </x:c>
      <x:c r="X132" s="653">
        <x:v>0</x:v>
      </x:c>
      <x:c r="Y132" s="653">
        <x:v>0</x:v>
      </x:c>
      <x:c r="Z132" s="653" t="n">
        <x:v>-119.47</x:v>
      </x:c>
      <x:c r="BN132" s="624"/>
    </x:row>
    <x:row r="133" spans="1:66" x14ac:dyDescent="0.25">
      <x:c r="A133" s="625"/>
      <x:c r="D133" s="625"/>
      <x:c r="E133" s="625"/>
      <x:c r="F133" s="627"/>
      <x:c r="G133" s="627"/>
      <x:c r="H133" s="627"/>
      <x:c r="I133" s="627"/>
      <x:c r="J133" s="627"/>
      <x:c r="K133" s="627"/>
      <x:c r="L133" s="627"/>
      <x:c r="M133" s="627"/>
      <x:c r="N133" s="627"/>
      <x:c r="O133" s="627"/>
      <x:c r="P133" s="627"/>
      <x:c r="Q133" s="627"/>
      <x:c r="R133" s="627"/>
      <x:c r="S133" s="627"/>
      <x:c r="BN133" s="624"/>
    </x:row>
    <x:row r="134" spans="1:66" x14ac:dyDescent="0.25">
      <x:c r="A134" s="625"/>
      <x:c r="C134" s="625"/>
      <x:c r="D134" s="625"/>
      <x:c r="F134" s="627"/>
      <x:c r="G134" s="627"/>
      <x:c r="H134" s="627"/>
      <x:c r="I134" s="627"/>
      <x:c r="J134" s="627"/>
      <x:c r="K134" s="627"/>
      <x:c r="L134" s="627"/>
      <x:c r="M134" s="627"/>
      <x:c r="N134" s="627"/>
      <x:c r="O134" s="627"/>
      <x:c r="P134" s="627"/>
      <x:c r="Q134" s="627"/>
      <x:c r="R134" s="627"/>
      <x:c r="S134" s="627"/>
      <x:c r="BN134" s="624"/>
    </x:row>
    <x:row r="135" spans="1:66" x14ac:dyDescent="0.25">
      <x:c r="A135" s="625"/>
      <x:c r="E135" s="625"/>
      <x:c r="F135" s="627"/>
      <x:c r="G135" s="627"/>
      <x:c r="H135" s="627"/>
      <x:c r="I135" s="627"/>
      <x:c r="J135" s="627"/>
      <x:c r="K135" s="627"/>
      <x:c r="L135" s="627"/>
      <x:c r="M135" s="627"/>
      <x:c r="N135" s="627"/>
      <x:c r="O135" s="627"/>
      <x:c r="P135" s="627"/>
      <x:c r="Q135" s="627"/>
      <x:c r="R135" s="627"/>
      <x:c r="S135" s="627"/>
      <x:c r="BN135" s="624"/>
    </x:row>
    <x:row r="136" spans="1:66" x14ac:dyDescent="0.25">
      <x:c r="A136" s="625"/>
      <x:c r="D136" s="625"/>
      <x:c r="E136" s="625"/>
      <x:c r="F136" s="627"/>
      <x:c r="G136" s="627"/>
      <x:c r="H136" s="627"/>
      <x:c r="I136" s="627"/>
      <x:c r="J136" s="627"/>
      <x:c r="K136" s="627"/>
      <x:c r="L136" s="627"/>
      <x:c r="M136" s="627"/>
      <x:c r="N136" s="627"/>
      <x:c r="O136" s="627"/>
      <x:c r="P136" s="627"/>
      <x:c r="Q136" s="627"/>
      <x:c r="R136" s="627"/>
      <x:c r="S136" s="627"/>
      <x:c r="BN136" s="624"/>
    </x:row>
    <x:row r="137" spans="1:66" x14ac:dyDescent="0.25">
      <x:c r="A137" s="625"/>
      <x:c r="E137" s="625"/>
      <x:c r="F137" s="627"/>
      <x:c r="G137" s="627"/>
      <x:c r="H137" s="627"/>
      <x:c r="I137" s="627"/>
      <x:c r="J137" s="627"/>
      <x:c r="K137" s="627"/>
      <x:c r="L137" s="627"/>
      <x:c r="M137" s="627"/>
      <x:c r="N137" s="627"/>
      <x:c r="O137" s="627"/>
      <x:c r="P137" s="627"/>
      <x:c r="Q137" s="627"/>
      <x:c r="R137" s="627"/>
      <x:c r="S137" s="627"/>
      <x:c r="BN137" s="624"/>
    </x:row>
    <x:row r="138" spans="1:66" x14ac:dyDescent="0.25">
      <x:c r="A138" s="625"/>
      <x:c r="D138" s="625"/>
      <x:c r="E138" s="625"/>
      <x:c r="F138" s="627"/>
      <x:c r="G138" s="627"/>
      <x:c r="H138" s="627"/>
      <x:c r="I138" s="627"/>
      <x:c r="J138" s="627"/>
      <x:c r="K138" s="627"/>
      <x:c r="L138" s="627"/>
      <x:c r="M138" s="627"/>
      <x:c r="N138" s="627"/>
      <x:c r="O138" s="627"/>
      <x:c r="P138" s="627"/>
      <x:c r="Q138" s="627"/>
      <x:c r="R138" s="627"/>
      <x:c r="S138" s="627"/>
      <x:c r="BN138" s="624"/>
    </x:row>
    <x:row r="139" spans="1:66" x14ac:dyDescent="0.25">
      <x:c r="A139" s="625"/>
      <x:c r="E139" s="625"/>
      <x:c r="F139" s="627"/>
      <x:c r="G139" s="627"/>
      <x:c r="H139" s="627"/>
      <x:c r="I139" s="627"/>
      <x:c r="J139" s="627"/>
      <x:c r="K139" s="627"/>
      <x:c r="L139" s="627"/>
      <x:c r="M139" s="627"/>
      <x:c r="N139" s="627"/>
      <x:c r="O139" s="627"/>
      <x:c r="P139" s="627"/>
      <x:c r="Q139" s="627"/>
      <x:c r="R139" s="627"/>
      <x:c r="S139" s="627"/>
      <x:c r="BN139" s="624"/>
    </x:row>
    <x:row r="140" spans="1:66" x14ac:dyDescent="0.25">
      <x:c r="A140" s="625"/>
      <x:c r="D140" s="625"/>
      <x:c r="E140" s="625"/>
      <x:c r="F140" s="627"/>
      <x:c r="G140" s="627"/>
      <x:c r="H140" s="627"/>
      <x:c r="I140" s="627"/>
      <x:c r="J140" s="627"/>
      <x:c r="K140" s="627"/>
      <x:c r="L140" s="627"/>
      <x:c r="M140" s="627"/>
      <x:c r="N140" s="627"/>
      <x:c r="O140" s="627"/>
      <x:c r="P140" s="627"/>
      <x:c r="Q140" s="627"/>
      <x:c r="R140" s="627"/>
      <x:c r="S140" s="627"/>
      <x:c r="BN140" s="624"/>
    </x:row>
    <x:row r="141" spans="1:66" x14ac:dyDescent="0.25">
      <x:c r="A141" s="625"/>
      <x:c r="C141" s="625"/>
      <x:c r="D141" s="625"/>
      <x:c r="F141" s="627"/>
      <x:c r="G141" s="627"/>
      <x:c r="H141" s="627"/>
      <x:c r="I141" s="627"/>
      <x:c r="J141" s="627"/>
      <x:c r="K141" s="627"/>
      <x:c r="L141" s="627"/>
      <x:c r="M141" s="627"/>
      <x:c r="N141" s="627"/>
      <x:c r="O141" s="627"/>
      <x:c r="P141" s="627"/>
      <x:c r="Q141" s="627"/>
      <x:c r="R141" s="627"/>
      <x:c r="S141" s="627"/>
      <x:c r="BN141" s="624"/>
    </x:row>
    <x:row r="142" spans="1:66" x14ac:dyDescent="0.25">
      <x:c r="A142" s="625"/>
      <x:c r="B142" s="625"/>
      <x:c r="C142" s="625"/>
      <x:c r="F142" s="627"/>
      <x:c r="G142" s="627"/>
      <x:c r="H142" s="627"/>
      <x:c r="I142" s="627"/>
      <x:c r="J142" s="627"/>
      <x:c r="K142" s="627"/>
      <x:c r="L142" s="627"/>
      <x:c r="M142" s="627"/>
      <x:c r="N142" s="627"/>
      <x:c r="O142" s="627"/>
      <x:c r="P142" s="627"/>
      <x:c r="Q142" s="627"/>
      <x:c r="R142" s="627"/>
      <x:c r="S142" s="627"/>
      <x:c r="BN142" s="624"/>
    </x:row>
    <x:row r="143" spans="1:66" x14ac:dyDescent="0.25">
      <x:c r="A143" s="625"/>
      <x:c r="B143" s="625"/>
      <x:c r="F143" s="627"/>
      <x:c r="G143" s="627"/>
      <x:c r="H143" s="627"/>
      <x:c r="I143" s="627"/>
      <x:c r="J143" s="627"/>
      <x:c r="K143" s="627"/>
      <x:c r="L143" s="627"/>
      <x:c r="M143" s="627"/>
      <x:c r="N143" s="627"/>
      <x:c r="O143" s="627"/>
      <x:c r="P143" s="627"/>
      <x:c r="Q143" s="627"/>
      <x:c r="R143" s="627"/>
      <x:c r="S143" s="627"/>
      <x:c r="BN143" s="624"/>
    </x:row>
    <x:row r="144" spans="1:66" x14ac:dyDescent="0.25">
      <x:c r="A144" s="625"/>
      <x:c r="F144" s="627"/>
      <x:c r="G144" s="627"/>
      <x:c r="H144" s="627"/>
      <x:c r="I144" s="627"/>
      <x:c r="J144" s="627"/>
      <x:c r="K144" s="627"/>
      <x:c r="L144" s="627"/>
      <x:c r="M144" s="627"/>
      <x:c r="N144" s="627"/>
      <x:c r="O144" s="627"/>
      <x:c r="P144" s="627"/>
      <x:c r="Q144" s="627"/>
      <x:c r="R144" s="627"/>
      <x:c r="S144" s="627"/>
      <x:c r="BN144" s="624"/>
    </x:row>
    <x:row r="145" spans="1:66" x14ac:dyDescent="0.25">
      <x:c r="A145" s="625"/>
      <x:c r="B145" s="625"/>
      <x:c r="F145" s="627"/>
      <x:c r="G145" s="627"/>
      <x:c r="H145" s="627"/>
      <x:c r="I145" s="627"/>
      <x:c r="J145" s="627"/>
      <x:c r="K145" s="627"/>
      <x:c r="L145" s="627"/>
      <x:c r="M145" s="627"/>
      <x:c r="N145" s="627"/>
      <x:c r="O145" s="627"/>
      <x:c r="P145" s="627"/>
      <x:c r="Q145" s="627"/>
      <x:c r="R145" s="627"/>
      <x:c r="S145" s="627"/>
      <x:c r="BN145" s="624"/>
    </x:row>
    <x:row r="146" spans="1:66" x14ac:dyDescent="0.25">
      <x:c r="A146" s="625"/>
      <x:c r="F146" s="627"/>
      <x:c r="G146" s="627"/>
      <x:c r="H146" s="627"/>
      <x:c r="I146" s="627"/>
      <x:c r="J146" s="627"/>
      <x:c r="K146" s="627"/>
      <x:c r="L146" s="627"/>
      <x:c r="M146" s="627"/>
      <x:c r="N146" s="627"/>
      <x:c r="O146" s="627"/>
      <x:c r="P146" s="627"/>
      <x:c r="Q146" s="627"/>
      <x:c r="R146" s="627"/>
      <x:c r="S146" s="627"/>
      <x:c r="BN146" s="624"/>
    </x:row>
    <x:row r="147" spans="1:66" x14ac:dyDescent="0.25">
      <x:c r="A147" s="625"/>
      <x:c r="F147" s="627"/>
      <x:c r="G147" s="627"/>
      <x:c r="H147" s="627"/>
      <x:c r="I147" s="627"/>
      <x:c r="J147" s="627"/>
      <x:c r="K147" s="627"/>
      <x:c r="L147" s="627"/>
      <x:c r="M147" s="627"/>
      <x:c r="N147" s="627"/>
      <x:c r="O147" s="627"/>
      <x:c r="P147" s="627"/>
      <x:c r="Q147" s="627"/>
      <x:c r="R147" s="627"/>
      <x:c r="S147" s="627"/>
      <x:c r="BN147" s="624"/>
    </x:row>
    <x:row r="148" spans="1:66" x14ac:dyDescent="0.25">
      <x:c r="A148" s="625"/>
      <x:c r="F148" s="627"/>
      <x:c r="G148" s="627"/>
      <x:c r="H148" s="627"/>
      <x:c r="I148" s="627"/>
      <x:c r="J148" s="627"/>
      <x:c r="K148" s="627"/>
      <x:c r="L148" s="627"/>
      <x:c r="M148" s="627"/>
      <x:c r="N148" s="627"/>
      <x:c r="O148" s="627"/>
      <x:c r="P148" s="627"/>
      <x:c r="Q148" s="627"/>
      <x:c r="R148" s="627"/>
      <x:c r="S148" s="627"/>
      <x:c r="BN148" s="624"/>
    </x:row>
    <x:row r="149" spans="1:66" x14ac:dyDescent="0.25">
      <x:c r="A149" s="625"/>
      <x:c r="F149" s="627"/>
      <x:c r="G149" s="627"/>
      <x:c r="H149" s="627"/>
      <x:c r="I149" s="627"/>
      <x:c r="J149" s="627"/>
      <x:c r="K149" s="627"/>
      <x:c r="L149" s="627"/>
      <x:c r="M149" s="627"/>
      <x:c r="N149" s="627"/>
      <x:c r="O149" s="627"/>
      <x:c r="P149" s="627"/>
      <x:c r="Q149" s="627"/>
      <x:c r="R149" s="627"/>
      <x:c r="S149" s="627"/>
      <x:c r="BN149" s="624"/>
    </x:row>
    <x:row r="150" spans="1:66" x14ac:dyDescent="0.25">
      <x:c r="A150" s="625"/>
      <x:c r="F150" s="627"/>
      <x:c r="G150" s="627"/>
      <x:c r="H150" s="627"/>
      <x:c r="I150" s="627"/>
      <x:c r="J150" s="627"/>
      <x:c r="K150" s="627"/>
      <x:c r="L150" s="627"/>
      <x:c r="M150" s="627"/>
      <x:c r="N150" s="627"/>
      <x:c r="O150" s="627"/>
      <x:c r="P150" s="627"/>
      <x:c r="Q150" s="627"/>
      <x:c r="R150" s="627"/>
      <x:c r="S150" s="627"/>
      <x:c r="BN150" s="624"/>
    </x:row>
    <x:row r="151" spans="1:66" x14ac:dyDescent="0.25">
      <x:c r="A151" s="625"/>
      <x:c r="F151" s="627"/>
      <x:c r="G151" s="627"/>
      <x:c r="H151" s="627"/>
      <x:c r="I151" s="627"/>
      <x:c r="J151" s="627"/>
      <x:c r="K151" s="627"/>
      <x:c r="L151" s="627"/>
      <x:c r="M151" s="627"/>
      <x:c r="N151" s="627"/>
      <x:c r="O151" s="627"/>
      <x:c r="P151" s="627"/>
      <x:c r="Q151" s="627"/>
      <x:c r="R151" s="627"/>
      <x:c r="S151" s="627"/>
      <x:c r="BN151" s="624"/>
    </x:row>
    <x:row r="152" spans="1:66" x14ac:dyDescent="0.25">
      <x:c r="A152" s="625"/>
      <x:c r="F152" s="627"/>
      <x:c r="G152" s="627"/>
      <x:c r="H152" s="627"/>
      <x:c r="I152" s="627"/>
      <x:c r="J152" s="627"/>
      <x:c r="K152" s="627"/>
      <x:c r="L152" s="627"/>
      <x:c r="M152" s="627"/>
      <x:c r="N152" s="627"/>
      <x:c r="O152" s="627"/>
      <x:c r="P152" s="627"/>
      <x:c r="Q152" s="627"/>
      <x:c r="R152" s="627"/>
      <x:c r="S152" s="627"/>
      <x:c r="BN152" s="624"/>
    </x:row>
    <x:row r="153" spans="1:66" x14ac:dyDescent="0.25">
      <x:c r="A153" s="625"/>
      <x:c r="F153" s="627"/>
      <x:c r="G153" s="627"/>
      <x:c r="H153" s="627"/>
      <x:c r="I153" s="627"/>
      <x:c r="J153" s="627"/>
      <x:c r="K153" s="627"/>
      <x:c r="L153" s="627"/>
      <x:c r="M153" s="627"/>
      <x:c r="N153" s="627"/>
      <x:c r="O153" s="627"/>
      <x:c r="P153" s="627"/>
      <x:c r="Q153" s="627"/>
      <x:c r="R153" s="627"/>
      <x:c r="S153" s="627"/>
      <x:c r="BN153" s="624"/>
    </x:row>
    <x:row r="154" spans="1:66" x14ac:dyDescent="0.25">
      <x:c r="A154" s="625"/>
      <x:c r="F154" s="627"/>
      <x:c r="G154" s="627"/>
      <x:c r="H154" s="627"/>
      <x:c r="I154" s="627"/>
      <x:c r="J154" s="627"/>
      <x:c r="K154" s="627"/>
      <x:c r="L154" s="627"/>
      <x:c r="M154" s="627"/>
      <x:c r="N154" s="627"/>
      <x:c r="O154" s="627"/>
      <x:c r="P154" s="627"/>
      <x:c r="Q154" s="627"/>
      <x:c r="R154" s="627"/>
      <x:c r="S154" s="627"/>
      <x:c r="BN154" s="624"/>
    </x:row>
    <x:row r="155" spans="1:66" x14ac:dyDescent="0.25">
      <x:c r="A155" s="625"/>
      <x:c r="F155" s="627"/>
      <x:c r="G155" s="627"/>
      <x:c r="H155" s="627"/>
      <x:c r="I155" s="627"/>
      <x:c r="J155" s="627"/>
      <x:c r="K155" s="627"/>
      <x:c r="L155" s="627"/>
      <x:c r="M155" s="627"/>
      <x:c r="N155" s="627"/>
      <x:c r="O155" s="627"/>
      <x:c r="P155" s="627"/>
      <x:c r="Q155" s="627"/>
      <x:c r="R155" s="627"/>
      <x:c r="S155" s="627"/>
      <x:c r="BN155" s="624"/>
    </x:row>
    <x:row r="156" spans="1:66" x14ac:dyDescent="0.25">
      <x:c r="A156" s="625"/>
      <x:c r="F156" s="627"/>
      <x:c r="G156" s="627"/>
      <x:c r="H156" s="627"/>
      <x:c r="I156" s="627"/>
      <x:c r="J156" s="627"/>
      <x:c r="K156" s="627"/>
      <x:c r="L156" s="627"/>
      <x:c r="M156" s="627"/>
      <x:c r="N156" s="627"/>
      <x:c r="O156" s="627"/>
      <x:c r="P156" s="627"/>
      <x:c r="Q156" s="627"/>
      <x:c r="R156" s="627"/>
      <x:c r="S156" s="627"/>
      <x:c r="BN156" s="624"/>
    </x:row>
    <x:row r="157" spans="1:66" x14ac:dyDescent="0.25">
      <x:c r="A157" s="625"/>
      <x:c r="F157" s="627"/>
      <x:c r="G157" s="627"/>
      <x:c r="H157" s="627"/>
      <x:c r="I157" s="627"/>
      <x:c r="J157" s="627"/>
      <x:c r="K157" s="627"/>
      <x:c r="L157" s="627"/>
      <x:c r="M157" s="627"/>
      <x:c r="N157" s="627"/>
      <x:c r="O157" s="627"/>
      <x:c r="P157" s="627"/>
      <x:c r="Q157" s="627"/>
      <x:c r="R157" s="627"/>
      <x:c r="S157" s="627"/>
      <x:c r="BN157" s="624"/>
    </x:row>
    <x:row r="158" spans="1:66" x14ac:dyDescent="0.25">
      <x:c r="A158" s="625"/>
      <x:c r="F158" s="627"/>
      <x:c r="G158" s="627"/>
      <x:c r="H158" s="627"/>
      <x:c r="I158" s="627"/>
      <x:c r="J158" s="627"/>
      <x:c r="K158" s="627"/>
      <x:c r="L158" s="627"/>
      <x:c r="M158" s="627"/>
      <x:c r="N158" s="627"/>
      <x:c r="O158" s="627"/>
      <x:c r="P158" s="627"/>
      <x:c r="Q158" s="627"/>
      <x:c r="R158" s="627"/>
      <x:c r="S158" s="627"/>
      <x:c r="BN158" s="624"/>
    </x:row>
    <x:row r="159" spans="1:66" x14ac:dyDescent="0.25">
      <x:c r="A159" s="625"/>
      <x:c r="F159" s="627"/>
      <x:c r="G159" s="627"/>
      <x:c r="H159" s="627"/>
      <x:c r="I159" s="627"/>
      <x:c r="J159" s="627"/>
      <x:c r="K159" s="627"/>
      <x:c r="L159" s="627"/>
      <x:c r="M159" s="627"/>
      <x:c r="N159" s="627"/>
      <x:c r="O159" s="627"/>
      <x:c r="P159" s="627"/>
      <x:c r="Q159" s="627"/>
      <x:c r="R159" s="627"/>
      <x:c r="S159" s="627"/>
      <x:c r="BN159" s="624"/>
    </x:row>
    <x:row r="160" spans="1:66" x14ac:dyDescent="0.25">
      <x:c r="A160" s="625"/>
      <x:c r="F160" s="627"/>
      <x:c r="G160" s="627"/>
      <x:c r="H160" s="627"/>
      <x:c r="I160" s="627"/>
      <x:c r="J160" s="627"/>
      <x:c r="K160" s="627"/>
      <x:c r="L160" s="627"/>
      <x:c r="M160" s="627"/>
      <x:c r="N160" s="627"/>
      <x:c r="O160" s="627"/>
      <x:c r="P160" s="627"/>
      <x:c r="Q160" s="627"/>
      <x:c r="R160" s="627"/>
      <x:c r="S160" s="627"/>
      <x:c r="BN160" s="624"/>
    </x:row>
    <x:row r="161" spans="1:66" x14ac:dyDescent="0.25">
      <x:c r="A161" s="625"/>
      <x:c r="F161" s="627"/>
      <x:c r="G161" s="627"/>
      <x:c r="H161" s="627"/>
      <x:c r="I161" s="627"/>
      <x:c r="J161" s="627"/>
      <x:c r="K161" s="627"/>
      <x:c r="L161" s="627"/>
      <x:c r="M161" s="627"/>
      <x:c r="N161" s="627"/>
      <x:c r="O161" s="627"/>
      <x:c r="P161" s="627"/>
      <x:c r="Q161" s="627"/>
      <x:c r="R161" s="627"/>
      <x:c r="S161" s="627"/>
      <x:c r="BN161" s="624"/>
    </x:row>
    <x:row r="162" spans="1:66" x14ac:dyDescent="0.25">
      <x:c r="A162" s="625"/>
      <x:c r="F162" s="627"/>
      <x:c r="G162" s="627"/>
      <x:c r="H162" s="627"/>
      <x:c r="I162" s="627"/>
      <x:c r="J162" s="627"/>
      <x:c r="K162" s="627"/>
      <x:c r="L162" s="627"/>
      <x:c r="M162" s="627"/>
      <x:c r="N162" s="627"/>
      <x:c r="O162" s="627"/>
      <x:c r="P162" s="627"/>
      <x:c r="Q162" s="627"/>
      <x:c r="R162" s="627"/>
      <x:c r="S162" s="627"/>
      <x:c r="BN162" s="624"/>
    </x:row>
    <x:row r="163" spans="1:66" x14ac:dyDescent="0.25">
      <x:c r="A163" s="625"/>
      <x:c r="F163" s="627"/>
      <x:c r="G163" s="627"/>
      <x:c r="H163" s="627"/>
      <x:c r="I163" s="627"/>
      <x:c r="J163" s="627"/>
      <x:c r="K163" s="627"/>
      <x:c r="L163" s="627"/>
      <x:c r="M163" s="627"/>
      <x:c r="N163" s="627"/>
      <x:c r="O163" s="627"/>
      <x:c r="P163" s="627"/>
      <x:c r="Q163" s="627"/>
      <x:c r="R163" s="627"/>
      <x:c r="S163" s="627"/>
      <x:c r="BN163" s="624"/>
    </x:row>
    <x:row r="164" spans="1:66" x14ac:dyDescent="0.25">
      <x:c r="A164" s="625"/>
      <x:c r="F164" s="627"/>
      <x:c r="G164" s="627"/>
      <x:c r="H164" s="627"/>
      <x:c r="I164" s="627"/>
      <x:c r="J164" s="627"/>
      <x:c r="K164" s="627"/>
      <x:c r="L164" s="627"/>
      <x:c r="M164" s="627"/>
      <x:c r="N164" s="627"/>
      <x:c r="O164" s="627"/>
      <x:c r="P164" s="627"/>
      <x:c r="Q164" s="627"/>
      <x:c r="R164" s="627"/>
      <x:c r="S164" s="627"/>
      <x:c r="BN164" s="624"/>
    </x:row>
    <x:row r="165" spans="1:66" x14ac:dyDescent="0.25">
      <x:c r="A165" s="625"/>
      <x:c r="F165" s="627"/>
      <x:c r="G165" s="627"/>
      <x:c r="H165" s="627"/>
      <x:c r="I165" s="627"/>
      <x:c r="J165" s="627"/>
      <x:c r="K165" s="627"/>
      <x:c r="L165" s="627"/>
      <x:c r="M165" s="627"/>
      <x:c r="N165" s="627"/>
      <x:c r="O165" s="627"/>
      <x:c r="P165" s="627"/>
      <x:c r="Q165" s="627"/>
      <x:c r="R165" s="627"/>
      <x:c r="S165" s="627"/>
      <x:c r="BN165" s="624"/>
    </x:row>
    <x:row r="166" spans="1:66" x14ac:dyDescent="0.25">
      <x:c r="A166" s="625"/>
      <x:c r="F166" s="627"/>
      <x:c r="G166" s="627"/>
      <x:c r="H166" s="627"/>
      <x:c r="I166" s="627"/>
      <x:c r="J166" s="627"/>
      <x:c r="K166" s="627"/>
      <x:c r="L166" s="627"/>
      <x:c r="M166" s="627"/>
      <x:c r="N166" s="627"/>
      <x:c r="O166" s="627"/>
      <x:c r="P166" s="627"/>
      <x:c r="Q166" s="627"/>
      <x:c r="R166" s="627"/>
      <x:c r="S166" s="627"/>
      <x:c r="BN166" s="624"/>
    </x:row>
    <x:row r="167" spans="1:66" x14ac:dyDescent="0.25">
      <x:c r="A167" s="625"/>
      <x:c r="F167" s="627"/>
      <x:c r="G167" s="627"/>
      <x:c r="H167" s="627"/>
      <x:c r="I167" s="627"/>
      <x:c r="J167" s="627"/>
      <x:c r="K167" s="627"/>
      <x:c r="L167" s="627"/>
      <x:c r="M167" s="627"/>
      <x:c r="N167" s="627"/>
      <x:c r="O167" s="627"/>
      <x:c r="P167" s="627"/>
      <x:c r="Q167" s="627"/>
      <x:c r="R167" s="627"/>
      <x:c r="S167" s="627"/>
      <x:c r="BN167" s="624"/>
    </x:row>
    <x:row r="168" spans="1:66" x14ac:dyDescent="0.25">
      <x:c r="A168" s="625"/>
      <x:c r="F168" s="627"/>
      <x:c r="G168" s="627"/>
      <x:c r="H168" s="627"/>
      <x:c r="I168" s="627"/>
      <x:c r="J168" s="627"/>
      <x:c r="K168" s="627"/>
      <x:c r="L168" s="627"/>
      <x:c r="M168" s="627"/>
      <x:c r="N168" s="627"/>
      <x:c r="O168" s="627"/>
      <x:c r="P168" s="627"/>
      <x:c r="Q168" s="627"/>
      <x:c r="R168" s="627"/>
      <x:c r="S168" s="627"/>
      <x:c r="BN168" s="624"/>
    </x:row>
    <x:row r="169" spans="1:66" x14ac:dyDescent="0.25">
      <x:c r="A169" s="625"/>
      <x:c r="F169" s="627"/>
      <x:c r="G169" s="627"/>
      <x:c r="H169" s="627"/>
      <x:c r="I169" s="627"/>
      <x:c r="J169" s="627"/>
      <x:c r="K169" s="627"/>
      <x:c r="L169" s="627"/>
      <x:c r="M169" s="627"/>
      <x:c r="N169" s="627"/>
      <x:c r="O169" s="627"/>
      <x:c r="P169" s="627"/>
      <x:c r="Q169" s="627"/>
      <x:c r="R169" s="627"/>
      <x:c r="S169" s="627"/>
      <x:c r="BN169" s="624"/>
    </x:row>
    <x:row r="170" spans="1:66" x14ac:dyDescent="0.25">
      <x:c r="A170" s="625"/>
      <x:c r="F170" s="627"/>
      <x:c r="G170" s="627"/>
      <x:c r="H170" s="627"/>
      <x:c r="I170" s="627"/>
      <x:c r="J170" s="627"/>
      <x:c r="K170" s="627"/>
      <x:c r="L170" s="627"/>
      <x:c r="M170" s="627"/>
      <x:c r="N170" s="627"/>
      <x:c r="O170" s="627"/>
      <x:c r="P170" s="627"/>
      <x:c r="Q170" s="627"/>
      <x:c r="R170" s="627"/>
      <x:c r="S170" s="627"/>
      <x:c r="BN170" s="624"/>
    </x:row>
    <x:row r="171" spans="1:66" x14ac:dyDescent="0.25">
      <x:c r="A171" s="625"/>
      <x:c r="F171" s="627"/>
      <x:c r="G171" s="627"/>
      <x:c r="H171" s="627"/>
      <x:c r="I171" s="627"/>
      <x:c r="J171" s="627"/>
      <x:c r="K171" s="627"/>
      <x:c r="L171" s="627"/>
      <x:c r="M171" s="627"/>
      <x:c r="N171" s="627"/>
      <x:c r="O171" s="627"/>
      <x:c r="P171" s="627"/>
      <x:c r="Q171" s="627"/>
      <x:c r="R171" s="627"/>
      <x:c r="S171" s="627"/>
      <x:c r="BN171" s="624"/>
    </x:row>
    <x:row r="172" spans="1:66" x14ac:dyDescent="0.25">
      <x:c r="A172" s="625"/>
      <x:c r="F172" s="627"/>
      <x:c r="G172" s="627"/>
      <x:c r="H172" s="627"/>
      <x:c r="I172" s="627"/>
      <x:c r="J172" s="627"/>
      <x:c r="K172" s="627"/>
      <x:c r="L172" s="627"/>
      <x:c r="M172" s="627"/>
      <x:c r="N172" s="627"/>
      <x:c r="O172" s="627"/>
      <x:c r="P172" s="627"/>
      <x:c r="Q172" s="627"/>
      <x:c r="R172" s="627"/>
      <x:c r="S172" s="627"/>
      <x:c r="BN172" s="624"/>
    </x:row>
    <x:row r="173" spans="1:66" x14ac:dyDescent="0.25">
      <x:c r="A173" s="625"/>
      <x:c r="F173" s="627"/>
      <x:c r="G173" s="627"/>
      <x:c r="H173" s="627"/>
      <x:c r="I173" s="627"/>
      <x:c r="J173" s="627"/>
      <x:c r="K173" s="627"/>
      <x:c r="L173" s="627"/>
      <x:c r="M173" s="627"/>
      <x:c r="N173" s="627"/>
      <x:c r="O173" s="627"/>
      <x:c r="P173" s="627"/>
      <x:c r="Q173" s="627"/>
      <x:c r="R173" s="627"/>
      <x:c r="S173" s="627"/>
      <x:c r="BN173" s="624"/>
    </x:row>
    <x:row r="174" spans="1:66" x14ac:dyDescent="0.25">
      <x:c r="A174" s="625"/>
      <x:c r="F174" s="627"/>
      <x:c r="G174" s="627"/>
      <x:c r="H174" s="627"/>
      <x:c r="I174" s="627"/>
      <x:c r="J174" s="627"/>
      <x:c r="K174" s="627"/>
      <x:c r="L174" s="627"/>
      <x:c r="M174" s="627"/>
      <x:c r="N174" s="627"/>
      <x:c r="O174" s="627"/>
      <x:c r="P174" s="627"/>
      <x:c r="Q174" s="627"/>
      <x:c r="R174" s="627"/>
      <x:c r="S174" s="627"/>
      <x:c r="BN174" s="624"/>
    </x:row>
    <x:row r="175" spans="1:66" x14ac:dyDescent="0.25">
      <x:c r="A175" s="625"/>
      <x:c r="F175" s="627"/>
      <x:c r="G175" s="627"/>
      <x:c r="H175" s="627"/>
      <x:c r="I175" s="627"/>
      <x:c r="J175" s="627"/>
      <x:c r="K175" s="627"/>
      <x:c r="L175" s="627"/>
      <x:c r="M175" s="627"/>
      <x:c r="N175" s="627"/>
      <x:c r="O175" s="627"/>
      <x:c r="P175" s="627"/>
      <x:c r="Q175" s="627"/>
      <x:c r="R175" s="627"/>
      <x:c r="S175" s="627"/>
      <x:c r="BN175" s="624"/>
    </x:row>
    <x:row r="176" spans="1:66" x14ac:dyDescent="0.25">
      <x:c r="C176" s="773" t="s">
        <x:v>2</x:v>
      </x:c>
      <x:c r="D176" s="770" t="s">
        <x:v>132</x:v>
      </x:c>
      <x:c r="E176" s="639" t="s">
        <x:v>70</x:v>
      </x:c>
      <x:c r="F176" s="640">
        <x:f>F113+F130-L113+F90-L90</x:f>
        <x:v>0</x:v>
      </x:c>
      <x:c r="G176" s="640">
        <x:f>G113+G90</x:f>
        <x:v>0</x:v>
      </x:c>
      <x:c r="H176" s="640">
        <x:f t="shared" ref="H176:AP176" si="6">H125+H87</x:f>
        <x:v>0</x:v>
      </x:c>
      <x:c r="I176" s="640">
        <x:f t="shared" si="6"/>
        <x:v>0</x:v>
      </x:c>
      <x:c r="J176" s="640">
        <x:f t="shared" si="6"/>
        <x:v>0</x:v>
      </x:c>
      <x:c r="K176" s="640">
        <x:f t="shared" si="6"/>
        <x:v>0</x:v>
      </x:c>
      <x:c r="L176" s="640">
        <x:f t="shared" si="6"/>
        <x:v>0</x:v>
      </x:c>
      <x:c r="M176" s="640">
        <x:f t="shared" si="6"/>
        <x:v>0</x:v>
      </x:c>
      <x:c r="N176" s="640">
        <x:f t="shared" si="6"/>
        <x:v>0</x:v>
      </x:c>
      <x:c r="O176" s="640">
        <x:f t="shared" si="6"/>
        <x:v>0</x:v>
      </x:c>
      <x:c r="P176" s="640">
        <x:f t="shared" si="6"/>
        <x:v>0</x:v>
      </x:c>
      <x:c r="Q176" s="640">
        <x:f t="shared" si="6"/>
        <x:v>0</x:v>
      </x:c>
      <x:c r="R176" s="640">
        <x:f t="shared" si="6"/>
        <x:v>0</x:v>
      </x:c>
      <x:c r="S176" s="640">
        <x:f t="shared" si="6"/>
        <x:v>0</x:v>
      </x:c>
      <x:c r="T176" s="640">
        <x:f t="shared" si="6"/>
        <x:v>0</x:v>
      </x:c>
      <x:c r="U176" s="640">
        <x:f t="shared" si="6"/>
        <x:v>0</x:v>
      </x:c>
      <x:c r="V176" s="640">
        <x:f t="shared" si="6"/>
        <x:v>0</x:v>
      </x:c>
      <x:c r="W176" s="640">
        <x:f t="shared" si="6"/>
        <x:v>0</x:v>
      </x:c>
      <x:c r="X176" s="640">
        <x:f t="shared" si="6"/>
        <x:v>0</x:v>
      </x:c>
      <x:c r="Y176" s="640">
        <x:f t="shared" si="6"/>
        <x:v>0</x:v>
      </x:c>
      <x:c r="Z176" s="640">
        <x:f t="shared" si="6"/>
        <x:v>0</x:v>
      </x:c>
      <x:c r="AA176" s="640">
        <x:f t="shared" si="6"/>
        <x:v>0</x:v>
      </x:c>
      <x:c r="AB176" s="640">
        <x:f t="shared" si="6"/>
        <x:v>0</x:v>
      </x:c>
      <x:c r="AC176" s="640">
        <x:f t="shared" si="6"/>
        <x:v>0</x:v>
      </x:c>
      <x:c r="AD176" s="640">
        <x:f t="shared" si="6"/>
        <x:v>0</x:v>
      </x:c>
      <x:c r="AE176" s="640">
        <x:f t="shared" si="6"/>
        <x:v>0</x:v>
      </x:c>
      <x:c r="AF176" s="640">
        <x:f t="shared" si="6"/>
        <x:v>0</x:v>
      </x:c>
      <x:c r="AG176" s="640">
        <x:f t="shared" si="6"/>
        <x:v>0</x:v>
      </x:c>
      <x:c r="AH176" s="640">
        <x:f t="shared" si="6"/>
        <x:v>0</x:v>
      </x:c>
      <x:c r="AI176" s="640">
        <x:f t="shared" si="6"/>
        <x:v>0</x:v>
      </x:c>
      <x:c r="AJ176" s="640">
        <x:f t="shared" si="6"/>
        <x:v>0</x:v>
      </x:c>
      <x:c r="AK176" s="640">
        <x:f t="shared" si="6"/>
        <x:v>0</x:v>
      </x:c>
      <x:c r="AL176" s="640">
        <x:f t="shared" si="6"/>
        <x:v>0</x:v>
      </x:c>
      <x:c r="AM176" s="640">
        <x:f t="shared" si="6"/>
        <x:v>0</x:v>
      </x:c>
      <x:c r="AN176" s="640">
        <x:f t="shared" si="6"/>
        <x:v>0</x:v>
      </x:c>
      <x:c r="AO176" s="640">
        <x:f t="shared" si="6"/>
        <x:v>0</x:v>
      </x:c>
      <x:c r="AP176" s="640">
        <x:f t="shared" si="6"/>
        <x:v>0</x:v>
      </x:c>
      <x:c r="BN176" s="624"/>
    </x:row>
    <x:row r="177" spans="1:66" x14ac:dyDescent="0.25">
      <x:c r="C177" s="773"/>
      <x:c r="D177" s="770"/>
      <x:c r="E177" s="639" t="s">
        <x:v>73</x:v>
      </x:c>
      <x:c r="F177" s="640">
        <x:f>F132</x:f>
        <x:v>0</x:v>
      </x:c>
      <x:c r="G177" s="627"/>
      <x:c r="H177" s="627"/>
      <x:c r="I177" s="627"/>
      <x:c r="J177" s="627"/>
      <x:c r="K177" s="627"/>
      <x:c r="L177" s="627"/>
      <x:c r="M177" s="627"/>
      <x:c r="N177" s="627"/>
      <x:c r="O177" s="627"/>
      <x:c r="P177" s="627"/>
      <x:c r="Q177" s="627"/>
      <x:c r="R177" s="627"/>
      <x:c r="S177" s="627"/>
      <x:c r="BN177" s="624"/>
    </x:row>
    <x:row r="178" spans="1:66" x14ac:dyDescent="0.25">
      <x:c r="C178" s="773"/>
      <x:c r="D178" s="770" t="s">
        <x:v>133</x:v>
      </x:c>
      <x:c r="E178" s="645" t="s">
        <x:v>70</x:v>
      </x:c>
      <x:c r="F178" s="646">
        <x:v>0</x:v>
      </x:c>
      <x:c r="G178" s="646">
        <x:f>G100</x:f>
        <x:v>0</x:v>
      </x:c>
      <x:c r="H178" s="646">
        <x:f t="shared" ref="H178:AP178" si="7">H100</x:f>
        <x:v>0</x:v>
      </x:c>
      <x:c r="I178" s="646">
        <x:f t="shared" si="7"/>
        <x:v>0</x:v>
      </x:c>
      <x:c r="J178" s="646">
        <x:f t="shared" si="7"/>
        <x:v>0</x:v>
      </x:c>
      <x:c r="K178" s="646">
        <x:f t="shared" si="7"/>
        <x:v>0</x:v>
      </x:c>
      <x:c r="L178" s="646">
        <x:f t="shared" si="7"/>
        <x:v>0</x:v>
      </x:c>
      <x:c r="M178" s="646">
        <x:f t="shared" si="7"/>
        <x:v>0</x:v>
      </x:c>
      <x:c r="N178" s="646">
        <x:f t="shared" si="7"/>
        <x:v>0</x:v>
      </x:c>
      <x:c r="O178" s="646">
        <x:f t="shared" si="7"/>
        <x:v>0</x:v>
      </x:c>
      <x:c r="P178" s="646">
        <x:f t="shared" si="7"/>
        <x:v>0</x:v>
      </x:c>
      <x:c r="Q178" s="646">
        <x:f t="shared" si="7"/>
        <x:v>0</x:v>
      </x:c>
      <x:c r="R178" s="646">
        <x:f t="shared" si="7"/>
        <x:v>0</x:v>
      </x:c>
      <x:c r="S178" s="646">
        <x:f t="shared" si="7"/>
        <x:v>0</x:v>
      </x:c>
      <x:c r="T178" s="646">
        <x:f t="shared" si="7"/>
        <x:v>0</x:v>
      </x:c>
      <x:c r="U178" s="646">
        <x:f t="shared" si="7"/>
        <x:v>0</x:v>
      </x:c>
      <x:c r="V178" s="646">
        <x:f t="shared" si="7"/>
        <x:v>0</x:v>
      </x:c>
      <x:c r="W178" s="646">
        <x:f t="shared" si="7"/>
        <x:v>0</x:v>
      </x:c>
      <x:c r="X178" s="646">
        <x:f t="shared" si="7"/>
        <x:v>0</x:v>
      </x:c>
      <x:c r="Y178" s="646">
        <x:f t="shared" si="7"/>
        <x:v>0</x:v>
      </x:c>
      <x:c r="Z178" s="646">
        <x:f t="shared" si="7"/>
        <x:v>0</x:v>
      </x:c>
      <x:c r="AA178" s="646">
        <x:f t="shared" si="7"/>
        <x:v>0</x:v>
      </x:c>
      <x:c r="AB178" s="646">
        <x:f t="shared" si="7"/>
        <x:v>0</x:v>
      </x:c>
      <x:c r="AC178" s="646">
        <x:f t="shared" si="7"/>
        <x:v>0</x:v>
      </x:c>
      <x:c r="AD178" s="646">
        <x:f t="shared" si="7"/>
        <x:v>0</x:v>
      </x:c>
      <x:c r="AE178" s="646">
        <x:f t="shared" si="7"/>
        <x:v>0</x:v>
      </x:c>
      <x:c r="AF178" s="646">
        <x:f t="shared" si="7"/>
        <x:v>0</x:v>
      </x:c>
      <x:c r="AG178" s="646">
        <x:f t="shared" si="7"/>
        <x:v>0</x:v>
      </x:c>
      <x:c r="AH178" s="646">
        <x:f t="shared" si="7"/>
        <x:v>0</x:v>
      </x:c>
      <x:c r="AI178" s="646">
        <x:f t="shared" si="7"/>
        <x:v>0</x:v>
      </x:c>
      <x:c r="AJ178" s="646">
        <x:f t="shared" si="7"/>
        <x:v>0</x:v>
      </x:c>
      <x:c r="AK178" s="646">
        <x:f t="shared" si="7"/>
        <x:v>0</x:v>
      </x:c>
      <x:c r="AL178" s="646">
        <x:f t="shared" si="7"/>
        <x:v>0</x:v>
      </x:c>
      <x:c r="AM178" s="646">
        <x:f t="shared" si="7"/>
        <x:v>0</x:v>
      </x:c>
      <x:c r="AN178" s="646">
        <x:f t="shared" si="7"/>
        <x:v>0</x:v>
      </x:c>
      <x:c r="AO178" s="646">
        <x:f t="shared" si="7"/>
        <x:v>0</x:v>
      </x:c>
      <x:c r="AP178" s="646">
        <x:f t="shared" si="7"/>
        <x:v>0</x:v>
      </x:c>
      <x:c r="BN178" s="624"/>
    </x:row>
    <x:row r="179" spans="1:66" x14ac:dyDescent="0.25">
      <x:c r="C179" s="773"/>
      <x:c r="D179" s="770"/>
      <x:c r="E179" s="645" t="s">
        <x:v>73</x:v>
      </x:c>
      <x:c r="F179" s="646">
        <x:f>F132</x:f>
        <x:v>0</x:v>
      </x:c>
      <x:c r="G179" s="627"/>
      <x:c r="H179" s="627"/>
      <x:c r="I179" s="627"/>
      <x:c r="J179" s="627"/>
      <x:c r="K179" s="627"/>
      <x:c r="L179" s="627"/>
      <x:c r="M179" s="627"/>
      <x:c r="N179" s="627"/>
      <x:c r="O179" s="627"/>
      <x:c r="P179" s="627"/>
      <x:c r="Q179" s="627"/>
      <x:c r="R179" s="627"/>
      <x:c r="BN179" s="624"/>
    </x:row>
    <x:row r="180" spans="1:66" x14ac:dyDescent="0.25">
      <x:c r="A180" s="625"/>
      <x:c r="C180" s="50"/>
      <x:c r="F180" s="627"/>
      <x:c r="G180" s="627"/>
      <x:c r="H180" s="627"/>
      <x:c r="I180" s="627"/>
      <x:c r="J180" s="627"/>
      <x:c r="K180" s="627"/>
      <x:c r="L180" s="627"/>
      <x:c r="M180" s="627"/>
      <x:c r="N180" s="627"/>
      <x:c r="O180" s="627"/>
      <x:c r="P180" s="627"/>
      <x:c r="Q180" s="627"/>
      <x:c r="R180" s="627"/>
      <x:c r="S180" s="627"/>
      <x:c r="BN180" s="624"/>
    </x:row>
    <x:row r="181" spans="1:66" x14ac:dyDescent="0.25">
      <x:c r="C181" s="773" t="s">
        <x:v>160</x:v>
      </x:c>
      <x:c r="D181" s="770" t="s">
        <x:v>132</x:v>
      </x:c>
      <x:c r="E181" s="647" t="s">
        <x:v>70</x:v>
      </x:c>
      <x:c r="F181" s="648">
        <x:f>F132+F114-L114</x:f>
        <x:v>0</x:v>
      </x:c>
      <x:c r="G181" s="648">
        <x:f>G114</x:f>
        <x:v>0</x:v>
      </x:c>
      <x:c r="H181" s="648">
        <x:f t="shared" ref="H181:AP181" si="8">H114</x:f>
        <x:v>0</x:v>
      </x:c>
      <x:c r="I181" s="648">
        <x:f t="shared" si="8"/>
        <x:v>0</x:v>
      </x:c>
      <x:c r="J181" s="648">
        <x:f t="shared" si="8"/>
        <x:v>0</x:v>
      </x:c>
      <x:c r="K181" s="648">
        <x:f t="shared" si="8"/>
        <x:v>0</x:v>
      </x:c>
      <x:c r="L181" s="648">
        <x:f t="shared" si="8"/>
        <x:v>0</x:v>
      </x:c>
      <x:c r="M181" s="648">
        <x:f t="shared" si="8"/>
        <x:v>0</x:v>
      </x:c>
      <x:c r="N181" s="648">
        <x:f t="shared" si="8"/>
        <x:v>0</x:v>
      </x:c>
      <x:c r="O181" s="648">
        <x:f t="shared" si="8"/>
        <x:v>0</x:v>
      </x:c>
      <x:c r="P181" s="648">
        <x:f t="shared" si="8"/>
        <x:v>0</x:v>
      </x:c>
      <x:c r="Q181" s="648">
        <x:f t="shared" si="8"/>
        <x:v>0</x:v>
      </x:c>
      <x:c r="R181" s="648">
        <x:f t="shared" si="8"/>
        <x:v>0</x:v>
      </x:c>
      <x:c r="S181" s="648">
        <x:f t="shared" si="8"/>
        <x:v>0</x:v>
      </x:c>
      <x:c r="T181" s="648">
        <x:f t="shared" si="8"/>
        <x:v>0</x:v>
      </x:c>
      <x:c r="U181" s="648">
        <x:f t="shared" si="8"/>
        <x:v>0</x:v>
      </x:c>
      <x:c r="V181" s="648">
        <x:f t="shared" si="8"/>
        <x:v>0</x:v>
      </x:c>
      <x:c r="W181" s="648">
        <x:f t="shared" si="8"/>
        <x:v>0</x:v>
      </x:c>
      <x:c r="X181" s="648">
        <x:f t="shared" si="8"/>
        <x:v>0</x:v>
      </x:c>
      <x:c r="Y181" s="648">
        <x:f t="shared" si="8"/>
        <x:v>0</x:v>
      </x:c>
      <x:c r="Z181" s="648">
        <x:f t="shared" si="8"/>
        <x:v>0</x:v>
      </x:c>
      <x:c r="AA181" s="648">
        <x:f t="shared" si="8"/>
        <x:v>0</x:v>
      </x:c>
      <x:c r="AB181" s="648">
        <x:f t="shared" si="8"/>
        <x:v>0</x:v>
      </x:c>
      <x:c r="AC181" s="648">
        <x:f t="shared" si="8"/>
        <x:v>0</x:v>
      </x:c>
      <x:c r="AD181" s="648">
        <x:f t="shared" si="8"/>
        <x:v>0</x:v>
      </x:c>
      <x:c r="AE181" s="648">
        <x:f t="shared" si="8"/>
        <x:v>0</x:v>
      </x:c>
      <x:c r="AF181" s="648">
        <x:f t="shared" si="8"/>
        <x:v>0</x:v>
      </x:c>
      <x:c r="AG181" s="648">
        <x:f t="shared" si="8"/>
        <x:v>0</x:v>
      </x:c>
      <x:c r="AH181" s="648">
        <x:f t="shared" si="8"/>
        <x:v>0</x:v>
      </x:c>
      <x:c r="AI181" s="648">
        <x:f t="shared" si="8"/>
        <x:v>0</x:v>
      </x:c>
      <x:c r="AJ181" s="648">
        <x:f t="shared" si="8"/>
        <x:v>0</x:v>
      </x:c>
      <x:c r="AK181" s="648">
        <x:f t="shared" si="8"/>
        <x:v>0</x:v>
      </x:c>
      <x:c r="AL181" s="648">
        <x:f t="shared" si="8"/>
        <x:v>0</x:v>
      </x:c>
      <x:c r="AM181" s="648">
        <x:f t="shared" si="8"/>
        <x:v>0</x:v>
      </x:c>
      <x:c r="AN181" s="648">
        <x:f t="shared" si="8"/>
        <x:v>0</x:v>
      </x:c>
      <x:c r="AO181" s="648">
        <x:f t="shared" si="8"/>
        <x:v>0</x:v>
      </x:c>
      <x:c r="AP181" s="648">
        <x:f t="shared" si="8"/>
        <x:v>0</x:v>
      </x:c>
      <x:c r="BN181" s="624"/>
    </x:row>
    <x:row r="182" spans="1:66" x14ac:dyDescent="0.25">
      <x:c r="C182" s="773"/>
      <x:c r="D182" s="770"/>
      <x:c r="E182" s="647" t="s">
        <x:v>73</x:v>
      </x:c>
      <x:c r="F182" s="648">
        <x:f>F132</x:f>
        <x:v>0</x:v>
      </x:c>
      <x:c r="G182" s="627"/>
      <x:c r="H182" s="627"/>
      <x:c r="I182" s="627"/>
      <x:c r="J182" s="627"/>
      <x:c r="K182" s="627"/>
      <x:c r="L182" s="627"/>
      <x:c r="M182" s="627"/>
      <x:c r="N182" s="627"/>
      <x:c r="O182" s="627"/>
      <x:c r="P182" s="627"/>
      <x:c r="Q182" s="627"/>
      <x:c r="R182" s="627"/>
      <x:c r="S182" s="627"/>
      <x:c r="BN182" s="624"/>
    </x:row>
    <x:row r="183" spans="1:66" x14ac:dyDescent="0.25">
      <x:c r="C183" s="773"/>
      <x:c r="D183" s="770" t="s">
        <x:v>133</x:v>
      </x:c>
      <x:c r="E183" s="649" t="s">
        <x:v>70</x:v>
      </x:c>
      <x:c r="F183" s="650">
        <x:v>0</x:v>
      </x:c>
      <x:c r="G183" s="650">
        <x:v>0</x:v>
      </x:c>
      <x:c r="H183" s="650">
        <x:v>0</x:v>
      </x:c>
      <x:c r="I183" s="650">
        <x:v>0</x:v>
      </x:c>
      <x:c r="J183" s="650">
        <x:v>0</x:v>
      </x:c>
      <x:c r="K183" s="650">
        <x:v>0</x:v>
      </x:c>
      <x:c r="L183" s="650">
        <x:v>0</x:v>
      </x:c>
      <x:c r="M183" s="650">
        <x:v>0</x:v>
      </x:c>
      <x:c r="N183" s="650">
        <x:v>0</x:v>
      </x:c>
      <x:c r="O183" s="650">
        <x:v>0</x:v>
      </x:c>
      <x:c r="P183" s="650">
        <x:v>0</x:v>
      </x:c>
      <x:c r="Q183" s="650">
        <x:v>0</x:v>
      </x:c>
      <x:c r="R183" s="650">
        <x:v>0</x:v>
      </x:c>
      <x:c r="S183" s="650">
        <x:v>0</x:v>
      </x:c>
      <x:c r="T183" s="650">
        <x:v>0</x:v>
      </x:c>
      <x:c r="U183" s="650">
        <x:v>0</x:v>
      </x:c>
      <x:c r="V183" s="650">
        <x:v>0</x:v>
      </x:c>
      <x:c r="W183" s="650">
        <x:v>0</x:v>
      </x:c>
      <x:c r="X183" s="650">
        <x:v>0</x:v>
      </x:c>
      <x:c r="Y183" s="650">
        <x:v>0</x:v>
      </x:c>
      <x:c r="Z183" s="650">
        <x:v>0</x:v>
      </x:c>
      <x:c r="AA183" s="650">
        <x:v>0</x:v>
      </x:c>
      <x:c r="AB183" s="650">
        <x:v>0</x:v>
      </x:c>
      <x:c r="AC183" s="650">
        <x:v>0</x:v>
      </x:c>
      <x:c r="AD183" s="650">
        <x:v>0</x:v>
      </x:c>
      <x:c r="AE183" s="650">
        <x:v>0</x:v>
      </x:c>
      <x:c r="AF183" s="650">
        <x:v>0</x:v>
      </x:c>
      <x:c r="AG183" s="650">
        <x:v>0</x:v>
      </x:c>
      <x:c r="AH183" s="650">
        <x:v>0</x:v>
      </x:c>
      <x:c r="AI183" s="650">
        <x:v>0</x:v>
      </x:c>
      <x:c r="AJ183" s="650">
        <x:v>0</x:v>
      </x:c>
      <x:c r="AK183" s="650">
        <x:v>0</x:v>
      </x:c>
      <x:c r="AL183" s="650">
        <x:v>0</x:v>
      </x:c>
      <x:c r="AM183" s="650">
        <x:v>0</x:v>
      </x:c>
      <x:c r="AN183" s="650">
        <x:v>0</x:v>
      </x:c>
      <x:c r="AO183" s="650">
        <x:v>0</x:v>
      </x:c>
      <x:c r="AP183" s="650">
        <x:v>0</x:v>
      </x:c>
      <x:c r="BN183" s="624"/>
    </x:row>
    <x:row r="184" spans="1:66" x14ac:dyDescent="0.25">
      <x:c r="C184" s="773"/>
      <x:c r="D184" s="770"/>
      <x:c r="E184" s="649" t="s">
        <x:v>73</x:v>
      </x:c>
      <x:c r="F184" s="650">
        <x:v>0</x:v>
      </x:c>
      <x:c r="G184" s="627"/>
      <x:c r="H184" s="627"/>
      <x:c r="I184" s="627"/>
      <x:c r="J184" s="627"/>
      <x:c r="K184" s="627"/>
      <x:c r="L184" s="627"/>
      <x:c r="M184" s="627"/>
      <x:c r="N184" s="627"/>
      <x:c r="O184" s="627"/>
      <x:c r="P184" s="627"/>
      <x:c r="Q184" s="627"/>
      <x:c r="R184" s="627"/>
      <x:c r="BN184" s="624"/>
    </x:row>
    <x:row r="185" spans="1:66" x14ac:dyDescent="0.25">
      <x:c r="A185" s="625"/>
      <x:c r="C185" s="50"/>
      <x:c r="F185" s="627"/>
      <x:c r="G185" s="627"/>
      <x:c r="H185" s="627"/>
      <x:c r="I185" s="627"/>
      <x:c r="J185" s="627"/>
      <x:c r="K185" s="627"/>
      <x:c r="L185" s="627"/>
      <x:c r="M185" s="627"/>
      <x:c r="N185" s="627"/>
      <x:c r="O185" s="627"/>
      <x:c r="P185" s="627"/>
      <x:c r="Q185" s="627"/>
      <x:c r="R185" s="627"/>
      <x:c r="S185" s="627"/>
      <x:c r="BN185" s="624"/>
    </x:row>
    <x:row r="186" spans="1:66" x14ac:dyDescent="0.25">
      <x:c r="C186" s="773" t="s">
        <x:v>155</x:v>
      </x:c>
      <x:c r="D186" s="770" t="s">
        <x:v>132</x:v>
      </x:c>
      <x:c r="E186" s="651" t="s">
        <x:v>70</x:v>
      </x:c>
      <x:c r="F186" s="652">
        <x:f>F132+F104+F83--L83-L104</x:f>
        <x:v>0</x:v>
      </x:c>
      <x:c r="G186" s="652">
        <x:f t="shared" ref="G186:AA186" si="9">G104+G83</x:f>
        <x:v>0</x:v>
      </x:c>
      <x:c r="H186" s="652">
        <x:f t="shared" si="9"/>
        <x:v>0</x:v>
      </x:c>
      <x:c r="I186" s="652">
        <x:f t="shared" si="9"/>
        <x:v>0</x:v>
      </x:c>
      <x:c r="J186" s="652">
        <x:f t="shared" si="9"/>
        <x:v>0</x:v>
      </x:c>
      <x:c r="K186" s="652">
        <x:f t="shared" si="9"/>
        <x:v>0</x:v>
      </x:c>
      <x:c r="L186" s="652">
        <x:f t="shared" si="9"/>
        <x:v>0</x:v>
      </x:c>
      <x:c r="M186" s="652">
        <x:f t="shared" si="9"/>
        <x:v>0</x:v>
      </x:c>
      <x:c r="N186" s="652">
        <x:f t="shared" si="9"/>
        <x:v>0</x:v>
      </x:c>
      <x:c r="O186" s="652">
        <x:f t="shared" si="9"/>
        <x:v>0</x:v>
      </x:c>
      <x:c r="P186" s="652">
        <x:f t="shared" si="9"/>
        <x:v>0</x:v>
      </x:c>
      <x:c r="Q186" s="652">
        <x:f t="shared" si="9"/>
        <x:v>0</x:v>
      </x:c>
      <x:c r="R186" s="652">
        <x:f t="shared" si="9"/>
        <x:v>0</x:v>
      </x:c>
      <x:c r="S186" s="652">
        <x:f t="shared" si="9"/>
        <x:v>0</x:v>
      </x:c>
      <x:c r="T186" s="652">
        <x:f t="shared" si="9"/>
        <x:v>0</x:v>
      </x:c>
      <x:c r="U186" s="652">
        <x:f t="shared" si="9"/>
        <x:v>0</x:v>
      </x:c>
      <x:c r="V186" s="652">
        <x:f t="shared" si="9"/>
        <x:v>0</x:v>
      </x:c>
      <x:c r="W186" s="652">
        <x:f t="shared" si="9"/>
        <x:v>0</x:v>
      </x:c>
      <x:c r="X186" s="652">
        <x:f t="shared" si="9"/>
        <x:v>0</x:v>
      </x:c>
      <x:c r="Y186" s="652">
        <x:f t="shared" si="9"/>
        <x:v>0</x:v>
      </x:c>
      <x:c r="Z186" s="652">
        <x:f t="shared" si="9"/>
        <x:v>0</x:v>
      </x:c>
      <x:c r="AA186" s="652">
        <x:f t="shared" si="9"/>
        <x:v>0</x:v>
      </x:c>
      <x:c r="BN186" s="624"/>
    </x:row>
    <x:row r="187" spans="1:66" x14ac:dyDescent="0.25">
      <x:c r="C187" s="773"/>
      <x:c r="D187" s="770"/>
      <x:c r="E187" s="651" t="s">
        <x:v>73</x:v>
      </x:c>
      <x:c r="F187" s="652">
        <x:f>F132</x:f>
        <x:v>0</x:v>
      </x:c>
      <x:c r="G187" s="627"/>
      <x:c r="H187" s="627"/>
      <x:c r="I187" s="627"/>
      <x:c r="J187" s="627"/>
      <x:c r="K187" s="627"/>
      <x:c r="L187" s="627"/>
      <x:c r="M187" s="627"/>
      <x:c r="N187" s="627"/>
      <x:c r="O187" s="627"/>
      <x:c r="P187" s="627"/>
      <x:c r="Q187" s="627"/>
      <x:c r="R187" s="627"/>
      <x:c r="S187" s="627"/>
      <x:c r="BN187" s="624"/>
    </x:row>
    <x:row r="188" spans="1:66" x14ac:dyDescent="0.25">
      <x:c r="C188" s="773"/>
      <x:c r="D188" s="770" t="s">
        <x:v>133</x:v>
      </x:c>
      <x:c r="E188" s="629" t="s">
        <x:v>70</x:v>
      </x:c>
      <x:c r="F188" s="630">
        <x:f>F129+F92-L92</x:f>
        <x:v>0</x:v>
      </x:c>
      <x:c r="G188" s="630">
        <x:f>G92</x:f>
        <x:v>0</x:v>
      </x:c>
      <x:c r="H188" s="630">
        <x:f t="shared" ref="H188:AA188" si="10">H92</x:f>
        <x:v>0</x:v>
      </x:c>
      <x:c r="I188" s="630">
        <x:f t="shared" si="10"/>
        <x:v>0</x:v>
      </x:c>
      <x:c r="J188" s="630">
        <x:f t="shared" si="10"/>
        <x:v>0</x:v>
      </x:c>
      <x:c r="K188" s="630">
        <x:f t="shared" si="10"/>
        <x:v>0</x:v>
      </x:c>
      <x:c r="L188" s="630">
        <x:f t="shared" si="10"/>
        <x:v>0</x:v>
      </x:c>
      <x:c r="M188" s="630">
        <x:f t="shared" si="10"/>
        <x:v>0</x:v>
      </x:c>
      <x:c r="N188" s="630">
        <x:f t="shared" si="10"/>
        <x:v>0</x:v>
      </x:c>
      <x:c r="O188" s="630">
        <x:f t="shared" si="10"/>
        <x:v>0</x:v>
      </x:c>
      <x:c r="P188" s="630">
        <x:f t="shared" si="10"/>
        <x:v>0</x:v>
      </x:c>
      <x:c r="Q188" s="630">
        <x:f t="shared" si="10"/>
        <x:v>0</x:v>
      </x:c>
      <x:c r="R188" s="630">
        <x:f t="shared" si="10"/>
        <x:v>0</x:v>
      </x:c>
      <x:c r="S188" s="630">
        <x:f t="shared" si="10"/>
        <x:v>0</x:v>
      </x:c>
      <x:c r="T188" s="630">
        <x:f t="shared" si="10"/>
        <x:v>0</x:v>
      </x:c>
      <x:c r="U188" s="630">
        <x:f t="shared" si="10"/>
        <x:v>0</x:v>
      </x:c>
      <x:c r="V188" s="630">
        <x:f t="shared" si="10"/>
        <x:v>0</x:v>
      </x:c>
      <x:c r="W188" s="630">
        <x:f t="shared" si="10"/>
        <x:v>0</x:v>
      </x:c>
      <x:c r="X188" s="630">
        <x:f t="shared" si="10"/>
        <x:v>0</x:v>
      </x:c>
      <x:c r="Y188" s="630">
        <x:f t="shared" si="10"/>
        <x:v>0</x:v>
      </x:c>
      <x:c r="Z188" s="630">
        <x:f t="shared" si="10"/>
        <x:v>0</x:v>
      </x:c>
      <x:c r="AA188" s="630">
        <x:f t="shared" si="10"/>
        <x:v>0</x:v>
      </x:c>
      <x:c r="BN188" s="624"/>
    </x:row>
    <x:row r="189" spans="1:66" x14ac:dyDescent="0.25">
      <x:c r="C189" s="773"/>
      <x:c r="D189" s="770"/>
      <x:c r="E189" s="629" t="s">
        <x:v>73</x:v>
      </x:c>
      <x:c r="F189" s="630">
        <x:f>F129</x:f>
        <x:v>0</x:v>
      </x:c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R189" s="627"/>
      <x:c r="BN189" s="624"/>
    </x:row>
    <x:row r="190" spans="1:66" x14ac:dyDescent="0.25">
      <x:c r="A190" s="625"/>
      <x:c r="C190" s="50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R190" s="627"/>
      <x:c r="S190" s="627"/>
      <x:c r="BN190" s="624"/>
    </x:row>
    <x:row r="191" spans="1:66" x14ac:dyDescent="0.25">
      <x:c r="C191" s="771" t="s">
        <x:v>326</x:v>
      </x:c>
      <x:c r="D191" s="770" t="s">
        <x:v>132</x:v>
      </x:c>
      <x:c r="E191" s="654" t="s">
        <x:v>70</x:v>
      </x:c>
      <x:c r="F191" s="655">
        <x:v>0</x:v>
      </x:c>
      <x:c r="G191" s="655">
        <x:v>0</x:v>
      </x:c>
      <x:c r="H191" s="655">
        <x:v>0</x:v>
      </x:c>
      <x:c r="I191" s="655">
        <x:v>0</x:v>
      </x:c>
      <x:c r="J191" s="655">
        <x:v>0</x:v>
      </x:c>
      <x:c r="K191" s="655">
        <x:v>0</x:v>
      </x:c>
      <x:c r="L191" s="655">
        <x:v>0</x:v>
      </x:c>
      <x:c r="M191" s="655">
        <x:v>0</x:v>
      </x:c>
      <x:c r="N191" s="655">
        <x:v>0</x:v>
      </x:c>
      <x:c r="O191" s="655">
        <x:v>0</x:v>
      </x:c>
      <x:c r="P191" s="655">
        <x:v>0</x:v>
      </x:c>
      <x:c r="Q191" s="655">
        <x:v>0</x:v>
      </x:c>
      <x:c r="R191" s="655">
        <x:v>0</x:v>
      </x:c>
      <x:c r="S191" s="655">
        <x:v>0</x:v>
      </x:c>
      <x:c r="T191" s="655">
        <x:v>0</x:v>
      </x:c>
      <x:c r="U191" s="655">
        <x:v>0</x:v>
      </x:c>
      <x:c r="V191" s="655">
        <x:v>0</x:v>
      </x:c>
      <x:c r="W191" s="655">
        <x:v>0</x:v>
      </x:c>
      <x:c r="X191" s="655">
        <x:v>0</x:v>
      </x:c>
      <x:c r="Y191" s="655">
        <x:v>0</x:v>
      </x:c>
      <x:c r="Z191" s="655">
        <x:v>0</x:v>
      </x:c>
      <x:c r="AA191" s="655">
        <x:v>0</x:v>
      </x:c>
      <x:c r="AB191" s="655">
        <x:v>0</x:v>
      </x:c>
      <x:c r="AC191" s="655">
        <x:v>0</x:v>
      </x:c>
      <x:c r="AD191" s="655">
        <x:v>0</x:v>
      </x:c>
      <x:c r="AE191" s="655">
        <x:v>0</x:v>
      </x:c>
      <x:c r="AF191" s="655">
        <x:v>0</x:v>
      </x:c>
      <x:c r="AG191" s="655">
        <x:v>0</x:v>
      </x:c>
      <x:c r="AH191" s="655">
        <x:v>0</x:v>
      </x:c>
      <x:c r="AI191" s="655">
        <x:v>0</x:v>
      </x:c>
      <x:c r="AJ191" s="655">
        <x:v>0</x:v>
      </x:c>
      <x:c r="AK191" s="655">
        <x:v>0</x:v>
      </x:c>
      <x:c r="AL191" s="655">
        <x:v>0</x:v>
      </x:c>
      <x:c r="AM191" s="655">
        <x:v>0</x:v>
      </x:c>
      <x:c r="AN191" s="655">
        <x:v>0</x:v>
      </x:c>
      <x:c r="AO191" s="655">
        <x:v>0</x:v>
      </x:c>
      <x:c r="BN191" s="624"/>
    </x:row>
    <x:row r="192" spans="1:66" x14ac:dyDescent="0.25">
      <x:c r="C192" s="771"/>
      <x:c r="D192" s="770"/>
      <x:c r="E192" s="654" t="s">
        <x:v>73</x:v>
      </x:c>
      <x:c r="F192" s="655">
        <x:v>0</x:v>
      </x:c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R192" s="627"/>
      <x:c r="S192" s="627"/>
      <x:c r="BN192" s="624"/>
    </x:row>
    <x:row r="193" spans="1:66" x14ac:dyDescent="0.25">
      <x:c r="C193" s="771"/>
      <x:c r="D193" s="770" t="s">
        <x:v>133</x:v>
      </x:c>
      <x:c r="E193" s="656" t="s">
        <x:v>70</x:v>
      </x:c>
      <x:c r="F193" s="657">
        <x:v>0</x:v>
      </x:c>
      <x:c r="G193" s="657">
        <x:v>0</x:v>
      </x:c>
      <x:c r="H193" s="657">
        <x:v>0</x:v>
      </x:c>
      <x:c r="I193" s="657">
        <x:v>0</x:v>
      </x:c>
      <x:c r="J193" s="657">
        <x:v>0</x:v>
      </x:c>
      <x:c r="K193" s="657">
        <x:v>0</x:v>
      </x:c>
      <x:c r="L193" s="657">
        <x:v>0</x:v>
      </x:c>
      <x:c r="M193" s="657">
        <x:v>0</x:v>
      </x:c>
      <x:c r="N193" s="657">
        <x:v>0</x:v>
      </x:c>
      <x:c r="O193" s="657">
        <x:v>0</x:v>
      </x:c>
      <x:c r="P193" s="657">
        <x:v>0</x:v>
      </x:c>
      <x:c r="Q193" s="657">
        <x:v>0</x:v>
      </x:c>
      <x:c r="R193" s="657">
        <x:v>0</x:v>
      </x:c>
      <x:c r="S193" s="657">
        <x:v>0</x:v>
      </x:c>
      <x:c r="T193" s="657">
        <x:v>0</x:v>
      </x:c>
      <x:c r="U193" s="657">
        <x:v>0</x:v>
      </x:c>
      <x:c r="V193" s="657">
        <x:v>0</x:v>
      </x:c>
      <x:c r="W193" s="657">
        <x:v>0</x:v>
      </x:c>
      <x:c r="X193" s="657">
        <x:v>0</x:v>
      </x:c>
      <x:c r="Y193" s="657">
        <x:v>0</x:v>
      </x:c>
      <x:c r="Z193" s="657">
        <x:v>0</x:v>
      </x:c>
      <x:c r="AA193" s="657">
        <x:v>0</x:v>
      </x:c>
      <x:c r="AB193" s="657">
        <x:v>0</x:v>
      </x:c>
      <x:c r="AC193" s="657">
        <x:v>0</x:v>
      </x:c>
      <x:c r="AD193" s="657">
        <x:v>0</x:v>
      </x:c>
      <x:c r="AE193" s="657">
        <x:v>0</x:v>
      </x:c>
      <x:c r="AF193" s="657">
        <x:v>0</x:v>
      </x:c>
      <x:c r="AG193" s="657">
        <x:v>0</x:v>
      </x:c>
      <x:c r="AH193" s="657">
        <x:v>0</x:v>
      </x:c>
      <x:c r="AI193" s="657">
        <x:v>0</x:v>
      </x:c>
      <x:c r="AJ193" s="657">
        <x:v>0</x:v>
      </x:c>
      <x:c r="AK193" s="657">
        <x:v>0</x:v>
      </x:c>
      <x:c r="AL193" s="657">
        <x:v>0</x:v>
      </x:c>
      <x:c r="AM193" s="657">
        <x:v>0</x:v>
      </x:c>
      <x:c r="AN193" s="657">
        <x:v>0</x:v>
      </x:c>
      <x:c r="AO193" s="657">
        <x:v>0</x:v>
      </x:c>
      <x:c r="BN193" s="624"/>
    </x:row>
    <x:row r="194" spans="1:66" x14ac:dyDescent="0.25">
      <x:c r="C194" s="771"/>
      <x:c r="D194" s="770"/>
      <x:c r="E194" s="656" t="s">
        <x:v>73</x:v>
      </x:c>
      <x:c r="F194" s="657">
        <x:v>0</x:v>
      </x:c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R194" s="627"/>
      <x:c r="BN194" s="624"/>
    </x:row>
    <x:row r="195" spans="1:66" x14ac:dyDescent="0.25">
      <x:c r="A195" s="625"/>
      <x:c r="C195" s="50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R195" s="627"/>
      <x:c r="S195" s="627"/>
      <x:c r="BN195" s="624"/>
    </x:row>
    <x:row r="196" spans="1:66" x14ac:dyDescent="0.25">
      <x:c r="C196" s="773" t="s">
        <x:v>119</x:v>
      </x:c>
      <x:c r="D196" s="770" t="s">
        <x:v>132</x:v>
      </x:c>
      <x:c r="E196" s="632" t="s">
        <x:v>70</x:v>
      </x:c>
      <x:c r="F196" s="633">
        <x:f>F132+F124+F86-L86-L124</x:f>
        <x:v>0</x:v>
      </x:c>
      <x:c r="G196" s="633">
        <x:f>G124+G86</x:f>
        <x:v>0</x:v>
      </x:c>
      <x:c r="H196" s="633">
        <x:f t="shared" ref="H196:AP196" si="11">H124+H86</x:f>
        <x:v>0</x:v>
      </x:c>
      <x:c r="I196" s="633">
        <x:f t="shared" si="11"/>
        <x:v>0</x:v>
      </x:c>
      <x:c r="J196" s="633">
        <x:f t="shared" si="11"/>
        <x:v>0</x:v>
      </x:c>
      <x:c r="K196" s="633">
        <x:f t="shared" si="11"/>
        <x:v>0</x:v>
      </x:c>
      <x:c r="L196" s="633">
        <x:f t="shared" si="11"/>
        <x:v>0</x:v>
      </x:c>
      <x:c r="M196" s="633">
        <x:f t="shared" si="11"/>
        <x:v>0</x:v>
      </x:c>
      <x:c r="N196" s="633">
        <x:f t="shared" si="11"/>
        <x:v>0</x:v>
      </x:c>
      <x:c r="O196" s="633">
        <x:f t="shared" si="11"/>
        <x:v>0</x:v>
      </x:c>
      <x:c r="P196" s="633">
        <x:f t="shared" si="11"/>
        <x:v>0</x:v>
      </x:c>
      <x:c r="Q196" s="633">
        <x:f t="shared" si="11"/>
        <x:v>0</x:v>
      </x:c>
      <x:c r="R196" s="633">
        <x:f t="shared" si="11"/>
        <x:v>0</x:v>
      </x:c>
      <x:c r="S196" s="633">
        <x:f t="shared" si="11"/>
        <x:v>0</x:v>
      </x:c>
      <x:c r="T196" s="633">
        <x:f t="shared" si="11"/>
        <x:v>0</x:v>
      </x:c>
      <x:c r="U196" s="633">
        <x:f t="shared" si="11"/>
        <x:v>0</x:v>
      </x:c>
      <x:c r="V196" s="633">
        <x:f t="shared" si="11"/>
        <x:v>0</x:v>
      </x:c>
      <x:c r="W196" s="633">
        <x:f t="shared" si="11"/>
        <x:v>0</x:v>
      </x:c>
      <x:c r="X196" s="633">
        <x:f t="shared" si="11"/>
        <x:v>0</x:v>
      </x:c>
      <x:c r="Y196" s="633">
        <x:f t="shared" si="11"/>
        <x:v>0</x:v>
      </x:c>
      <x:c r="Z196" s="633">
        <x:f t="shared" si="11"/>
        <x:v>0</x:v>
      </x:c>
      <x:c r="AA196" s="633">
        <x:f t="shared" si="11"/>
        <x:v>0</x:v>
      </x:c>
      <x:c r="AB196" s="633">
        <x:f t="shared" si="11"/>
        <x:v>0</x:v>
      </x:c>
      <x:c r="AC196" s="633">
        <x:f t="shared" si="11"/>
        <x:v>0</x:v>
      </x:c>
      <x:c r="AD196" s="633">
        <x:f t="shared" si="11"/>
        <x:v>0</x:v>
      </x:c>
      <x:c r="AE196" s="633">
        <x:f t="shared" si="11"/>
        <x:v>0</x:v>
      </x:c>
      <x:c r="AF196" s="633">
        <x:f t="shared" si="11"/>
        <x:v>0</x:v>
      </x:c>
      <x:c r="AG196" s="633">
        <x:f t="shared" si="11"/>
        <x:v>0</x:v>
      </x:c>
      <x:c r="AH196" s="633">
        <x:f t="shared" si="11"/>
        <x:v>0</x:v>
      </x:c>
      <x:c r="AI196" s="633">
        <x:f t="shared" si="11"/>
        <x:v>0</x:v>
      </x:c>
      <x:c r="AJ196" s="633">
        <x:f t="shared" si="11"/>
        <x:v>0</x:v>
      </x:c>
      <x:c r="AK196" s="633">
        <x:f t="shared" si="11"/>
        <x:v>0</x:v>
      </x:c>
      <x:c r="AL196" s="633">
        <x:f t="shared" si="11"/>
        <x:v>0</x:v>
      </x:c>
      <x:c r="AM196" s="633">
        <x:f t="shared" si="11"/>
        <x:v>0</x:v>
      </x:c>
      <x:c r="AN196" s="633">
        <x:f t="shared" si="11"/>
        <x:v>0</x:v>
      </x:c>
      <x:c r="AO196" s="633">
        <x:f t="shared" si="11"/>
        <x:v>0</x:v>
      </x:c>
      <x:c r="AP196" s="633">
        <x:f t="shared" si="11"/>
        <x:v>0</x:v>
      </x:c>
      <x:c r="BN196" s="624"/>
    </x:row>
    <x:row r="197" spans="1:66" x14ac:dyDescent="0.25">
      <x:c r="C197" s="773"/>
      <x:c r="D197" s="770"/>
      <x:c r="E197" s="632" t="s">
        <x:v>73</x:v>
      </x:c>
      <x:c r="F197" s="633">
        <x:f>F132</x:f>
        <x:v>0</x:v>
      </x:c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R197" s="627"/>
      <x:c r="S197" s="627"/>
      <x:c r="BN197" s="624"/>
    </x:row>
    <x:row r="198" spans="1:66" x14ac:dyDescent="0.25">
      <x:c r="C198" s="773"/>
      <x:c r="D198" s="770" t="s">
        <x:v>133</x:v>
      </x:c>
      <x:c r="E198" s="658" t="s">
        <x:v>70</x:v>
      </x:c>
      <x:c r="F198" s="659">
        <x:f>F132+F99-L99</x:f>
        <x:v>0</x:v>
      </x:c>
      <x:c r="G198" s="659">
        <x:f>G99</x:f>
        <x:v>0</x:v>
      </x:c>
      <x:c r="H198" s="659">
        <x:f t="shared" ref="H198:AP198" si="12">H99</x:f>
        <x:v>0</x:v>
      </x:c>
      <x:c r="I198" s="659">
        <x:f t="shared" si="12"/>
        <x:v>0</x:v>
      </x:c>
      <x:c r="J198" s="659">
        <x:f t="shared" si="12"/>
        <x:v>0</x:v>
      </x:c>
      <x:c r="K198" s="659">
        <x:f t="shared" si="12"/>
        <x:v>0</x:v>
      </x:c>
      <x:c r="L198" s="659">
        <x:f t="shared" si="12"/>
        <x:v>0</x:v>
      </x:c>
      <x:c r="M198" s="659">
        <x:f t="shared" si="12"/>
        <x:v>0</x:v>
      </x:c>
      <x:c r="N198" s="659">
        <x:f t="shared" si="12"/>
        <x:v>0</x:v>
      </x:c>
      <x:c r="O198" s="659">
        <x:f t="shared" si="12"/>
        <x:v>0</x:v>
      </x:c>
      <x:c r="P198" s="659">
        <x:f t="shared" si="12"/>
        <x:v>0</x:v>
      </x:c>
      <x:c r="Q198" s="659">
        <x:f t="shared" si="12"/>
        <x:v>0</x:v>
      </x:c>
      <x:c r="R198" s="659">
        <x:f t="shared" si="12"/>
        <x:v>0</x:v>
      </x:c>
      <x:c r="S198" s="659">
        <x:f t="shared" si="12"/>
        <x:v>0</x:v>
      </x:c>
      <x:c r="T198" s="659">
        <x:f t="shared" si="12"/>
        <x:v>0</x:v>
      </x:c>
      <x:c r="U198" s="659">
        <x:f t="shared" si="12"/>
        <x:v>0</x:v>
      </x:c>
      <x:c r="V198" s="659">
        <x:f t="shared" si="12"/>
        <x:v>0</x:v>
      </x:c>
      <x:c r="W198" s="659">
        <x:f t="shared" si="12"/>
        <x:v>0</x:v>
      </x:c>
      <x:c r="X198" s="659">
        <x:f t="shared" si="12"/>
        <x:v>0</x:v>
      </x:c>
      <x:c r="Y198" s="659">
        <x:f t="shared" si="12"/>
        <x:v>0</x:v>
      </x:c>
      <x:c r="Z198" s="659">
        <x:f t="shared" si="12"/>
        <x:v>0</x:v>
      </x:c>
      <x:c r="AA198" s="659">
        <x:f t="shared" si="12"/>
        <x:v>0</x:v>
      </x:c>
      <x:c r="AB198" s="659">
        <x:f t="shared" si="12"/>
        <x:v>0</x:v>
      </x:c>
      <x:c r="AC198" s="659">
        <x:f t="shared" si="12"/>
        <x:v>0</x:v>
      </x:c>
      <x:c r="AD198" s="659">
        <x:f t="shared" si="12"/>
        <x:v>0</x:v>
      </x:c>
      <x:c r="AE198" s="659">
        <x:f t="shared" si="12"/>
        <x:v>0</x:v>
      </x:c>
      <x:c r="AF198" s="659">
        <x:f t="shared" si="12"/>
        <x:v>0</x:v>
      </x:c>
      <x:c r="AG198" s="659">
        <x:f t="shared" si="12"/>
        <x:v>0</x:v>
      </x:c>
      <x:c r="AH198" s="659">
        <x:f t="shared" si="12"/>
        <x:v>0</x:v>
      </x:c>
      <x:c r="AI198" s="659">
        <x:f t="shared" si="12"/>
        <x:v>0</x:v>
      </x:c>
      <x:c r="AJ198" s="659">
        <x:f t="shared" si="12"/>
        <x:v>0</x:v>
      </x:c>
      <x:c r="AK198" s="659">
        <x:f t="shared" si="12"/>
        <x:v>0</x:v>
      </x:c>
      <x:c r="AL198" s="659">
        <x:f t="shared" si="12"/>
        <x:v>0</x:v>
      </x:c>
      <x:c r="AM198" s="659">
        <x:f t="shared" si="12"/>
        <x:v>0</x:v>
      </x:c>
      <x:c r="AN198" s="659">
        <x:f t="shared" si="12"/>
        <x:v>0</x:v>
      </x:c>
      <x:c r="AO198" s="659">
        <x:f t="shared" si="12"/>
        <x:v>0</x:v>
      </x:c>
      <x:c r="AP198" s="659">
        <x:f t="shared" si="12"/>
        <x:v>0</x:v>
      </x:c>
      <x:c r="BN198" s="624"/>
    </x:row>
    <x:row r="199" spans="1:66" x14ac:dyDescent="0.25">
      <x:c r="C199" s="773"/>
      <x:c r="D199" s="770"/>
      <x:c r="E199" s="658" t="s">
        <x:v>73</x:v>
      </x:c>
      <x:c r="F199" s="659">
        <x:f>F132</x:f>
        <x:v>0</x:v>
      </x:c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R199" s="627"/>
      <x:c r="BN199" s="624"/>
    </x:row>
    <x:row r="200" spans="1:66" x14ac:dyDescent="0.25">
      <x:c r="A200" s="625"/>
      <x:c r="C200" s="50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R200" s="627"/>
      <x:c r="S200" s="627"/>
      <x:c r="BN200" s="624"/>
    </x:row>
    <x:row r="201" spans="1:66" x14ac:dyDescent="0.25">
      <x:c r="C201" s="772" t="s">
        <x:v>161</x:v>
      </x:c>
      <x:c r="D201" s="770" t="s">
        <x:v>132</x:v>
      </x:c>
      <x:c r="E201" s="661" t="s">
        <x:v>70</x:v>
      </x:c>
      <x:c r="F201" s="662">
        <x:v>0</x:v>
      </x:c>
      <x:c r="G201" s="662">
        <x:v>0</x:v>
      </x:c>
      <x:c r="H201" s="662">
        <x:v>0</x:v>
      </x:c>
      <x:c r="I201" s="662">
        <x:v>0</x:v>
      </x:c>
      <x:c r="J201" s="662">
        <x:v>0</x:v>
      </x:c>
      <x:c r="K201" s="662">
        <x:v>0</x:v>
      </x:c>
      <x:c r="L201" s="662">
        <x:v>0</x:v>
      </x:c>
      <x:c r="M201" s="662">
        <x:v>0</x:v>
      </x:c>
      <x:c r="N201" s="662">
        <x:v>0</x:v>
      </x:c>
      <x:c r="O201" s="662">
        <x:v>0</x:v>
      </x:c>
      <x:c r="P201" s="662">
        <x:v>0</x:v>
      </x:c>
      <x:c r="Q201" s="662">
        <x:v>0</x:v>
      </x:c>
      <x:c r="R201" s="662">
        <x:v>0</x:v>
      </x:c>
      <x:c r="S201" s="662">
        <x:v>0</x:v>
      </x:c>
      <x:c r="T201" s="662">
        <x:v>0</x:v>
      </x:c>
      <x:c r="U201" s="662">
        <x:v>0</x:v>
      </x:c>
      <x:c r="V201" s="662">
        <x:v>0</x:v>
      </x:c>
      <x:c r="W201" s="662">
        <x:v>0</x:v>
      </x:c>
      <x:c r="X201" s="662">
        <x:v>0</x:v>
      </x:c>
      <x:c r="Y201" s="662"/>
      <x:c r="Z201" s="662">
        <x:v>0</x:v>
      </x:c>
      <x:c r="AA201" s="662">
        <x:v>0</x:v>
      </x:c>
      <x:c r="AB201" s="662">
        <x:v>0</x:v>
      </x:c>
      <x:c r="AC201" s="662">
        <x:v>0</x:v>
      </x:c>
      <x:c r="AD201" s="662">
        <x:v>0</x:v>
      </x:c>
      <x:c r="AE201" s="662">
        <x:v>0</x:v>
      </x:c>
      <x:c r="AF201" s="662">
        <x:v>0</x:v>
      </x:c>
      <x:c r="AG201" s="662">
        <x:v>0</x:v>
      </x:c>
      <x:c r="AH201" s="662">
        <x:v>0</x:v>
      </x:c>
      <x:c r="AI201" s="662">
        <x:v>0</x:v>
      </x:c>
      <x:c r="AJ201" s="662">
        <x:v>0</x:v>
      </x:c>
      <x:c r="AK201" s="662">
        <x:v>0</x:v>
      </x:c>
      <x:c r="AL201" s="662">
        <x:v>0</x:v>
      </x:c>
      <x:c r="AM201" s="662">
        <x:v>0</x:v>
      </x:c>
      <x:c r="AN201" s="662">
        <x:v>0</x:v>
      </x:c>
      <x:c r="AO201" s="662">
        <x:v>0</x:v>
      </x:c>
      <x:c r="AP201" s="662">
        <x:v>0</x:v>
      </x:c>
      <x:c r="BN201" s="624"/>
    </x:row>
    <x:row r="202" spans="1:66" x14ac:dyDescent="0.25">
      <x:c r="C202" s="772"/>
      <x:c r="D202" s="770"/>
      <x:c r="E202" s="661" t="s">
        <x:v>73</x:v>
      </x:c>
      <x:c r="F202" s="662">
        <x:v>0</x:v>
      </x:c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R202" s="627"/>
      <x:c r="S202" s="627"/>
      <x:c r="BN202" s="624"/>
    </x:row>
    <x:row r="203" spans="1:66" x14ac:dyDescent="0.25">
      <x:c r="C203" s="772"/>
      <x:c r="E203" s="663" t="s">
        <x:v>70</x:v>
      </x:c>
      <x:c r="F203" s="664">
        <x:v>0</x:v>
      </x:c>
      <x:c r="G203" s="664">
        <x:v>0</x:v>
      </x:c>
      <x:c r="H203" s="664">
        <x:v>0</x:v>
      </x:c>
      <x:c r="I203" s="664">
        <x:v>0</x:v>
      </x:c>
      <x:c r="J203" s="664">
        <x:v>0</x:v>
      </x:c>
      <x:c r="K203" s="664">
        <x:v>0</x:v>
      </x:c>
      <x:c r="L203" s="664">
        <x:v>0</x:v>
      </x:c>
      <x:c r="M203" s="664">
        <x:v>0</x:v>
      </x:c>
      <x:c r="N203" s="664">
        <x:v>0</x:v>
      </x:c>
      <x:c r="O203" s="664">
        <x:v>0</x:v>
      </x:c>
      <x:c r="P203" s="664">
        <x:v>0</x:v>
      </x:c>
      <x:c r="Q203" s="664">
        <x:v>0</x:v>
      </x:c>
      <x:c r="R203" s="664">
        <x:v>0</x:v>
      </x:c>
      <x:c r="S203" s="664">
        <x:v>0</x:v>
      </x:c>
      <x:c r="T203" s="664">
        <x:v>0</x:v>
      </x:c>
      <x:c r="U203" s="664">
        <x:v>0</x:v>
      </x:c>
      <x:c r="V203" s="664">
        <x:v>0</x:v>
      </x:c>
      <x:c r="W203" s="664">
        <x:v>0</x:v>
      </x:c>
      <x:c r="X203" s="664">
        <x:v>0</x:v>
      </x:c>
      <x:c r="Y203" s="664">
        <x:v>0</x:v>
      </x:c>
      <x:c r="Z203" s="664">
        <x:v>0</x:v>
      </x:c>
      <x:c r="AA203" s="664">
        <x:v>0</x:v>
      </x:c>
      <x:c r="BN203" s="624"/>
    </x:row>
    <x:row r="204" spans="1:66" x14ac:dyDescent="0.25">
      <x:c r="C204" s="772"/>
      <x:c r="D204" s="644" t="s">
        <x:v>132</x:v>
      </x:c>
      <x:c r="E204" s="663" t="s">
        <x:v>73</x:v>
      </x:c>
      <x:c r="F204" s="664">
        <x:v>0</x:v>
      </x:c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R204" s="627"/>
      <x:c r="BN204" s="624"/>
    </x:row>
    <x:row r="205" spans="1:66" x14ac:dyDescent="0.25">
      <x:c r="C205" s="660"/>
      <x:c r="D205" s="644"/>
      <x:c r="E205" s="625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R205" s="627"/>
      <x:c r="BN205" s="624"/>
    </x:row>
    <x:row r="206" spans="1:66" x14ac:dyDescent="0.25">
      <x:c r="D206" s="634" t="s">
        <x:v>185</x:v>
      </x:c>
      <x:c r="E206" s="665" t="s">
        <x:v>70</x:v>
      </x:c>
      <x:c r="F206" s="666">
        <x:f t="shared" ref="F206:AA206" si="13">F87</x:f>
        <x:v>0</x:v>
      </x:c>
      <x:c r="G206" s="666">
        <x:f t="shared" si="13"/>
        <x:v>0</x:v>
      </x:c>
      <x:c r="H206" s="666">
        <x:f t="shared" si="13"/>
        <x:v>0</x:v>
      </x:c>
      <x:c r="I206" s="666">
        <x:f t="shared" si="13"/>
        <x:v>0</x:v>
      </x:c>
      <x:c r="J206" s="666">
        <x:f t="shared" si="13"/>
        <x:v>0</x:v>
      </x:c>
      <x:c r="K206" s="666">
        <x:f t="shared" si="13"/>
        <x:v>0</x:v>
      </x:c>
      <x:c r="L206" s="666">
        <x:f t="shared" si="13"/>
        <x:v>0</x:v>
      </x:c>
      <x:c r="M206" s="666">
        <x:f t="shared" si="13"/>
        <x:v>0</x:v>
      </x:c>
      <x:c r="N206" s="666">
        <x:f t="shared" si="13"/>
        <x:v>0</x:v>
      </x:c>
      <x:c r="O206" s="666">
        <x:f t="shared" si="13"/>
        <x:v>0</x:v>
      </x:c>
      <x:c r="P206" s="666">
        <x:f t="shared" si="13"/>
        <x:v>0</x:v>
      </x:c>
      <x:c r="Q206" s="666">
        <x:f t="shared" si="13"/>
        <x:v>0</x:v>
      </x:c>
      <x:c r="R206" s="666">
        <x:f t="shared" si="13"/>
        <x:v>0</x:v>
      </x:c>
      <x:c r="S206" s="666">
        <x:f t="shared" si="13"/>
        <x:v>0</x:v>
      </x:c>
      <x:c r="T206" s="666">
        <x:f t="shared" si="13"/>
        <x:v>0</x:v>
      </x:c>
      <x:c r="U206" s="666">
        <x:f t="shared" si="13"/>
        <x:v>0</x:v>
      </x:c>
      <x:c r="V206" s="666">
        <x:f t="shared" si="13"/>
        <x:v>0</x:v>
      </x:c>
      <x:c r="W206" s="666">
        <x:f t="shared" si="13"/>
        <x:v>0</x:v>
      </x:c>
      <x:c r="X206" s="666">
        <x:f t="shared" si="13"/>
        <x:v>0</x:v>
      </x:c>
      <x:c r="Y206" s="666">
        <x:f t="shared" si="13"/>
        <x:v>0</x:v>
      </x:c>
      <x:c r="Z206" s="666">
        <x:f t="shared" si="13"/>
        <x:v>0</x:v>
      </x:c>
      <x:c r="AA206" s="666">
        <x:f t="shared" si="13"/>
        <x:v>0</x:v>
      </x:c>
      <x:c r="BN206" s="624"/>
    </x:row>
    <x:row r="207" spans="1:66" x14ac:dyDescent="0.25">
      <x:c r="C207" s="660"/>
      <x:c r="D207" s="644"/>
      <x:c r="E207" s="625"/>
      <x:c r="F207" s="627"/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R207" s="627"/>
      <x:c r="BN207" s="624"/>
    </x:row>
    <x:row r="208" spans="1:66" x14ac:dyDescent="0.25">
      <x:c r="A208" s="624"/>
      <x:c r="B208" s="624"/>
      <x:c r="C208" s="624"/>
      <x:c r="D208" s="624"/>
      <x:c r="E208" s="624"/>
      <x:c r="F208" s="624"/>
      <x:c r="G208" s="624"/>
      <x:c r="H208" s="624"/>
      <x:c r="I208" s="624"/>
      <x:c r="J208" s="624"/>
      <x:c r="K208" s="624"/>
      <x:c r="L208" s="624"/>
      <x:c r="M208" s="624"/>
      <x:c r="N208" s="624"/>
      <x:c r="O208" s="624"/>
      <x:c r="P208" s="624"/>
      <x:c r="Q208" s="624"/>
      <x:c r="R208" s="624"/>
      <x:c r="S208" s="624"/>
      <x:c r="T208" s="624"/>
      <x:c r="U208" s="624"/>
      <x:c r="V208" s="624"/>
      <x:c r="W208" s="624"/>
      <x:c r="X208" s="624"/>
      <x:c r="Y208" s="624"/>
      <x:c r="Z208" s="624"/>
      <x:c r="AA208" s="624"/>
      <x:c r="AB208" s="624"/>
      <x:c r="AC208" s="624"/>
      <x:c r="AD208" s="624"/>
      <x:c r="AE208" s="624"/>
      <x:c r="AF208" s="624"/>
      <x:c r="AG208" s="624"/>
      <x:c r="AH208" s="624"/>
      <x:c r="AI208" s="624"/>
      <x:c r="AJ208" s="624"/>
      <x:c r="AK208" s="624"/>
      <x:c r="AL208" s="624"/>
      <x:c r="AM208" s="624"/>
      <x:c r="AN208" s="624"/>
      <x:c r="AO208" s="624"/>
      <x:c r="AP208" s="624"/>
      <x:c r="AQ208" s="624"/>
      <x:c r="AR208" s="624"/>
      <x:c r="AS208" s="624"/>
      <x:c r="AT208" s="624"/>
      <x:c r="AU208" s="624"/>
      <x:c r="AV208" s="624"/>
      <x:c r="AW208" s="624"/>
      <x:c r="AX208" s="624"/>
      <x:c r="AY208" s="624"/>
      <x:c r="AZ208" s="624"/>
      <x:c r="BA208" s="624"/>
      <x:c r="BB208" s="624"/>
      <x:c r="BC208" s="624"/>
      <x:c r="BD208" s="624"/>
      <x:c r="BE208" s="624"/>
      <x:c r="BF208" s="624"/>
      <x:c r="BG208" s="624"/>
      <x:c r="BH208" s="624"/>
      <x:c r="BI208" s="624"/>
      <x:c r="BJ208" s="624"/>
      <x:c r="BK208" s="624"/>
      <x:c r="BL208" s="624"/>
      <x:c r="BM208" s="624"/>
      <x:c r="BN208" s="624"/>
    </x:row>
    <x:row r="209" spans="1:66" x14ac:dyDescent="0.25">
      <x:c r="A209" s="625"/>
      <x:c r="B209" s="50" t="s">
        <x:v>76</x:v>
      </x:c>
      <x:c r="E209" s="627"/>
      <x:c r="F209" s="627"/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BN209" s="624"/>
    </x:row>
    <x:row r="210" spans="1:66" s="50" customFormat="1" ht="27.6" x14ac:dyDescent="0.25">
      <x:c r="F210" s="669" t="s">
        <x:v>70</x:v>
      </x:c>
      <x:c r="G210" s="669" t="s">
        <x:v>64</x:v>
      </x:c>
      <x:c r="H210" s="669" t="s">
        <x:v>65</x:v>
      </x:c>
      <x:c r="I210" s="626" t="s">
        <x:v>164</x:v>
      </x:c>
      <x:c r="J210" s="669" t="s">
        <x:v>69</x:v>
      </x:c>
      <x:c r="K210" s="669" t="s">
        <x:v>68</x:v>
      </x:c>
      <x:c r="L210" s="669" t="s">
        <x:v>71</x:v>
      </x:c>
      <x:c r="M210" s="669" t="s">
        <x:v>66</x:v>
      </x:c>
      <x:c r="N210" s="669" t="s">
        <x:v>63</x:v>
      </x:c>
      <x:c r="O210" s="669" t="s">
        <x:v>61</x:v>
      </x:c>
      <x:c r="P210" s="669" t="s">
        <x:v>62</x:v>
      </x:c>
      <x:c r="Q210" s="669" t="s">
        <x:v>67</x:v>
      </x:c>
      <x:c r="R210" s="669" t="s">
        <x:v>77</x:v>
      </x:c>
      <x:c r="S210" s="669" t="s">
        <x:v>80</x:v>
      </x:c>
      <x:c r="T210" s="669" t="s">
        <x:v>135</x:v>
      </x:c>
      <x:c r="U210" s="669" t="s">
        <x:v>172</x:v>
      </x:c>
      <x:c r="V210" s="669" t="s">
        <x:v>223</x:v>
      </x:c>
      <x:c r="W210" s="669" t="s">
        <x:v>172</x:v>
      </x:c>
      <x:c r="X210" s="50" t="s">
        <x:v>172</x:v>
      </x:c>
      <x:c r="Y210" s="669" t="s">
        <x:v>135</x:v>
      </x:c>
      <x:c r="Z210" s="669" t="s">
        <x:v>166</x:v>
      </x:c>
      <x:c r="BN210" s="618"/>
    </x:row>
    <x:row r="211" spans="1:66" x14ac:dyDescent="0.25">
      <x:c r="A211"/>
      <x:c r="B211"/>
      <x:c r="C211"/>
      <x:c r="D211"/>
      <x:c r="E211" s="625" t="inlineStr">
        <x:is>
          <x:t>Vlr Servicio</x:t>
        </x:is>
      </x:c>
      <x:c r="F211" s="627" t="n">
        <x:v>-11299.64</x:v>
      </x:c>
      <x:c r="G211" s="627" t="n">
        <x:v>-1002.6</x:v>
      </x:c>
      <x:c r="H211" s="627" t="n">
        <x:v>-425.94</x:v>
      </x:c>
      <x:c r="I211" s="627" t="n">
        <x:v>-186</x:v>
      </x:c>
      <x:c r="J211" s="627" t="n">
        <x:v>-2180.54</x:v>
      </x:c>
      <x:c r="K211" s="627" t="n">
        <x:v>-89.83</x:v>
      </x:c>
      <x:c r="L211" s="627" t="n">
        <x:v>0</x:v>
      </x:c>
      <x:c r="M211" s="627" t="n">
        <x:v>-788.01</x:v>
      </x:c>
      <x:c r="N211" s="627" t="n">
        <x:v>-987.73</x:v>
      </x:c>
      <x:c r="O211" s="627" t="n">
        <x:v>-3317.74</x:v>
      </x:c>
      <x:c r="P211" s="627" t="n">
        <x:v>-2174.67</x:v>
      </x:c>
      <x:c r="Q211" s="627" t="n">
        <x:v>-146.58</x:v>
      </x:c>
      <x:c r="R211" s="627" t="n">
        <x:v>0</x:v>
      </x:c>
      <x:c r="S211" s="627" t="n">
        <x:v>0</x:v>
      </x:c>
      <x:c r="T211" s="653" t="n">
        <x:v>0</x:v>
      </x:c>
      <x:c r="U211" s="653">
        <x:v>0</x:v>
      </x:c>
      <x:c r="V211" s="653">
        <x:v>0</x:v>
      </x:c>
      <x:c r="W211" s="653">
        <x:v>0</x:v>
      </x:c>
      <x:c r="X211" s="653">
        <x:v>0</x:v>
      </x:c>
      <x:c r="Y211" s="653">
        <x:v>0</x:v>
      </x:c>
      <x:c r="Z211" s="653">
        <x:v>0</x:v>
      </x:c>
      <x:c r="BN211" s="624"/>
    </x:row>
    <x:row r="212" spans="1:66" x14ac:dyDescent="0.25">
      <x:c r="A212"/>
      <x:c r="B212"/>
      <x:c r="C212"/>
      <x:c r="D212" s="25" t="inlineStr">
        <x:is>
          <x:t>E</x:t>
        </x:is>
      </x:c>
      <x:c r="E212" s="625" t="inlineStr">
        <x:is>
          <x:t>Total</x:t>
        </x:is>
      </x:c>
      <x:c r="F212" s="627" t="n">
        <x:v>-11299.64</x:v>
      </x:c>
      <x:c r="G212" s="627" t="n">
        <x:v>-1002.6</x:v>
      </x:c>
      <x:c r="H212" s="627" t="n">
        <x:v>-425.94</x:v>
      </x:c>
      <x:c r="I212" s="627" t="n">
        <x:v>-186</x:v>
      </x:c>
      <x:c r="J212" s="627" t="n">
        <x:v>-2180.54</x:v>
      </x:c>
      <x:c r="K212" s="627" t="n">
        <x:v>-89.83</x:v>
      </x:c>
      <x:c r="L212" s="627" t="n">
        <x:v>0</x:v>
      </x:c>
      <x:c r="M212" s="627" t="n">
        <x:v>-788.01</x:v>
      </x:c>
      <x:c r="N212" s="627" t="n">
        <x:v>-987.73</x:v>
      </x:c>
      <x:c r="O212" s="627" t="n">
        <x:v>-3317.74</x:v>
      </x:c>
      <x:c r="P212" s="627" t="n">
        <x:v>-2174.67</x:v>
      </x:c>
      <x:c r="Q212" s="627" t="n">
        <x:v>-146.58</x:v>
      </x:c>
      <x:c r="R212" s="627" t="n">
        <x:v>0</x:v>
      </x:c>
      <x:c r="S212" s="627" t="n">
        <x:v>0</x:v>
      </x:c>
      <x:c r="T212" s="653" t="n">
        <x:v>0</x:v>
      </x:c>
      <x:c r="U212" s="653">
        <x:v>0</x:v>
      </x:c>
      <x:c r="V212" s="653">
        <x:v>0</x:v>
      </x:c>
      <x:c r="W212" s="653">
        <x:v>0</x:v>
      </x:c>
      <x:c r="X212" s="653">
        <x:v>0</x:v>
      </x:c>
      <x:c r="Y212" s="653">
        <x:v>0</x:v>
      </x:c>
      <x:c r="Z212" s="653">
        <x:v>0</x:v>
      </x:c>
      <x:c r="BN212" s="624"/>
    </x:row>
    <x:row r="213" spans="1:66" x14ac:dyDescent="0.25">
      <x:c r="A213" s="631"/>
      <x:c r="B213" s="631"/>
      <x:c r="C213" s="632" t="inlineStr">
        <x:is>
          <x:t>ENEL</x:t>
        </x:is>
      </x:c>
      <x:c r="D213" s="632" t="inlineStr">
        <x:is>
          <x:t>Total</x:t>
        </x:is>
      </x:c>
      <x:c r="E213" s="631"/>
      <x:c r="F213" s="633" t="n">
        <x:v>-11299.64</x:v>
      </x:c>
      <x:c r="G213" s="633" t="n">
        <x:v>-1002.6</x:v>
      </x:c>
      <x:c r="H213" s="633" t="n">
        <x:v>-425.94</x:v>
      </x:c>
      <x:c r="I213" s="633" t="n">
        <x:v>-186</x:v>
      </x:c>
      <x:c r="J213" s="633" t="n">
        <x:v>-2180.54</x:v>
      </x:c>
      <x:c r="K213" s="633" t="n">
        <x:v>-89.83</x:v>
      </x:c>
      <x:c r="L213" s="633" t="n">
        <x:v>0</x:v>
      </x:c>
      <x:c r="M213" s="633" t="n">
        <x:v>-788.01</x:v>
      </x:c>
      <x:c r="N213" s="633" t="n">
        <x:v>-987.73</x:v>
      </x:c>
      <x:c r="O213" s="633" t="n">
        <x:v>-3317.74</x:v>
      </x:c>
      <x:c r="P213" s="633" t="n">
        <x:v>-2174.67</x:v>
      </x:c>
      <x:c r="Q213" s="633" t="n">
        <x:v>-146.58</x:v>
      </x:c>
      <x:c r="R213" s="633" t="n">
        <x:v>0</x:v>
      </x:c>
      <x:c r="S213" s="633" t="n">
        <x:v>0</x:v>
      </x:c>
      <x:c r="T213" s="633" t="n">
        <x:v>0</x:v>
      </x:c>
      <x:c r="U213" s="633">
        <x:v>0</x:v>
      </x:c>
      <x:c r="V213" s="633">
        <x:v>0</x:v>
      </x:c>
      <x:c r="W213" s="633">
        <x:v>0</x:v>
      </x:c>
      <x:c r="X213" s="633">
        <x:v>0</x:v>
      </x:c>
      <x:c r="Y213" s="633">
        <x:v>0</x:v>
      </x:c>
      <x:c r="Z213" s="633">
        <x:v>0</x:v>
      </x:c>
      <x:c r="AA213" s="631"/>
      <x:c r="AB213" s="631"/>
      <x:c r="AC213" s="631"/>
      <x:c r="AD213" s="631"/>
      <x:c r="AE213" s="631"/>
      <x:c r="AF213" s="631"/>
      <x:c r="AG213" s="631"/>
      <x:c r="AH213" s="631"/>
      <x:c r="AI213" s="631"/>
      <x:c r="AJ213" s="631"/>
      <x:c r="AK213" s="631"/>
      <x:c r="AL213" s="631"/>
      <x:c r="AM213" s="631"/>
      <x:c r="AN213" s="631"/>
      <x:c r="AO213" s="631"/>
      <x:c r="AP213" s="631"/>
      <x:c r="AQ213" s="631"/>
      <x:c r="AR213" s="631"/>
      <x:c r="AS213" s="631"/>
      <x:c r="AT213" s="631"/>
      <x:c r="AU213" s="631"/>
      <x:c r="AV213" s="631"/>
      <x:c r="AW213" s="631"/>
      <x:c r="AX213" s="631"/>
      <x:c r="AY213" s="631"/>
      <x:c r="AZ213" s="631"/>
      <x:c r="BA213" s="631"/>
      <x:c r="BB213" s="631"/>
      <x:c r="BC213" s="631"/>
      <x:c r="BD213" s="631"/>
      <x:c r="BE213" s="631"/>
      <x:c r="BF213" s="631"/>
      <x:c r="BG213" s="631"/>
      <x:c r="BH213" s="631"/>
      <x:c r="BI213" s="631"/>
      <x:c r="BJ213" s="631"/>
      <x:c r="BK213" s="631"/>
      <x:c r="BL213" s="631"/>
      <x:c r="BM213" s="631"/>
      <x:c r="BN213" s="624"/>
    </x:row>
    <x:row r="214" spans="1:66" x14ac:dyDescent="0.25">
      <x:c r="A214"/>
      <x:c r="B214" s="25"/>
      <x:c r="C214" s="25"/>
      <x:c r="D214"/>
      <x:c r="E214" s="625" t="inlineStr">
        <x:is>
          <x:t>Vlr Servicio</x:t>
        </x:is>
      </x:c>
      <x:c r="F214" s="627" t="n">
        <x:v>-9583.17</x:v>
      </x:c>
      <x:c r="G214" s="627" t="n">
        <x:v>-840.66</x:v>
      </x:c>
      <x:c r="H214" s="627" t="n">
        <x:v>-357.15</x:v>
      </x:c>
      <x:c r="I214" s="627" t="n">
        <x:v>-155.97</x:v>
      </x:c>
      <x:c r="J214" s="627" t="n">
        <x:v>-1859.88</x:v>
      </x:c>
      <x:c r="K214" s="627" t="n">
        <x:v>-76.62</x:v>
      </x:c>
      <x:c r="L214" s="627" t="n">
        <x:v>0</x:v>
      </x:c>
      <x:c r="M214" s="627" t="n">
        <x:v>-672.15</x:v>
      </x:c>
      <x:c r="N214" s="627" t="n">
        <x:v>-842.47</x:v>
      </x:c>
      <x:c r="O214" s="627" t="n">
        <x:v>-2829.83</x:v>
      </x:c>
      <x:c r="P214" s="627" t="n">
        <x:v>-1823.43</x:v>
      </x:c>
      <x:c r="Q214" s="627" t="n">
        <x:v>-125.01</x:v>
      </x:c>
      <x:c r="R214" s="627" t="n">
        <x:v>0</x:v>
      </x:c>
      <x:c r="S214" s="627" t="n">
        <x:v>0</x:v>
      </x:c>
      <x:c r="T214" s="653" t="n">
        <x:v>0</x:v>
      </x:c>
      <x:c r="U214" s="653">
        <x:v>0</x:v>
      </x:c>
      <x:c r="V214" s="653">
        <x:v>0</x:v>
      </x:c>
      <x:c r="W214" s="653">
        <x:v>0</x:v>
      </x:c>
      <x:c r="X214" s="653">
        <x:v>0</x:v>
      </x:c>
      <x:c r="Y214" s="653">
        <x:v>0</x:v>
      </x:c>
      <x:c r="Z214" s="653">
        <x:v>0</x:v>
      </x:c>
      <x:c r="BN214" s="624"/>
    </x:row>
    <x:row r="215" spans="1:66" x14ac:dyDescent="0.25">
      <x:c r="A215" s="634"/>
      <x:c r="B215" s="634"/>
      <x:c r="C215" s="634"/>
      <x:c r="D215" s="634" t="inlineStr">
        <x:is>
          <x:t>O</x:t>
        </x:is>
      </x:c>
      <x:c r="E215" s="634" t="inlineStr">
        <x:is>
          <x:t>Total</x:t>
        </x:is>
      </x:c>
      <x:c r="F215" s="670" t="n">
        <x:v>-9583.17</x:v>
      </x:c>
      <x:c r="G215" s="670" t="n">
        <x:v>-840.66</x:v>
      </x:c>
      <x:c r="H215" s="670" t="n">
        <x:v>-357.15</x:v>
      </x:c>
      <x:c r="I215" s="670" t="n">
        <x:v>-155.97</x:v>
      </x:c>
      <x:c r="J215" s="670" t="n">
        <x:v>-1859.88</x:v>
      </x:c>
      <x:c r="K215" s="670" t="n">
        <x:v>-76.62</x:v>
      </x:c>
      <x:c r="L215" s="670" t="n">
        <x:v>0</x:v>
      </x:c>
      <x:c r="M215" s="670" t="n">
        <x:v>-672.15</x:v>
      </x:c>
      <x:c r="N215" s="670" t="n">
        <x:v>-842.47</x:v>
      </x:c>
      <x:c r="O215" s="670" t="n">
        <x:v>-2829.83</x:v>
      </x:c>
      <x:c r="P215" s="670" t="n">
        <x:v>-1823.43</x:v>
      </x:c>
      <x:c r="Q215" s="670" t="n">
        <x:v>-125.01</x:v>
      </x:c>
      <x:c r="R215" s="670" t="n">
        <x:v>0</x:v>
      </x:c>
      <x:c r="S215" s="670" t="n">
        <x:v>0</x:v>
      </x:c>
      <x:c r="T215" s="670" t="n">
        <x:v>0</x:v>
      </x:c>
      <x:c r="U215" s="670">
        <x:v>0</x:v>
      </x:c>
      <x:c r="V215" s="670">
        <x:v>0</x:v>
      </x:c>
      <x:c r="W215" s="670">
        <x:v>0</x:v>
      </x:c>
      <x:c r="X215" s="670">
        <x:v>0</x:v>
      </x:c>
      <x:c r="Y215" s="670">
        <x:v>0</x:v>
      </x:c>
      <x:c r="Z215" s="670">
        <x:v>0</x:v>
      </x:c>
      <x:c r="AA215" s="634"/>
      <x:c r="AB215" s="634"/>
      <x:c r="AC215" s="634"/>
      <x:c r="AD215" s="634"/>
      <x:c r="AE215" s="634"/>
      <x:c r="AF215" s="634"/>
      <x:c r="AG215" s="634"/>
      <x:c r="AH215" s="634"/>
      <x:c r="AI215" s="634"/>
      <x:c r="AJ215" s="634"/>
      <x:c r="AK215" s="634"/>
      <x:c r="AL215" s="634"/>
      <x:c r="AM215" s="634"/>
      <x:c r="AN215" s="634"/>
      <x:c r="AO215" s="634"/>
      <x:c r="AP215" s="634"/>
      <x:c r="AQ215" s="634"/>
      <x:c r="AR215" s="634"/>
      <x:c r="AS215" s="634"/>
      <x:c r="AT215" s="634"/>
      <x:c r="AU215" s="634"/>
      <x:c r="AV215" s="634"/>
      <x:c r="AW215" s="634"/>
      <x:c r="AX215" s="634"/>
      <x:c r="AY215" s="634"/>
      <x:c r="AZ215" s="634"/>
      <x:c r="BA215" s="634"/>
      <x:c r="BB215" s="634"/>
      <x:c r="BC215" s="634"/>
      <x:c r="BD215" s="634"/>
      <x:c r="BE215" s="634"/>
      <x:c r="BF215" s="634"/>
      <x:c r="BG215" s="634"/>
      <x:c r="BH215" s="634"/>
      <x:c r="BI215" s="634"/>
      <x:c r="BJ215" s="634"/>
      <x:c r="BK215" s="634"/>
      <x:c r="BL215" s="634"/>
      <x:c r="BM215" s="634"/>
      <x:c r="BN215" s="624"/>
    </x:row>
    <x:row r="216" spans="1:66" x14ac:dyDescent="0.25">
      <x:c r="A216"/>
      <x:c r="B216"/>
      <x:c r="C216" t="inlineStr">
        <x:is>
          <x:t>OCCIDENTE</x:t>
        </x:is>
      </x:c>
      <x:c r="D216" t="inlineStr">
        <x:is>
          <x:t>Total</x:t>
        </x:is>
      </x:c>
      <x:c r="E216" s="625"/>
      <x:c r="F216" s="627" t="n">
        <x:v>-9583.17</x:v>
      </x:c>
      <x:c r="G216" s="627" t="n">
        <x:v>-840.66</x:v>
      </x:c>
      <x:c r="H216" s="627" t="n">
        <x:v>-357.15</x:v>
      </x:c>
      <x:c r="I216" s="627" t="n">
        <x:v>-155.97</x:v>
      </x:c>
      <x:c r="J216" s="627" t="n">
        <x:v>-1859.88</x:v>
      </x:c>
      <x:c r="K216" s="627" t="n">
        <x:v>-76.62</x:v>
      </x:c>
      <x:c r="L216" s="627" t="n">
        <x:v>0</x:v>
      </x:c>
      <x:c r="M216" s="627" t="n">
        <x:v>-672.15</x:v>
      </x:c>
      <x:c r="N216" s="627" t="n">
        <x:v>-842.47</x:v>
      </x:c>
      <x:c r="O216" s="627" t="n">
        <x:v>-2829.83</x:v>
      </x:c>
      <x:c r="P216" s="627" t="n">
        <x:v>-1823.43</x:v>
      </x:c>
      <x:c r="Q216" s="627" t="n">
        <x:v>-125.01</x:v>
      </x:c>
      <x:c r="R216" s="627" t="n">
        <x:v>0</x:v>
      </x:c>
      <x:c r="S216" s="627" t="n">
        <x:v>0</x:v>
      </x:c>
      <x:c r="T216" s="653" t="n">
        <x:v>0</x:v>
      </x:c>
      <x:c r="U216" s="653">
        <x:v>0</x:v>
      </x:c>
      <x:c r="V216" s="653">
        <x:v>0</x:v>
      </x:c>
      <x:c r="W216" s="653">
        <x:v>0</x:v>
      </x:c>
      <x:c r="X216" s="653">
        <x:v>0</x:v>
      </x:c>
      <x:c r="Y216" s="653">
        <x:v>0</x:v>
      </x:c>
      <x:c r="Z216" s="653">
        <x:v>0</x:v>
      </x:c>
      <x:c r="BN216" s="624"/>
    </x:row>
    <x:row r="217" spans="1:66" x14ac:dyDescent="0.25">
      <x:c r="A217"/>
      <x:c r="B217" t="inlineStr">
        <x:is>
          <x:t>Mes</x:t>
        </x:is>
      </x:c>
      <x:c r="C217" t="inlineStr">
        <x:is>
          <x:t>Total</x:t>
        </x:is>
      </x:c>
      <x:c r="D217"/>
      <x:c r="E217" s="625"/>
      <x:c r="F217" s="627" t="n">
        <x:v>-20882.81</x:v>
      </x:c>
      <x:c r="G217" s="627" t="n">
        <x:v>-1843.26</x:v>
      </x:c>
      <x:c r="H217" s="627" t="n">
        <x:v>-783.09</x:v>
      </x:c>
      <x:c r="I217" s="627" t="n">
        <x:v>-341.97</x:v>
      </x:c>
      <x:c r="J217" s="627" t="n">
        <x:v>-4040.42</x:v>
      </x:c>
      <x:c r="K217" s="627" t="n">
        <x:v>-166.45</x:v>
      </x:c>
      <x:c r="L217" s="627" t="n">
        <x:v>0</x:v>
      </x:c>
      <x:c r="M217" s="627" t="n">
        <x:v>-1460.16</x:v>
      </x:c>
      <x:c r="N217" s="627" t="n">
        <x:v>-1830.2</x:v>
      </x:c>
      <x:c r="O217" s="627" t="n">
        <x:v>-6147.57</x:v>
      </x:c>
      <x:c r="P217" s="627" t="n">
        <x:v>-3998.1</x:v>
      </x:c>
      <x:c r="Q217" s="627" t="n">
        <x:v>-271.59</x:v>
      </x:c>
      <x:c r="R217" s="627" t="n">
        <x:v>0</x:v>
      </x:c>
      <x:c r="S217" s="627" t="n">
        <x:v>0</x:v>
      </x:c>
      <x:c r="T217" s="653" t="n">
        <x:v>0</x:v>
      </x:c>
      <x:c r="U217" s="653">
        <x:v>0</x:v>
      </x:c>
      <x:c r="V217" s="653">
        <x:v>0</x:v>
      </x:c>
      <x:c r="W217" s="653">
        <x:v>0</x:v>
      </x:c>
      <x:c r="X217" s="653">
        <x:v>0</x:v>
      </x:c>
      <x:c r="Y217" s="653">
        <x:v>0</x:v>
      </x:c>
      <x:c r="Z217" s="653">
        <x:v>0</x:v>
      </x:c>
      <x:c r="BN217" s="624"/>
    </x:row>
    <x:row r="218" spans="1:66" x14ac:dyDescent="0.25">
      <x:c r="A218" t="inlineStr">
        <x:is>
          <x:t>AFaseo</x:t>
        </x:is>
      </x:c>
      <x:c r="B218" t="inlineStr">
        <x:is>
          <x:t>Total</x:t>
        </x:is>
      </x:c>
      <x:c r="C218"/>
      <x:c r="D218" s="25"/>
      <x:c r="E218" s="625"/>
      <x:c r="F218" s="627" t="n">
        <x:v>-20882.81</x:v>
      </x:c>
      <x:c r="G218" s="627" t="n">
        <x:v>-1843.26</x:v>
      </x:c>
      <x:c r="H218" s="627" t="n">
        <x:v>-783.09</x:v>
      </x:c>
      <x:c r="I218" s="627" t="n">
        <x:v>-341.97</x:v>
      </x:c>
      <x:c r="J218" s="627" t="n">
        <x:v>-4040.42</x:v>
      </x:c>
      <x:c r="K218" s="627" t="n">
        <x:v>-166.45</x:v>
      </x:c>
      <x:c r="L218" s="627" t="n">
        <x:v>0</x:v>
      </x:c>
      <x:c r="M218" s="627" t="n">
        <x:v>-1460.16</x:v>
      </x:c>
      <x:c r="N218" s="627" t="n">
        <x:v>-1830.2</x:v>
      </x:c>
      <x:c r="O218" s="627" t="n">
        <x:v>-6147.57</x:v>
      </x:c>
      <x:c r="P218" s="627" t="n">
        <x:v>-3998.1</x:v>
      </x:c>
      <x:c r="Q218" s="627" t="n">
        <x:v>-271.59</x:v>
      </x:c>
      <x:c r="R218" s="627" t="n">
        <x:v>0</x:v>
      </x:c>
      <x:c r="S218" s="627" t="n">
        <x:v>0</x:v>
      </x:c>
      <x:c r="T218" s="653" t="n">
        <x:v>0</x:v>
      </x:c>
      <x:c r="U218" s="653">
        <x:v>0</x:v>
      </x:c>
      <x:c r="V218" s="653">
        <x:v>0</x:v>
      </x:c>
      <x:c r="W218" s="653">
        <x:v>0</x:v>
      </x:c>
      <x:c r="X218" s="653">
        <x:v>0</x:v>
      </x:c>
      <x:c r="Y218" s="653">
        <x:v>0</x:v>
      </x:c>
      <x:c r="Z218" s="653">
        <x:v>0</x:v>
      </x:c>
      <x:c r="BN218" s="624"/>
    </x:row>
    <x:row r="219" spans="1:66" x14ac:dyDescent="0.25">
      <x:c r="A219" s="628"/>
      <x:c r="B219" s="628"/>
      <x:c r="C219" s="628"/>
      <x:c r="D219" s="628"/>
      <x:c r="E219" s="629" t="inlineStr">
        <x:is>
          <x:t>Vlr Servicio</x:t>
        </x:is>
      </x:c>
      <x:c r="F219" s="630" t="n">
        <x:v>5488560.31</x:v>
      </x:c>
      <x:c r="G219" s="630" t="n">
        <x:v>1192372.44</x:v>
      </x:c>
      <x:c r="H219" s="630" t="n">
        <x:v>673202.48</x:v>
      </x:c>
      <x:c r="I219" s="630" t="n">
        <x:v>354188.76</x:v>
      </x:c>
      <x:c r="J219" s="630" t="n">
        <x:v>146402.13</x:v>
      </x:c>
      <x:c r="K219" s="630" t="n">
        <x:v>4071.4</x:v>
      </x:c>
      <x:c r="L219" s="630" t="n">
        <x:v>0</x:v>
      </x:c>
      <x:c r="M219" s="630" t="n">
        <x:v>35714.28</x:v>
      </x:c>
      <x:c r="N219" s="630" t="n">
        <x:v>52336.78</x:v>
      </x:c>
      <x:c r="O219" s="630" t="n">
        <x:v>246587.38</x:v>
      </x:c>
      <x:c r="P219" s="630" t="n">
        <x:v>2777052.32</x:v>
      </x:c>
      <x:c r="Q219" s="630" t="n">
        <x:v>6642.91</x:v>
      </x:c>
      <x:c r="R219" s="630" t="n">
        <x:v>-10.57</x:v>
      </x:c>
      <x:c r="S219" s="630" t="n">
        <x:v>0</x:v>
      </x:c>
      <x:c r="T219" s="630" t="n">
        <x:v>0</x:v>
      </x:c>
      <x:c r="U219" s="630">
        <x:v>0</x:v>
      </x:c>
      <x:c r="V219" s="630">
        <x:v>0</x:v>
      </x:c>
      <x:c r="W219" s="630">
        <x:v>0</x:v>
      </x:c>
      <x:c r="X219" s="630">
        <x:v>0</x:v>
      </x:c>
      <x:c r="Y219" s="630">
        <x:v>0</x:v>
      </x:c>
      <x:c r="Z219" s="630">
        <x:v>0</x:v>
      </x:c>
      <x:c r="AA219" s="628"/>
      <x:c r="AB219" s="628"/>
      <x:c r="AC219" s="628"/>
      <x:c r="AD219" s="628"/>
      <x:c r="AE219" s="628"/>
      <x:c r="AF219" s="628"/>
      <x:c r="AG219" s="628"/>
      <x:c r="AH219" s="628"/>
      <x:c r="AI219" s="628"/>
      <x:c r="AJ219" s="628"/>
      <x:c r="AK219" s="628"/>
      <x:c r="AL219" s="628"/>
      <x:c r="AM219" s="628"/>
      <x:c r="AN219" s="628"/>
      <x:c r="AO219" s="628"/>
      <x:c r="AP219" s="628"/>
      <x:c r="AQ219" s="628"/>
      <x:c r="AR219" s="628"/>
      <x:c r="AS219" s="628"/>
      <x:c r="AT219" s="628"/>
      <x:c r="AU219" s="628"/>
      <x:c r="AV219" s="628"/>
      <x:c r="AW219" s="628"/>
      <x:c r="AX219" s="628"/>
      <x:c r="AY219" s="628"/>
      <x:c r="AZ219" s="628"/>
      <x:c r="BA219" s="628"/>
      <x:c r="BB219" s="628"/>
      <x:c r="BC219" s="628"/>
      <x:c r="BD219" s="628"/>
      <x:c r="BE219" s="628"/>
      <x:c r="BF219" s="628"/>
      <x:c r="BG219" s="628"/>
      <x:c r="BH219" s="628"/>
      <x:c r="BI219" s="628"/>
      <x:c r="BJ219" s="628"/>
      <x:c r="BK219" s="628"/>
      <x:c r="BL219" s="628"/>
      <x:c r="BM219" s="628"/>
      <x:c r="BN219" s="624"/>
    </x:row>
    <x:row r="220" spans="1:66" x14ac:dyDescent="0.25">
      <x:c r="A220" s="635"/>
      <x:c r="B220" s="635"/>
      <x:c r="C220" s="635"/>
      <x:c r="D220" s="635"/>
      <x:c r="E220" s="636" t="inlineStr">
        <x:is>
          <x:t>Vlr Intereses</x:t>
        </x:is>
      </x:c>
      <x:c r="F220" s="637" t="n">
        <x:v>210264.54</x:v>
      </x:c>
      <x:c r="G220" s="637" t="n">
        <x:v>48144.03</x:v>
      </x:c>
      <x:c r="H220" s="637" t="n">
        <x:v>27190.87</x:v>
      </x:c>
      <x:c r="I220" s="637" t="n">
        <x:v>14305.98</x:v>
      </x:c>
      <x:c r="J220" s="637" t="n">
        <x:v>2694.5</x:v>
      </x:c>
      <x:c r="K220" s="637" t="n">
        <x:v>68.61</x:v>
      </x:c>
      <x:c r="L220" s="637" t="n">
        <x:v>0</x:v>
      </x:c>
      <x:c r="M220" s="637" t="n">
        <x:v>601.84</x:v>
      </x:c>
      <x:c r="N220" s="637" t="n">
        <x:v>880.77</x:v>
      </x:c>
      <x:c r="O220" s="637" t="n">
        <x:v>4098.26</x:v>
      </x:c>
      <x:c r="P220" s="637" t="n">
        <x:v>112167.64</x:v>
      </x:c>
      <x:c r="Q220" s="637" t="n">
        <x:v>111.9</x:v>
      </x:c>
      <x:c r="R220" s="637" t="n">
        <x:v>0.14</x:v>
      </x:c>
      <x:c r="S220" s="637" t="n">
        <x:v>0</x:v>
      </x:c>
      <x:c r="T220" s="637" t="n">
        <x:v>0</x:v>
      </x:c>
      <x:c r="U220" s="637">
        <x:v>0</x:v>
      </x:c>
      <x:c r="V220" s="637">
        <x:v>0</x:v>
      </x:c>
      <x:c r="W220" s="637">
        <x:v>0</x:v>
      </x:c>
      <x:c r="X220" s="637">
        <x:v>0</x:v>
      </x:c>
      <x:c r="Y220" s="637">
        <x:v>0</x:v>
      </x:c>
      <x:c r="Z220" s="637">
        <x:v>0</x:v>
      </x:c>
      <x:c r="AA220" s="635"/>
      <x:c r="AB220" s="635"/>
      <x:c r="AC220" s="635"/>
      <x:c r="AD220" s="635"/>
      <x:c r="AE220" s="635"/>
      <x:c r="AF220" s="635"/>
      <x:c r="AG220" s="635"/>
      <x:c r="AH220" s="635"/>
      <x:c r="AI220" s="635"/>
      <x:c r="AJ220" s="635"/>
      <x:c r="AK220" s="635"/>
      <x:c r="AL220" s="635"/>
      <x:c r="AM220" s="635"/>
      <x:c r="AN220" s="635"/>
      <x:c r="AO220" s="635"/>
      <x:c r="AP220" s="635"/>
      <x:c r="AQ220" s="635"/>
      <x:c r="AR220" s="635"/>
      <x:c r="AS220" s="635"/>
      <x:c r="AT220" s="635"/>
      <x:c r="AU220" s="635"/>
      <x:c r="AV220" s="635"/>
      <x:c r="AW220" s="635"/>
      <x:c r="AX220" s="635"/>
      <x:c r="AY220" s="635"/>
      <x:c r="AZ220" s="635"/>
      <x:c r="BA220" s="635"/>
      <x:c r="BB220" s="635"/>
      <x:c r="BC220" s="635"/>
      <x:c r="BD220" s="635"/>
      <x:c r="BE220" s="635"/>
      <x:c r="BF220" s="635"/>
      <x:c r="BG220" s="635"/>
      <x:c r="BH220" s="635"/>
      <x:c r="BI220" s="635"/>
      <x:c r="BJ220" s="635"/>
      <x:c r="BK220" s="635"/>
      <x:c r="BL220" s="635"/>
      <x:c r="BM220" s="635"/>
      <x:c r="BN220" s="624"/>
    </x:row>
    <x:row r="221" spans="1:66" x14ac:dyDescent="0.25">
      <x:c r="A221"/>
      <x:c r="B221"/>
      <x:c r="C221"/>
      <x:c r="D221" t="inlineStr">
        <x:is>
          <x:t>T</x:t>
        </x:is>
      </x:c>
      <x:c r="E221" s="625" t="inlineStr">
        <x:is>
          <x:t>Total</x:t>
        </x:is>
      </x:c>
      <x:c r="F221" s="627" t="n">
        <x:v>5698824.85</x:v>
      </x:c>
      <x:c r="G221" s="627" t="n">
        <x:v>1240516.47</x:v>
      </x:c>
      <x:c r="H221" s="627" t="n">
        <x:v>700393.35</x:v>
      </x:c>
      <x:c r="I221" s="627" t="n">
        <x:v>368494.74</x:v>
      </x:c>
      <x:c r="J221" s="627" t="n">
        <x:v>149096.63</x:v>
      </x:c>
      <x:c r="K221" s="627" t="n">
        <x:v>4140.01</x:v>
      </x:c>
      <x:c r="L221" s="627" t="n">
        <x:v>0</x:v>
      </x:c>
      <x:c r="M221" s="627" t="n">
        <x:v>36316.12</x:v>
      </x:c>
      <x:c r="N221" s="627" t="n">
        <x:v>53217.55</x:v>
      </x:c>
      <x:c r="O221" s="627" t="n">
        <x:v>250685.64</x:v>
      </x:c>
      <x:c r="P221" s="627" t="n">
        <x:v>2889219.96</x:v>
      </x:c>
      <x:c r="Q221" s="627" t="n">
        <x:v>6754.81</x:v>
      </x:c>
      <x:c r="R221" s="627" t="n">
        <x:v>-10.43</x:v>
      </x:c>
      <x:c r="S221" s="627" t="n">
        <x:v>0</x:v>
      </x:c>
      <x:c r="T221" s="653" t="n">
        <x:v>0</x:v>
      </x:c>
      <x:c r="U221" s="653">
        <x:v>0</x:v>
      </x:c>
      <x:c r="V221" s="653">
        <x:v>0</x:v>
      </x:c>
      <x:c r="W221" s="653">
        <x:v>0</x:v>
      </x:c>
      <x:c r="X221" s="653">
        <x:v>0</x:v>
      </x:c>
      <x:c r="Y221" s="653">
        <x:v>0</x:v>
      </x:c>
      <x:c r="Z221" s="653">
        <x:v>0</x:v>
      </x:c>
      <x:c r="BN221" s="624"/>
    </x:row>
    <x:row r="222" spans="1:66" x14ac:dyDescent="0.25">
      <x:c r="A222"/>
      <x:c r="B222"/>
      <x:c r="C222" t="inlineStr">
        <x:is>
          <x:t>OCCIDENTE</x:t>
        </x:is>
      </x:c>
      <x:c r="D222" t="inlineStr">
        <x:is>
          <x:t>Total</x:t>
        </x:is>
      </x:c>
      <x:c r="E222" s="625"/>
      <x:c r="F222" s="627" t="n">
        <x:v>5698824.85</x:v>
      </x:c>
      <x:c r="G222" s="627" t="n">
        <x:v>1240516.47</x:v>
      </x:c>
      <x:c r="H222" s="627" t="n">
        <x:v>700393.35</x:v>
      </x:c>
      <x:c r="I222" s="627" t="n">
        <x:v>368494.74</x:v>
      </x:c>
      <x:c r="J222" s="627" t="n">
        <x:v>149096.63</x:v>
      </x:c>
      <x:c r="K222" s="627" t="n">
        <x:v>4140.01</x:v>
      </x:c>
      <x:c r="L222" s="627" t="n">
        <x:v>0</x:v>
      </x:c>
      <x:c r="M222" s="627" t="n">
        <x:v>36316.12</x:v>
      </x:c>
      <x:c r="N222" s="627" t="n">
        <x:v>53217.55</x:v>
      </x:c>
      <x:c r="O222" s="627" t="n">
        <x:v>250685.64</x:v>
      </x:c>
      <x:c r="P222" s="627" t="n">
        <x:v>2889219.96</x:v>
      </x:c>
      <x:c r="Q222" s="627" t="n">
        <x:v>6754.81</x:v>
      </x:c>
      <x:c r="R222" s="627" t="n">
        <x:v>-10.43</x:v>
      </x:c>
      <x:c r="S222" s="627" t="n">
        <x:v>0</x:v>
      </x:c>
      <x:c r="T222" s="653" t="n">
        <x:v>0</x:v>
      </x:c>
      <x:c r="U222" s="653">
        <x:v>0</x:v>
      </x:c>
      <x:c r="V222" s="653">
        <x:v>0</x:v>
      </x:c>
      <x:c r="W222" s="653">
        <x:v>0</x:v>
      </x:c>
      <x:c r="X222" s="653">
        <x:v>0</x:v>
      </x:c>
      <x:c r="Y222" s="653">
        <x:v>0</x:v>
      </x:c>
      <x:c r="Z222" s="653">
        <x:v>0</x:v>
      </x:c>
      <x:c r="BN222" s="624"/>
    </x:row>
    <x:row r="223" spans="1:66" x14ac:dyDescent="0.25">
      <x:c r="A223"/>
      <x:c r="B223" t="inlineStr">
        <x:is>
          <x:t>Aplicacion nuevos x reversion</x:t>
        </x:is>
      </x:c>
      <x:c r="C223" t="inlineStr">
        <x:is>
          <x:t>Total</x:t>
        </x:is>
      </x:c>
      <x:c r="D223" s="25"/>
      <x:c r="E223" s="625"/>
      <x:c r="F223" s="627" t="n">
        <x:v>5698824.85</x:v>
      </x:c>
      <x:c r="G223" s="627" t="n">
        <x:v>1240516.47</x:v>
      </x:c>
      <x:c r="H223" s="627" t="n">
        <x:v>700393.35</x:v>
      </x:c>
      <x:c r="I223" s="627" t="n">
        <x:v>368494.74</x:v>
      </x:c>
      <x:c r="J223" s="627" t="n">
        <x:v>149096.63</x:v>
      </x:c>
      <x:c r="K223" s="627" t="n">
        <x:v>4140.01</x:v>
      </x:c>
      <x:c r="L223" s="627" t="n">
        <x:v>0</x:v>
      </x:c>
      <x:c r="M223" s="627" t="n">
        <x:v>36316.12</x:v>
      </x:c>
      <x:c r="N223" s="627" t="n">
        <x:v>53217.55</x:v>
      </x:c>
      <x:c r="O223" s="627" t="n">
        <x:v>250685.64</x:v>
      </x:c>
      <x:c r="P223" s="627" t="n">
        <x:v>2889219.96</x:v>
      </x:c>
      <x:c r="Q223" s="627" t="n">
        <x:v>6754.81</x:v>
      </x:c>
      <x:c r="R223" s="627" t="n">
        <x:v>-10.43</x:v>
      </x:c>
      <x:c r="S223" s="627" t="n">
        <x:v>0</x:v>
      </x:c>
      <x:c r="T223" s="653" t="n">
        <x:v>0</x:v>
      </x:c>
      <x:c r="U223" s="653">
        <x:v>0</x:v>
      </x:c>
      <x:c r="V223" s="653">
        <x:v>0</x:v>
      </x:c>
      <x:c r="W223" s="653">
        <x:v>0</x:v>
      </x:c>
      <x:c r="X223" s="653">
        <x:v>0</x:v>
      </x:c>
      <x:c r="Y223" s="653">
        <x:v>0</x:v>
      </x:c>
      <x:c r="Z223" s="653">
        <x:v>0</x:v>
      </x:c>
      <x:c r="BN223" s="624"/>
    </x:row>
    <x:row r="224" spans="1:66" x14ac:dyDescent="0.25">
      <x:c r="A224" s="628"/>
      <x:c r="B224" s="628"/>
      <x:c r="C224" s="628"/>
      <x:c r="D224" s="628"/>
      <x:c r="E224" s="629" t="inlineStr">
        <x:is>
          <x:t>Vlr Servicio</x:t>
        </x:is>
      </x:c>
      <x:c r="F224" s="630" t="n">
        <x:v>11219270971.16</x:v>
      </x:c>
      <x:c r="G224" s="630" t="n">
        <x:v>623996742.57</x:v>
      </x:c>
      <x:c r="H224" s="630" t="n">
        <x:v>351974276.49</x:v>
      </x:c>
      <x:c r="I224" s="630" t="n">
        <x:v>184938298.76</x:v>
      </x:c>
      <x:c r="J224" s="630" t="n">
        <x:v>2625349515.58</x:v>
      </x:c>
      <x:c r="K224" s="630" t="n">
        <x:v>98282694.16</x:v>
      </x:c>
      <x:c r="L224" s="630" t="n">
        <x:v>15459325.41</x:v>
      </x:c>
      <x:c r="M224" s="630" t="n">
        <x:v>862900321.15</x:v>
      </x:c>
      <x:c r="N224" s="630" t="n">
        <x:v>845852329.95</x:v>
      </x:c>
      <x:c r="O224" s="630" t="n">
        <x:v>4001112095.5</x:v>
      </x:c>
      <x:c r="P224" s="630" t="n">
        <x:v>1448814186.4</x:v>
      </x:c>
      <x:c r="Q224" s="630" t="n">
        <x:v>160509908.76</x:v>
      </x:c>
      <x:c r="R224" s="630" t="n">
        <x:v>81276.43</x:v>
      </x:c>
      <x:c r="S224" s="630" t="n">
        <x:v>0</x:v>
      </x:c>
      <x:c r="T224" s="630" t="n">
        <x:v>0</x:v>
      </x:c>
      <x:c r="U224" s="630">
        <x:v>0</x:v>
      </x:c>
      <x:c r="V224" s="630">
        <x:v>0</x:v>
      </x:c>
      <x:c r="W224" s="630">
        <x:v>0</x:v>
      </x:c>
      <x:c r="X224" s="630">
        <x:v>0</x:v>
      </x:c>
      <x:c r="Y224" s="630">
        <x:v>0</x:v>
      </x:c>
      <x:c r="Z224" s="630">
        <x:v>0</x:v>
      </x:c>
      <x:c r="AA224" s="628"/>
      <x:c r="AB224" s="628"/>
      <x:c r="AC224" s="628"/>
      <x:c r="AD224" s="628"/>
      <x:c r="AE224" s="628"/>
      <x:c r="AF224" s="628"/>
      <x:c r="AG224" s="628"/>
      <x:c r="AH224" s="628"/>
      <x:c r="AI224" s="628"/>
      <x:c r="AJ224" s="628"/>
      <x:c r="AK224" s="628"/>
      <x:c r="AL224" s="628"/>
      <x:c r="AM224" s="628"/>
      <x:c r="AN224" s="628"/>
      <x:c r="AO224" s="628"/>
      <x:c r="AP224" s="628"/>
      <x:c r="AQ224" s="628"/>
      <x:c r="AR224" s="628"/>
      <x:c r="AS224" s="628"/>
      <x:c r="AT224" s="628"/>
      <x:c r="AU224" s="628"/>
      <x:c r="AV224" s="628"/>
      <x:c r="AW224" s="628"/>
      <x:c r="AX224" s="628"/>
      <x:c r="AY224" s="628"/>
      <x:c r="AZ224" s="628"/>
      <x:c r="BA224" s="628"/>
      <x:c r="BB224" s="628"/>
      <x:c r="BC224" s="628"/>
      <x:c r="BD224" s="628"/>
      <x:c r="BE224" s="628"/>
      <x:c r="BF224" s="628"/>
      <x:c r="BG224" s="628"/>
      <x:c r="BH224" s="628"/>
      <x:c r="BI224" s="628"/>
      <x:c r="BJ224" s="628"/>
      <x:c r="BK224" s="628"/>
      <x:c r="BL224" s="628"/>
      <x:c r="BM224" s="628"/>
      <x:c r="BN224" s="624"/>
    </x:row>
    <x:row r="225" spans="1:66" x14ac:dyDescent="0.25">
      <x:c r="A225"/>
      <x:c r="B225"/>
      <x:c r="C225"/>
      <x:c r="D225"/>
      <x:c r="E225" s="625" t="inlineStr">
        <x:is>
          <x:t>Vlr Intereses</x:t>
        </x:is>
      </x:c>
      <x:c r="F225" s="627" t="n">
        <x:v>9726149.83</x:v>
      </x:c>
      <x:c r="G225" s="627" t="n">
        <x:v>938023.23</x:v>
      </x:c>
      <x:c r="H225" s="627" t="n">
        <x:v>467449.7</x:v>
      </x:c>
      <x:c r="I225" s="627" t="n">
        <x:v>226117.32</x:v>
      </x:c>
      <x:c r="J225" s="627" t="n">
        <x:v>1797524.48</x:v>
      </x:c>
      <x:c r="K225" s="627" t="n">
        <x:v>76739.32</x:v>
      </x:c>
      <x:c r="L225" s="627" t="n">
        <x:v>6831.91</x:v>
      </x:c>
      <x:c r="M225" s="627" t="n">
        <x:v>672416.67</x:v>
      </x:c>
      <x:c r="N225" s="627" t="n">
        <x:v>631393.24</x:v>
      </x:c>
      <x:c r="O225" s="627" t="n">
        <x:v>2605163.1</x:v>
      </x:c>
      <x:c r="P225" s="627" t="n">
        <x:v>2179137.78</x:v>
      </x:c>
      <x:c r="Q225" s="627" t="n">
        <x:v>125342.47</x:v>
      </x:c>
      <x:c r="R225" s="627" t="n">
        <x:v>8.91</x:v>
      </x:c>
      <x:c r="S225" s="627" t="n">
        <x:v>1.43</x:v>
      </x:c>
      <x:c r="T225" s="653" t="n">
        <x:v>0.27</x:v>
      </x:c>
      <x:c r="U225" s="653">
        <x:v>0</x:v>
      </x:c>
      <x:c r="V225" s="653">
        <x:v>0</x:v>
      </x:c>
      <x:c r="W225" s="653">
        <x:v>0</x:v>
      </x:c>
      <x:c r="X225" s="653">
        <x:v>0</x:v>
      </x:c>
      <x:c r="Y225" s="653">
        <x:v>0</x:v>
      </x:c>
      <x:c r="Z225" s="653">
        <x:v>0</x:v>
      </x:c>
      <x:c r="BN225" s="624"/>
    </x:row>
    <x:row r="226" spans="1:66" x14ac:dyDescent="0.25">
      <x:c r="A226"/>
      <x:c r="B226"/>
      <x:c r="C226"/>
      <x:c r="D226" t="inlineStr">
        <x:is>
          <x:t>E</x:t>
        </x:is>
      </x:c>
      <x:c r="E226" s="625" t="inlineStr">
        <x:is>
          <x:t>Total</x:t>
        </x:is>
      </x:c>
      <x:c r="F226" s="627" t="n">
        <x:v>11228997120.99</x:v>
      </x:c>
      <x:c r="G226" s="627" t="n">
        <x:v>624934765.8</x:v>
      </x:c>
      <x:c r="H226" s="627" t="n">
        <x:v>352441726.19</x:v>
      </x:c>
      <x:c r="I226" s="627" t="n">
        <x:v>185164416.08</x:v>
      </x:c>
      <x:c r="J226" s="627" t="n">
        <x:v>2627147040.06</x:v>
      </x:c>
      <x:c r="K226" s="627" t="n">
        <x:v>98359433.48</x:v>
      </x:c>
      <x:c r="L226" s="627" t="n">
        <x:v>15466157.32</x:v>
      </x:c>
      <x:c r="M226" s="627" t="n">
        <x:v>863572737.82</x:v>
      </x:c>
      <x:c r="N226" s="627" t="n">
        <x:v>846483723.19</x:v>
      </x:c>
      <x:c r="O226" s="627" t="n">
        <x:v>4003717258.6</x:v>
      </x:c>
      <x:c r="P226" s="627" t="n">
        <x:v>1450993324.18</x:v>
      </x:c>
      <x:c r="Q226" s="627" t="n">
        <x:v>160635251.23</x:v>
      </x:c>
      <x:c r="R226" s="627" t="n">
        <x:v>81285.34</x:v>
      </x:c>
      <x:c r="S226" s="627" t="n">
        <x:v>1.43</x:v>
      </x:c>
      <x:c r="T226" s="653" t="n">
        <x:v>0.27</x:v>
      </x:c>
      <x:c r="U226" s="653">
        <x:v>0</x:v>
      </x:c>
      <x:c r="V226" s="653">
        <x:v>0</x:v>
      </x:c>
      <x:c r="W226" s="653">
        <x:v>0</x:v>
      </x:c>
      <x:c r="X226" s="653">
        <x:v>0</x:v>
      </x:c>
      <x:c r="Y226" s="653">
        <x:v>0</x:v>
      </x:c>
      <x:c r="Z226" s="653">
        <x:v>0</x:v>
      </x:c>
      <x:c r="BN226" s="624"/>
    </x:row>
    <x:row r="227" spans="1:66" x14ac:dyDescent="0.25">
      <x:c r="A227"/>
      <x:c r="B227"/>
      <x:c r="C227" t="inlineStr">
        <x:is>
          <x:t>ENEL</x:t>
        </x:is>
      </x:c>
      <x:c r="D227" s="625" t="inlineStr">
        <x:is>
          <x:t>Total</x:t>
        </x:is>
      </x:c>
      <x:c r="E227" s="625"/>
      <x:c r="F227" s="627" t="n">
        <x:v>11228997120.99</x:v>
      </x:c>
      <x:c r="G227" s="627" t="n">
        <x:v>624934765.8</x:v>
      </x:c>
      <x:c r="H227" s="627" t="n">
        <x:v>352441726.19</x:v>
      </x:c>
      <x:c r="I227" s="627" t="n">
        <x:v>185164416.08</x:v>
      </x:c>
      <x:c r="J227" s="627" t="n">
        <x:v>2627147040.06</x:v>
      </x:c>
      <x:c r="K227" s="627" t="n">
        <x:v>98359433.48</x:v>
      </x:c>
      <x:c r="L227" s="627" t="n">
        <x:v>15466157.32</x:v>
      </x:c>
      <x:c r="M227" s="627" t="n">
        <x:v>863572737.82</x:v>
      </x:c>
      <x:c r="N227" s="627" t="n">
        <x:v>846483723.19</x:v>
      </x:c>
      <x:c r="O227" s="627" t="n">
        <x:v>4003717258.6</x:v>
      </x:c>
      <x:c r="P227" s="627" t="n">
        <x:v>1450993324.18</x:v>
      </x:c>
      <x:c r="Q227" s="627" t="n">
        <x:v>160635251.23</x:v>
      </x:c>
      <x:c r="R227" s="627" t="n">
        <x:v>81285.34</x:v>
      </x:c>
      <x:c r="S227" s="627" t="n">
        <x:v>1.43</x:v>
      </x:c>
      <x:c r="T227" s="653" t="n">
        <x:v>0.27</x:v>
      </x:c>
      <x:c r="U227" s="653">
        <x:v>0</x:v>
      </x:c>
      <x:c r="V227" s="653">
        <x:v>0</x:v>
      </x:c>
      <x:c r="W227" s="653">
        <x:v>0</x:v>
      </x:c>
      <x:c r="X227" s="653">
        <x:v>0</x:v>
      </x:c>
      <x:c r="Y227" s="653">
        <x:v>0</x:v>
      </x:c>
      <x:c r="Z227" s="653">
        <x:v>0</x:v>
      </x:c>
      <x:c r="BN227" s="624"/>
    </x:row>
    <x:row r="228" spans="1:66" x14ac:dyDescent="0.25">
      <x:c r="A228"/>
      <x:c r="B228"/>
      <x:c r="C228"/>
      <x:c r="D228" s="625"/>
      <x:c r="E228" s="625" t="inlineStr">
        <x:is>
          <x:t>Vlr Servicio</x:t>
        </x:is>
      </x:c>
      <x:c r="F228" s="627" t="n">
        <x:v>22148960.9</x:v>
      </x:c>
      <x:c r="G228" s="627" t="n">
        <x:v>2579522.97</x:v>
      </x:c>
      <x:c r="H228" s="627" t="n">
        <x:v>1453206.94</x:v>
      </x:c>
      <x:c r="I228" s="627" t="n">
        <x:v>764236.13</x:v>
      </x:c>
      <x:c r="J228" s="627" t="n">
        <x:v>3203349.61</x:v>
      </x:c>
      <x:c r="K228" s="627" t="n">
        <x:v>99797.33</x:v>
      </x:c>
      <x:c r="L228" s="627" t="n">
        <x:v>0</x:v>
      </x:c>
      <x:c r="M228" s="627" t="n">
        <x:v>873293.61</x:v>
      </x:c>
      <x:c r="N228" s="627" t="n">
        <x:v>1222596.1</x:v>
      </x:c>
      <x:c r="O228" s="627" t="n">
        <x:v>5808726.54</x:v>
      </x:c>
      <x:c r="P228" s="627" t="n">
        <x:v>5980908.06</x:v>
      </x:c>
      <x:c r="Q228" s="627" t="n">
        <x:v>163445.12</x:v>
      </x:c>
      <x:c r="R228" s="627" t="n">
        <x:v>-121.51</x:v>
      </x:c>
      <x:c r="S228" s="627" t="n">
        <x:v>0</x:v>
      </x:c>
      <x:c r="T228" s="653" t="n">
        <x:v>0</x:v>
      </x:c>
      <x:c r="U228" s="653">
        <x:v>0</x:v>
      </x:c>
      <x:c r="V228" s="653">
        <x:v>0</x:v>
      </x:c>
      <x:c r="W228" s="653">
        <x:v>0</x:v>
      </x:c>
      <x:c r="X228" s="653">
        <x:v>0</x:v>
      </x:c>
      <x:c r="Y228" s="653">
        <x:v>0</x:v>
      </x:c>
      <x:c r="Z228" s="653">
        <x:v>0</x:v>
      </x:c>
      <x:c r="BN228" s="624"/>
    </x:row>
    <x:row r="229" spans="1:66" x14ac:dyDescent="0.25">
      <x:c r="A229"/>
      <x:c r="B229"/>
      <x:c r="C229"/>
      <x:c r="D229"/>
      <x:c r="E229" s="625" t="inlineStr">
        <x:is>
          <x:t>Vlr Intereses</x:t>
        </x:is>
      </x:c>
      <x:c r="F229" s="627" t="n">
        <x:v>79592.67</x:v>
      </x:c>
      <x:c r="G229" s="627" t="n">
        <x:v>7629.18</x:v>
      </x:c>
      <x:c r="H229" s="627" t="n">
        <x:v>4222.34</x:v>
      </x:c>
      <x:c r="I229" s="627" t="n">
        <x:v>2242.67</x:v>
      </x:c>
      <x:c r="J229" s="627" t="n">
        <x:v>14318.74</x:v>
      </x:c>
      <x:c r="K229" s="627" t="n">
        <x:v>470.11</x:v>
      </x:c>
      <x:c r="L229" s="627" t="n">
        <x:v>0</x:v>
      </x:c>
      <x:c r="M229" s="627" t="n">
        <x:v>4078.27</x:v>
      </x:c>
      <x:c r="N229" s="627" t="n">
        <x:v>4947.22</x:v>
      </x:c>
      <x:c r="O229" s="627" t="n">
        <x:v>23345.8</x:v>
      </x:c>
      <x:c r="P229" s="627" t="n">
        <x:v>17571.62</x:v>
      </x:c>
      <x:c r="Q229" s="627" t="n">
        <x:v>766.38</x:v>
      </x:c>
      <x:c r="R229" s="627" t="n">
        <x:v>0.34</x:v>
      </x:c>
      <x:c r="S229" s="627" t="n">
        <x:v>0</x:v>
      </x:c>
      <x:c r="T229" s="653" t="n">
        <x:v>0</x:v>
      </x:c>
      <x:c r="U229" s="653">
        <x:v>0</x:v>
      </x:c>
      <x:c r="V229" s="653">
        <x:v>0</x:v>
      </x:c>
      <x:c r="W229" s="653">
        <x:v>0</x:v>
      </x:c>
      <x:c r="X229" s="653">
        <x:v>0</x:v>
      </x:c>
      <x:c r="Y229" s="653">
        <x:v>0</x:v>
      </x:c>
      <x:c r="Z229" s="653">
        <x:v>0</x:v>
      </x:c>
      <x:c r="BN229" s="624"/>
    </x:row>
    <x:row r="230" spans="1:66" x14ac:dyDescent="0.25">
      <x:c r="A230"/>
      <x:c r="B230"/>
      <x:c r="C230"/>
      <x:c r="D230" s="625" t="inlineStr">
        <x:is>
          <x:t>H</x:t>
        </x:is>
      </x:c>
      <x:c r="E230" s="625" t="inlineStr">
        <x:is>
          <x:t>Total</x:t>
        </x:is>
      </x:c>
      <x:c r="F230" s="627" t="n">
        <x:v>22228553.57</x:v>
      </x:c>
      <x:c r="G230" s="627" t="n">
        <x:v>2587152.15</x:v>
      </x:c>
      <x:c r="H230" s="627" t="n">
        <x:v>1457429.28</x:v>
      </x:c>
      <x:c r="I230" s="627" t="n">
        <x:v>766478.8</x:v>
      </x:c>
      <x:c r="J230" s="627" t="n">
        <x:v>3217668.35</x:v>
      </x:c>
      <x:c r="K230" s="627" t="n">
        <x:v>100267.44</x:v>
      </x:c>
      <x:c r="L230" s="627" t="n">
        <x:v>0</x:v>
      </x:c>
      <x:c r="M230" s="627" t="n">
        <x:v>877371.88</x:v>
      </x:c>
      <x:c r="N230" s="627" t="n">
        <x:v>1227543.32</x:v>
      </x:c>
      <x:c r="O230" s="627" t="n">
        <x:v>5832072.34</x:v>
      </x:c>
      <x:c r="P230" s="627" t="n">
        <x:v>5998479.68</x:v>
      </x:c>
      <x:c r="Q230" s="627" t="n">
        <x:v>164211.5</x:v>
      </x:c>
      <x:c r="R230" s="627" t="n">
        <x:v>-121.17</x:v>
      </x:c>
      <x:c r="S230" s="627" t="n">
        <x:v>0</x:v>
      </x:c>
      <x:c r="T230" s="653" t="n">
        <x:v>0</x:v>
      </x:c>
      <x:c r="U230" s="653">
        <x:v>0</x:v>
      </x:c>
      <x:c r="V230" s="653">
        <x:v>0</x:v>
      </x:c>
      <x:c r="W230" s="653">
        <x:v>0</x:v>
      </x:c>
      <x:c r="X230" s="653">
        <x:v>0</x:v>
      </x:c>
      <x:c r="Y230" s="653">
        <x:v>0</x:v>
      </x:c>
      <x:c r="Z230" s="653">
        <x:v>0</x:v>
      </x:c>
      <x:c r="BN230" s="624"/>
    </x:row>
    <x:row r="231" spans="1:66" x14ac:dyDescent="0.25">
      <x:c r="A231"/>
      <x:c r="B231"/>
      <x:c r="C231"/>
      <x:c r="D231"/>
      <x:c r="E231" s="625" t="inlineStr">
        <x:is>
          <x:t>Vlr Servicio</x:t>
        </x:is>
      </x:c>
      <x:c r="F231" s="627" t="n">
        <x:v>31847162.57</x:v>
      </x:c>
      <x:c r="G231" s="627" t="n">
        <x:v>2853179.59</x:v>
      </x:c>
      <x:c r="H231" s="627" t="n">
        <x:v>1539379.18</x:v>
      </x:c>
      <x:c r="I231" s="627" t="n">
        <x:v>789425.43</x:v>
      </x:c>
      <x:c r="J231" s="627" t="n">
        <x:v>3771929.06</x:v>
      </x:c>
      <x:c r="K231" s="627" t="n">
        <x:v>191733.85</x:v>
      </x:c>
      <x:c r="L231" s="627" t="n">
        <x:v>5516672.55</x:v>
      </x:c>
      <x:c r="M231" s="627" t="n">
        <x:v>1676106.06</x:v>
      </x:c>
      <x:c r="N231" s="627" t="n">
        <x:v>1624466.74</x:v>
      </x:c>
      <x:c r="O231" s="627" t="n">
        <x:v>7004153.28</x:v>
      </x:c>
      <x:c r="P231" s="627" t="n">
        <x:v>6565904.45</x:v>
      </x:c>
      <x:c r="Q231" s="627" t="n">
        <x:v>314623.22</x:v>
      </x:c>
      <x:c r="R231" s="627" t="n">
        <x:v>-410.84</x:v>
      </x:c>
      <x:c r="S231" s="627" t="n">
        <x:v>0</x:v>
      </x:c>
      <x:c r="T231" s="653" t="n">
        <x:v>0</x:v>
      </x:c>
      <x:c r="U231" s="653">
        <x:v>0</x:v>
      </x:c>
      <x:c r="V231" s="653">
        <x:v>0</x:v>
      </x:c>
      <x:c r="W231" s="653">
        <x:v>0</x:v>
      </x:c>
      <x:c r="X231" s="653">
        <x:v>0</x:v>
      </x:c>
      <x:c r="Y231" s="653">
        <x:v>0</x:v>
      </x:c>
      <x:c r="Z231" s="653">
        <x:v>0</x:v>
      </x:c>
      <x:c r="BN231" s="624"/>
    </x:row>
    <x:row r="232" spans="1:66" x14ac:dyDescent="0.25">
      <x:c r="A232"/>
      <x:c r="B232"/>
      <x:c r="C232"/>
      <x:c r="D232"/>
      <x:c r="E232" s="625" t="inlineStr">
        <x:is>
          <x:t>Vlr Intereses</x:t>
        </x:is>
      </x:c>
      <x:c r="F232" s="627" t="n">
        <x:v>1661990.85</x:v>
      </x:c>
      <x:c r="G232" s="627" t="n">
        <x:v>230157.12</x:v>
      </x:c>
      <x:c r="H232" s="627" t="n">
        <x:v>114660.87</x:v>
      </x:c>
      <x:c r="I232" s="627" t="n">
        <x:v>50633.78</x:v>
      </x:c>
      <x:c r="J232" s="627" t="n">
        <x:v>233439.89</x:v>
      </x:c>
      <x:c r="K232" s="627" t="n">
        <x:v>11329.54</x:v>
      </x:c>
      <x:c r="L232" s="627" t="n">
        <x:v>0</x:v>
      </x:c>
      <x:c r="M232" s="627" t="n">
        <x:v>99384.95</x:v>
      </x:c>
      <x:c r="N232" s="627" t="n">
        <x:v>87901.95</x:v>
      </x:c>
      <x:c r="O232" s="627" t="n">
        <x:v>301873.35</x:v>
      </x:c>
      <x:c r="P232" s="627" t="n">
        <x:v>514036.82</x:v>
      </x:c>
      <x:c r="Q232" s="627" t="n">
        <x:v>18567.23</x:v>
      </x:c>
      <x:c r="R232" s="627" t="n">
        <x:v>5.35</x:v>
      </x:c>
      <x:c r="S232" s="627" t="n">
        <x:v>0</x:v>
      </x:c>
      <x:c r="T232" s="653" t="n">
        <x:v>0</x:v>
      </x:c>
      <x:c r="U232" s="653">
        <x:v>0</x:v>
      </x:c>
      <x:c r="V232" s="653">
        <x:v>0</x:v>
      </x:c>
      <x:c r="W232" s="653">
        <x:v>0</x:v>
      </x:c>
      <x:c r="X232" s="653">
        <x:v>0</x:v>
      </x:c>
      <x:c r="Y232" s="653">
        <x:v>0</x:v>
      </x:c>
      <x:c r="Z232" s="653">
        <x:v>0</x:v>
      </x:c>
      <x:c r="BN232" s="624"/>
    </x:row>
    <x:row r="233" spans="1:66" x14ac:dyDescent="0.25">
      <x:c r="A233"/>
      <x:c r="B233"/>
      <x:c r="C233"/>
      <x:c r="D233" s="625" t="inlineStr">
        <x:is>
          <x:t>O</x:t>
        </x:is>
      </x:c>
      <x:c r="E233" s="625" t="inlineStr">
        <x:is>
          <x:t>Total</x:t>
        </x:is>
      </x:c>
      <x:c r="F233" s="627" t="n">
        <x:v>33509153.42</x:v>
      </x:c>
      <x:c r="G233" s="627" t="n">
        <x:v>3083336.71</x:v>
      </x:c>
      <x:c r="H233" s="627" t="n">
        <x:v>1654040.05</x:v>
      </x:c>
      <x:c r="I233" s="627" t="n">
        <x:v>840059.21</x:v>
      </x:c>
      <x:c r="J233" s="627" t="n">
        <x:v>4005368.95</x:v>
      </x:c>
      <x:c r="K233" s="627" t="n">
        <x:v>203063.39</x:v>
      </x:c>
      <x:c r="L233" s="627" t="n">
        <x:v>5516672.55</x:v>
      </x:c>
      <x:c r="M233" s="627" t="n">
        <x:v>1775491.01</x:v>
      </x:c>
      <x:c r="N233" s="627" t="n">
        <x:v>1712368.69</x:v>
      </x:c>
      <x:c r="O233" s="627" t="n">
        <x:v>7306026.63</x:v>
      </x:c>
      <x:c r="P233" s="627" t="n">
        <x:v>7079941.27</x:v>
      </x:c>
      <x:c r="Q233" s="627" t="n">
        <x:v>333190.45</x:v>
      </x:c>
      <x:c r="R233" s="627" t="n">
        <x:v>-405.49</x:v>
      </x:c>
      <x:c r="S233" s="627" t="n">
        <x:v>0</x:v>
      </x:c>
      <x:c r="T233" s="653" t="n">
        <x:v>0</x:v>
      </x:c>
      <x:c r="U233" s="653">
        <x:v>0</x:v>
      </x:c>
      <x:c r="V233" s="653">
        <x:v>0</x:v>
      </x:c>
      <x:c r="W233" s="653">
        <x:v>0</x:v>
      </x:c>
      <x:c r="X233" s="653">
        <x:v>0</x:v>
      </x:c>
      <x:c r="Y233" s="653">
        <x:v>0</x:v>
      </x:c>
      <x:c r="Z233" s="653">
        <x:v>0</x:v>
      </x:c>
      <x:c r="BN233" s="624"/>
    </x:row>
    <x:row r="234" spans="1:66" x14ac:dyDescent="0.25">
      <x:c r="A234" s="631"/>
      <x:c r="B234" s="631"/>
      <x:c r="C234" s="632"/>
      <x:c r="D234" s="632"/>
      <x:c r="E234" s="631" t="inlineStr">
        <x:is>
          <x:t>Vlr Servicio</x:t>
        </x:is>
      </x:c>
      <x:c r="F234" s="633" t="n">
        <x:v>251739346.56</x:v>
      </x:c>
      <x:c r="G234" s="633" t="n">
        <x:v>49903081.92</x:v>
      </x:c>
      <x:c r="H234" s="633" t="n">
        <x:v>28101184.15</x:v>
      </x:c>
      <x:c r="I234" s="633" t="n">
        <x:v>14800459.97</x:v>
      </x:c>
      <x:c r="J234" s="633" t="n">
        <x:v>9275440.64</x:v>
      </x:c>
      <x:c r="K234" s="633" t="n">
        <x:v>272948.35</x:v>
      </x:c>
      <x:c r="L234" s="633" t="n">
        <x:v>11319187.67</x:v>
      </x:c>
      <x:c r="M234" s="633" t="n">
        <x:v>2387571.28</x:v>
      </x:c>
      <x:c r="N234" s="633" t="n">
        <x:v>3358318.82</x:v>
      </x:c>
      <x:c r="O234" s="633" t="n">
        <x:v>15919729.98</x:v>
      </x:c>
      <x:c r="P234" s="633" t="n">
        <x:v>115956078.88</x:v>
      </x:c>
      <x:c r="Q234" s="633" t="n">
        <x:v>445753.68</x:v>
      </x:c>
      <x:c r="R234" s="633" t="n">
        <x:v>-408.78</x:v>
      </x:c>
      <x:c r="S234" s="633" t="n">
        <x:v>0</x:v>
      </x:c>
      <x:c r="T234" s="633" t="n">
        <x:v>0</x:v>
      </x:c>
      <x:c r="U234" s="633">
        <x:v>0</x:v>
      </x:c>
      <x:c r="V234" s="633">
        <x:v>0</x:v>
      </x:c>
      <x:c r="W234" s="633">
        <x:v>0</x:v>
      </x:c>
      <x:c r="X234" s="633">
        <x:v>0</x:v>
      </x:c>
      <x:c r="Y234" s="633">
        <x:v>0</x:v>
      </x:c>
      <x:c r="Z234" s="633">
        <x:v>0</x:v>
      </x:c>
      <x:c r="AA234" s="631"/>
      <x:c r="AB234" s="631"/>
      <x:c r="AC234" s="631"/>
      <x:c r="AD234" s="631"/>
      <x:c r="AE234" s="631"/>
      <x:c r="AF234" s="631"/>
      <x:c r="AG234" s="631"/>
      <x:c r="AH234" s="631"/>
      <x:c r="AI234" s="631"/>
      <x:c r="AJ234" s="631"/>
      <x:c r="AK234" s="631"/>
      <x:c r="AL234" s="631"/>
      <x:c r="AM234" s="631"/>
      <x:c r="AN234" s="631"/>
      <x:c r="AO234" s="631"/>
      <x:c r="AP234" s="631"/>
      <x:c r="AQ234" s="631"/>
      <x:c r="AR234" s="631"/>
      <x:c r="AS234" s="631"/>
      <x:c r="AT234" s="631"/>
      <x:c r="AU234" s="631"/>
      <x:c r="AV234" s="631"/>
      <x:c r="AW234" s="631"/>
      <x:c r="AX234" s="631"/>
      <x:c r="AY234" s="631"/>
      <x:c r="AZ234" s="631"/>
      <x:c r="BA234" s="631"/>
      <x:c r="BB234" s="631"/>
      <x:c r="BC234" s="631"/>
      <x:c r="BD234" s="631"/>
      <x:c r="BE234" s="631"/>
      <x:c r="BF234" s="631"/>
      <x:c r="BG234" s="631"/>
      <x:c r="BH234" s="631"/>
      <x:c r="BI234" s="631"/>
      <x:c r="BJ234" s="631"/>
      <x:c r="BK234" s="631"/>
      <x:c r="BL234" s="631"/>
      <x:c r="BM234" s="631"/>
      <x:c r="BN234" s="624"/>
    </x:row>
    <x:row r="235" spans="1:66" x14ac:dyDescent="0.25">
      <x:c r="A235" s="638"/>
      <x:c r="B235" s="639"/>
      <x:c r="C235" s="639"/>
      <x:c r="D235" s="638"/>
      <x:c r="E235" s="638" t="inlineStr">
        <x:is>
          <x:t>Vlr Intereses</x:t>
        </x:is>
      </x:c>
      <x:c r="F235" s="640" t="n">
        <x:v>5444226.16</x:v>
      </x:c>
      <x:c r="G235" s="640" t="n">
        <x:v>1199648.01</x:v>
      </x:c>
      <x:c r="H235" s="640" t="n">
        <x:v>664754.78</x:v>
      </x:c>
      <x:c r="I235" s="640" t="n">
        <x:v>355145.43</x:v>
      </x:c>
      <x:c r="J235" s="640" t="n">
        <x:v>130468.2</x:v>
      </x:c>
      <x:c r="K235" s="640" t="n">
        <x:v>3464.09</x:v>
      </x:c>
      <x:c r="L235" s="640" t="n">
        <x:v>18212.64</x:v>
      </x:c>
      <x:c r="M235" s="640" t="n">
        <x:v>30334.42</x:v>
      </x:c>
      <x:c r="N235" s="640" t="n">
        <x:v>39995.88</x:v>
      </x:c>
      <x:c r="O235" s="640" t="n">
        <x:v>184570.1</x:v>
      </x:c>
      <x:c r="P235" s="640" t="n">
        <x:v>2811987</x:v>
      </x:c>
      <x:c r="Q235" s="640" t="n">
        <x:v>5648.46</x:v>
      </x:c>
      <x:c r="R235" s="640" t="n">
        <x:v>-3.82</x:v>
      </x:c>
      <x:c r="S235" s="640" t="n">
        <x:v>0.97</x:v>
      </x:c>
      <x:c r="T235" s="640" t="n">
        <x:v>0</x:v>
      </x:c>
      <x:c r="U235" s="640">
        <x:v>0</x:v>
      </x:c>
      <x:c r="V235" s="640">
        <x:v>0</x:v>
      </x:c>
      <x:c r="W235" s="640">
        <x:v>0</x:v>
      </x:c>
      <x:c r="X235" s="640">
        <x:v>0</x:v>
      </x:c>
      <x:c r="Y235" s="640">
        <x:v>0</x:v>
      </x:c>
      <x:c r="Z235" s="640">
        <x:v>0</x:v>
      </x:c>
      <x:c r="AA235" s="638"/>
      <x:c r="AB235" s="638"/>
      <x:c r="AC235" s="638"/>
      <x:c r="AD235" s="638"/>
      <x:c r="AE235" s="638"/>
      <x:c r="AF235" s="638"/>
      <x:c r="AG235" s="638"/>
      <x:c r="AH235" s="638"/>
      <x:c r="AI235" s="638"/>
      <x:c r="AJ235" s="638"/>
      <x:c r="AK235" s="638"/>
      <x:c r="AL235" s="638"/>
      <x:c r="AM235" s="638"/>
      <x:c r="AN235" s="638"/>
      <x:c r="AO235" s="638"/>
      <x:c r="AP235" s="638"/>
      <x:c r="AQ235" s="638"/>
      <x:c r="AR235" s="638"/>
      <x:c r="AS235" s="638"/>
      <x:c r="AT235" s="638"/>
      <x:c r="AU235" s="638"/>
      <x:c r="AV235" s="638"/>
      <x:c r="AW235" s="638"/>
      <x:c r="AX235" s="638"/>
      <x:c r="AY235" s="638"/>
      <x:c r="AZ235" s="638"/>
      <x:c r="BA235" s="638"/>
      <x:c r="BB235" s="638"/>
      <x:c r="BC235" s="638"/>
      <x:c r="BD235" s="638"/>
      <x:c r="BE235" s="638"/>
      <x:c r="BF235" s="638"/>
      <x:c r="BG235" s="638"/>
      <x:c r="BH235" s="638"/>
      <x:c r="BI235" s="638"/>
      <x:c r="BJ235" s="638"/>
      <x:c r="BK235" s="638"/>
      <x:c r="BL235" s="638"/>
      <x:c r="BM235" s="638"/>
      <x:c r="BN235" s="624"/>
    </x:row>
    <x:row r="236" spans="1:66" x14ac:dyDescent="0.25">
      <x:c r="A236" s="625"/>
      <x:c r="B236" s="625"/>
      <x:c r="C236"/>
      <x:c r="D236" t="inlineStr">
        <x:is>
          <x:t>T</x:t>
        </x:is>
      </x:c>
      <x:c r="E236" t="inlineStr">
        <x:is>
          <x:t>Total</x:t>
        </x:is>
      </x:c>
      <x:c r="F236" s="627" t="n">
        <x:v>257183572.72</x:v>
      </x:c>
      <x:c r="G236" s="627" t="n">
        <x:v>51102729.93</x:v>
      </x:c>
      <x:c r="H236" s="627" t="n">
        <x:v>28765938.93</x:v>
      </x:c>
      <x:c r="I236" s="627" t="n">
        <x:v>15155605.4</x:v>
      </x:c>
      <x:c r="J236" s="627" t="n">
        <x:v>9405908.84</x:v>
      </x:c>
      <x:c r="K236" s="627" t="n">
        <x:v>276412.44</x:v>
      </x:c>
      <x:c r="L236" s="627" t="n">
        <x:v>11337400.31</x:v>
      </x:c>
      <x:c r="M236" s="627" t="n">
        <x:v>2417905.7</x:v>
      </x:c>
      <x:c r="N236" s="627" t="n">
        <x:v>3398314.7</x:v>
      </x:c>
      <x:c r="O236" s="627" t="n">
        <x:v>16104300.08</x:v>
      </x:c>
      <x:c r="P236" s="627" t="n">
        <x:v>118768065.88</x:v>
      </x:c>
      <x:c r="Q236" s="627" t="n">
        <x:v>451402.14</x:v>
      </x:c>
      <x:c r="R236" s="627" t="n">
        <x:v>-412.6</x:v>
      </x:c>
      <x:c r="S236" s="627" t="n">
        <x:v>0.97</x:v>
      </x:c>
      <x:c r="T236" s="653" t="n">
        <x:v>0</x:v>
      </x:c>
      <x:c r="U236" s="653">
        <x:v>0</x:v>
      </x:c>
      <x:c r="V236" s="653">
        <x:v>0</x:v>
      </x:c>
      <x:c r="W236" s="653">
        <x:v>0</x:v>
      </x:c>
      <x:c r="X236" s="653">
        <x:v>0</x:v>
      </x:c>
      <x:c r="Y236" s="653">
        <x:v>0</x:v>
      </x:c>
      <x:c r="Z236" s="653">
        <x:v>0</x:v>
      </x:c>
      <x:c r="BN236" s="624"/>
    </x:row>
    <x:row r="237" spans="1:66" x14ac:dyDescent="0.25">
      <x:c r="A237" s="625"/>
      <x:c r="B237" s="625"/>
      <x:c r="C237" t="inlineStr">
        <x:is>
          <x:t>OCCIDENTE</x:t>
        </x:is>
      </x:c>
      <x:c r="D237" t="inlineStr">
        <x:is>
          <x:t>Total</x:t>
        </x:is>
      </x:c>
      <x:c r="E237" s="25"/>
      <x:c r="F237" s="627" t="n">
        <x:v>312921279.71</x:v>
      </x:c>
      <x:c r="G237" s="627" t="n">
        <x:v>56773218.79</x:v>
      </x:c>
      <x:c r="H237" s="627" t="n">
        <x:v>31877408.26</x:v>
      </x:c>
      <x:c r="I237" s="627" t="n">
        <x:v>16762143.41</x:v>
      </x:c>
      <x:c r="J237" s="627" t="n">
        <x:v>16628946.14</x:v>
      </x:c>
      <x:c r="K237" s="627" t="n">
        <x:v>579743.27</x:v>
      </x:c>
      <x:c r="L237" s="627" t="n">
        <x:v>16854072.86</x:v>
      </x:c>
      <x:c r="M237" s="627" t="n">
        <x:v>5070768.59</x:v>
      </x:c>
      <x:c r="N237" s="627" t="n">
        <x:v>6338226.71</x:v>
      </x:c>
      <x:c r="O237" s="627" t="n">
        <x:v>29242399.05</x:v>
      </x:c>
      <x:c r="P237" s="627" t="n">
        <x:v>131846486.83</x:v>
      </x:c>
      <x:c r="Q237" s="627" t="n">
        <x:v>948804.09</x:v>
      </x:c>
      <x:c r="R237" s="627" t="n">
        <x:v>-939.26</x:v>
      </x:c>
      <x:c r="S237" s="627" t="n">
        <x:v>0.97</x:v>
      </x:c>
      <x:c r="T237" s="653" t="n">
        <x:v>0</x:v>
      </x:c>
      <x:c r="U237" s="653">
        <x:v>0</x:v>
      </x:c>
      <x:c r="V237" s="653">
        <x:v>0</x:v>
      </x:c>
      <x:c r="W237" s="653">
        <x:v>0</x:v>
      </x:c>
      <x:c r="X237" s="653">
        <x:v>0</x:v>
      </x:c>
      <x:c r="Y237" s="653">
        <x:v>0</x:v>
      </x:c>
      <x:c r="Z237" s="653">
        <x:v>0</x:v>
      </x:c>
      <x:c r="BN237" s="624"/>
    </x:row>
    <x:row r="238" spans="1:66" x14ac:dyDescent="0.25">
      <x:c r="A238" s="625"/>
      <x:c r="B238" s="625" t="inlineStr">
        <x:is>
          <x:t>Mes</x:t>
        </x:is>
      </x:c>
      <x:c r="C238" t="inlineStr">
        <x:is>
          <x:t>Total</x:t>
        </x:is>
      </x:c>
      <x:c r="D238" s="25"/>
      <x:c r="E238" s="25"/>
      <x:c r="F238" s="627" t="n">
        <x:v>11541918400.7</x:v>
      </x:c>
      <x:c r="G238" s="627" t="n">
        <x:v>681707984.59</x:v>
      </x:c>
      <x:c r="H238" s="627" t="n">
        <x:v>384319134.45</x:v>
      </x:c>
      <x:c r="I238" s="627" t="n">
        <x:v>201926559.49</x:v>
      </x:c>
      <x:c r="J238" s="627" t="n">
        <x:v>2643775986.2</x:v>
      </x:c>
      <x:c r="K238" s="627" t="n">
        <x:v>98939176.75</x:v>
      </x:c>
      <x:c r="L238" s="627" t="n">
        <x:v>32320230.18</x:v>
      </x:c>
      <x:c r="M238" s="627" t="n">
        <x:v>868643506.41</x:v>
      </x:c>
      <x:c r="N238" s="627" t="n">
        <x:v>852821949.9</x:v>
      </x:c>
      <x:c r="O238" s="627" t="n">
        <x:v>4032959657.65</x:v>
      </x:c>
      <x:c r="P238" s="627" t="n">
        <x:v>1582839811.01</x:v>
      </x:c>
      <x:c r="Q238" s="627" t="n">
        <x:v>161584055.32</x:v>
      </x:c>
      <x:c r="R238" s="627" t="n">
        <x:v>80346.08</x:v>
      </x:c>
      <x:c r="S238" s="627" t="n">
        <x:v>2.4</x:v>
      </x:c>
      <x:c r="T238" s="653" t="n">
        <x:v>0.27</x:v>
      </x:c>
      <x:c r="U238" s="653">
        <x:v>0</x:v>
      </x:c>
      <x:c r="V238" s="653">
        <x:v>0</x:v>
      </x:c>
      <x:c r="W238" s="653">
        <x:v>0</x:v>
      </x:c>
      <x:c r="X238" s="653">
        <x:v>0</x:v>
      </x:c>
      <x:c r="Y238" s="653">
        <x:v>0</x:v>
      </x:c>
      <x:c r="Z238" s="653">
        <x:v>0</x:v>
      </x:c>
      <x:c r="BN238" s="624"/>
    </x:row>
    <x:row r="239" spans="1:66" x14ac:dyDescent="0.25">
      <x:c r="A239" s="628" t="inlineStr">
        <x:is>
          <x:t>Componente</x:t>
        </x:is>
      </x:c>
      <x:c r="B239" s="628" t="inlineStr">
        <x:is>
          <x:t>Total</x:t>
        </x:is>
      </x:c>
      <x:c r="C239" s="628"/>
      <x:c r="D239" s="628"/>
      <x:c r="E239" s="629"/>
      <x:c r="F239" s="630" t="n">
        <x:v>11547617225.55</x:v>
      </x:c>
      <x:c r="G239" s="630" t="n">
        <x:v>682948501.06</x:v>
      </x:c>
      <x:c r="H239" s="630" t="n">
        <x:v>385019527.8</x:v>
      </x:c>
      <x:c r="I239" s="630" t="n">
        <x:v>202295054.23</x:v>
      </x:c>
      <x:c r="J239" s="630" t="n">
        <x:v>2643925082.83</x:v>
      </x:c>
      <x:c r="K239" s="630" t="n">
        <x:v>98943316.76</x:v>
      </x:c>
      <x:c r="L239" s="630" t="n">
        <x:v>32320230.18</x:v>
      </x:c>
      <x:c r="M239" s="630" t="n">
        <x:v>868679822.53</x:v>
      </x:c>
      <x:c r="N239" s="630" t="n">
        <x:v>852875167.45</x:v>
      </x:c>
      <x:c r="O239" s="630" t="n">
        <x:v>4033210343.29</x:v>
      </x:c>
      <x:c r="P239" s="630" t="n">
        <x:v>1585729030.97</x:v>
      </x:c>
      <x:c r="Q239" s="630" t="n">
        <x:v>161590810.13</x:v>
      </x:c>
      <x:c r="R239" s="630" t="n">
        <x:v>80335.65</x:v>
      </x:c>
      <x:c r="S239" s="630" t="n">
        <x:v>2.4</x:v>
      </x:c>
      <x:c r="T239" s="630" t="n">
        <x:v>0.27</x:v>
      </x:c>
      <x:c r="U239" s="630">
        <x:v>0</x:v>
      </x:c>
      <x:c r="V239" s="630">
        <x:v>0</x:v>
      </x:c>
      <x:c r="W239" s="630">
        <x:v>0</x:v>
      </x:c>
      <x:c r="X239" s="630">
        <x:v>0</x:v>
      </x:c>
      <x:c r="Y239" s="630">
        <x:v>0</x:v>
      </x:c>
      <x:c r="Z239" s="630">
        <x:v>0</x:v>
      </x:c>
      <x:c r="AA239" s="628"/>
      <x:c r="AB239" s="628"/>
      <x:c r="AC239" s="628"/>
      <x:c r="AD239" s="628"/>
      <x:c r="AE239" s="628"/>
      <x:c r="AF239" s="628"/>
      <x:c r="AG239" s="628"/>
      <x:c r="AH239" s="628"/>
      <x:c r="AI239" s="628"/>
      <x:c r="AJ239" s="628"/>
      <x:c r="AK239" s="628"/>
      <x:c r="AL239" s="628"/>
      <x:c r="AM239" s="628"/>
      <x:c r="AN239" s="628"/>
      <x:c r="AO239" s="628"/>
      <x:c r="AP239" s="628"/>
      <x:c r="AQ239" s="628"/>
      <x:c r="AR239" s="628"/>
      <x:c r="AS239" s="628"/>
      <x:c r="AT239" s="628"/>
      <x:c r="AU239" s="628"/>
      <x:c r="AV239" s="628"/>
      <x:c r="AW239" s="628"/>
      <x:c r="AX239" s="628"/>
      <x:c r="AY239" s="628"/>
      <x:c r="AZ239" s="628"/>
      <x:c r="BA239" s="628"/>
      <x:c r="BB239" s="628"/>
      <x:c r="BC239" s="628"/>
      <x:c r="BD239" s="628"/>
      <x:c r="BE239" s="628"/>
      <x:c r="BF239" s="628"/>
      <x:c r="BG239" s="628"/>
      <x:c r="BH239" s="628"/>
      <x:c r="BI239" s="628"/>
      <x:c r="BJ239" s="628"/>
      <x:c r="BK239" s="628"/>
      <x:c r="BL239" s="628"/>
      <x:c r="BM239" s="628"/>
      <x:c r="BN239" s="624"/>
    </x:row>
    <x:row r="240" spans="1:66" x14ac:dyDescent="0.25">
      <x:c r="A240" s="635"/>
      <x:c r="B240" s="635"/>
      <x:c r="C240" s="635"/>
      <x:c r="D240" s="635"/>
      <x:c r="E240" s="636" t="inlineStr">
        <x:is>
          <x:t>Subsidio(-)/Contribucion(+)</x:t>
        </x:is>
      </x:c>
      <x:c r="F240" s="637" t="n">
        <x:v>4499898.22</x:v>
      </x:c>
      <x:c r="G240" s="637" t="n">
        <x:v>1033341.06</x:v>
      </x:c>
      <x:c r="H240" s="637" t="n">
        <x:v>583621.04</x:v>
      </x:c>
      <x:c r="I240" s="637" t="n">
        <x:v>307097.2</x:v>
      </x:c>
      <x:c r="J240" s="637" t="n">
        <x:v>54134.87</x:v>
      </x:c>
      <x:c r="K240" s="637" t="n">
        <x:v>1358.03</x:v>
      </x:c>
      <x:c r="L240" s="637" t="n">
        <x:v>0</x:v>
      </x:c>
      <x:c r="M240" s="637" t="n">
        <x:v>11912.68</x:v>
      </x:c>
      <x:c r="N240" s="637" t="n">
        <x:v>17441.45</x:v>
      </x:c>
      <x:c r="O240" s="637" t="n">
        <x:v>80949.83</x:v>
      </x:c>
      <x:c r="P240" s="637" t="n">
        <x:v>2407826.25</x:v>
      </x:c>
      <x:c r="Q240" s="637" t="n">
        <x:v>2215.81</x:v>
      </x:c>
      <x:c r="R240" s="637" t="n">
        <x:v>0</x:v>
      </x:c>
      <x:c r="S240" s="637" t="n">
        <x:v>0</x:v>
      </x:c>
      <x:c r="T240" s="637" t="n">
        <x:v>0</x:v>
      </x:c>
      <x:c r="U240" s="637">
        <x:v>0</x:v>
      </x:c>
      <x:c r="V240" s="637">
        <x:v>0</x:v>
      </x:c>
      <x:c r="W240" s="637">
        <x:v>0</x:v>
      </x:c>
      <x:c r="X240" s="637">
        <x:v>0</x:v>
      </x:c>
      <x:c r="Y240" s="637">
        <x:v>0</x:v>
      </x:c>
      <x:c r="Z240" s="637">
        <x:v>0</x:v>
      </x:c>
      <x:c r="AA240" s="635"/>
      <x:c r="AB240" s="635"/>
      <x:c r="AC240" s="635"/>
      <x:c r="AD240" s="635"/>
      <x:c r="AE240" s="635"/>
      <x:c r="AF240" s="635"/>
      <x:c r="AG240" s="635"/>
      <x:c r="AH240" s="635"/>
      <x:c r="AI240" s="635"/>
      <x:c r="AJ240" s="635"/>
      <x:c r="AK240" s="635"/>
      <x:c r="AL240" s="635"/>
      <x:c r="AM240" s="635"/>
      <x:c r="AN240" s="635"/>
      <x:c r="AO240" s="635"/>
      <x:c r="AP240" s="635"/>
      <x:c r="AQ240" s="635"/>
      <x:c r="AR240" s="635"/>
      <x:c r="AS240" s="635"/>
      <x:c r="AT240" s="635"/>
      <x:c r="AU240" s="635"/>
      <x:c r="AV240" s="635"/>
      <x:c r="AW240" s="635"/>
      <x:c r="AX240" s="635"/>
      <x:c r="AY240" s="635"/>
      <x:c r="AZ240" s="635"/>
      <x:c r="BA240" s="635"/>
      <x:c r="BB240" s="635"/>
      <x:c r="BC240" s="635"/>
      <x:c r="BD240" s="635"/>
      <x:c r="BE240" s="635"/>
      <x:c r="BF240" s="635"/>
      <x:c r="BG240" s="635"/>
      <x:c r="BH240" s="635"/>
      <x:c r="BI240" s="635"/>
      <x:c r="BJ240" s="635"/>
      <x:c r="BK240" s="635"/>
      <x:c r="BL240" s="635"/>
      <x:c r="BM240" s="635"/>
      <x:c r="BN240" s="624"/>
    </x:row>
    <x:row r="241" spans="1:66" x14ac:dyDescent="0.25">
      <x:c r="A241"/>
      <x:c r="B241"/>
      <x:c r="C241"/>
      <x:c r="D241" t="inlineStr">
        <x:is>
          <x:t>T</x:t>
        </x:is>
      </x:c>
      <x:c r="E241" s="625" t="inlineStr">
        <x:is>
          <x:t>Total</x:t>
        </x:is>
      </x:c>
      <x:c r="F241" s="627" t="n">
        <x:v>4499898.22</x:v>
      </x:c>
      <x:c r="G241" s="627" t="n">
        <x:v>1033341.06</x:v>
      </x:c>
      <x:c r="H241" s="627" t="n">
        <x:v>583621.04</x:v>
      </x:c>
      <x:c r="I241" s="627" t="n">
        <x:v>307097.2</x:v>
      </x:c>
      <x:c r="J241" s="627" t="n">
        <x:v>54134.87</x:v>
      </x:c>
      <x:c r="K241" s="627" t="n">
        <x:v>1358.03</x:v>
      </x:c>
      <x:c r="L241" s="627" t="n">
        <x:v>0</x:v>
      </x:c>
      <x:c r="M241" s="627" t="n">
        <x:v>11912.68</x:v>
      </x:c>
      <x:c r="N241" s="627" t="n">
        <x:v>17441.45</x:v>
      </x:c>
      <x:c r="O241" s="627" t="n">
        <x:v>80949.83</x:v>
      </x:c>
      <x:c r="P241" s="627" t="n">
        <x:v>2407826.25</x:v>
      </x:c>
      <x:c r="Q241" s="627" t="n">
        <x:v>2215.81</x:v>
      </x:c>
      <x:c r="R241" s="627" t="n">
        <x:v>0</x:v>
      </x:c>
      <x:c r="S241" s="627" t="n">
        <x:v>0</x:v>
      </x:c>
      <x:c r="T241" s="653" t="n">
        <x:v>0</x:v>
      </x:c>
      <x:c r="U241" s="653">
        <x:v>0</x:v>
      </x:c>
      <x:c r="V241" s="653">
        <x:v>0</x:v>
      </x:c>
      <x:c r="W241" s="653">
        <x:v>0</x:v>
      </x:c>
      <x:c r="X241" s="653">
        <x:v>0</x:v>
      </x:c>
      <x:c r="Y241" s="653">
        <x:v>0</x:v>
      </x:c>
      <x:c r="Z241" s="653">
        <x:v>0</x:v>
      </x:c>
      <x:c r="BN241" s="624"/>
    </x:row>
    <x:row r="242" spans="1:66" x14ac:dyDescent="0.25">
      <x:c r="A242"/>
      <x:c r="B242"/>
      <x:c r="C242" t="inlineStr">
        <x:is>
          <x:t>OCCIDENTE</x:t>
        </x:is>
      </x:c>
      <x:c r="D242" s="25" t="inlineStr">
        <x:is>
          <x:t>Total</x:t>
        </x:is>
      </x:c>
      <x:c r="E242" s="625"/>
      <x:c r="F242" s="627" t="n">
        <x:v>4499898.22</x:v>
      </x:c>
      <x:c r="G242" s="627" t="n">
        <x:v>1033341.06</x:v>
      </x:c>
      <x:c r="H242" s="627" t="n">
        <x:v>583621.04</x:v>
      </x:c>
      <x:c r="I242" s="627" t="n">
        <x:v>307097.2</x:v>
      </x:c>
      <x:c r="J242" s="627" t="n">
        <x:v>54134.87</x:v>
      </x:c>
      <x:c r="K242" s="627" t="n">
        <x:v>1358.03</x:v>
      </x:c>
      <x:c r="L242" s="627" t="n">
        <x:v>0</x:v>
      </x:c>
      <x:c r="M242" s="627" t="n">
        <x:v>11912.68</x:v>
      </x:c>
      <x:c r="N242" s="627" t="n">
        <x:v>17441.45</x:v>
      </x:c>
      <x:c r="O242" s="627" t="n">
        <x:v>80949.83</x:v>
      </x:c>
      <x:c r="P242" s="627" t="n">
        <x:v>2407826.25</x:v>
      </x:c>
      <x:c r="Q242" s="627" t="n">
        <x:v>2215.81</x:v>
      </x:c>
      <x:c r="R242" s="627" t="n">
        <x:v>0</x:v>
      </x:c>
      <x:c r="S242" s="627" t="n">
        <x:v>0</x:v>
      </x:c>
      <x:c r="T242" s="653" t="n">
        <x:v>0</x:v>
      </x:c>
      <x:c r="U242" s="653">
        <x:v>0</x:v>
      </x:c>
      <x:c r="V242" s="653">
        <x:v>0</x:v>
      </x:c>
      <x:c r="W242" s="653">
        <x:v>0</x:v>
      </x:c>
      <x:c r="X242" s="653">
        <x:v>0</x:v>
      </x:c>
      <x:c r="Y242" s="653">
        <x:v>0</x:v>
      </x:c>
      <x:c r="Z242" s="653">
        <x:v>0</x:v>
      </x:c>
      <x:c r="BN242" s="624"/>
    </x:row>
    <x:row r="243" spans="1:66" x14ac:dyDescent="0.25">
      <x:c r="A243" s="628"/>
      <x:c r="B243" s="628" t="inlineStr">
        <x:is>
          <x:t>Aplicacion nuevos x reversion</x:t>
        </x:is>
      </x:c>
      <x:c r="C243" s="628" t="inlineStr">
        <x:is>
          <x:t>Total</x:t>
        </x:is>
      </x:c>
      <x:c r="D243" s="628"/>
      <x:c r="E243" s="629"/>
      <x:c r="F243" s="630" t="n">
        <x:v>4499898.22</x:v>
      </x:c>
      <x:c r="G243" s="630" t="n">
        <x:v>1033341.06</x:v>
      </x:c>
      <x:c r="H243" s="630" t="n">
        <x:v>583621.04</x:v>
      </x:c>
      <x:c r="I243" s="630" t="n">
        <x:v>307097.2</x:v>
      </x:c>
      <x:c r="J243" s="630" t="n">
        <x:v>54134.87</x:v>
      </x:c>
      <x:c r="K243" s="630" t="n">
        <x:v>1358.03</x:v>
      </x:c>
      <x:c r="L243" s="630" t="n">
        <x:v>0</x:v>
      </x:c>
      <x:c r="M243" s="630" t="n">
        <x:v>11912.68</x:v>
      </x:c>
      <x:c r="N243" s="630" t="n">
        <x:v>17441.45</x:v>
      </x:c>
      <x:c r="O243" s="630" t="n">
        <x:v>80949.83</x:v>
      </x:c>
      <x:c r="P243" s="630" t="n">
        <x:v>2407826.25</x:v>
      </x:c>
      <x:c r="Q243" s="630" t="n">
        <x:v>2215.81</x:v>
      </x:c>
      <x:c r="R243" s="630" t="n">
        <x:v>0</x:v>
      </x:c>
      <x:c r="S243" s="630" t="n">
        <x:v>0</x:v>
      </x:c>
      <x:c r="T243" s="630" t="n">
        <x:v>0</x:v>
      </x:c>
      <x:c r="U243" s="630">
        <x:v>0</x:v>
      </x:c>
      <x:c r="V243" s="630">
        <x:v>0</x:v>
      </x:c>
      <x:c r="W243" s="630">
        <x:v>0</x:v>
      </x:c>
      <x:c r="X243" s="630">
        <x:v>0</x:v>
      </x:c>
      <x:c r="Y243" s="630">
        <x:v>0</x:v>
      </x:c>
      <x:c r="Z243" s="630">
        <x:v>0</x:v>
      </x:c>
      <x:c r="AA243" s="628"/>
      <x:c r="AB243" s="628"/>
      <x:c r="AC243" s="628"/>
      <x:c r="AD243" s="628"/>
      <x:c r="AE243" s="628"/>
      <x:c r="AF243" s="628"/>
      <x:c r="AG243" s="628"/>
      <x:c r="AH243" s="628"/>
      <x:c r="AI243" s="628"/>
      <x:c r="AJ243" s="628"/>
      <x:c r="AK243" s="628"/>
      <x:c r="AL243" s="628"/>
      <x:c r="AM243" s="628"/>
      <x:c r="AN243" s="628"/>
      <x:c r="AO243" s="628"/>
      <x:c r="AP243" s="628"/>
      <x:c r="AQ243" s="628"/>
      <x:c r="AR243" s="628"/>
      <x:c r="AS243" s="628"/>
      <x:c r="AT243" s="628"/>
      <x:c r="AU243" s="628"/>
      <x:c r="AV243" s="628"/>
      <x:c r="AW243" s="628"/>
      <x:c r="AX243" s="628"/>
      <x:c r="AY243" s="628"/>
      <x:c r="AZ243" s="628"/>
      <x:c r="BA243" s="628"/>
      <x:c r="BB243" s="628"/>
      <x:c r="BC243" s="628"/>
      <x:c r="BD243" s="628"/>
      <x:c r="BE243" s="628"/>
      <x:c r="BF243" s="628"/>
      <x:c r="BG243" s="628"/>
      <x:c r="BH243" s="628"/>
      <x:c r="BI243" s="628"/>
      <x:c r="BJ243" s="628"/>
      <x:c r="BK243" s="628"/>
      <x:c r="BL243" s="628"/>
      <x:c r="BM243" s="628"/>
      <x:c r="BN243" s="624"/>
    </x:row>
    <x:row r="244" spans="1:66" x14ac:dyDescent="0.25">
      <x:c r="A244"/>
      <x:c r="B244"/>
      <x:c r="C244"/>
      <x:c r="D244" s="625"/>
      <x:c r="E244" s="625" t="inlineStr">
        <x:is>
          <x:t>Subsidio(-)/Contribucion(+)</x:t>
        </x:is>
      </x:c>
      <x:c r="F244" s="627" t="n">
        <x:v>-1564808872.35</x:v>
      </x:c>
      <x:c r="G244" s="627" t="n">
        <x:v>-10385157.52</x:v>
      </x:c>
      <x:c r="H244" s="627" t="n">
        <x:v>-5885325.44</x:v>
      </x:c>
      <x:c r="I244" s="627" t="n">
        <x:v>-3069764.36</x:v>
      </x:c>
      <x:c r="J244" s="627" t="n">
        <x:v>-468278665.16</x:v>
      </x:c>
      <x:c r="K244" s="627" t="n">
        <x:v>-17357619.23</x:v>
      </x:c>
      <x:c r="L244" s="627" t="n">
        <x:v>0</x:v>
      </x:c>
      <x:c r="M244" s="627" t="n">
        <x:v>-152286459.76</x:v>
      </x:c>
      <x:c r="N244" s="627" t="n">
        <x:v>-149194728.98</x:v>
      </x:c>
      <x:c r="O244" s="627" t="n">
        <x:v>-705835372.34</x:v>
      </x:c>
      <x:c r="P244" s="627" t="n">
        <x:v>-24193330.72</x:v>
      </x:c>
      <x:c r="Q244" s="627" t="n">
        <x:v>-28322448.84</x:v>
      </x:c>
      <x:c r="R244" s="627" t="n">
        <x:v>0</x:v>
      </x:c>
      <x:c r="S244" s="627" t="n">
        <x:v>0</x:v>
      </x:c>
      <x:c r="T244" s="653" t="n">
        <x:v>0</x:v>
      </x:c>
      <x:c r="U244" s="653">
        <x:v>0</x:v>
      </x:c>
      <x:c r="V244" s="653">
        <x:v>0</x:v>
      </x:c>
      <x:c r="W244" s="653">
        <x:v>0</x:v>
      </x:c>
      <x:c r="X244" s="653">
        <x:v>0</x:v>
      </x:c>
      <x:c r="Y244" s="653">
        <x:v>0</x:v>
      </x:c>
      <x:c r="Z244" s="653">
        <x:v>0</x:v>
      </x:c>
      <x:c r="BN244" s="624"/>
    </x:row>
    <x:row r="245" spans="1:66" x14ac:dyDescent="0.25">
      <x:c r="A245"/>
      <x:c r="B245"/>
      <x:c r="C245"/>
      <x:c r="D245" s="25" t="inlineStr">
        <x:is>
          <x:t>E</x:t>
        </x:is>
      </x:c>
      <x:c r="E245" s="625" t="inlineStr">
        <x:is>
          <x:t>Total</x:t>
        </x:is>
      </x:c>
      <x:c r="F245" s="627" t="n">
        <x:v>-1564808872.35</x:v>
      </x:c>
      <x:c r="G245" s="627" t="n">
        <x:v>-10385157.52</x:v>
      </x:c>
      <x:c r="H245" s="627" t="n">
        <x:v>-5885325.44</x:v>
      </x:c>
      <x:c r="I245" s="627" t="n">
        <x:v>-3069764.36</x:v>
      </x:c>
      <x:c r="J245" s="627" t="n">
        <x:v>-468278665.16</x:v>
      </x:c>
      <x:c r="K245" s="627" t="n">
        <x:v>-17357619.23</x:v>
      </x:c>
      <x:c r="L245" s="627" t="n">
        <x:v>0</x:v>
      </x:c>
      <x:c r="M245" s="627" t="n">
        <x:v>-152286459.76</x:v>
      </x:c>
      <x:c r="N245" s="627" t="n">
        <x:v>-149194728.98</x:v>
      </x:c>
      <x:c r="O245" s="627" t="n">
        <x:v>-705835372.34</x:v>
      </x:c>
      <x:c r="P245" s="627" t="n">
        <x:v>-24193330.72</x:v>
      </x:c>
      <x:c r="Q245" s="627" t="n">
        <x:v>-28322448.84</x:v>
      </x:c>
      <x:c r="R245" s="627" t="n">
        <x:v>0</x:v>
      </x:c>
      <x:c r="S245" s="627" t="n">
        <x:v>0</x:v>
      </x:c>
      <x:c r="T245" s="653" t="n">
        <x:v>0</x:v>
      </x:c>
      <x:c r="U245" s="653">
        <x:v>0</x:v>
      </x:c>
      <x:c r="V245" s="653">
        <x:v>0</x:v>
      </x:c>
      <x:c r="W245" s="653">
        <x:v>0</x:v>
      </x:c>
      <x:c r="X245" s="653">
        <x:v>0</x:v>
      </x:c>
      <x:c r="Y245" s="653">
        <x:v>0</x:v>
      </x:c>
      <x:c r="Z245" s="653">
        <x:v>0</x:v>
      </x:c>
      <x:c r="BN245" s="624"/>
    </x:row>
    <x:row r="246" spans="1:66" x14ac:dyDescent="0.25">
      <x:c r="A246"/>
      <x:c r="B246"/>
      <x:c r="C246" t="inlineStr">
        <x:is>
          <x:t>ENEL</x:t>
        </x:is>
      </x:c>
      <x:c r="D246" s="625" t="inlineStr">
        <x:is>
          <x:t>Total</x:t>
        </x:is>
      </x:c>
      <x:c r="E246" s="625"/>
      <x:c r="F246" s="627" t="n">
        <x:v>-1564808872.35</x:v>
      </x:c>
      <x:c r="G246" s="627" t="n">
        <x:v>-10385157.52</x:v>
      </x:c>
      <x:c r="H246" s="627" t="n">
        <x:v>-5885325.44</x:v>
      </x:c>
      <x:c r="I246" s="627" t="n">
        <x:v>-3069764.36</x:v>
      </x:c>
      <x:c r="J246" s="627" t="n">
        <x:v>-468278665.16</x:v>
      </x:c>
      <x:c r="K246" s="627" t="n">
        <x:v>-17357619.23</x:v>
      </x:c>
      <x:c r="L246" s="627" t="n">
        <x:v>0</x:v>
      </x:c>
      <x:c r="M246" s="627" t="n">
        <x:v>-152286459.76</x:v>
      </x:c>
      <x:c r="N246" s="627" t="n">
        <x:v>-149194728.98</x:v>
      </x:c>
      <x:c r="O246" s="627" t="n">
        <x:v>-705835372.34</x:v>
      </x:c>
      <x:c r="P246" s="627" t="n">
        <x:v>-24193330.72</x:v>
      </x:c>
      <x:c r="Q246" s="627" t="n">
        <x:v>-28322448.84</x:v>
      </x:c>
      <x:c r="R246" s="627" t="n">
        <x:v>0</x:v>
      </x:c>
      <x:c r="S246" s="627" t="n">
        <x:v>0</x:v>
      </x:c>
      <x:c r="T246" s="653" t="n">
        <x:v>0</x:v>
      </x:c>
      <x:c r="U246" s="653">
        <x:v>0</x:v>
      </x:c>
      <x:c r="V246" s="653">
        <x:v>0</x:v>
      </x:c>
      <x:c r="W246" s="653">
        <x:v>0</x:v>
      </x:c>
      <x:c r="X246" s="653">
        <x:v>0</x:v>
      </x:c>
      <x:c r="Y246" s="653">
        <x:v>0</x:v>
      </x:c>
      <x:c r="Z246" s="653">
        <x:v>0</x:v>
      </x:c>
      <x:c r="BN246" s="624"/>
    </x:row>
    <x:row r="247" spans="1:66" x14ac:dyDescent="0.25">
      <x:c r="A247"/>
      <x:c r="B247"/>
      <x:c r="C247"/>
      <x:c r="D247" s="25"/>
      <x:c r="E247" s="625" t="inlineStr">
        <x:is>
          <x:t>Subsidio(-)/Contribucion(+)</x:t>
        </x:is>
      </x:c>
      <x:c r="F247" s="627" t="n">
        <x:v>7519846.43</x:v>
      </x:c>
      <x:c r="G247" s="627" t="n">
        <x:v>1598167.29</x:v>
      </x:c>
      <x:c r="H247" s="627" t="n">
        <x:v>902456.83</x:v>
      </x:c>
      <x:c r="I247" s="627" t="n">
        <x:v>483596.09</x:v>
      </x:c>
      <x:c r="J247" s="627" t="n">
        <x:v>262073.62</x:v>
      </x:c>
      <x:c r="K247" s="627" t="n">
        <x:v>6512.69</x:v>
      </x:c>
      <x:c r="L247" s="627" t="n">
        <x:v>0</x:v>
      </x:c>
      <x:c r="M247" s="627" t="n">
        <x:v>57128.63</x:v>
      </x:c>
      <x:c r="N247" s="627" t="n">
        <x:v>84813.84</x:v>
      </x:c>
      <x:c r="O247" s="627" t="n">
        <x:v>402148.72</x:v>
      </x:c>
      <x:c r="P247" s="627" t="n">
        <x:v>3712322.43</x:v>
      </x:c>
      <x:c r="Q247" s="627" t="n">
        <x:v>10626.29</x:v>
      </x:c>
      <x:c r="R247" s="627" t="n">
        <x:v>0</x:v>
      </x:c>
      <x:c r="S247" s="627" t="n">
        <x:v>0</x:v>
      </x:c>
      <x:c r="T247" s="653" t="n">
        <x:v>0</x:v>
      </x:c>
      <x:c r="U247" s="653">
        <x:v>0</x:v>
      </x:c>
      <x:c r="V247" s="653">
        <x:v>0</x:v>
      </x:c>
      <x:c r="W247" s="653">
        <x:v>0</x:v>
      </x:c>
      <x:c r="X247" s="653">
        <x:v>0</x:v>
      </x:c>
      <x:c r="Y247" s="653">
        <x:v>0</x:v>
      </x:c>
      <x:c r="Z247" s="653">
        <x:v>0</x:v>
      </x:c>
      <x:c r="BN247" s="624"/>
    </x:row>
    <x:row r="248" spans="1:66" x14ac:dyDescent="0.25">
      <x:c r="A248"/>
      <x:c r="B248"/>
      <x:c r="C248"/>
      <x:c r="D248" s="625" t="inlineStr">
        <x:is>
          <x:t>H</x:t>
        </x:is>
      </x:c>
      <x:c r="E248" s="625" t="inlineStr">
        <x:is>
          <x:t>Total</x:t>
        </x:is>
      </x:c>
      <x:c r="F248" s="627" t="n">
        <x:v>7519846.43</x:v>
      </x:c>
      <x:c r="G248" s="627" t="n">
        <x:v>1598167.29</x:v>
      </x:c>
      <x:c r="H248" s="627" t="n">
        <x:v>902456.83</x:v>
      </x:c>
      <x:c r="I248" s="627" t="n">
        <x:v>483596.09</x:v>
      </x:c>
      <x:c r="J248" s="627" t="n">
        <x:v>262073.62</x:v>
      </x:c>
      <x:c r="K248" s="627" t="n">
        <x:v>6512.69</x:v>
      </x:c>
      <x:c r="L248" s="627" t="n">
        <x:v>0</x:v>
      </x:c>
      <x:c r="M248" s="627" t="n">
        <x:v>57128.63</x:v>
      </x:c>
      <x:c r="N248" s="627" t="n">
        <x:v>84813.84</x:v>
      </x:c>
      <x:c r="O248" s="627" t="n">
        <x:v>402148.72</x:v>
      </x:c>
      <x:c r="P248" s="627" t="n">
        <x:v>3712322.43</x:v>
      </x:c>
      <x:c r="Q248" s="627" t="n">
        <x:v>10626.29</x:v>
      </x:c>
      <x:c r="R248" s="627" t="n">
        <x:v>0</x:v>
      </x:c>
      <x:c r="S248" s="627" t="n">
        <x:v>0</x:v>
      </x:c>
      <x:c r="T248" s="653" t="n">
        <x:v>0</x:v>
      </x:c>
      <x:c r="U248" s="653">
        <x:v>0</x:v>
      </x:c>
      <x:c r="V248" s="653">
        <x:v>0</x:v>
      </x:c>
      <x:c r="W248" s="653">
        <x:v>0</x:v>
      </x:c>
      <x:c r="X248" s="653">
        <x:v>0</x:v>
      </x:c>
      <x:c r="Y248" s="653">
        <x:v>0</x:v>
      </x:c>
      <x:c r="Z248" s="653">
        <x:v>0</x:v>
      </x:c>
      <x:c r="BN248" s="624"/>
    </x:row>
    <x:row r="249" spans="1:66" x14ac:dyDescent="0.25">
      <x:c r="A249"/>
      <x:c r="B249"/>
      <x:c r="C249" s="625"/>
      <x:c r="D249" s="625"/>
      <x:c r="E249" s="25" t="inlineStr">
        <x:is>
          <x:t>Subsidio(-)/Contribucion(+)</x:t>
        </x:is>
      </x:c>
      <x:c r="F249" s="627" t="n">
        <x:v>2565552.75</x:v>
      </x:c>
      <x:c r="G249" s="627" t="n">
        <x:v>1105691.08</x:v>
      </x:c>
      <x:c r="H249" s="627" t="n">
        <x:v>631398.7</x:v>
      </x:c>
      <x:c r="I249" s="627" t="n">
        <x:v>328343.36</x:v>
      </x:c>
      <x:c r="J249" s="627" t="n">
        <x:v>-803163.54</x:v>
      </x:c>
      <x:c r="K249" s="627" t="n">
        <x:v>-28715.23</x:v>
      </x:c>
      <x:c r="L249" s="627" t="n">
        <x:v>0</x:v>
      </x:c>
      <x:c r="M249" s="627" t="n">
        <x:v>-252084.82</x:v>
      </x:c>
      <x:c r="N249" s="627" t="n">
        <x:v>-185274.31</x:v>
      </x:c>
      <x:c r="O249" s="627" t="n">
        <x:v>-751643.33</x:v>
      </x:c>
      <x:c r="P249" s="627" t="n">
        <x:v>2567851.51</x:v>
      </x:c>
      <x:c r="Q249" s="627" t="n">
        <x:v>-46850.67</x:v>
      </x:c>
      <x:c r="R249" s="627" t="n">
        <x:v>0</x:v>
      </x:c>
      <x:c r="S249" s="627" t="n">
        <x:v>0</x:v>
      </x:c>
      <x:c r="T249" s="653" t="n">
        <x:v>0</x:v>
      </x:c>
      <x:c r="U249" s="653">
        <x:v>0</x:v>
      </x:c>
      <x:c r="V249" s="653">
        <x:v>0</x:v>
      </x:c>
      <x:c r="W249" s="653">
        <x:v>0</x:v>
      </x:c>
      <x:c r="X249" s="653">
        <x:v>0</x:v>
      </x:c>
      <x:c r="Y249" s="653">
        <x:v>0</x:v>
      </x:c>
      <x:c r="Z249" s="653">
        <x:v>0</x:v>
      </x:c>
      <x:c r="BN249" s="624"/>
    </x:row>
    <x:row r="250" spans="1:66" x14ac:dyDescent="0.25">
      <x:c r="A250" s="631"/>
      <x:c r="B250" s="631"/>
      <x:c r="C250" s="632"/>
      <x:c r="D250" s="632" t="inlineStr">
        <x:is>
          <x:t>O</x:t>
        </x:is>
      </x:c>
      <x:c r="E250" s="631" t="inlineStr">
        <x:is>
          <x:t>Total</x:t>
        </x:is>
      </x:c>
      <x:c r="F250" s="633" t="n">
        <x:v>2565552.75</x:v>
      </x:c>
      <x:c r="G250" s="633" t="n">
        <x:v>1105691.08</x:v>
      </x:c>
      <x:c r="H250" s="633" t="n">
        <x:v>631398.7</x:v>
      </x:c>
      <x:c r="I250" s="633" t="n">
        <x:v>328343.36</x:v>
      </x:c>
      <x:c r="J250" s="633" t="n">
        <x:v>-803163.54</x:v>
      </x:c>
      <x:c r="K250" s="633" t="n">
        <x:v>-28715.23</x:v>
      </x:c>
      <x:c r="L250" s="633" t="n">
        <x:v>0</x:v>
      </x:c>
      <x:c r="M250" s="633" t="n">
        <x:v>-252084.82</x:v>
      </x:c>
      <x:c r="N250" s="633" t="n">
        <x:v>-185274.31</x:v>
      </x:c>
      <x:c r="O250" s="633" t="n">
        <x:v>-751643.33</x:v>
      </x:c>
      <x:c r="P250" s="633" t="n">
        <x:v>2567851.51</x:v>
      </x:c>
      <x:c r="Q250" s="633" t="n">
        <x:v>-46850.67</x:v>
      </x:c>
      <x:c r="R250" s="633" t="n">
        <x:v>0</x:v>
      </x:c>
      <x:c r="S250" s="633" t="n">
        <x:v>0</x:v>
      </x:c>
      <x:c r="T250" s="633" t="n">
        <x:v>0</x:v>
      </x:c>
      <x:c r="U250" s="633">
        <x:v>0</x:v>
      </x:c>
      <x:c r="V250" s="633">
        <x:v>0</x:v>
      </x:c>
      <x:c r="W250" s="633">
        <x:v>0</x:v>
      </x:c>
      <x:c r="X250" s="633">
        <x:v>0</x:v>
      </x:c>
      <x:c r="Y250" s="633">
        <x:v>0</x:v>
      </x:c>
      <x:c r="Z250" s="633">
        <x:v>0</x:v>
      </x:c>
      <x:c r="AA250" s="631"/>
      <x:c r="AB250" s="631"/>
      <x:c r="AC250" s="631"/>
      <x:c r="AD250" s="631"/>
      <x:c r="AE250" s="631"/>
      <x:c r="AF250" s="631"/>
      <x:c r="AG250" s="631"/>
      <x:c r="AH250" s="631"/>
      <x:c r="AI250" s="631"/>
      <x:c r="AJ250" s="631"/>
      <x:c r="AK250" s="631"/>
      <x:c r="AL250" s="631"/>
      <x:c r="AM250" s="631"/>
      <x:c r="AN250" s="631"/>
      <x:c r="AO250" s="631"/>
      <x:c r="AP250" s="631"/>
      <x:c r="AQ250" s="631"/>
      <x:c r="AR250" s="631"/>
      <x:c r="AS250" s="631"/>
      <x:c r="AT250" s="631"/>
      <x:c r="AU250" s="631"/>
      <x:c r="AV250" s="631"/>
      <x:c r="AW250" s="631"/>
      <x:c r="AX250" s="631"/>
      <x:c r="AY250" s="631"/>
      <x:c r="AZ250" s="631"/>
      <x:c r="BA250" s="631"/>
      <x:c r="BB250" s="631"/>
      <x:c r="BC250" s="631"/>
      <x:c r="BD250" s="631"/>
      <x:c r="BE250" s="631"/>
      <x:c r="BF250" s="631"/>
      <x:c r="BG250" s="631"/>
      <x:c r="BH250" s="631"/>
      <x:c r="BI250" s="631"/>
      <x:c r="BJ250" s="631"/>
      <x:c r="BK250" s="631"/>
      <x:c r="BL250" s="631"/>
      <x:c r="BM250" s="631"/>
      <x:c r="BN250" s="624"/>
    </x:row>
    <x:row r="251" spans="1:66" x14ac:dyDescent="0.25">
      <x:c r="A251" s="638"/>
      <x:c r="B251" s="639"/>
      <x:c r="C251" s="639"/>
      <x:c r="D251" s="638"/>
      <x:c r="E251" s="638" t="inlineStr">
        <x:is>
          <x:t>Subsidio(-)/Contribucion(+)</x:t>
        </x:is>
      </x:c>
      <x:c r="F251" s="640" t="n">
        <x:v>147134700.28</x:v>
      </x:c>
      <x:c r="G251" s="640" t="n">
        <x:v>33857703.05</x:v>
      </x:c>
      <x:c r="H251" s="640" t="n">
        <x:v>19067221.39</x:v>
      </x:c>
      <x:c r="I251" s="640" t="n">
        <x:v>10070998.52</x:v>
      </x:c>
      <x:c r="J251" s="640" t="n">
        <x:v>1784869.39</x:v>
      </x:c>
      <x:c r="K251" s="640" t="n">
        <x:v>42976.21</x:v>
      </x:c>
      <x:c r="L251" s="640" t="n">
        <x:v>0</x:v>
      </x:c>
      <x:c r="M251" s="640" t="n">
        <x:v>372276.93</x:v>
      </x:c>
      <x:c r="N251" s="640" t="n">
        <x:v>540177.58</x:v>
      </x:c>
      <x:c r="O251" s="640" t="n">
        <x:v>2531352.81</x:v>
      </x:c>
      <x:c r="P251" s="640" t="n">
        <x:v>78797003.59</x:v>
      </x:c>
      <x:c r="Q251" s="640" t="n">
        <x:v>70120.81</x:v>
      </x:c>
      <x:c r="R251" s="640" t="n">
        <x:v>0</x:v>
      </x:c>
      <x:c r="S251" s="640" t="n">
        <x:v>0</x:v>
      </x:c>
      <x:c r="T251" s="640" t="n">
        <x:v>0</x:v>
      </x:c>
      <x:c r="U251" s="640">
        <x:v>0</x:v>
      </x:c>
      <x:c r="V251" s="640">
        <x:v>0</x:v>
      </x:c>
      <x:c r="W251" s="640">
        <x:v>0</x:v>
      </x:c>
      <x:c r="X251" s="640">
        <x:v>0</x:v>
      </x:c>
      <x:c r="Y251" s="640">
        <x:v>0</x:v>
      </x:c>
      <x:c r="Z251" s="640">
        <x:v>0</x:v>
      </x:c>
      <x:c r="AA251" s="638"/>
      <x:c r="AB251" s="638"/>
      <x:c r="AC251" s="638"/>
      <x:c r="AD251" s="638"/>
      <x:c r="AE251" s="638"/>
      <x:c r="AF251" s="638"/>
      <x:c r="AG251" s="638"/>
      <x:c r="AH251" s="638"/>
      <x:c r="AI251" s="638"/>
      <x:c r="AJ251" s="638"/>
      <x:c r="AK251" s="638"/>
      <x:c r="AL251" s="638"/>
      <x:c r="AM251" s="638"/>
      <x:c r="AN251" s="638"/>
      <x:c r="AO251" s="638"/>
      <x:c r="AP251" s="638"/>
      <x:c r="AQ251" s="638"/>
      <x:c r="AR251" s="638"/>
      <x:c r="AS251" s="638"/>
      <x:c r="AT251" s="638"/>
      <x:c r="AU251" s="638"/>
      <x:c r="AV251" s="638"/>
      <x:c r="AW251" s="638"/>
      <x:c r="AX251" s="638"/>
      <x:c r="AY251" s="638"/>
      <x:c r="AZ251" s="638"/>
      <x:c r="BA251" s="638"/>
      <x:c r="BB251" s="638"/>
      <x:c r="BC251" s="638"/>
      <x:c r="BD251" s="638"/>
      <x:c r="BE251" s="638"/>
      <x:c r="BF251" s="638"/>
      <x:c r="BG251" s="638"/>
      <x:c r="BH251" s="638"/>
      <x:c r="BI251" s="638"/>
      <x:c r="BJ251" s="638"/>
      <x:c r="BK251" s="638"/>
      <x:c r="BL251" s="638"/>
      <x:c r="BM251" s="638"/>
      <x:c r="BN251" s="624"/>
    </x:row>
    <x:row r="252" spans="1:66" x14ac:dyDescent="0.25">
      <x:c r="A252" s="625"/>
      <x:c r="B252" s="25"/>
      <x:c r="C252"/>
      <x:c r="D252" t="inlineStr">
        <x:is>
          <x:t>T</x:t>
        </x:is>
      </x:c>
      <x:c r="E252" t="inlineStr">
        <x:is>
          <x:t>Total</x:t>
        </x:is>
      </x:c>
      <x:c r="F252" s="627" t="n">
        <x:v>147134700.28</x:v>
      </x:c>
      <x:c r="G252" s="627" t="n">
        <x:v>33857703.05</x:v>
      </x:c>
      <x:c r="H252" s="627" t="n">
        <x:v>19067221.39</x:v>
      </x:c>
      <x:c r="I252" s="627" t="n">
        <x:v>10070998.52</x:v>
      </x:c>
      <x:c r="J252" s="627" t="n">
        <x:v>1784869.39</x:v>
      </x:c>
      <x:c r="K252" s="627" t="n">
        <x:v>42976.21</x:v>
      </x:c>
      <x:c r="L252" s="627" t="n">
        <x:v>0</x:v>
      </x:c>
      <x:c r="M252" s="627" t="n">
        <x:v>372276.93</x:v>
      </x:c>
      <x:c r="N252" s="627" t="n">
        <x:v>540177.58</x:v>
      </x:c>
      <x:c r="O252" s="627" t="n">
        <x:v>2531352.81</x:v>
      </x:c>
      <x:c r="P252" s="627" t="n">
        <x:v>78797003.59</x:v>
      </x:c>
      <x:c r="Q252" s="627" t="n">
        <x:v>70120.81</x:v>
      </x:c>
      <x:c r="R252" s="627" t="n">
        <x:v>0</x:v>
      </x:c>
      <x:c r="S252" s="627" t="n">
        <x:v>0</x:v>
      </x:c>
      <x:c r="T252" s="653" t="n">
        <x:v>0</x:v>
      </x:c>
      <x:c r="U252" s="653">
        <x:v>0</x:v>
      </x:c>
      <x:c r="V252" s="653">
        <x:v>0</x:v>
      </x:c>
      <x:c r="W252" s="653">
        <x:v>0</x:v>
      </x:c>
      <x:c r="X252" s="653">
        <x:v>0</x:v>
      </x:c>
      <x:c r="Y252" s="653">
        <x:v>0</x:v>
      </x:c>
      <x:c r="Z252" s="653">
        <x:v>0</x:v>
      </x:c>
      <x:c r="BN252" s="624"/>
    </x:row>
    <x:row r="253" spans="1:66" x14ac:dyDescent="0.25">
      <x:c r="A253" s="625"/>
      <x:c r="B253" s="25"/>
      <x:c r="C253" t="inlineStr">
        <x:is>
          <x:t>OCCIDENTE</x:t>
        </x:is>
      </x:c>
      <x:c r="D253" t="inlineStr">
        <x:is>
          <x:t>Total</x:t>
        </x:is>
      </x:c>
      <x:c r="E253"/>
      <x:c r="F253" s="627" t="n">
        <x:v>157220099.46</x:v>
      </x:c>
      <x:c r="G253" s="627" t="n">
        <x:v>36561561.42</x:v>
      </x:c>
      <x:c r="H253" s="627" t="n">
        <x:v>20601076.92</x:v>
      </x:c>
      <x:c r="I253" s="627" t="n">
        <x:v>10882937.97</x:v>
      </x:c>
      <x:c r="J253" s="627" t="n">
        <x:v>1243779.47</x:v>
      </x:c>
      <x:c r="K253" s="627" t="n">
        <x:v>20773.67</x:v>
      </x:c>
      <x:c r="L253" s="627" t="n">
        <x:v>0</x:v>
      </x:c>
      <x:c r="M253" s="627" t="n">
        <x:v>177320.74</x:v>
      </x:c>
      <x:c r="N253" s="627" t="n">
        <x:v>439717.11</x:v>
      </x:c>
      <x:c r="O253" s="627" t="n">
        <x:v>2181858.2</x:v>
      </x:c>
      <x:c r="P253" s="627" t="n">
        <x:v>85077177.53</x:v>
      </x:c>
      <x:c r="Q253" s="627" t="n">
        <x:v>33896.43</x:v>
      </x:c>
      <x:c r="R253" s="627" t="n">
        <x:v>0</x:v>
      </x:c>
      <x:c r="S253" s="627" t="n">
        <x:v>0</x:v>
      </x:c>
      <x:c r="T253" s="653" t="n">
        <x:v>0</x:v>
      </x:c>
      <x:c r="U253" s="653"/>
      <x:c r="V253" s="653"/>
      <x:c r="W253" s="653"/>
      <x:c r="X253" s="653"/>
      <x:c r="Y253" s="653"/>
      <x:c r="Z253" s="653"/>
      <x:c r="BN253" s="624"/>
    </x:row>
    <x:row r="254" spans="1:66" x14ac:dyDescent="0.25">
      <x:c r="A254" s="625"/>
      <x:c r="B254" s="25" t="inlineStr">
        <x:is>
          <x:t>Mes</x:t>
        </x:is>
      </x:c>
      <x:c r="C254" t="inlineStr">
        <x:is>
          <x:t>Total</x:t>
        </x:is>
      </x:c>
      <x:c r="D254"/>
      <x:c r="E254"/>
      <x:c r="F254" s="627" t="n">
        <x:v>-1407588772.89</x:v>
      </x:c>
      <x:c r="G254" s="627" t="n">
        <x:v>26176403.9</x:v>
      </x:c>
      <x:c r="H254" s="627" t="n">
        <x:v>14715751.48</x:v>
      </x:c>
      <x:c r="I254" s="627" t="n">
        <x:v>7813173.61</x:v>
      </x:c>
      <x:c r="J254" s="627" t="n">
        <x:v>-467034885.69</x:v>
      </x:c>
      <x:c r="K254" s="627" t="n">
        <x:v>-17336845.56</x:v>
      </x:c>
      <x:c r="L254" s="627" t="n">
        <x:v>0</x:v>
      </x:c>
      <x:c r="M254" s="627" t="n">
        <x:v>-152109139.02</x:v>
      </x:c>
      <x:c r="N254" s="627" t="n">
        <x:v>-148755011.87</x:v>
      </x:c>
      <x:c r="O254" s="627" t="n">
        <x:v>-703653514.14</x:v>
      </x:c>
      <x:c r="P254" s="627" t="n">
        <x:v>60883846.81</x:v>
      </x:c>
      <x:c r="Q254" s="627" t="n">
        <x:v>-28288552.41</x:v>
      </x:c>
      <x:c r="R254" s="627" t="n">
        <x:v>0</x:v>
      </x:c>
      <x:c r="S254" s="627" t="n">
        <x:v>0</x:v>
      </x:c>
      <x:c r="T254" s="653" t="n">
        <x:v>0</x:v>
      </x:c>
      <x:c r="U254" s="653"/>
      <x:c r="V254" s="653"/>
      <x:c r="W254" s="653"/>
      <x:c r="X254" s="653"/>
      <x:c r="Y254" s="653"/>
      <x:c r="Z254" s="653"/>
      <x:c r="BN254" s="624"/>
    </x:row>
    <x:row r="255" spans="1:66" x14ac:dyDescent="0.25">
      <x:c r="A255" s="625" t="inlineStr">
        <x:is>
          <x:t>Subs/Cont</x:t>
        </x:is>
      </x:c>
      <x:c r="B255" s="25" t="inlineStr">
        <x:is>
          <x:t>Total</x:t>
        </x:is>
      </x:c>
      <x:c r="C255"/>
      <x:c r="D255"/>
      <x:c r="E255"/>
      <x:c r="F255" s="627" t="n">
        <x:v>-1403088874.67</x:v>
      </x:c>
      <x:c r="G255" s="627" t="n">
        <x:v>27209744.96</x:v>
      </x:c>
      <x:c r="H255" s="627" t="n">
        <x:v>15299372.52</x:v>
      </x:c>
      <x:c r="I255" s="627" t="n">
        <x:v>8120270.81</x:v>
      </x:c>
      <x:c r="J255" s="627" t="n">
        <x:v>-466980750.82</x:v>
      </x:c>
      <x:c r="K255" s="627" t="n">
        <x:v>-17335487.53</x:v>
      </x:c>
      <x:c r="L255" s="627" t="n">
        <x:v>0</x:v>
      </x:c>
      <x:c r="M255" s="627" t="n">
        <x:v>-152097226.34</x:v>
      </x:c>
      <x:c r="N255" s="627" t="n">
        <x:v>-148737570.42</x:v>
      </x:c>
      <x:c r="O255" s="627" t="n">
        <x:v>-703572564.31</x:v>
      </x:c>
      <x:c r="P255" s="627" t="n">
        <x:v>63291673.06</x:v>
      </x:c>
      <x:c r="Q255" s="627" t="n">
        <x:v>-28286336.6</x:v>
      </x:c>
      <x:c r="R255" s="627" t="n">
        <x:v>0</x:v>
      </x:c>
      <x:c r="S255" s="627" t="n">
        <x:v>0</x:v>
      </x:c>
      <x:c r="T255" s="653" t="n">
        <x:v>0</x:v>
      </x:c>
      <x:c r="U255" s="653"/>
      <x:c r="V255" s="653"/>
      <x:c r="W255" s="653"/>
      <x:c r="X255" s="653"/>
      <x:c r="Y255" s="653"/>
      <x:c r="Z255" s="653"/>
      <x:c r="BN255" s="624"/>
    </x:row>
    <x:row r="256" spans="1:66" x14ac:dyDescent="0.25">
      <x:c r="A256" s="25" t="inlineStr">
        <x:is>
          <x:t>Total</x:t>
        </x:is>
      </x:c>
      <x:c r="B256"/>
      <x:c r="C256"/>
      <x:c r="D256"/>
      <x:c r="E256" s="625"/>
      <x:c r="F256" s="627" t="n">
        <x:v>10144507468.07</x:v>
      </x:c>
      <x:c r="G256" s="627" t="n">
        <x:v>710156402.76</x:v>
      </x:c>
      <x:c r="H256" s="627" t="n">
        <x:v>400318117.23</x:v>
      </x:c>
      <x:c r="I256" s="627" t="n">
        <x:v>210414983.07</x:v>
      </x:c>
      <x:c r="J256" s="627" t="n">
        <x:v>2176940291.59</x:v>
      </x:c>
      <x:c r="K256" s="627" t="n">
        <x:v>81607662.78</x:v>
      </x:c>
      <x:c r="L256" s="627" t="n">
        <x:v>32320230.18</x:v>
      </x:c>
      <x:c r="M256" s="627" t="n">
        <x:v>716581136.03</x:v>
      </x:c>
      <x:c r="N256" s="627" t="n">
        <x:v>704135766.83</x:v>
      </x:c>
      <x:c r="O256" s="627" t="n">
        <x:v>3329631631.41</x:v>
      </x:c>
      <x:c r="P256" s="627" t="n">
        <x:v>1649016705.93</x:v>
      </x:c>
      <x:c r="Q256" s="627" t="n">
        <x:v>133304201.94</x:v>
      </x:c>
      <x:c r="R256" s="627" t="n">
        <x:v>80335.65</x:v>
      </x:c>
      <x:c r="S256" s="627" t="n">
        <x:v>2.4</x:v>
      </x:c>
      <x:c r="T256" s="653" t="n">
        <x:v>0.27</x:v>
      </x:c>
      <x:c r="U256" s="653">
        <x:v>0</x:v>
      </x:c>
      <x:c r="V256" s="653">
        <x:v>0</x:v>
      </x:c>
      <x:c r="W256" s="653">
        <x:v>0</x:v>
      </x:c>
      <x:c r="X256" s="653">
        <x:v>0</x:v>
      </x:c>
      <x:c r="Y256" s="653">
        <x:v>0</x:v>
      </x:c>
      <x:c r="Z256" s="653">
        <x:v>0</x:v>
      </x:c>
      <x:c r="BN256" s="624"/>
    </x:row>
    <x:row r="257" spans="1:66" x14ac:dyDescent="0.25">
      <x:c r="A257" s="625"/>
      <x:c r="B257" s="625"/>
      <x:c r="F257" s="627"/>
      <x:c r="G257" s="627"/>
      <x:c r="H257" s="627"/>
      <x:c r="I257" s="627"/>
      <x:c r="J257" s="627"/>
      <x:c r="K257" s="627"/>
      <x:c r="L257" s="627"/>
      <x:c r="M257" s="627"/>
      <x:c r="N257" s="627"/>
      <x:c r="O257" s="627"/>
      <x:c r="P257" s="627"/>
      <x:c r="Q257" s="627"/>
      <x:c r="R257" s="627"/>
      <x:c r="S257" s="627"/>
      <x:c r="BN257" s="624"/>
    </x:row>
    <x:row r="258" spans="1:66" x14ac:dyDescent="0.25">
      <x:c r="E258" s="625"/>
      <x:c r="F258" s="627"/>
      <x:c r="G258" s="627"/>
      <x:c r="H258" s="627"/>
      <x:c r="I258" s="627"/>
      <x:c r="J258" s="627"/>
      <x:c r="K258" s="627"/>
      <x:c r="L258" s="627"/>
      <x:c r="M258" s="627"/>
      <x:c r="N258" s="627"/>
      <x:c r="O258" s="627"/>
      <x:c r="P258" s="627"/>
      <x:c r="Q258" s="627"/>
      <x:c r="R258" s="627"/>
      <x:c r="S258" s="627"/>
      <x:c r="BN258" s="624"/>
    </x:row>
    <x:row r="259" spans="1:66" x14ac:dyDescent="0.25">
      <x:c r="D259" s="625"/>
      <x:c r="E259" s="625"/>
      <x:c r="F259" s="627"/>
      <x:c r="G259" s="627"/>
      <x:c r="H259" s="627"/>
      <x:c r="I259" s="627"/>
      <x:c r="J259" s="627"/>
      <x:c r="K259" s="627"/>
      <x:c r="L259" s="627"/>
      <x:c r="M259" s="627"/>
      <x:c r="N259" s="627"/>
      <x:c r="O259" s="627"/>
      <x:c r="P259" s="627"/>
      <x:c r="Q259" s="627"/>
      <x:c r="R259" s="627"/>
      <x:c r="S259" s="627"/>
      <x:c r="BN259" s="624"/>
    </x:row>
    <x:row r="260" spans="1:66" x14ac:dyDescent="0.25">
      <x:c r="D260" s="625"/>
      <x:c r="E260" s="625"/>
      <x:c r="F260" s="627"/>
      <x:c r="G260" s="627"/>
      <x:c r="H260" s="627"/>
      <x:c r="I260" s="627"/>
      <x:c r="J260" s="627"/>
      <x:c r="K260" s="627"/>
      <x:c r="L260" s="627"/>
      <x:c r="M260" s="627"/>
      <x:c r="N260" s="627"/>
      <x:c r="O260" s="627"/>
      <x:c r="P260" s="627"/>
      <x:c r="Q260" s="627"/>
      <x:c r="R260" s="627"/>
      <x:c r="S260" s="627"/>
      <x:c r="BN260" s="624"/>
    </x:row>
    <x:row r="261" spans="1:66" x14ac:dyDescent="0.25">
      <x:c r="E261" s="625"/>
      <x:c r="F261" s="627"/>
      <x:c r="G261" s="627"/>
      <x:c r="H261" s="627"/>
      <x:c r="I261" s="627"/>
      <x:c r="J261" s="627"/>
      <x:c r="K261" s="627"/>
      <x:c r="L261" s="627"/>
      <x:c r="M261" s="627"/>
      <x:c r="N261" s="627"/>
      <x:c r="O261" s="627"/>
      <x:c r="P261" s="627"/>
      <x:c r="Q261" s="627"/>
      <x:c r="R261" s="627"/>
      <x:c r="S261" s="627"/>
      <x:c r="BN261" s="624"/>
    </x:row>
    <x:row r="262" spans="1:66" x14ac:dyDescent="0.25">
      <x:c r="D262" s="625"/>
      <x:c r="E262" s="625"/>
      <x:c r="F262" s="627"/>
      <x:c r="G262" s="627"/>
      <x:c r="H262" s="627"/>
      <x:c r="I262" s="627"/>
      <x:c r="J262" s="627"/>
      <x:c r="K262" s="627"/>
      <x:c r="L262" s="627"/>
      <x:c r="M262" s="627"/>
      <x:c r="N262" s="627"/>
      <x:c r="O262" s="627"/>
      <x:c r="P262" s="627"/>
      <x:c r="Q262" s="627"/>
      <x:c r="R262" s="627"/>
      <x:c r="S262" s="627"/>
      <x:c r="BN262" s="624"/>
    </x:row>
    <x:row r="263" spans="1:66" x14ac:dyDescent="0.25">
      <x:c r="E263" s="625"/>
      <x:c r="F263" s="627"/>
      <x:c r="G263" s="627"/>
      <x:c r="H263" s="627"/>
      <x:c r="I263" s="627"/>
      <x:c r="J263" s="627"/>
      <x:c r="K263" s="627"/>
      <x:c r="L263" s="627"/>
      <x:c r="M263" s="627"/>
      <x:c r="N263" s="627"/>
      <x:c r="O263" s="627"/>
      <x:c r="P263" s="627"/>
      <x:c r="Q263" s="627"/>
      <x:c r="R263" s="627"/>
      <x:c r="S263" s="627"/>
      <x:c r="BN263" s="624"/>
    </x:row>
    <x:row r="264" spans="1:66" x14ac:dyDescent="0.25">
      <x:c r="D264" s="625"/>
      <x:c r="E264" s="625"/>
      <x:c r="F264" s="627"/>
      <x:c r="G264" s="627"/>
      <x:c r="H264" s="627"/>
      <x:c r="I264" s="627"/>
      <x:c r="J264" s="627"/>
      <x:c r="K264" s="627"/>
      <x:c r="L264" s="627"/>
      <x:c r="M264" s="627"/>
      <x:c r="N264" s="627"/>
      <x:c r="O264" s="627"/>
      <x:c r="P264" s="627"/>
      <x:c r="Q264" s="627"/>
      <x:c r="R264" s="627"/>
      <x:c r="S264" s="627"/>
      <x:c r="BN264" s="624"/>
    </x:row>
    <x:row r="265" spans="1:66" x14ac:dyDescent="0.25">
      <x:c r="E265" s="625"/>
      <x:c r="F265" s="627"/>
      <x:c r="G265" s="627"/>
      <x:c r="H265" s="627"/>
      <x:c r="I265" s="627"/>
      <x:c r="J265" s="627"/>
      <x:c r="K265" s="627"/>
      <x:c r="L265" s="627"/>
      <x:c r="M265" s="627"/>
      <x:c r="N265" s="627"/>
      <x:c r="O265" s="627"/>
      <x:c r="P265" s="627"/>
      <x:c r="Q265" s="627"/>
      <x:c r="R265" s="627"/>
      <x:c r="S265" s="627"/>
      <x:c r="BN265" s="624"/>
    </x:row>
    <x:row r="266" spans="1:66" x14ac:dyDescent="0.25">
      <x:c r="D266" s="625"/>
      <x:c r="E266" s="625"/>
      <x:c r="F266" s="627"/>
      <x:c r="G266" s="627"/>
      <x:c r="H266" s="627"/>
      <x:c r="I266" s="627"/>
      <x:c r="J266" s="627"/>
      <x:c r="K266" s="627"/>
      <x:c r="L266" s="627"/>
      <x:c r="M266" s="627"/>
      <x:c r="N266" s="627"/>
      <x:c r="O266" s="627"/>
      <x:c r="P266" s="627"/>
      <x:c r="Q266" s="627"/>
      <x:c r="R266" s="627"/>
      <x:c r="S266" s="627"/>
      <x:c r="BN266" s="624"/>
    </x:row>
    <x:row r="267" spans="1:66" x14ac:dyDescent="0.25">
      <x:c r="C267" s="625"/>
      <x:c r="D267" s="625"/>
      <x:c r="F267" s="627"/>
      <x:c r="G267" s="627"/>
      <x:c r="H267" s="627"/>
      <x:c r="I267" s="627"/>
      <x:c r="J267" s="627"/>
      <x:c r="K267" s="627"/>
      <x:c r="L267" s="627"/>
      <x:c r="M267" s="627"/>
      <x:c r="N267" s="627"/>
      <x:c r="O267" s="627"/>
      <x:c r="P267" s="627"/>
      <x:c r="Q267" s="627"/>
      <x:c r="R267" s="627"/>
      <x:c r="S267" s="627"/>
      <x:c r="BN267" s="624"/>
    </x:row>
    <x:row r="268" spans="1:66" x14ac:dyDescent="0.25">
      <x:c r="E268" s="625"/>
      <x:c r="F268" s="627"/>
      <x:c r="G268" s="627"/>
      <x:c r="H268" s="627"/>
      <x:c r="I268" s="627"/>
      <x:c r="J268" s="627"/>
      <x:c r="K268" s="627"/>
      <x:c r="L268" s="627"/>
      <x:c r="M268" s="627"/>
      <x:c r="N268" s="627"/>
      <x:c r="O268" s="627"/>
      <x:c r="P268" s="627"/>
      <x:c r="Q268" s="627"/>
      <x:c r="R268" s="627"/>
      <x:c r="S268" s="627"/>
      <x:c r="BN268" s="624"/>
    </x:row>
    <x:row r="269" spans="1:66" x14ac:dyDescent="0.25">
      <x:c r="D269" s="625"/>
      <x:c r="E269" s="625"/>
      <x:c r="F269" s="627"/>
      <x:c r="G269" s="627"/>
      <x:c r="H269" s="627"/>
      <x:c r="I269" s="627"/>
      <x:c r="J269" s="627"/>
      <x:c r="K269" s="627"/>
      <x:c r="L269" s="627"/>
      <x:c r="M269" s="627"/>
      <x:c r="N269" s="627"/>
      <x:c r="O269" s="627"/>
      <x:c r="P269" s="627"/>
      <x:c r="Q269" s="627"/>
      <x:c r="R269" s="627"/>
      <x:c r="S269" s="627"/>
      <x:c r="BN269" s="624"/>
    </x:row>
    <x:row r="270" spans="1:66" x14ac:dyDescent="0.25">
      <x:c r="E270" s="625"/>
      <x:c r="F270" s="627"/>
      <x:c r="G270" s="627"/>
      <x:c r="H270" s="627"/>
      <x:c r="I270" s="627"/>
      <x:c r="J270" s="627"/>
      <x:c r="K270" s="627"/>
      <x:c r="L270" s="627"/>
      <x:c r="M270" s="627"/>
      <x:c r="N270" s="627"/>
      <x:c r="O270" s="627"/>
      <x:c r="P270" s="627"/>
      <x:c r="Q270" s="627"/>
      <x:c r="R270" s="627"/>
      <x:c r="S270" s="627"/>
      <x:c r="BN270" s="624"/>
    </x:row>
    <x:row r="271" spans="1:66" x14ac:dyDescent="0.25">
      <x:c r="D271" s="625"/>
      <x:c r="E271" s="625"/>
      <x:c r="F271" s="627"/>
      <x:c r="G271" s="627"/>
      <x:c r="H271" s="627"/>
      <x:c r="I271" s="627"/>
      <x:c r="J271" s="627"/>
      <x:c r="K271" s="627"/>
      <x:c r="L271" s="627"/>
      <x:c r="M271" s="627"/>
      <x:c r="N271" s="627"/>
      <x:c r="O271" s="627"/>
      <x:c r="P271" s="627"/>
      <x:c r="Q271" s="627"/>
      <x:c r="R271" s="627"/>
      <x:c r="S271" s="627"/>
      <x:c r="BN271" s="624"/>
    </x:row>
    <x:row r="272" spans="1:66" x14ac:dyDescent="0.25">
      <x:c r="C272" s="625"/>
      <x:c r="D272" s="625"/>
      <x:c r="F272" s="627"/>
      <x:c r="G272" s="627"/>
      <x:c r="H272" s="627"/>
      <x:c r="I272" s="627"/>
      <x:c r="J272" s="627"/>
      <x:c r="K272" s="627"/>
      <x:c r="L272" s="627"/>
      <x:c r="M272" s="627"/>
      <x:c r="N272" s="627"/>
      <x:c r="O272" s="627"/>
      <x:c r="P272" s="627"/>
      <x:c r="Q272" s="627"/>
      <x:c r="R272" s="627"/>
      <x:c r="S272" s="627"/>
      <x:c r="BN272" s="624"/>
    </x:row>
    <x:row r="273" spans="1:66" x14ac:dyDescent="0.25">
      <x:c r="B273" s="625"/>
      <x:c r="C273" s="625"/>
      <x:c r="F273" s="627"/>
      <x:c r="G273" s="627"/>
      <x:c r="H273" s="627"/>
      <x:c r="I273" s="627"/>
      <x:c r="J273" s="627"/>
      <x:c r="K273" s="627"/>
      <x:c r="L273" s="627"/>
      <x:c r="M273" s="627"/>
      <x:c r="N273" s="627"/>
      <x:c r="O273" s="627"/>
      <x:c r="P273" s="627"/>
      <x:c r="Q273" s="627"/>
      <x:c r="R273" s="627"/>
      <x:c r="S273" s="627"/>
      <x:c r="BN273" s="624"/>
    </x:row>
    <x:row r="274" spans="1:66" x14ac:dyDescent="0.25">
      <x:c r="A274" s="625"/>
      <x:c r="B274" s="625"/>
      <x:c r="F274" s="627"/>
      <x:c r="G274" s="627"/>
      <x:c r="H274" s="627"/>
      <x:c r="I274" s="627"/>
      <x:c r="J274" s="627"/>
      <x:c r="K274" s="627"/>
      <x:c r="L274" s="627"/>
      <x:c r="M274" s="627"/>
      <x:c r="N274" s="627"/>
      <x:c r="O274" s="627"/>
      <x:c r="P274" s="627"/>
      <x:c r="Q274" s="627"/>
      <x:c r="R274" s="627"/>
      <x:c r="S274" s="627"/>
      <x:c r="BN274" s="624"/>
    </x:row>
    <x:row r="275" spans="1:66" x14ac:dyDescent="0.25">
      <x:c r="A275" s="625"/>
      <x:c r="F275" s="627"/>
      <x:c r="G275" s="627"/>
      <x:c r="H275" s="627"/>
      <x:c r="I275" s="627"/>
      <x:c r="J275" s="627"/>
      <x:c r="K275" s="627"/>
      <x:c r="L275" s="627"/>
      <x:c r="M275" s="627"/>
      <x:c r="N275" s="627"/>
      <x:c r="O275" s="627"/>
      <x:c r="P275" s="627"/>
      <x:c r="Q275" s="627"/>
      <x:c r="R275" s="627"/>
      <x:c r="S275" s="627"/>
      <x:c r="BN275" s="624"/>
    </x:row>
    <x:row r="276" spans="1:66" x14ac:dyDescent="0.25">
      <x:c r="A276" s="625"/>
      <x:c r="F276" s="627"/>
      <x:c r="G276" s="627"/>
      <x:c r="H276" s="627"/>
      <x:c r="I276" s="627"/>
      <x:c r="J276" s="627"/>
      <x:c r="K276" s="627"/>
      <x:c r="L276" s="627"/>
      <x:c r="M276" s="627"/>
      <x:c r="N276" s="627"/>
      <x:c r="O276" s="627"/>
      <x:c r="P276" s="627"/>
      <x:c r="Q276" s="627"/>
      <x:c r="R276" s="627"/>
      <x:c r="S276" s="627"/>
      <x:c r="BN276" s="624"/>
    </x:row>
    <x:row r="277" spans="1:66" x14ac:dyDescent="0.25">
      <x:c r="A277" s="625"/>
      <x:c r="F277" s="627"/>
      <x:c r="G277" s="627"/>
      <x:c r="H277" s="627"/>
      <x:c r="I277" s="627"/>
      <x:c r="J277" s="627"/>
      <x:c r="K277" s="627"/>
      <x:c r="L277" s="627"/>
      <x:c r="M277" s="627"/>
      <x:c r="N277" s="627"/>
      <x:c r="O277" s="627"/>
      <x:c r="P277" s="627"/>
      <x:c r="Q277" s="627"/>
      <x:c r="R277" s="627"/>
      <x:c r="S277" s="627"/>
      <x:c r="BN277" s="624"/>
    </x:row>
    <x:row r="278" spans="1:66" x14ac:dyDescent="0.25">
      <x:c r="A278" s="625"/>
      <x:c r="F278" s="627"/>
      <x:c r="G278" s="627"/>
      <x:c r="H278" s="627"/>
      <x:c r="I278" s="627"/>
      <x:c r="J278" s="627"/>
      <x:c r="K278" s="627"/>
      <x:c r="L278" s="627"/>
      <x:c r="M278" s="627"/>
      <x:c r="N278" s="627"/>
      <x:c r="O278" s="627"/>
      <x:c r="P278" s="627"/>
      <x:c r="Q278" s="627"/>
      <x:c r="R278" s="627"/>
      <x:c r="S278" s="627"/>
      <x:c r="BN278" s="624"/>
    </x:row>
    <x:row r="279" spans="1:66" x14ac:dyDescent="0.25">
      <x:c r="A279" s="625"/>
      <x:c r="F279" s="627"/>
      <x:c r="G279" s="627"/>
      <x:c r="H279" s="627"/>
      <x:c r="I279" s="627"/>
      <x:c r="J279" s="627"/>
      <x:c r="K279" s="627"/>
      <x:c r="L279" s="627"/>
      <x:c r="M279" s="627"/>
      <x:c r="N279" s="627"/>
      <x:c r="O279" s="627"/>
      <x:c r="P279" s="627"/>
      <x:c r="Q279" s="627"/>
      <x:c r="R279" s="627"/>
      <x:c r="S279" s="627"/>
      <x:c r="BN279" s="624"/>
    </x:row>
    <x:row r="280" spans="1:66" x14ac:dyDescent="0.25">
      <x:c r="A280" s="625"/>
      <x:c r="F280" s="627"/>
      <x:c r="G280" s="627"/>
      <x:c r="H280" s="627"/>
      <x:c r="I280" s="627"/>
      <x:c r="J280" s="627"/>
      <x:c r="K280" s="627"/>
      <x:c r="L280" s="627"/>
      <x:c r="M280" s="627"/>
      <x:c r="N280" s="627"/>
      <x:c r="O280" s="627"/>
      <x:c r="P280" s="627"/>
      <x:c r="Q280" s="627"/>
      <x:c r="R280" s="627"/>
      <x:c r="S280" s="627"/>
      <x:c r="T280" s="653"/>
      <x:c r="U280" s="653"/>
      <x:c r="V280" s="653"/>
      <x:c r="W280" s="653"/>
      <x:c r="BN280" s="624"/>
    </x:row>
    <x:row r="281" spans="1:66" x14ac:dyDescent="0.25">
      <x:c r="A281" s="625"/>
      <x:c r="F281" s="627"/>
      <x:c r="G281" s="627"/>
      <x:c r="H281" s="627"/>
      <x:c r="I281" s="627"/>
      <x:c r="J281" s="627"/>
      <x:c r="K281" s="627"/>
      <x:c r="L281" s="627"/>
      <x:c r="M281" s="627"/>
      <x:c r="N281" s="627"/>
      <x:c r="O281" s="627"/>
      <x:c r="P281" s="627"/>
      <x:c r="Q281" s="627"/>
      <x:c r="R281" s="627"/>
      <x:c r="S281" s="627"/>
      <x:c r="T281" s="653"/>
      <x:c r="U281" s="653"/>
      <x:c r="V281" s="653"/>
      <x:c r="W281" s="653"/>
      <x:c r="BN281" s="624"/>
    </x:row>
    <x:row r="282" spans="1:66" x14ac:dyDescent="0.25">
      <x:c r="A282" s="625"/>
      <x:c r="F282" s="627"/>
      <x:c r="G282" s="627"/>
      <x:c r="H282" s="627"/>
      <x:c r="I282" s="627"/>
      <x:c r="J282" s="627"/>
      <x:c r="K282" s="627"/>
      <x:c r="L282" s="627"/>
      <x:c r="M282" s="627"/>
      <x:c r="N282" s="627"/>
      <x:c r="O282" s="627"/>
      <x:c r="P282" s="627"/>
      <x:c r="Q282" s="627"/>
      <x:c r="R282" s="627"/>
      <x:c r="S282" s="627"/>
      <x:c r="T282" s="653"/>
      <x:c r="U282" s="653"/>
      <x:c r="V282" s="653"/>
      <x:c r="W282" s="653"/>
      <x:c r="BN282" s="624"/>
    </x:row>
    <x:row r="283" spans="1:66" x14ac:dyDescent="0.25">
      <x:c r="A283" s="625"/>
      <x:c r="F283" s="627"/>
      <x:c r="G283" s="627"/>
      <x:c r="H283" s="627"/>
      <x:c r="I283" s="627"/>
      <x:c r="J283" s="627"/>
      <x:c r="K283" s="627"/>
      <x:c r="L283" s="627"/>
      <x:c r="M283" s="627"/>
      <x:c r="N283" s="627"/>
      <x:c r="O283" s="627"/>
      <x:c r="P283" s="627"/>
      <x:c r="Q283" s="627"/>
      <x:c r="R283" s="627"/>
      <x:c r="S283" s="627"/>
      <x:c r="T283" s="653"/>
      <x:c r="U283" s="653"/>
      <x:c r="V283" s="653"/>
      <x:c r="W283" s="653"/>
      <x:c r="BN283" s="624"/>
    </x:row>
    <x:row r="284" spans="1:66" x14ac:dyDescent="0.25">
      <x:c r="A284" s="625"/>
      <x:c r="F284" s="627"/>
      <x:c r="G284" s="627"/>
      <x:c r="H284" s="627"/>
      <x:c r="I284" s="627"/>
      <x:c r="J284" s="627"/>
      <x:c r="K284" s="627"/>
      <x:c r="L284" s="627"/>
      <x:c r="M284" s="627"/>
      <x:c r="N284" s="627"/>
      <x:c r="O284" s="627"/>
      <x:c r="P284" s="627"/>
      <x:c r="Q284" s="627"/>
      <x:c r="R284" s="627"/>
      <x:c r="S284" s="627"/>
      <x:c r="T284" s="653"/>
      <x:c r="U284" s="653"/>
      <x:c r="V284" s="653"/>
      <x:c r="W284" s="653"/>
      <x:c r="BN284" s="624"/>
    </x:row>
    <x:row r="285" spans="1:66" x14ac:dyDescent="0.25">
      <x:c r="A285" s="625"/>
      <x:c r="F285" s="627"/>
      <x:c r="G285" s="627"/>
      <x:c r="H285" s="627"/>
      <x:c r="I285" s="627"/>
      <x:c r="J285" s="627"/>
      <x:c r="K285" s="627"/>
      <x:c r="L285" s="627"/>
      <x:c r="M285" s="627"/>
      <x:c r="N285" s="627"/>
      <x:c r="O285" s="627"/>
      <x:c r="P285" s="627"/>
      <x:c r="Q285" s="627"/>
      <x:c r="R285" s="627"/>
      <x:c r="S285" s="627"/>
      <x:c r="T285" s="653"/>
      <x:c r="U285" s="653"/>
      <x:c r="V285" s="653"/>
      <x:c r="W285" s="653"/>
      <x:c r="BN285" s="624"/>
    </x:row>
    <x:row r="286" spans="1:66" x14ac:dyDescent="0.25">
      <x:c r="A286" s="625"/>
      <x:c r="F286" s="627"/>
      <x:c r="G286" s="627"/>
      <x:c r="H286" s="627"/>
      <x:c r="I286" s="627"/>
      <x:c r="J286" s="627"/>
      <x:c r="K286" s="627"/>
      <x:c r="L286" s="627"/>
      <x:c r="M286" s="627"/>
      <x:c r="N286" s="627"/>
      <x:c r="O286" s="627"/>
      <x:c r="P286" s="627"/>
      <x:c r="Q286" s="627"/>
      <x:c r="R286" s="627"/>
      <x:c r="S286" s="627"/>
      <x:c r="T286" s="653"/>
      <x:c r="U286" s="653"/>
      <x:c r="V286" s="653"/>
      <x:c r="W286" s="653"/>
      <x:c r="BN286" s="624"/>
    </x:row>
    <x:row r="287" spans="1:66" x14ac:dyDescent="0.25">
      <x:c r="A287" s="625"/>
      <x:c r="F287" s="627"/>
      <x:c r="G287" s="627"/>
      <x:c r="H287" s="627"/>
      <x:c r="I287" s="627"/>
      <x:c r="J287" s="627"/>
      <x:c r="K287" s="627"/>
      <x:c r="L287" s="627"/>
      <x:c r="M287" s="627"/>
      <x:c r="N287" s="627"/>
      <x:c r="O287" s="627"/>
      <x:c r="P287" s="627"/>
      <x:c r="Q287" s="627"/>
      <x:c r="R287" s="627"/>
      <x:c r="S287" s="627"/>
      <x:c r="T287" s="653"/>
      <x:c r="U287" s="653"/>
      <x:c r="V287" s="653"/>
      <x:c r="W287" s="653"/>
      <x:c r="BN287" s="624"/>
    </x:row>
    <x:row r="288" spans="1:66" x14ac:dyDescent="0.25">
      <x:c r="A288" s="625"/>
      <x:c r="F288" s="627"/>
      <x:c r="G288" s="627"/>
      <x:c r="H288" s="627"/>
      <x:c r="I288" s="627"/>
      <x:c r="J288" s="627"/>
      <x:c r="K288" s="627"/>
      <x:c r="L288" s="627"/>
      <x:c r="M288" s="627"/>
      <x:c r="N288" s="627"/>
      <x:c r="O288" s="627"/>
      <x:c r="P288" s="627"/>
      <x:c r="Q288" s="627"/>
      <x:c r="R288" s="627"/>
      <x:c r="S288" s="627"/>
      <x:c r="T288" s="653"/>
      <x:c r="U288" s="653"/>
      <x:c r="V288" s="653"/>
      <x:c r="W288" s="653"/>
      <x:c r="BN288" s="624"/>
    </x:row>
    <x:row r="289" spans="1:66" x14ac:dyDescent="0.25">
      <x:c r="A289" s="625"/>
      <x:c r="F289" s="627"/>
      <x:c r="G289" s="627"/>
      <x:c r="H289" s="627"/>
      <x:c r="I289" s="627"/>
      <x:c r="J289" s="627"/>
      <x:c r="K289" s="627"/>
      <x:c r="L289" s="627"/>
      <x:c r="M289" s="627"/>
      <x:c r="N289" s="627"/>
      <x:c r="O289" s="627"/>
      <x:c r="P289" s="627"/>
      <x:c r="Q289" s="627"/>
      <x:c r="R289" s="627"/>
      <x:c r="S289" s="627"/>
      <x:c r="T289" s="653"/>
      <x:c r="U289" s="653"/>
      <x:c r="V289" s="653"/>
      <x:c r="W289" s="653"/>
      <x:c r="BN289" s="624"/>
    </x:row>
    <x:row r="290" spans="1:66" x14ac:dyDescent="0.25">
      <x:c r="A290" s="625"/>
      <x:c r="F290" s="627"/>
      <x:c r="G290" s="627"/>
      <x:c r="H290" s="627"/>
      <x:c r="I290" s="627"/>
      <x:c r="J290" s="627"/>
      <x:c r="K290" s="627"/>
      <x:c r="L290" s="627"/>
      <x:c r="M290" s="627"/>
      <x:c r="N290" s="627"/>
      <x:c r="O290" s="627"/>
      <x:c r="P290" s="627"/>
      <x:c r="Q290" s="627"/>
      <x:c r="R290" s="627"/>
      <x:c r="S290" s="627"/>
      <x:c r="T290" s="653"/>
      <x:c r="U290" s="653"/>
      <x:c r="V290" s="653"/>
      <x:c r="W290" s="653"/>
      <x:c r="BN290" s="624"/>
    </x:row>
    <x:row r="291" spans="1:66" x14ac:dyDescent="0.25">
      <x:c r="A291" s="625"/>
      <x:c r="F291" s="627"/>
      <x:c r="G291" s="627"/>
      <x:c r="H291" s="627"/>
      <x:c r="I291" s="627"/>
      <x:c r="J291" s="627"/>
      <x:c r="K291" s="627"/>
      <x:c r="L291" s="627"/>
      <x:c r="M291" s="627"/>
      <x:c r="N291" s="627"/>
      <x:c r="O291" s="627"/>
      <x:c r="P291" s="627"/>
      <x:c r="Q291" s="627"/>
      <x:c r="R291" s="627"/>
      <x:c r="S291" s="627"/>
      <x:c r="T291" s="653"/>
      <x:c r="U291" s="653"/>
      <x:c r="V291" s="653"/>
      <x:c r="W291" s="653"/>
      <x:c r="BN291" s="624"/>
    </x:row>
    <x:row r="292" spans="1:66" x14ac:dyDescent="0.25">
      <x:c r="A292" s="625"/>
      <x:c r="F292" s="627"/>
      <x:c r="G292" s="627"/>
      <x:c r="H292" s="627"/>
      <x:c r="I292" s="627"/>
      <x:c r="J292" s="627"/>
      <x:c r="K292" s="627"/>
      <x:c r="L292" s="627"/>
      <x:c r="M292" s="627"/>
      <x:c r="N292" s="627"/>
      <x:c r="O292" s="627"/>
      <x:c r="P292" s="627"/>
      <x:c r="Q292" s="627"/>
      <x:c r="R292" s="627"/>
      <x:c r="S292" s="627"/>
      <x:c r="T292" s="653"/>
      <x:c r="U292" s="653"/>
      <x:c r="V292" s="653"/>
      <x:c r="W292" s="653"/>
      <x:c r="BN292" s="624"/>
    </x:row>
    <x:row r="293" spans="1:66" x14ac:dyDescent="0.25">
      <x:c r="A293" s="625"/>
      <x:c r="F293" s="627"/>
      <x:c r="G293" s="627"/>
      <x:c r="H293" s="627"/>
      <x:c r="I293" s="627"/>
      <x:c r="J293" s="627"/>
      <x:c r="K293" s="627"/>
      <x:c r="L293" s="627"/>
      <x:c r="M293" s="627"/>
      <x:c r="N293" s="627"/>
      <x:c r="O293" s="627"/>
      <x:c r="P293" s="627"/>
      <x:c r="Q293" s="627"/>
      <x:c r="R293" s="627"/>
      <x:c r="S293" s="627"/>
      <x:c r="T293" s="653"/>
      <x:c r="U293" s="653"/>
      <x:c r="V293" s="653"/>
      <x:c r="W293" s="653"/>
      <x:c r="BN293" s="624"/>
    </x:row>
    <x:row r="294" spans="1:66" x14ac:dyDescent="0.25">
      <x:c r="A294" s="625"/>
      <x:c r="F294" s="627"/>
      <x:c r="G294" s="627"/>
      <x:c r="H294" s="627"/>
      <x:c r="I294" s="627"/>
      <x:c r="J294" s="627"/>
      <x:c r="K294" s="627"/>
      <x:c r="L294" s="627"/>
      <x:c r="M294" s="627"/>
      <x:c r="N294" s="627"/>
      <x:c r="O294" s="627"/>
      <x:c r="P294" s="627"/>
      <x:c r="Q294" s="627"/>
      <x:c r="R294" s="627"/>
      <x:c r="S294" s="627"/>
      <x:c r="T294" s="653"/>
      <x:c r="U294" s="653"/>
      <x:c r="V294" s="653"/>
      <x:c r="W294" s="653"/>
      <x:c r="BN294" s="624"/>
    </x:row>
    <x:row r="295" spans="1:66" x14ac:dyDescent="0.25">
      <x:c r="A295" s="625"/>
      <x:c r="F295" s="627"/>
      <x:c r="G295" s="627"/>
      <x:c r="H295" s="627"/>
      <x:c r="I295" s="627"/>
      <x:c r="J295" s="627"/>
      <x:c r="K295" s="627"/>
      <x:c r="L295" s="627"/>
      <x:c r="M295" s="627"/>
      <x:c r="N295" s="627"/>
      <x:c r="O295" s="627"/>
      <x:c r="P295" s="627"/>
      <x:c r="Q295" s="627"/>
      <x:c r="R295" s="627"/>
      <x:c r="S295" s="627"/>
      <x:c r="T295" s="653"/>
      <x:c r="U295" s="653"/>
      <x:c r="V295" s="653"/>
      <x:c r="W295" s="653"/>
      <x:c r="BN295" s="624"/>
    </x:row>
    <x:row r="296" spans="1:66" x14ac:dyDescent="0.25">
      <x:c r="A296" s="625"/>
      <x:c r="F296" s="627"/>
      <x:c r="G296" s="627"/>
      <x:c r="H296" s="627"/>
      <x:c r="I296" s="627"/>
      <x:c r="J296" s="627"/>
      <x:c r="K296" s="627"/>
      <x:c r="L296" s="627"/>
      <x:c r="M296" s="627"/>
      <x:c r="N296" s="627"/>
      <x:c r="O296" s="627"/>
      <x:c r="P296" s="627"/>
      <x:c r="Q296" s="627"/>
      <x:c r="R296" s="627"/>
      <x:c r="S296" s="627"/>
      <x:c r="T296" s="653"/>
      <x:c r="U296" s="653"/>
      <x:c r="V296" s="653"/>
      <x:c r="W296" s="653"/>
      <x:c r="BN296" s="624"/>
    </x:row>
    <x:row r="297" spans="1:66" x14ac:dyDescent="0.25">
      <x:c r="A297" s="625"/>
      <x:c r="F297" s="627"/>
      <x:c r="G297" s="627"/>
      <x:c r="H297" s="627"/>
      <x:c r="I297" s="627"/>
      <x:c r="J297" s="627"/>
      <x:c r="K297" s="627"/>
      <x:c r="L297" s="627"/>
      <x:c r="M297" s="627"/>
      <x:c r="N297" s="627"/>
      <x:c r="O297" s="627"/>
      <x:c r="P297" s="627"/>
      <x:c r="Q297" s="627"/>
      <x:c r="R297" s="627"/>
      <x:c r="S297" s="627"/>
      <x:c r="T297" s="653"/>
      <x:c r="U297" s="653"/>
      <x:c r="V297" s="653"/>
      <x:c r="W297" s="653"/>
      <x:c r="BN297" s="624"/>
    </x:row>
    <x:row r="298" spans="1:66" x14ac:dyDescent="0.25">
      <x:c r="A298" s="625"/>
      <x:c r="F298" s="627"/>
      <x:c r="G298" s="627"/>
      <x:c r="H298" s="627"/>
      <x:c r="I298" s="627"/>
      <x:c r="J298" s="627"/>
      <x:c r="K298" s="627"/>
      <x:c r="L298" s="627"/>
      <x:c r="M298" s="627"/>
      <x:c r="N298" s="627"/>
      <x:c r="O298" s="627"/>
      <x:c r="P298" s="627"/>
      <x:c r="Q298" s="627"/>
      <x:c r="R298" s="627"/>
      <x:c r="S298" s="627"/>
      <x:c r="T298" s="653"/>
      <x:c r="U298" s="653"/>
      <x:c r="V298" s="653"/>
      <x:c r="W298" s="653"/>
      <x:c r="BN298" s="624"/>
    </x:row>
    <x:row r="299" spans="1:66" x14ac:dyDescent="0.25">
      <x:c r="A299" s="625"/>
      <x:c r="F299" s="627"/>
      <x:c r="G299" s="627"/>
      <x:c r="H299" s="627"/>
      <x:c r="I299" s="627"/>
      <x:c r="J299" s="627"/>
      <x:c r="K299" s="627"/>
      <x:c r="L299" s="627"/>
      <x:c r="M299" s="627"/>
      <x:c r="N299" s="627"/>
      <x:c r="O299" s="627"/>
      <x:c r="P299" s="627"/>
      <x:c r="Q299" s="627"/>
      <x:c r="R299" s="627"/>
      <x:c r="S299" s="627"/>
      <x:c r="T299" s="653"/>
      <x:c r="U299" s="653"/>
      <x:c r="V299" s="653"/>
      <x:c r="W299" s="653"/>
      <x:c r="BN299" s="624"/>
    </x:row>
    <x:row r="300" spans="1:66" x14ac:dyDescent="0.25">
      <x:c r="A300" s="625"/>
      <x:c r="F300" s="627"/>
      <x:c r="G300" s="627"/>
      <x:c r="H300" s="627"/>
      <x:c r="I300" s="627"/>
      <x:c r="J300" s="627"/>
      <x:c r="K300" s="627"/>
      <x:c r="L300" s="627"/>
      <x:c r="M300" s="627"/>
      <x:c r="N300" s="627"/>
      <x:c r="O300" s="627"/>
      <x:c r="P300" s="627"/>
      <x:c r="Q300" s="627"/>
      <x:c r="R300" s="627"/>
      <x:c r="S300" s="627"/>
      <x:c r="T300" s="653"/>
      <x:c r="U300" s="653"/>
      <x:c r="V300" s="653"/>
      <x:c r="W300" s="653"/>
      <x:c r="BN300" s="624"/>
    </x:row>
    <x:row r="301" spans="1:66" x14ac:dyDescent="0.25">
      <x:c r="A301" s="625"/>
      <x:c r="F301" s="627"/>
      <x:c r="G301" s="627"/>
      <x:c r="H301" s="627"/>
      <x:c r="I301" s="627"/>
      <x:c r="J301" s="627"/>
      <x:c r="K301" s="627"/>
      <x:c r="L301" s="627"/>
      <x:c r="M301" s="627"/>
      <x:c r="N301" s="627"/>
      <x:c r="O301" s="627"/>
      <x:c r="P301" s="627"/>
      <x:c r="Q301" s="627"/>
      <x:c r="R301" s="627"/>
      <x:c r="S301" s="627"/>
      <x:c r="T301" s="653"/>
      <x:c r="U301" s="653"/>
      <x:c r="V301" s="653"/>
      <x:c r="W301" s="653"/>
      <x:c r="BN301" s="624"/>
    </x:row>
    <x:row r="302" spans="1:66" x14ac:dyDescent="0.25">
      <x:c r="A302" s="625"/>
      <x:c r="F302" s="627"/>
      <x:c r="G302" s="627"/>
      <x:c r="H302" s="627"/>
      <x:c r="I302" s="627"/>
      <x:c r="J302" s="627"/>
      <x:c r="K302" s="627"/>
      <x:c r="L302" s="627"/>
      <x:c r="M302" s="627"/>
      <x:c r="N302" s="627"/>
      <x:c r="O302" s="627"/>
      <x:c r="P302" s="627"/>
      <x:c r="Q302" s="627"/>
      <x:c r="R302" s="627"/>
      <x:c r="S302" s="627"/>
      <x:c r="T302" s="653"/>
      <x:c r="U302" s="653"/>
      <x:c r="V302" s="653"/>
      <x:c r="W302" s="653"/>
      <x:c r="BN302" s="624"/>
    </x:row>
    <x:row r="303" spans="1:66" x14ac:dyDescent="0.25">
      <x:c r="A303" s="625"/>
      <x:c r="F303" s="627"/>
      <x:c r="G303" s="627"/>
      <x:c r="H303" s="627"/>
      <x:c r="I303" s="627"/>
      <x:c r="J303" s="627"/>
      <x:c r="K303" s="627"/>
      <x:c r="L303" s="627"/>
      <x:c r="M303" s="627"/>
      <x:c r="N303" s="627"/>
      <x:c r="O303" s="627"/>
      <x:c r="P303" s="627"/>
      <x:c r="Q303" s="627"/>
      <x:c r="R303" s="627"/>
      <x:c r="S303" s="627"/>
      <x:c r="T303" s="653"/>
      <x:c r="U303" s="653"/>
      <x:c r="V303" s="653"/>
      <x:c r="W303" s="653"/>
      <x:c r="BN303" s="624"/>
    </x:row>
    <x:row r="304" spans="1:66" x14ac:dyDescent="0.25">
      <x:c r="A304" s="625"/>
      <x:c r="F304" s="627"/>
      <x:c r="G304" s="627"/>
      <x:c r="H304" s="627"/>
      <x:c r="I304" s="627"/>
      <x:c r="J304" s="627"/>
      <x:c r="K304" s="627"/>
      <x:c r="L304" s="627"/>
      <x:c r="M304" s="627"/>
      <x:c r="N304" s="627"/>
      <x:c r="O304" s="627"/>
      <x:c r="P304" s="627"/>
      <x:c r="Q304" s="627"/>
      <x:c r="R304" s="627"/>
      <x:c r="S304" s="627"/>
      <x:c r="T304" s="653"/>
      <x:c r="U304" s="653"/>
      <x:c r="V304" s="653"/>
      <x:c r="W304" s="653"/>
      <x:c r="BN304" s="624"/>
    </x:row>
    <x:row r="305" spans="1:66" x14ac:dyDescent="0.25">
      <x:c r="A305" s="625"/>
      <x:c r="F305" s="627"/>
      <x:c r="G305" s="627"/>
      <x:c r="H305" s="627"/>
      <x:c r="I305" s="627"/>
      <x:c r="J305" s="627"/>
      <x:c r="K305" s="627"/>
      <x:c r="L305" s="627"/>
      <x:c r="M305" s="627"/>
      <x:c r="N305" s="627"/>
      <x:c r="O305" s="627"/>
      <x:c r="P305" s="627"/>
      <x:c r="Q305" s="627"/>
      <x:c r="R305" s="627"/>
      <x:c r="S305" s="627"/>
      <x:c r="T305" s="653"/>
      <x:c r="U305" s="653"/>
      <x:c r="V305" s="653"/>
      <x:c r="W305" s="653"/>
      <x:c r="BN305" s="624"/>
    </x:row>
    <x:row r="306" spans="1:66" x14ac:dyDescent="0.25">
      <x:c r="A306" s="625"/>
      <x:c r="F306" s="627"/>
      <x:c r="G306" s="627"/>
      <x:c r="H306" s="627"/>
      <x:c r="I306" s="627"/>
      <x:c r="J306" s="627"/>
      <x:c r="K306" s="627"/>
      <x:c r="L306" s="627"/>
      <x:c r="M306" s="627"/>
      <x:c r="N306" s="627"/>
      <x:c r="O306" s="627"/>
      <x:c r="P306" s="627"/>
      <x:c r="Q306" s="627"/>
      <x:c r="R306" s="627"/>
      <x:c r="S306" s="627"/>
      <x:c r="T306" s="653"/>
      <x:c r="U306" s="653"/>
      <x:c r="V306" s="653"/>
      <x:c r="W306" s="653"/>
      <x:c r="BN306" s="624"/>
    </x:row>
    <x:row r="307" spans="1:66" x14ac:dyDescent="0.25">
      <x:c r="A307" s="625"/>
      <x:c r="F307" s="627"/>
      <x:c r="G307" s="627"/>
      <x:c r="H307" s="627"/>
      <x:c r="I307" s="627"/>
      <x:c r="J307" s="627"/>
      <x:c r="K307" s="627"/>
      <x:c r="L307" s="627"/>
      <x:c r="M307" s="627"/>
      <x:c r="N307" s="627"/>
      <x:c r="O307" s="627"/>
      <x:c r="P307" s="627"/>
      <x:c r="Q307" s="627"/>
      <x:c r="R307" s="627"/>
      <x:c r="S307" s="627"/>
      <x:c r="T307" s="653"/>
      <x:c r="U307" s="653"/>
      <x:c r="V307" s="653"/>
      <x:c r="W307" s="653"/>
      <x:c r="BN307" s="624"/>
    </x:row>
    <x:row r="308" spans="1:66" x14ac:dyDescent="0.25">
      <x:c r="A308" s="625"/>
      <x:c r="F308" s="627"/>
      <x:c r="G308" s="627"/>
      <x:c r="H308" s="627"/>
      <x:c r="I308" s="627"/>
      <x:c r="J308" s="627"/>
      <x:c r="K308" s="627"/>
      <x:c r="L308" s="627"/>
      <x:c r="M308" s="627"/>
      <x:c r="N308" s="627"/>
      <x:c r="O308" s="627"/>
      <x:c r="P308" s="627"/>
      <x:c r="Q308" s="627"/>
      <x:c r="R308" s="627"/>
      <x:c r="S308" s="627"/>
      <x:c r="T308" s="653"/>
      <x:c r="U308" s="653"/>
      <x:c r="V308" s="653"/>
      <x:c r="W308" s="653"/>
      <x:c r="BN308" s="624"/>
    </x:row>
    <x:row r="309" spans="1:66" x14ac:dyDescent="0.25">
      <x:c r="A309" s="625"/>
      <x:c r="F309" s="627"/>
      <x:c r="G309" s="627"/>
      <x:c r="H309" s="627"/>
      <x:c r="I309" s="627"/>
      <x:c r="J309" s="627"/>
      <x:c r="K309" s="627"/>
      <x:c r="L309" s="627"/>
      <x:c r="M309" s="627"/>
      <x:c r="N309" s="627"/>
      <x:c r="O309" s="627"/>
      <x:c r="P309" s="627"/>
      <x:c r="Q309" s="627"/>
      <x:c r="R309" s="627"/>
      <x:c r="S309" s="627"/>
      <x:c r="T309" s="653"/>
      <x:c r="U309" s="653"/>
      <x:c r="V309" s="653"/>
      <x:c r="W309" s="653"/>
      <x:c r="BN309" s="624"/>
    </x:row>
    <x:row r="310" spans="1:66" x14ac:dyDescent="0.25">
      <x:c r="A310" s="625"/>
      <x:c r="F310" s="627"/>
      <x:c r="G310" s="627"/>
      <x:c r="H310" s="627"/>
      <x:c r="I310" s="627"/>
      <x:c r="J310" s="627"/>
      <x:c r="K310" s="627"/>
      <x:c r="L310" s="627"/>
      <x:c r="M310" s="627"/>
      <x:c r="N310" s="627"/>
      <x:c r="O310" s="627"/>
      <x:c r="P310" s="627"/>
      <x:c r="Q310" s="627"/>
      <x:c r="R310" s="627"/>
      <x:c r="S310" s="627"/>
      <x:c r="T310" s="653"/>
      <x:c r="U310" s="653"/>
      <x:c r="V310" s="653"/>
      <x:c r="W310" s="653"/>
      <x:c r="BN310" s="624"/>
    </x:row>
    <x:row r="311" spans="1:66" x14ac:dyDescent="0.25">
      <x:c r="A311" s="625"/>
      <x:c r="F311" s="627"/>
      <x:c r="G311" s="627"/>
      <x:c r="H311" s="627"/>
      <x:c r="I311" s="627"/>
      <x:c r="J311" s="627"/>
      <x:c r="K311" s="627"/>
      <x:c r="L311" s="627"/>
      <x:c r="M311" s="627"/>
      <x:c r="N311" s="627"/>
      <x:c r="O311" s="627"/>
      <x:c r="P311" s="627"/>
      <x:c r="Q311" s="627"/>
      <x:c r="R311" s="627"/>
      <x:c r="S311" s="627"/>
      <x:c r="T311" s="653"/>
      <x:c r="U311" s="653"/>
      <x:c r="V311" s="653"/>
      <x:c r="W311" s="653"/>
      <x:c r="BN311" s="624"/>
    </x:row>
    <x:row r="312" spans="1:66" x14ac:dyDescent="0.25">
      <x:c r="A312" s="625"/>
      <x:c r="F312" s="627"/>
      <x:c r="G312" s="627"/>
      <x:c r="H312" s="627"/>
      <x:c r="I312" s="627"/>
      <x:c r="J312" s="627"/>
      <x:c r="K312" s="627"/>
      <x:c r="L312" s="627"/>
      <x:c r="M312" s="627"/>
      <x:c r="N312" s="627"/>
      <x:c r="O312" s="627"/>
      <x:c r="P312" s="627"/>
      <x:c r="Q312" s="627"/>
      <x:c r="R312" s="627"/>
      <x:c r="S312" s="627"/>
      <x:c r="T312" s="653"/>
      <x:c r="U312" s="653"/>
      <x:c r="V312" s="653"/>
      <x:c r="W312" s="653"/>
      <x:c r="BN312" s="624"/>
    </x:row>
    <x:row r="313" spans="1:66" x14ac:dyDescent="0.25">
      <x:c r="A313" s="625"/>
      <x:c r="F313" s="627"/>
      <x:c r="G313" s="627"/>
      <x:c r="H313" s="627"/>
      <x:c r="I313" s="627"/>
      <x:c r="J313" s="627"/>
      <x:c r="K313" s="627"/>
      <x:c r="L313" s="627"/>
      <x:c r="M313" s="627"/>
      <x:c r="N313" s="627"/>
      <x:c r="O313" s="627"/>
      <x:c r="P313" s="627"/>
      <x:c r="Q313" s="627"/>
      <x:c r="R313" s="627"/>
      <x:c r="S313" s="627"/>
      <x:c r="T313" s="653"/>
      <x:c r="U313" s="653"/>
      <x:c r="V313" s="653"/>
      <x:c r="W313" s="653"/>
      <x:c r="BN313" s="624"/>
    </x:row>
    <x:row r="314" spans="1:66" x14ac:dyDescent="0.25">
      <x:c r="A314" s="625"/>
      <x:c r="F314" s="627"/>
      <x:c r="G314" s="627"/>
      <x:c r="H314" s="627"/>
      <x:c r="I314" s="627"/>
      <x:c r="J314" s="627"/>
      <x:c r="K314" s="627"/>
      <x:c r="L314" s="627"/>
      <x:c r="M314" s="627"/>
      <x:c r="N314" s="627"/>
      <x:c r="O314" s="627"/>
      <x:c r="P314" s="627"/>
      <x:c r="Q314" s="627"/>
      <x:c r="R314" s="627"/>
      <x:c r="S314" s="627"/>
      <x:c r="T314" s="653"/>
      <x:c r="U314" s="653"/>
      <x:c r="V314" s="653"/>
      <x:c r="W314" s="653"/>
      <x:c r="BN314" s="624"/>
    </x:row>
    <x:row r="315" spans="1:66" x14ac:dyDescent="0.25">
      <x:c r="A315" s="625"/>
      <x:c r="F315" s="627"/>
      <x:c r="G315" s="627"/>
      <x:c r="H315" s="627"/>
      <x:c r="I315" s="627"/>
      <x:c r="J315" s="627"/>
      <x:c r="K315" s="627"/>
      <x:c r="L315" s="627"/>
      <x:c r="M315" s="627"/>
      <x:c r="N315" s="627"/>
      <x:c r="O315" s="627"/>
      <x:c r="P315" s="627"/>
      <x:c r="Q315" s="627"/>
      <x:c r="R315" s="627"/>
      <x:c r="S315" s="627"/>
      <x:c r="T315" s="653"/>
      <x:c r="U315" s="653"/>
      <x:c r="V315" s="653"/>
      <x:c r="W315" s="653"/>
      <x:c r="BN315" s="624"/>
    </x:row>
    <x:row r="316" spans="1:66" x14ac:dyDescent="0.25">
      <x:c r="C316" s="773" t="s">
        <x:v>2</x:v>
      </x:c>
      <x:c r="D316" s="770" t="s">
        <x:v>132</x:v>
      </x:c>
      <x:c r="E316" s="639" t="s">
        <x:v>70</x:v>
      </x:c>
      <x:c r="F316" s="640">
        <x:f>F238+F254+F217-L217-L238</x:f>
        <x:v>0</x:v>
      </x:c>
      <x:c r="G316" s="640">
        <x:f>G238+G217</x:f>
        <x:v>0</x:v>
      </x:c>
      <x:c r="H316" s="640">
        <x:f t="shared" ref="H316:AO316" si="14">H235+H214</x:f>
        <x:v>0</x:v>
      </x:c>
      <x:c r="I316" s="640">
        <x:f t="shared" si="14"/>
        <x:v>0</x:v>
      </x:c>
      <x:c r="J316" s="640">
        <x:f t="shared" si="14"/>
        <x:v>0</x:v>
      </x:c>
      <x:c r="K316" s="640">
        <x:f t="shared" si="14"/>
        <x:v>0</x:v>
      </x:c>
      <x:c r="L316" s="640">
        <x:f t="shared" si="14"/>
        <x:v>0</x:v>
      </x:c>
      <x:c r="M316" s="640">
        <x:f t="shared" si="14"/>
        <x:v>0</x:v>
      </x:c>
      <x:c r="N316" s="640">
        <x:f t="shared" si="14"/>
        <x:v>0</x:v>
      </x:c>
      <x:c r="O316" s="640">
        <x:f t="shared" si="14"/>
        <x:v>0</x:v>
      </x:c>
      <x:c r="P316" s="640">
        <x:f t="shared" si="14"/>
        <x:v>0</x:v>
      </x:c>
      <x:c r="Q316" s="640">
        <x:f t="shared" si="14"/>
        <x:v>0</x:v>
      </x:c>
      <x:c r="R316" s="640">
        <x:f t="shared" si="14"/>
        <x:v>0</x:v>
      </x:c>
      <x:c r="S316" s="640">
        <x:f t="shared" si="14"/>
        <x:v>0</x:v>
      </x:c>
      <x:c r="T316" s="640">
        <x:f t="shared" si="14"/>
        <x:v>0</x:v>
      </x:c>
      <x:c r="U316" s="640">
        <x:f t="shared" si="14"/>
        <x:v>0</x:v>
      </x:c>
      <x:c r="V316" s="640">
        <x:f t="shared" si="14"/>
        <x:v>0</x:v>
      </x:c>
      <x:c r="W316" s="640">
        <x:f t="shared" si="14"/>
        <x:v>0</x:v>
      </x:c>
      <x:c r="X316" s="640">
        <x:f t="shared" si="14"/>
        <x:v>0</x:v>
      </x:c>
      <x:c r="Y316" s="640">
        <x:f t="shared" si="14"/>
        <x:v>0</x:v>
      </x:c>
      <x:c r="Z316" s="640">
        <x:f t="shared" si="14"/>
        <x:v>0</x:v>
      </x:c>
      <x:c r="AA316" s="640">
        <x:f t="shared" si="14"/>
        <x:v>0</x:v>
      </x:c>
      <x:c r="AB316" s="640">
        <x:f t="shared" si="14"/>
        <x:v>0</x:v>
      </x:c>
      <x:c r="AC316" s="640">
        <x:f t="shared" si="14"/>
        <x:v>0</x:v>
      </x:c>
      <x:c r="AD316" s="640">
        <x:f t="shared" si="14"/>
        <x:v>0</x:v>
      </x:c>
      <x:c r="AE316" s="640">
        <x:f t="shared" si="14"/>
        <x:v>0</x:v>
      </x:c>
      <x:c r="AF316" s="640">
        <x:f t="shared" si="14"/>
        <x:v>0</x:v>
      </x:c>
      <x:c r="AG316" s="640">
        <x:f t="shared" si="14"/>
        <x:v>0</x:v>
      </x:c>
      <x:c r="AH316" s="640">
        <x:f t="shared" si="14"/>
        <x:v>0</x:v>
      </x:c>
      <x:c r="AI316" s="640">
        <x:f t="shared" si="14"/>
        <x:v>0</x:v>
      </x:c>
      <x:c r="AJ316" s="640">
        <x:f t="shared" si="14"/>
        <x:v>0</x:v>
      </x:c>
      <x:c r="AK316" s="640">
        <x:f t="shared" si="14"/>
        <x:v>0</x:v>
      </x:c>
      <x:c r="AL316" s="640">
        <x:f t="shared" si="14"/>
        <x:v>0</x:v>
      </x:c>
      <x:c r="AM316" s="640">
        <x:f t="shared" si="14"/>
        <x:v>0</x:v>
      </x:c>
      <x:c r="AN316" s="640">
        <x:f t="shared" si="14"/>
        <x:v>0</x:v>
      </x:c>
      <x:c r="AO316" s="640">
        <x:f t="shared" si="14"/>
        <x:v>0</x:v>
      </x:c>
      <x:c r="BN316" s="624"/>
    </x:row>
    <x:row r="317" spans="1:66" x14ac:dyDescent="0.25">
      <x:c r="C317" s="773"/>
      <x:c r="D317" s="770"/>
      <x:c r="E317" s="639" t="s">
        <x:v>73</x:v>
      </x:c>
      <x:c r="F317" s="640">
        <x:f>F251</x:f>
        <x:v>0</x:v>
      </x:c>
      <x:c r="G317" s="627"/>
      <x:c r="H317" s="627"/>
      <x:c r="I317" s="627"/>
      <x:c r="J317" s="627"/>
      <x:c r="K317" s="627"/>
      <x:c r="L317" s="627"/>
      <x:c r="M317" s="627"/>
      <x:c r="N317" s="627"/>
      <x:c r="O317" s="627"/>
      <x:c r="P317" s="627"/>
      <x:c r="Q317" s="627"/>
      <x:c r="R317" s="627"/>
      <x:c r="S317" s="627"/>
      <x:c r="BN317" s="624"/>
    </x:row>
    <x:row r="318" spans="1:66" x14ac:dyDescent="0.25">
      <x:c r="A318" s="627"/>
      <x:c r="C318" s="773"/>
      <x:c r="D318" s="770" t="s">
        <x:v>133</x:v>
      </x:c>
      <x:c r="E318" s="645" t="s">
        <x:v>70</x:v>
      </x:c>
      <x:c r="F318" s="646">
        <x:f>F243+F223-L223</x:f>
        <x:v>0</x:v>
      </x:c>
      <x:c r="G318" s="646">
        <x:f>G220</x:f>
        <x:v>0</x:v>
      </x:c>
      <x:c r="H318" s="646">
        <x:f t="shared" ref="H318:AO318" si="15">H220</x:f>
        <x:v>0</x:v>
      </x:c>
      <x:c r="I318" s="646">
        <x:f t="shared" si="15"/>
        <x:v>0</x:v>
      </x:c>
      <x:c r="J318" s="646">
        <x:f t="shared" si="15"/>
        <x:v>0</x:v>
      </x:c>
      <x:c r="K318" s="646">
        <x:f t="shared" si="15"/>
        <x:v>0</x:v>
      </x:c>
      <x:c r="L318" s="646">
        <x:f t="shared" si="15"/>
        <x:v>0</x:v>
      </x:c>
      <x:c r="M318" s="646">
        <x:f t="shared" si="15"/>
        <x:v>0</x:v>
      </x:c>
      <x:c r="N318" s="646">
        <x:f t="shared" si="15"/>
        <x:v>0</x:v>
      </x:c>
      <x:c r="O318" s="646">
        <x:f t="shared" si="15"/>
        <x:v>0</x:v>
      </x:c>
      <x:c r="P318" s="646">
        <x:f t="shared" si="15"/>
        <x:v>0</x:v>
      </x:c>
      <x:c r="Q318" s="646">
        <x:f t="shared" si="15"/>
        <x:v>0</x:v>
      </x:c>
      <x:c r="R318" s="646">
        <x:f t="shared" si="15"/>
        <x:v>0</x:v>
      </x:c>
      <x:c r="S318" s="646">
        <x:f t="shared" si="15"/>
        <x:v>0</x:v>
      </x:c>
      <x:c r="T318" s="646">
        <x:f t="shared" si="15"/>
        <x:v>0</x:v>
      </x:c>
      <x:c r="U318" s="646">
        <x:f t="shared" si="15"/>
        <x:v>0</x:v>
      </x:c>
      <x:c r="V318" s="646">
        <x:f t="shared" si="15"/>
        <x:v>0</x:v>
      </x:c>
      <x:c r="W318" s="646">
        <x:f t="shared" si="15"/>
        <x:v>0</x:v>
      </x:c>
      <x:c r="X318" s="646">
        <x:f t="shared" si="15"/>
        <x:v>0</x:v>
      </x:c>
      <x:c r="Y318" s="646">
        <x:f t="shared" si="15"/>
        <x:v>0</x:v>
      </x:c>
      <x:c r="Z318" s="646">
        <x:f t="shared" si="15"/>
        <x:v>0</x:v>
      </x:c>
      <x:c r="AA318" s="646">
        <x:f t="shared" si="15"/>
        <x:v>0</x:v>
      </x:c>
      <x:c r="AB318" s="646">
        <x:f t="shared" si="15"/>
        <x:v>0</x:v>
      </x:c>
      <x:c r="AC318" s="646">
        <x:f t="shared" si="15"/>
        <x:v>0</x:v>
      </x:c>
      <x:c r="AD318" s="646">
        <x:f t="shared" si="15"/>
        <x:v>0</x:v>
      </x:c>
      <x:c r="AE318" s="646">
        <x:f t="shared" si="15"/>
        <x:v>0</x:v>
      </x:c>
      <x:c r="AF318" s="646">
        <x:f t="shared" si="15"/>
        <x:v>0</x:v>
      </x:c>
      <x:c r="AG318" s="646">
        <x:f t="shared" si="15"/>
        <x:v>0</x:v>
      </x:c>
      <x:c r="AH318" s="646">
        <x:f t="shared" si="15"/>
        <x:v>0</x:v>
      </x:c>
      <x:c r="AI318" s="646">
        <x:f t="shared" si="15"/>
        <x:v>0</x:v>
      </x:c>
      <x:c r="AJ318" s="646">
        <x:f t="shared" si="15"/>
        <x:v>0</x:v>
      </x:c>
      <x:c r="AK318" s="646">
        <x:f t="shared" si="15"/>
        <x:v>0</x:v>
      </x:c>
      <x:c r="AL318" s="646">
        <x:f t="shared" si="15"/>
        <x:v>0</x:v>
      </x:c>
      <x:c r="AM318" s="646">
        <x:f t="shared" si="15"/>
        <x:v>0</x:v>
      </x:c>
      <x:c r="AN318" s="646">
        <x:f t="shared" si="15"/>
        <x:v>0</x:v>
      </x:c>
      <x:c r="AO318" s="646">
        <x:f t="shared" si="15"/>
        <x:v>0</x:v>
      </x:c>
      <x:c r="BN318" s="624"/>
    </x:row>
    <x:row r="319" spans="1:66" x14ac:dyDescent="0.25">
      <x:c r="C319" s="773"/>
      <x:c r="D319" s="770"/>
      <x:c r="E319" s="645" t="s">
        <x:v>73</x:v>
      </x:c>
      <x:c r="F319" s="646">
        <x:f>F240</x:f>
        <x:v>0</x:v>
      </x:c>
      <x:c r="G319" s="627"/>
      <x:c r="H319" s="627"/>
      <x:c r="I319" s="627"/>
      <x:c r="J319" s="627"/>
      <x:c r="K319" s="627"/>
      <x:c r="L319" s="627"/>
      <x:c r="M319" s="627"/>
      <x:c r="N319" s="627"/>
      <x:c r="O319" s="627"/>
      <x:c r="P319" s="627"/>
      <x:c r="Q319" s="627"/>
      <x:c r="R319" s="627"/>
      <x:c r="BN319" s="624"/>
    </x:row>
    <x:row r="320" spans="1:66" x14ac:dyDescent="0.25">
      <x:c r="A320" s="625"/>
      <x:c r="C320" s="50"/>
      <x:c r="F320" s="627"/>
      <x:c r="G320" s="627"/>
      <x:c r="H320" s="627"/>
      <x:c r="I320" s="627"/>
      <x:c r="J320" s="627"/>
      <x:c r="K320" s="627"/>
      <x:c r="L320" s="627"/>
      <x:c r="M320" s="627"/>
      <x:c r="N320" s="627"/>
      <x:c r="O320" s="627"/>
      <x:c r="P320" s="627"/>
      <x:c r="Q320" s="627"/>
      <x:c r="R320" s="627"/>
      <x:c r="S320" s="627"/>
      <x:c r="BN320" s="624"/>
    </x:row>
    <x:row r="321" spans="1:66" x14ac:dyDescent="0.25">
      <x:c r="C321" s="773" t="s">
        <x:v>160</x:v>
      </x:c>
      <x:c r="D321" s="770" t="s">
        <x:v>132</x:v>
      </x:c>
      <x:c r="E321" s="647" t="s">
        <x:v>70</x:v>
      </x:c>
      <x:c r="F321" s="648">
        <x:v>0</x:v>
      </x:c>
      <x:c r="G321" s="648">
        <x:v>0</x:v>
      </x:c>
      <x:c r="H321" s="648">
        <x:v>0</x:v>
      </x:c>
      <x:c r="I321" s="648">
        <x:v>0</x:v>
      </x:c>
      <x:c r="J321" s="648">
        <x:v>0</x:v>
      </x:c>
      <x:c r="K321" s="648">
        <x:v>0</x:v>
      </x:c>
      <x:c r="L321" s="648">
        <x:v>0</x:v>
      </x:c>
      <x:c r="M321" s="648">
        <x:v>0</x:v>
      </x:c>
      <x:c r="N321" s="648">
        <x:v>0</x:v>
      </x:c>
      <x:c r="O321" s="648">
        <x:v>0</x:v>
      </x:c>
      <x:c r="P321" s="648">
        <x:v>0</x:v>
      </x:c>
      <x:c r="Q321" s="648">
        <x:v>0</x:v>
      </x:c>
      <x:c r="R321" s="648">
        <x:v>0</x:v>
      </x:c>
      <x:c r="S321" s="648">
        <x:v>0</x:v>
      </x:c>
      <x:c r="T321" s="648">
        <x:v>0</x:v>
      </x:c>
      <x:c r="U321" s="648"/>
      <x:c r="V321" s="648"/>
      <x:c r="W321" s="648"/>
      <x:c r="X321" s="648">
        <x:v>0</x:v>
      </x:c>
      <x:c r="Y321" s="648">
        <x:v>0</x:v>
      </x:c>
      <x:c r="Z321" s="648">
        <x:v>0</x:v>
      </x:c>
      <x:c r="AA321" s="648">
        <x:v>0</x:v>
      </x:c>
      <x:c r="AB321" s="648">
        <x:v>0</x:v>
      </x:c>
      <x:c r="AC321" s="648">
        <x:v>0</x:v>
      </x:c>
      <x:c r="AD321" s="648">
        <x:v>0</x:v>
      </x:c>
      <x:c r="AE321" s="648">
        <x:v>0</x:v>
      </x:c>
      <x:c r="AF321" s="648">
        <x:v>0</x:v>
      </x:c>
      <x:c r="AG321" s="648">
        <x:v>0</x:v>
      </x:c>
      <x:c r="AH321" s="648">
        <x:v>0</x:v>
      </x:c>
      <x:c r="AI321" s="648">
        <x:v>0</x:v>
      </x:c>
      <x:c r="AJ321" s="648">
        <x:v>0</x:v>
      </x:c>
      <x:c r="AK321" s="648">
        <x:v>0</x:v>
      </x:c>
      <x:c r="AL321" s="648">
        <x:v>0</x:v>
      </x:c>
      <x:c r="AM321" s="648">
        <x:v>0</x:v>
      </x:c>
      <x:c r="AN321" s="648">
        <x:v>0</x:v>
      </x:c>
      <x:c r="AO321" s="648">
        <x:v>0</x:v>
      </x:c>
      <x:c r="BN321" s="624"/>
    </x:row>
    <x:row r="322" spans="1:66" x14ac:dyDescent="0.25">
      <x:c r="C322" s="773"/>
      <x:c r="D322" s="770"/>
      <x:c r="E322" s="647" t="s">
        <x:v>73</x:v>
      </x:c>
      <x:c r="F322" s="648">
        <x:v>0</x:v>
      </x:c>
      <x:c r="G322" s="627"/>
      <x:c r="H322" s="627"/>
      <x:c r="I322" s="627"/>
      <x:c r="J322" s="627"/>
      <x:c r="K322" s="627"/>
      <x:c r="L322" s="627"/>
      <x:c r="M322" s="627"/>
      <x:c r="N322" s="627"/>
      <x:c r="O322" s="627"/>
      <x:c r="P322" s="627"/>
      <x:c r="Q322" s="627"/>
      <x:c r="R322" s="627"/>
      <x:c r="S322" s="627"/>
      <x:c r="BN322" s="624"/>
    </x:row>
    <x:row r="323" spans="1:66" x14ac:dyDescent="0.25">
      <x:c r="C323" s="773"/>
      <x:c r="D323" s="770" t="s">
        <x:v>133</x:v>
      </x:c>
      <x:c r="E323" s="649" t="s">
        <x:v>70</x:v>
      </x:c>
      <x:c r="F323" s="650">
        <x:v>0</x:v>
      </x:c>
      <x:c r="G323" s="650">
        <x:v>0</x:v>
      </x:c>
      <x:c r="H323" s="650">
        <x:v>0</x:v>
      </x:c>
      <x:c r="I323" s="650">
        <x:v>0</x:v>
      </x:c>
      <x:c r="J323" s="650">
        <x:v>0</x:v>
      </x:c>
      <x:c r="K323" s="650">
        <x:v>0</x:v>
      </x:c>
      <x:c r="L323" s="650">
        <x:v>0</x:v>
      </x:c>
      <x:c r="M323" s="650">
        <x:v>0</x:v>
      </x:c>
      <x:c r="N323" s="650">
        <x:v>0</x:v>
      </x:c>
      <x:c r="O323" s="650">
        <x:v>0</x:v>
      </x:c>
      <x:c r="P323" s="650">
        <x:v>0</x:v>
      </x:c>
      <x:c r="Q323" s="650">
        <x:v>0</x:v>
      </x:c>
      <x:c r="R323" s="650">
        <x:v>0</x:v>
      </x:c>
      <x:c r="S323" s="650">
        <x:v>0</x:v>
      </x:c>
      <x:c r="T323" s="650">
        <x:v>0</x:v>
      </x:c>
      <x:c r="U323" s="650"/>
      <x:c r="V323" s="650"/>
      <x:c r="W323" s="650"/>
      <x:c r="X323" s="650">
        <x:v>0</x:v>
      </x:c>
      <x:c r="Y323" s="650">
        <x:v>0</x:v>
      </x:c>
      <x:c r="Z323" s="650">
        <x:v>0</x:v>
      </x:c>
      <x:c r="AA323" s="650">
        <x:v>0</x:v>
      </x:c>
      <x:c r="AB323" s="650">
        <x:v>0</x:v>
      </x:c>
      <x:c r="AC323" s="650">
        <x:v>0</x:v>
      </x:c>
      <x:c r="AD323" s="650">
        <x:v>0</x:v>
      </x:c>
      <x:c r="AE323" s="650">
        <x:v>0</x:v>
      </x:c>
      <x:c r="AF323" s="650">
        <x:v>0</x:v>
      </x:c>
      <x:c r="AG323" s="650">
        <x:v>0</x:v>
      </x:c>
      <x:c r="AH323" s="650">
        <x:v>0</x:v>
      </x:c>
      <x:c r="AI323" s="650">
        <x:v>0</x:v>
      </x:c>
      <x:c r="AJ323" s="650">
        <x:v>0</x:v>
      </x:c>
      <x:c r="AK323" s="650">
        <x:v>0</x:v>
      </x:c>
      <x:c r="AL323" s="650">
        <x:v>0</x:v>
      </x:c>
      <x:c r="AM323" s="650">
        <x:v>0</x:v>
      </x:c>
      <x:c r="AN323" s="650">
        <x:v>0</x:v>
      </x:c>
      <x:c r="AO323" s="650">
        <x:v>0</x:v>
      </x:c>
      <x:c r="BN323" s="624"/>
    </x:row>
    <x:row r="324" spans="1:66" x14ac:dyDescent="0.25">
      <x:c r="C324" s="773"/>
      <x:c r="D324" s="770"/>
      <x:c r="E324" s="649" t="s">
        <x:v>73</x:v>
      </x:c>
      <x:c r="F324" s="650">
        <x:v>0</x:v>
      </x:c>
      <x:c r="G324" s="627"/>
      <x:c r="H324" s="627"/>
      <x:c r="I324" s="627"/>
      <x:c r="J324" s="627"/>
      <x:c r="K324" s="627"/>
      <x:c r="L324" s="627"/>
      <x:c r="M324" s="627"/>
      <x:c r="N324" s="627"/>
      <x:c r="O324" s="627"/>
      <x:c r="P324" s="627"/>
      <x:c r="Q324" s="627"/>
      <x:c r="R324" s="627"/>
      <x:c r="BN324" s="624"/>
    </x:row>
    <x:row r="325" spans="1:66" x14ac:dyDescent="0.25">
      <x:c r="A325" s="625"/>
      <x:c r="C325" s="50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R325" s="627"/>
      <x:c r="S325" s="627"/>
      <x:c r="BN325" s="624"/>
    </x:row>
    <x:row r="326" spans="1:66" x14ac:dyDescent="0.25">
      <x:c r="C326" s="773" t="s">
        <x:v>155</x:v>
      </x:c>
      <x:c r="D326" s="770" t="s">
        <x:v>132</x:v>
      </x:c>
      <x:c r="E326" s="651" t="s">
        <x:v>70</x:v>
      </x:c>
      <x:c r="F326" s="652">
        <x:f>F243+F224-L224</x:f>
        <x:v>0</x:v>
      </x:c>
      <x:c r="G326" s="652">
        <x:f>G224</x:f>
        <x:v>0</x:v>
      </x:c>
      <x:c r="H326" s="652">
        <x:f t="shared" ref="H326:AO326" si="16">H224</x:f>
        <x:v>0</x:v>
      </x:c>
      <x:c r="I326" s="652">
        <x:f t="shared" si="16"/>
        <x:v>0</x:v>
      </x:c>
      <x:c r="J326" s="652">
        <x:f t="shared" si="16"/>
        <x:v>0</x:v>
      </x:c>
      <x:c r="K326" s="652">
        <x:f t="shared" si="16"/>
        <x:v>0</x:v>
      </x:c>
      <x:c r="L326" s="652">
        <x:f t="shared" si="16"/>
        <x:v>0</x:v>
      </x:c>
      <x:c r="M326" s="652">
        <x:f t="shared" si="16"/>
        <x:v>0</x:v>
      </x:c>
      <x:c r="N326" s="652">
        <x:f t="shared" si="16"/>
        <x:v>0</x:v>
      </x:c>
      <x:c r="O326" s="652">
        <x:f t="shared" si="16"/>
        <x:v>0</x:v>
      </x:c>
      <x:c r="P326" s="652">
        <x:f t="shared" si="16"/>
        <x:v>0</x:v>
      </x:c>
      <x:c r="Q326" s="652">
        <x:f t="shared" si="16"/>
        <x:v>0</x:v>
      </x:c>
      <x:c r="R326" s="652">
        <x:f t="shared" si="16"/>
        <x:v>0</x:v>
      </x:c>
      <x:c r="S326" s="652">
        <x:f t="shared" si="16"/>
        <x:v>0</x:v>
      </x:c>
      <x:c r="T326" s="652">
        <x:f t="shared" si="16"/>
        <x:v>0</x:v>
      </x:c>
      <x:c r="U326" s="652">
        <x:f t="shared" si="16"/>
        <x:v>0</x:v>
      </x:c>
      <x:c r="V326" s="652">
        <x:f t="shared" si="16"/>
        <x:v>0</x:v>
      </x:c>
      <x:c r="W326" s="652">
        <x:f t="shared" si="16"/>
        <x:v>0</x:v>
      </x:c>
      <x:c r="X326" s="652">
        <x:f t="shared" si="16"/>
        <x:v>0</x:v>
      </x:c>
      <x:c r="Y326" s="652">
        <x:f t="shared" si="16"/>
        <x:v>0</x:v>
      </x:c>
      <x:c r="Z326" s="652">
        <x:f t="shared" si="16"/>
        <x:v>0</x:v>
      </x:c>
      <x:c r="AA326" s="652">
        <x:f t="shared" si="16"/>
        <x:v>0</x:v>
      </x:c>
      <x:c r="AB326" s="652">
        <x:f t="shared" si="16"/>
        <x:v>0</x:v>
      </x:c>
      <x:c r="AC326" s="652">
        <x:f t="shared" si="16"/>
        <x:v>0</x:v>
      </x:c>
      <x:c r="AD326" s="652">
        <x:f t="shared" si="16"/>
        <x:v>0</x:v>
      </x:c>
      <x:c r="AE326" s="652">
        <x:f t="shared" si="16"/>
        <x:v>0</x:v>
      </x:c>
      <x:c r="AF326" s="652">
        <x:f t="shared" si="16"/>
        <x:v>0</x:v>
      </x:c>
      <x:c r="AG326" s="652">
        <x:f t="shared" si="16"/>
        <x:v>0</x:v>
      </x:c>
      <x:c r="AH326" s="652">
        <x:f t="shared" si="16"/>
        <x:v>0</x:v>
      </x:c>
      <x:c r="AI326" s="652">
        <x:f t="shared" si="16"/>
        <x:v>0</x:v>
      </x:c>
      <x:c r="AJ326" s="652">
        <x:f t="shared" si="16"/>
        <x:v>0</x:v>
      </x:c>
      <x:c r="AK326" s="652">
        <x:f t="shared" si="16"/>
        <x:v>0</x:v>
      </x:c>
      <x:c r="AL326" s="652">
        <x:f t="shared" si="16"/>
        <x:v>0</x:v>
      </x:c>
      <x:c r="AM326" s="652">
        <x:f t="shared" si="16"/>
        <x:v>0</x:v>
      </x:c>
      <x:c r="AN326" s="652">
        <x:f t="shared" si="16"/>
        <x:v>0</x:v>
      </x:c>
      <x:c r="AO326" s="652">
        <x:f t="shared" si="16"/>
        <x:v>0</x:v>
      </x:c>
      <x:c r="BN326" s="624"/>
    </x:row>
    <x:row r="327" spans="1:66" x14ac:dyDescent="0.25">
      <x:c r="C327" s="773"/>
      <x:c r="D327" s="770"/>
      <x:c r="E327" s="651" t="s">
        <x:v>73</x:v>
      </x:c>
      <x:c r="F327" s="652">
        <x:f>F243</x:f>
        <x:v>0</x:v>
      </x:c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R327" s="627"/>
      <x:c r="S327" s="627"/>
      <x:c r="BN327" s="624"/>
    </x:row>
    <x:row r="328" spans="1:66" x14ac:dyDescent="0.25">
      <x:c r="C328" s="773"/>
      <x:c r="D328" s="770" t="s">
        <x:v>133</x:v>
      </x:c>
      <x:c r="E328" s="629" t="s">
        <x:v>70</x:v>
      </x:c>
      <x:c r="F328" s="630">
        <x:f>F239+F219-L219</x:f>
        <x:v>0</x:v>
      </x:c>
      <x:c r="G328" s="630">
        <x:f>G219</x:f>
        <x:v>0</x:v>
      </x:c>
      <x:c r="H328" s="630">
        <x:f t="shared" ref="H328:AO328" si="17">H219</x:f>
        <x:v>0</x:v>
      </x:c>
      <x:c r="I328" s="630">
        <x:f t="shared" si="17"/>
        <x:v>0</x:v>
      </x:c>
      <x:c r="J328" s="630">
        <x:f t="shared" si="17"/>
        <x:v>0</x:v>
      </x:c>
      <x:c r="K328" s="630">
        <x:f t="shared" si="17"/>
        <x:v>0</x:v>
      </x:c>
      <x:c r="L328" s="630">
        <x:f t="shared" si="17"/>
        <x:v>0</x:v>
      </x:c>
      <x:c r="M328" s="630">
        <x:f t="shared" si="17"/>
        <x:v>0</x:v>
      </x:c>
      <x:c r="N328" s="630">
        <x:f t="shared" si="17"/>
        <x:v>0</x:v>
      </x:c>
      <x:c r="O328" s="630">
        <x:f t="shared" si="17"/>
        <x:v>0</x:v>
      </x:c>
      <x:c r="P328" s="630">
        <x:f t="shared" si="17"/>
        <x:v>0</x:v>
      </x:c>
      <x:c r="Q328" s="630">
        <x:f t="shared" si="17"/>
        <x:v>0</x:v>
      </x:c>
      <x:c r="R328" s="630">
        <x:f t="shared" si="17"/>
        <x:v>0</x:v>
      </x:c>
      <x:c r="S328" s="630">
        <x:f t="shared" si="17"/>
        <x:v>0</x:v>
      </x:c>
      <x:c r="T328" s="630">
        <x:f t="shared" si="17"/>
        <x:v>0</x:v>
      </x:c>
      <x:c r="U328" s="630">
        <x:f t="shared" si="17"/>
        <x:v>0</x:v>
      </x:c>
      <x:c r="V328" s="630">
        <x:f t="shared" si="17"/>
        <x:v>0</x:v>
      </x:c>
      <x:c r="W328" s="630">
        <x:f t="shared" si="17"/>
        <x:v>0</x:v>
      </x:c>
      <x:c r="X328" s="630">
        <x:f t="shared" si="17"/>
        <x:v>0</x:v>
      </x:c>
      <x:c r="Y328" s="630">
        <x:f t="shared" si="17"/>
        <x:v>0</x:v>
      </x:c>
      <x:c r="Z328" s="630">
        <x:f t="shared" si="17"/>
        <x:v>0</x:v>
      </x:c>
      <x:c r="AA328" s="630">
        <x:f t="shared" si="17"/>
        <x:v>0</x:v>
      </x:c>
      <x:c r="AB328" s="630">
        <x:f t="shared" si="17"/>
        <x:v>0</x:v>
      </x:c>
      <x:c r="AC328" s="630">
        <x:f t="shared" si="17"/>
        <x:v>0</x:v>
      </x:c>
      <x:c r="AD328" s="630">
        <x:f t="shared" si="17"/>
        <x:v>0</x:v>
      </x:c>
      <x:c r="AE328" s="630">
        <x:f t="shared" si="17"/>
        <x:v>0</x:v>
      </x:c>
      <x:c r="AF328" s="630">
        <x:f t="shared" si="17"/>
        <x:v>0</x:v>
      </x:c>
      <x:c r="AG328" s="630">
        <x:f t="shared" si="17"/>
        <x:v>0</x:v>
      </x:c>
      <x:c r="AH328" s="630">
        <x:f t="shared" si="17"/>
        <x:v>0</x:v>
      </x:c>
      <x:c r="AI328" s="630">
        <x:f t="shared" si="17"/>
        <x:v>0</x:v>
      </x:c>
      <x:c r="AJ328" s="630">
        <x:f t="shared" si="17"/>
        <x:v>0</x:v>
      </x:c>
      <x:c r="AK328" s="630">
        <x:f t="shared" si="17"/>
        <x:v>0</x:v>
      </x:c>
      <x:c r="AL328" s="630">
        <x:f t="shared" si="17"/>
        <x:v>0</x:v>
      </x:c>
      <x:c r="AM328" s="630">
        <x:f t="shared" si="17"/>
        <x:v>0</x:v>
      </x:c>
      <x:c r="AN328" s="630">
        <x:f t="shared" si="17"/>
        <x:v>0</x:v>
      </x:c>
      <x:c r="AO328" s="630">
        <x:f t="shared" si="17"/>
        <x:v>0</x:v>
      </x:c>
      <x:c r="BN328" s="624"/>
    </x:row>
    <x:row r="329" spans="1:66" x14ac:dyDescent="0.25">
      <x:c r="C329" s="773"/>
      <x:c r="D329" s="770"/>
      <x:c r="E329" s="629" t="s">
        <x:v>73</x:v>
      </x:c>
      <x:c r="F329" s="630">
        <x:f>F239</x:f>
        <x:v>0</x:v>
      </x:c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R329" s="627"/>
      <x:c r="BN329" s="624"/>
    </x:row>
    <x:row r="330" spans="1:66" x14ac:dyDescent="0.25">
      <x:c r="A330" s="625"/>
      <x:c r="C330" s="50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R330" s="627"/>
      <x:c r="S330" s="627"/>
      <x:c r="BN330" s="624"/>
    </x:row>
    <x:row r="331" spans="1:66" x14ac:dyDescent="0.25">
      <x:c r="C331" s="771" t="s">
        <x:v>326</x:v>
      </x:c>
      <x:c r="D331" s="770" t="s">
        <x:v>132</x:v>
      </x:c>
      <x:c r="E331" s="654" t="s">
        <x:v>70</x:v>
      </x:c>
      <x:c r="F331" s="655">
        <x:v>0</x:v>
      </x:c>
      <x:c r="G331" s="655">
        <x:v>0</x:v>
      </x:c>
      <x:c r="H331" s="655">
        <x:v>0</x:v>
      </x:c>
      <x:c r="I331" s="655">
        <x:v>0</x:v>
      </x:c>
      <x:c r="J331" s="655">
        <x:v>0</x:v>
      </x:c>
      <x:c r="K331" s="655">
        <x:v>0</x:v>
      </x:c>
      <x:c r="L331" s="655">
        <x:v>0</x:v>
      </x:c>
      <x:c r="M331" s="655">
        <x:v>0</x:v>
      </x:c>
      <x:c r="N331" s="655">
        <x:v>0</x:v>
      </x:c>
      <x:c r="O331" s="655">
        <x:v>0</x:v>
      </x:c>
      <x:c r="P331" s="655">
        <x:v>0</x:v>
      </x:c>
      <x:c r="Q331" s="655">
        <x:v>0</x:v>
      </x:c>
      <x:c r="R331" s="655">
        <x:v>0</x:v>
      </x:c>
      <x:c r="S331" s="655">
        <x:v>0</x:v>
      </x:c>
      <x:c r="T331" s="655">
        <x:v>0</x:v>
      </x:c>
      <x:c r="U331" s="655">
        <x:v>0</x:v>
      </x:c>
      <x:c r="V331" s="655">
        <x:v>0</x:v>
      </x:c>
      <x:c r="W331" s="655">
        <x:v>0</x:v>
      </x:c>
      <x:c r="X331" s="655">
        <x:v>0</x:v>
      </x:c>
      <x:c r="Y331" s="655">
        <x:v>0</x:v>
      </x:c>
      <x:c r="Z331" s="655">
        <x:v>0</x:v>
      </x:c>
      <x:c r="AA331" s="655">
        <x:v>0</x:v>
      </x:c>
      <x:c r="AB331" s="655">
        <x:v>0</x:v>
      </x:c>
      <x:c r="AC331" s="655">
        <x:v>0</x:v>
      </x:c>
      <x:c r="AD331" s="655">
        <x:v>0</x:v>
      </x:c>
      <x:c r="AE331" s="655">
        <x:v>0</x:v>
      </x:c>
      <x:c r="AF331" s="655">
        <x:v>0</x:v>
      </x:c>
      <x:c r="AG331" s="655">
        <x:v>0</x:v>
      </x:c>
      <x:c r="AH331" s="655">
        <x:v>0</x:v>
      </x:c>
      <x:c r="AI331" s="655">
        <x:v>0</x:v>
      </x:c>
      <x:c r="AJ331" s="655">
        <x:v>0</x:v>
      </x:c>
      <x:c r="AK331" s="655">
        <x:v>0</x:v>
      </x:c>
      <x:c r="AL331" s="655">
        <x:v>0</x:v>
      </x:c>
      <x:c r="AM331" s="655">
        <x:v>0</x:v>
      </x:c>
      <x:c r="AN331" s="655">
        <x:v>0</x:v>
      </x:c>
      <x:c r="AO331" s="655">
        <x:v>0</x:v>
      </x:c>
      <x:c r="BN331" s="624"/>
    </x:row>
    <x:row r="332" spans="1:66" x14ac:dyDescent="0.25">
      <x:c r="C332" s="771"/>
      <x:c r="D332" s="770"/>
      <x:c r="E332" s="654" t="s">
        <x:v>73</x:v>
      </x:c>
      <x:c r="F332" s="655">
        <x:v>0</x:v>
      </x:c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R332" s="627"/>
      <x:c r="S332" s="627"/>
      <x:c r="BN332" s="624"/>
    </x:row>
    <x:row r="333" spans="1:66" x14ac:dyDescent="0.25">
      <x:c r="C333" s="771"/>
      <x:c r="D333" s="770" t="s">
        <x:v>133</x:v>
      </x:c>
      <x:c r="E333" s="656" t="s">
        <x:v>70</x:v>
      </x:c>
      <x:c r="F333" s="657">
        <x:v>0</x:v>
      </x:c>
      <x:c r="G333" s="657">
        <x:v>0</x:v>
      </x:c>
      <x:c r="H333" s="657">
        <x:v>0</x:v>
      </x:c>
      <x:c r="I333" s="657">
        <x:v>0</x:v>
      </x:c>
      <x:c r="J333" s="657">
        <x:v>0</x:v>
      </x:c>
      <x:c r="K333" s="657">
        <x:v>0</x:v>
      </x:c>
      <x:c r="L333" s="657">
        <x:v>0</x:v>
      </x:c>
      <x:c r="M333" s="657">
        <x:v>0</x:v>
      </x:c>
      <x:c r="N333" s="657">
        <x:v>0</x:v>
      </x:c>
      <x:c r="O333" s="657">
        <x:v>0</x:v>
      </x:c>
      <x:c r="P333" s="657">
        <x:v>0</x:v>
      </x:c>
      <x:c r="Q333" s="657">
        <x:v>0</x:v>
      </x:c>
      <x:c r="R333" s="657">
        <x:v>0</x:v>
      </x:c>
      <x:c r="S333" s="657">
        <x:v>0</x:v>
      </x:c>
      <x:c r="T333" s="657">
        <x:v>0</x:v>
      </x:c>
      <x:c r="U333" s="657">
        <x:v>0</x:v>
      </x:c>
      <x:c r="V333" s="657">
        <x:v>0</x:v>
      </x:c>
      <x:c r="W333" s="657">
        <x:v>0</x:v>
      </x:c>
      <x:c r="X333" s="657">
        <x:v>0</x:v>
      </x:c>
      <x:c r="Y333" s="657">
        <x:v>0</x:v>
      </x:c>
      <x:c r="Z333" s="657">
        <x:v>0</x:v>
      </x:c>
      <x:c r="AA333" s="657">
        <x:v>0</x:v>
      </x:c>
      <x:c r="AB333" s="657">
        <x:v>0</x:v>
      </x:c>
      <x:c r="AC333" s="657">
        <x:v>0</x:v>
      </x:c>
      <x:c r="AD333" s="657">
        <x:v>0</x:v>
      </x:c>
      <x:c r="AE333" s="657">
        <x:v>0</x:v>
      </x:c>
      <x:c r="AF333" s="657">
        <x:v>0</x:v>
      </x:c>
      <x:c r="AG333" s="657">
        <x:v>0</x:v>
      </x:c>
      <x:c r="AH333" s="657">
        <x:v>0</x:v>
      </x:c>
      <x:c r="AI333" s="657">
        <x:v>0</x:v>
      </x:c>
      <x:c r="AJ333" s="657">
        <x:v>0</x:v>
      </x:c>
      <x:c r="AK333" s="657">
        <x:v>0</x:v>
      </x:c>
      <x:c r="AL333" s="657">
        <x:v>0</x:v>
      </x:c>
      <x:c r="AM333" s="657">
        <x:v>0</x:v>
      </x:c>
      <x:c r="AN333" s="657">
        <x:v>0</x:v>
      </x:c>
      <x:c r="AO333" s="657">
        <x:v>0</x:v>
      </x:c>
      <x:c r="BN333" s="624"/>
    </x:row>
    <x:row r="334" spans="1:66" x14ac:dyDescent="0.25">
      <x:c r="C334" s="771"/>
      <x:c r="D334" s="770"/>
      <x:c r="E334" s="656" t="s">
        <x:v>73</x:v>
      </x:c>
      <x:c r="F334" s="657">
        <x:v>0</x:v>
      </x:c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R334" s="627"/>
      <x:c r="BN334" s="624"/>
    </x:row>
    <x:row r="335" spans="1:66" x14ac:dyDescent="0.25">
      <x:c r="A335" s="625"/>
      <x:c r="C335" s="50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R335" s="627"/>
      <x:c r="S335" s="627"/>
      <x:c r="BN335" s="624"/>
    </x:row>
    <x:row r="336" spans="1:66" x14ac:dyDescent="0.25">
      <x:c r="C336" s="773" t="s">
        <x:v>119</x:v>
      </x:c>
      <x:c r="D336" s="770" t="s">
        <x:v>132</x:v>
      </x:c>
      <x:c r="E336" s="632" t="s">
        <x:v>70</x:v>
      </x:c>
      <x:c r="F336" s="633">
        <x:f>F250+F234+F213-L213-L234</x:f>
        <x:v>0</x:v>
      </x:c>
      <x:c r="G336" s="633">
        <x:f>G234+G213</x:f>
        <x:v>0</x:v>
      </x:c>
      <x:c r="H336" s="633">
        <x:f t="shared" ref="H336:AO336" si="18">H234+H213</x:f>
        <x:v>0</x:v>
      </x:c>
      <x:c r="I336" s="633">
        <x:f t="shared" si="18"/>
        <x:v>0</x:v>
      </x:c>
      <x:c r="J336" s="633">
        <x:f t="shared" si="18"/>
        <x:v>0</x:v>
      </x:c>
      <x:c r="K336" s="633">
        <x:f t="shared" si="18"/>
        <x:v>0</x:v>
      </x:c>
      <x:c r="L336" s="633">
        <x:f t="shared" si="18"/>
        <x:v>0</x:v>
      </x:c>
      <x:c r="M336" s="633">
        <x:f t="shared" si="18"/>
        <x:v>0</x:v>
      </x:c>
      <x:c r="N336" s="633">
        <x:f t="shared" si="18"/>
        <x:v>0</x:v>
      </x:c>
      <x:c r="O336" s="633">
        <x:f t="shared" si="18"/>
        <x:v>0</x:v>
      </x:c>
      <x:c r="P336" s="633">
        <x:f t="shared" si="18"/>
        <x:v>0</x:v>
      </x:c>
      <x:c r="Q336" s="633">
        <x:f t="shared" si="18"/>
        <x:v>0</x:v>
      </x:c>
      <x:c r="R336" s="633">
        <x:f t="shared" si="18"/>
        <x:v>0</x:v>
      </x:c>
      <x:c r="S336" s="633">
        <x:f t="shared" si="18"/>
        <x:v>0</x:v>
      </x:c>
      <x:c r="T336" s="633">
        <x:f t="shared" si="18"/>
        <x:v>0</x:v>
      </x:c>
      <x:c r="U336" s="633">
        <x:f t="shared" si="18"/>
        <x:v>0</x:v>
      </x:c>
      <x:c r="V336" s="633">
        <x:f t="shared" si="18"/>
        <x:v>0</x:v>
      </x:c>
      <x:c r="W336" s="633">
        <x:f t="shared" si="18"/>
        <x:v>0</x:v>
      </x:c>
      <x:c r="X336" s="633">
        <x:f t="shared" si="18"/>
        <x:v>0</x:v>
      </x:c>
      <x:c r="Y336" s="633">
        <x:f t="shared" si="18"/>
        <x:v>0</x:v>
      </x:c>
      <x:c r="Z336" s="633">
        <x:f t="shared" si="18"/>
        <x:v>0</x:v>
      </x:c>
      <x:c r="AA336" s="633">
        <x:f t="shared" si="18"/>
        <x:v>0</x:v>
      </x:c>
      <x:c r="AB336" s="633">
        <x:f t="shared" si="18"/>
        <x:v>0</x:v>
      </x:c>
      <x:c r="AC336" s="633">
        <x:f t="shared" si="18"/>
        <x:v>0</x:v>
      </x:c>
      <x:c r="AD336" s="633">
        <x:f t="shared" si="18"/>
        <x:v>0</x:v>
      </x:c>
      <x:c r="AE336" s="633">
        <x:f t="shared" si="18"/>
        <x:v>0</x:v>
      </x:c>
      <x:c r="AF336" s="633">
        <x:f t="shared" si="18"/>
        <x:v>0</x:v>
      </x:c>
      <x:c r="AG336" s="633">
        <x:f t="shared" si="18"/>
        <x:v>0</x:v>
      </x:c>
      <x:c r="AH336" s="633">
        <x:f t="shared" si="18"/>
        <x:v>0</x:v>
      </x:c>
      <x:c r="AI336" s="633">
        <x:f t="shared" si="18"/>
        <x:v>0</x:v>
      </x:c>
      <x:c r="AJ336" s="633">
        <x:f t="shared" si="18"/>
        <x:v>0</x:v>
      </x:c>
      <x:c r="AK336" s="633">
        <x:f t="shared" si="18"/>
        <x:v>0</x:v>
      </x:c>
      <x:c r="AL336" s="633">
        <x:f t="shared" si="18"/>
        <x:v>0</x:v>
      </x:c>
      <x:c r="AM336" s="633">
        <x:f t="shared" si="18"/>
        <x:v>0</x:v>
      </x:c>
      <x:c r="AN336" s="633">
        <x:f t="shared" si="18"/>
        <x:v>0</x:v>
      </x:c>
      <x:c r="AO336" s="633">
        <x:f t="shared" si="18"/>
        <x:v>0</x:v>
      </x:c>
      <x:c r="BN336" s="624"/>
    </x:row>
    <x:row r="337" spans="1:66" x14ac:dyDescent="0.25">
      <x:c r="C337" s="773"/>
      <x:c r="D337" s="770"/>
      <x:c r="E337" s="632" t="s">
        <x:v>73</x:v>
      </x:c>
      <x:c r="F337" s="633">
        <x:f>F250</x:f>
        <x:v>0</x:v>
      </x:c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R337" s="627"/>
      <x:c r="S337" s="627"/>
      <x:c r="BN337" s="624"/>
    </x:row>
    <x:row r="338" spans="1:66" x14ac:dyDescent="0.25">
      <x:c r="C338" s="773"/>
      <x:c r="D338" s="770" t="s">
        <x:v>133</x:v>
      </x:c>
      <x:c r="E338" s="658" t="s">
        <x:v>70</x:v>
      </x:c>
      <x:c r="F338" s="659">
        <x:v>0</x:v>
      </x:c>
      <x:c r="G338" s="659">
        <x:v>0</x:v>
      </x:c>
      <x:c r="H338" s="659">
        <x:v>0</x:v>
      </x:c>
      <x:c r="I338" s="659">
        <x:v>0</x:v>
      </x:c>
      <x:c r="J338" s="659">
        <x:v>0</x:v>
      </x:c>
      <x:c r="K338" s="659">
        <x:v>0</x:v>
      </x:c>
      <x:c r="L338" s="659">
        <x:v>0</x:v>
      </x:c>
      <x:c r="M338" s="659">
        <x:v>0</x:v>
      </x:c>
      <x:c r="N338" s="659">
        <x:v>0</x:v>
      </x:c>
      <x:c r="O338" s="659">
        <x:v>0</x:v>
      </x:c>
      <x:c r="P338" s="659">
        <x:v>0</x:v>
      </x:c>
      <x:c r="Q338" s="659">
        <x:v>0</x:v>
      </x:c>
      <x:c r="R338" s="659">
        <x:v>0</x:v>
      </x:c>
      <x:c r="S338" s="659">
        <x:v>0</x:v>
      </x:c>
      <x:c r="T338" s="659">
        <x:v>0</x:v>
      </x:c>
      <x:c r="U338" s="659">
        <x:v>0</x:v>
      </x:c>
      <x:c r="V338" s="659">
        <x:v>0</x:v>
      </x:c>
      <x:c r="W338" s="659">
        <x:v>0</x:v>
      </x:c>
      <x:c r="X338" s="659">
        <x:v>0</x:v>
      </x:c>
      <x:c r="Y338" s="659">
        <x:v>0</x:v>
      </x:c>
      <x:c r="Z338" s="659">
        <x:v>0</x:v>
      </x:c>
      <x:c r="AA338" s="659">
        <x:v>0</x:v>
      </x:c>
      <x:c r="AB338" s="659">
        <x:v>0</x:v>
      </x:c>
      <x:c r="AC338" s="659">
        <x:v>0</x:v>
      </x:c>
      <x:c r="AD338" s="659">
        <x:v>0</x:v>
      </x:c>
      <x:c r="AE338" s="659">
        <x:v>0</x:v>
      </x:c>
      <x:c r="AF338" s="659">
        <x:v>0</x:v>
      </x:c>
      <x:c r="AG338" s="659">
        <x:v>0</x:v>
      </x:c>
      <x:c r="AH338" s="659">
        <x:v>0</x:v>
      </x:c>
      <x:c r="AI338" s="659">
        <x:v>0</x:v>
      </x:c>
      <x:c r="AJ338" s="659">
        <x:v>0</x:v>
      </x:c>
      <x:c r="AK338" s="659">
        <x:v>0</x:v>
      </x:c>
      <x:c r="AL338" s="659">
        <x:v>0</x:v>
      </x:c>
      <x:c r="AM338" s="659">
        <x:v>0</x:v>
      </x:c>
      <x:c r="AN338" s="659">
        <x:v>0</x:v>
      </x:c>
      <x:c r="AO338" s="659">
        <x:v>0</x:v>
      </x:c>
      <x:c r="BN338" s="624"/>
    </x:row>
    <x:row r="339" spans="1:66" x14ac:dyDescent="0.25">
      <x:c r="C339" s="773"/>
      <x:c r="D339" s="770"/>
      <x:c r="E339" s="658" t="s">
        <x:v>73</x:v>
      </x:c>
      <x:c r="F339" s="659">
        <x:v>0</x:v>
      </x:c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R339" s="627"/>
      <x:c r="BN339" s="624"/>
    </x:row>
    <x:row r="340" spans="1:66" x14ac:dyDescent="0.25">
      <x:c r="A340" s="625"/>
      <x:c r="C340" s="50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R340" s="627"/>
      <x:c r="S340" s="627"/>
      <x:c r="BN340" s="624"/>
    </x:row>
    <x:row r="341" spans="1:66" x14ac:dyDescent="0.25">
      <x:c r="C341" s="772" t="s">
        <x:v>161</x:v>
      </x:c>
      <x:c r="D341" s="770" t="s">
        <x:v>132</x:v>
      </x:c>
      <x:c r="E341" s="661" t="s">
        <x:v>70</x:v>
      </x:c>
      <x:c r="F341" s="662">
        <x:v>0</x:v>
      </x:c>
      <x:c r="G341" s="662">
        <x:v>0</x:v>
      </x:c>
      <x:c r="H341" s="662">
        <x:v>0</x:v>
      </x:c>
      <x:c r="I341" s="662">
        <x:v>0</x:v>
      </x:c>
      <x:c r="J341" s="662">
        <x:v>0</x:v>
      </x:c>
      <x:c r="K341" s="662">
        <x:v>0</x:v>
      </x:c>
      <x:c r="L341" s="662">
        <x:v>0</x:v>
      </x:c>
      <x:c r="M341" s="662">
        <x:v>0</x:v>
      </x:c>
      <x:c r="N341" s="662">
        <x:v>0</x:v>
      </x:c>
      <x:c r="O341" s="662">
        <x:v>0</x:v>
      </x:c>
      <x:c r="P341" s="662">
        <x:v>0</x:v>
      </x:c>
      <x:c r="Q341" s="662">
        <x:v>0</x:v>
      </x:c>
      <x:c r="R341" s="662">
        <x:v>0</x:v>
      </x:c>
      <x:c r="S341" s="662">
        <x:v>0</x:v>
      </x:c>
      <x:c r="T341" s="662">
        <x:v>0</x:v>
      </x:c>
      <x:c r="U341" s="662"/>
      <x:c r="V341" s="662"/>
      <x:c r="W341" s="662"/>
      <x:c r="X341" s="662">
        <x:v>0</x:v>
      </x:c>
      <x:c r="Y341" s="662">
        <x:v>0</x:v>
      </x:c>
      <x:c r="Z341" s="662">
        <x:v>0</x:v>
      </x:c>
      <x:c r="AA341" s="662">
        <x:v>0</x:v>
      </x:c>
      <x:c r="AB341" s="662">
        <x:v>0</x:v>
      </x:c>
      <x:c r="AC341" s="662">
        <x:v>0</x:v>
      </x:c>
      <x:c r="AD341" s="662">
        <x:v>0</x:v>
      </x:c>
      <x:c r="AE341" s="662">
        <x:v>0</x:v>
      </x:c>
      <x:c r="AF341" s="662">
        <x:v>0</x:v>
      </x:c>
      <x:c r="AG341" s="662">
        <x:v>0</x:v>
      </x:c>
      <x:c r="AH341" s="662">
        <x:v>0</x:v>
      </x:c>
      <x:c r="AI341" s="662">
        <x:v>0</x:v>
      </x:c>
      <x:c r="AJ341" s="662">
        <x:v>0</x:v>
      </x:c>
      <x:c r="AK341" s="662">
        <x:v>0</x:v>
      </x:c>
      <x:c r="AL341" s="662">
        <x:v>0</x:v>
      </x:c>
      <x:c r="AM341" s="662">
        <x:v>0</x:v>
      </x:c>
      <x:c r="AN341" s="662">
        <x:v>0</x:v>
      </x:c>
      <x:c r="AO341" s="662">
        <x:v>0</x:v>
      </x:c>
      <x:c r="BN341" s="624"/>
    </x:row>
    <x:row r="342" spans="1:66" x14ac:dyDescent="0.25">
      <x:c r="C342" s="772"/>
      <x:c r="D342" s="770"/>
      <x:c r="E342" s="661" t="s">
        <x:v>73</x:v>
      </x:c>
      <x:c r="F342" s="662">
        <x:v>0</x:v>
      </x:c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R342" s="627"/>
      <x:c r="S342" s="627"/>
      <x:c r="BN342" s="624"/>
    </x:row>
    <x:row r="343" spans="1:66" x14ac:dyDescent="0.25">
      <x:c r="C343" s="772"/>
      <x:c r="D343" s="770" t="s">
        <x:v>133</x:v>
      </x:c>
      <x:c r="E343" s="663" t="s">
        <x:v>70</x:v>
      </x:c>
      <x:c r="F343" s="664">
        <x:v>0</x:v>
      </x:c>
      <x:c r="G343" s="664">
        <x:v>0</x:v>
      </x:c>
      <x:c r="H343" s="664">
        <x:v>0</x:v>
      </x:c>
      <x:c r="I343" s="664">
        <x:v>0</x:v>
      </x:c>
      <x:c r="J343" s="664">
        <x:v>0</x:v>
      </x:c>
      <x:c r="K343" s="664">
        <x:v>0</x:v>
      </x:c>
      <x:c r="L343" s="664">
        <x:v>0</x:v>
      </x:c>
      <x:c r="M343" s="664">
        <x:v>0</x:v>
      </x:c>
      <x:c r="N343" s="664">
        <x:v>0</x:v>
      </x:c>
      <x:c r="O343" s="664">
        <x:v>0</x:v>
      </x:c>
      <x:c r="P343" s="664">
        <x:v>0</x:v>
      </x:c>
      <x:c r="Q343" s="664">
        <x:v>0</x:v>
      </x:c>
      <x:c r="R343" s="664">
        <x:v>0</x:v>
      </x:c>
      <x:c r="S343" s="664">
        <x:v>0</x:v>
      </x:c>
      <x:c r="T343" s="664">
        <x:v>0</x:v>
      </x:c>
      <x:c r="U343" s="664"/>
      <x:c r="V343" s="664"/>
      <x:c r="W343" s="664"/>
      <x:c r="X343" s="664">
        <x:v>0</x:v>
      </x:c>
      <x:c r="Y343" s="664">
        <x:v>0</x:v>
      </x:c>
      <x:c r="Z343" s="664">
        <x:v>0</x:v>
      </x:c>
      <x:c r="AA343" s="664">
        <x:v>0</x:v>
      </x:c>
      <x:c r="AB343" s="664">
        <x:v>0</x:v>
      </x:c>
      <x:c r="AC343" s="664">
        <x:v>0</x:v>
      </x:c>
      <x:c r="AD343" s="664">
        <x:v>0</x:v>
      </x:c>
      <x:c r="AE343" s="664">
        <x:v>0</x:v>
      </x:c>
      <x:c r="AF343" s="664">
        <x:v>0</x:v>
      </x:c>
      <x:c r="AG343" s="664">
        <x:v>0</x:v>
      </x:c>
      <x:c r="AH343" s="664">
        <x:v>0</x:v>
      </x:c>
      <x:c r="AI343" s="664">
        <x:v>0</x:v>
      </x:c>
      <x:c r="AJ343" s="664">
        <x:v>0</x:v>
      </x:c>
      <x:c r="AK343" s="664">
        <x:v>0</x:v>
      </x:c>
      <x:c r="AL343" s="664">
        <x:v>0</x:v>
      </x:c>
      <x:c r="AM343" s="664">
        <x:v>0</x:v>
      </x:c>
      <x:c r="AN343" s="664">
        <x:v>0</x:v>
      </x:c>
      <x:c r="AO343" s="664">
        <x:v>0</x:v>
      </x:c>
      <x:c r="BN343" s="624"/>
    </x:row>
    <x:row r="344" spans="1:66" x14ac:dyDescent="0.25">
      <x:c r="C344" s="772"/>
      <x:c r="D344" s="770"/>
      <x:c r="E344" s="663" t="s">
        <x:v>73</x:v>
      </x:c>
      <x:c r="F344" s="664">
        <x:v>0</x:v>
      </x:c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R344" s="627"/>
      <x:c r="BN344" s="624"/>
    </x:row>
    <x:row r="345" spans="1:66" x14ac:dyDescent="0.25">
      <x:c r="C345" s="660"/>
      <x:c r="D345" s="644"/>
      <x:c r="E345" s="625"/>
      <x:c r="F345" s="627"/>
      <x:c r="G345" s="627"/>
      <x:c r="H345" s="627"/>
      <x:c r="I345" s="627"/>
      <x:c r="J345" s="627"/>
      <x:c r="K345" s="627"/>
      <x:c r="L345" s="627"/>
      <x:c r="M345" s="627"/>
      <x:c r="N345" s="627"/>
      <x:c r="O345" s="627"/>
      <x:c r="P345" s="627"/>
      <x:c r="Q345" s="627"/>
      <x:c r="R345" s="627"/>
      <x:c r="BN345" s="624"/>
    </x:row>
    <x:row r="346" spans="1:66" x14ac:dyDescent="0.25">
      <x:c r="D346" s="634" t="s">
        <x:v>185</x:v>
      </x:c>
      <x:c r="E346" s="665" t="s">
        <x:v>70</x:v>
      </x:c>
      <x:c r="F346" s="666">
        <x:f>F214</x:f>
        <x:v>0</x:v>
      </x:c>
      <x:c r="G346" s="666">
        <x:f t="shared" ref="G346:Z346" si="19">G214</x:f>
        <x:v>0</x:v>
      </x:c>
      <x:c r="H346" s="666">
        <x:f t="shared" si="19"/>
        <x:v>0</x:v>
      </x:c>
      <x:c r="I346" s="666">
        <x:f t="shared" si="19"/>
        <x:v>0</x:v>
      </x:c>
      <x:c r="J346" s="666">
        <x:f t="shared" si="19"/>
        <x:v>0</x:v>
      </x:c>
      <x:c r="K346" s="666">
        <x:f t="shared" si="19"/>
        <x:v>0</x:v>
      </x:c>
      <x:c r="L346" s="666">
        <x:f t="shared" si="19"/>
        <x:v>0</x:v>
      </x:c>
      <x:c r="M346" s="666">
        <x:f t="shared" si="19"/>
        <x:v>0</x:v>
      </x:c>
      <x:c r="N346" s="666">
        <x:f t="shared" si="19"/>
        <x:v>0</x:v>
      </x:c>
      <x:c r="O346" s="666">
        <x:f t="shared" si="19"/>
        <x:v>0</x:v>
      </x:c>
      <x:c r="P346" s="666">
        <x:f t="shared" si="19"/>
        <x:v>0</x:v>
      </x:c>
      <x:c r="Q346" s="666">
        <x:f t="shared" si="19"/>
        <x:v>0</x:v>
      </x:c>
      <x:c r="R346" s="666">
        <x:f t="shared" si="19"/>
        <x:v>0</x:v>
      </x:c>
      <x:c r="S346" s="666">
        <x:f t="shared" si="19"/>
        <x:v>0</x:v>
      </x:c>
      <x:c r="T346" s="666">
        <x:f t="shared" si="19"/>
        <x:v>0</x:v>
      </x:c>
      <x:c r="U346" s="666">
        <x:f t="shared" si="19"/>
        <x:v>0</x:v>
      </x:c>
      <x:c r="V346" s="666">
        <x:f t="shared" si="19"/>
        <x:v>0</x:v>
      </x:c>
      <x:c r="W346" s="666">
        <x:f t="shared" si="19"/>
        <x:v>0</x:v>
      </x:c>
      <x:c r="X346" s="666">
        <x:f t="shared" si="19"/>
        <x:v>0</x:v>
      </x:c>
      <x:c r="Y346" s="666">
        <x:f t="shared" si="19"/>
        <x:v>0</x:v>
      </x:c>
      <x:c r="Z346" s="666">
        <x:f t="shared" si="19"/>
        <x:v>0</x:v>
      </x:c>
      <x:c r="BN346" s="624"/>
    </x:row>
    <x:row r="347" spans="1:66" x14ac:dyDescent="0.25">
      <x:c r="C347" s="660"/>
      <x:c r="D347" s="644"/>
      <x:c r="E347" s="625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R347" s="627"/>
      <x:c r="BN347" s="624"/>
    </x:row>
    <x:row r="348" spans="1:66" x14ac:dyDescent="0.25">
      <x:c r="A348" s="624"/>
      <x:c r="B348" s="624"/>
      <x:c r="C348" s="624"/>
      <x:c r="D348" s="624"/>
      <x:c r="E348" s="624"/>
      <x:c r="F348" s="624"/>
      <x:c r="G348" s="624"/>
      <x:c r="H348" s="624"/>
      <x:c r="I348" s="624"/>
      <x:c r="J348" s="624"/>
      <x:c r="K348" s="624"/>
      <x:c r="L348" s="624"/>
      <x:c r="M348" s="624"/>
      <x:c r="N348" s="624"/>
      <x:c r="O348" s="624"/>
      <x:c r="P348" s="624"/>
      <x:c r="Q348" s="624"/>
      <x:c r="R348" s="624"/>
      <x:c r="S348" s="624"/>
      <x:c r="T348" s="624"/>
      <x:c r="U348" s="624"/>
      <x:c r="V348" s="624"/>
      <x:c r="W348" s="624"/>
      <x:c r="X348" s="624"/>
      <x:c r="Y348" s="624"/>
      <x:c r="Z348" s="624"/>
      <x:c r="AA348" s="624"/>
      <x:c r="AB348" s="624"/>
      <x:c r="AC348" s="624"/>
      <x:c r="AD348" s="624"/>
      <x:c r="AE348" s="624"/>
      <x:c r="AF348" s="624"/>
      <x:c r="AG348" s="624"/>
      <x:c r="AH348" s="624"/>
      <x:c r="AI348" s="624"/>
      <x:c r="AJ348" s="624"/>
      <x:c r="AK348" s="624"/>
      <x:c r="AL348" s="624"/>
      <x:c r="AM348" s="624"/>
      <x:c r="AN348" s="624"/>
      <x:c r="AO348" s="624"/>
      <x:c r="AP348" s="624"/>
      <x:c r="AQ348" s="624"/>
      <x:c r="AR348" s="624"/>
      <x:c r="AS348" s="624"/>
      <x:c r="AT348" s="624"/>
      <x:c r="AU348" s="624"/>
      <x:c r="AV348" s="624"/>
      <x:c r="AW348" s="624"/>
      <x:c r="AX348" s="624"/>
      <x:c r="AY348" s="624"/>
      <x:c r="AZ348" s="624"/>
      <x:c r="BA348" s="624"/>
      <x:c r="BB348" s="624"/>
      <x:c r="BC348" s="624"/>
      <x:c r="BD348" s="624"/>
      <x:c r="BE348" s="624"/>
      <x:c r="BF348" s="624"/>
      <x:c r="BG348" s="624"/>
      <x:c r="BH348" s="624"/>
      <x:c r="BI348" s="624"/>
      <x:c r="BJ348" s="624"/>
      <x:c r="BK348" s="624"/>
      <x:c r="BL348" s="624"/>
      <x:c r="BM348" s="624"/>
      <x:c r="BN348" s="624"/>
    </x:row>
    <x:row r="349" spans="1:66" x14ac:dyDescent="0.25">
      <x:c r="A349" s="625"/>
      <x:c r="B349" s="50" t="s">
        <x:v>88</x:v>
      </x:c>
      <x:c r="E349" s="627"/>
      <x:c r="F349" s="627"/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BN349" s="624"/>
    </x:row>
    <x:row r="350" spans="1:66" s="50" customFormat="1" ht="27.6" x14ac:dyDescent="0.25">
      <x:c r="F350" s="669" t="s">
        <x:v>70</x:v>
      </x:c>
      <x:c r="G350" s="669" t="s">
        <x:v>64</x:v>
      </x:c>
      <x:c r="H350" s="669" t="s">
        <x:v>65</x:v>
      </x:c>
      <x:c r="I350" s="626" t="s">
        <x:v>164</x:v>
      </x:c>
      <x:c r="J350" s="669" t="s">
        <x:v>69</x:v>
      </x:c>
      <x:c r="K350" s="669" t="s">
        <x:v>68</x:v>
      </x:c>
      <x:c r="L350" s="669" t="s">
        <x:v>71</x:v>
      </x:c>
      <x:c r="M350" s="669" t="s">
        <x:v>66</x:v>
      </x:c>
      <x:c r="N350" s="669" t="s">
        <x:v>63</x:v>
      </x:c>
      <x:c r="O350" s="669" t="s">
        <x:v>61</x:v>
      </x:c>
      <x:c r="P350" s="669" t="s">
        <x:v>62</x:v>
      </x:c>
      <x:c r="Q350" s="669" t="s">
        <x:v>67</x:v>
      </x:c>
      <x:c r="R350" s="669" t="s">
        <x:v>77</x:v>
      </x:c>
      <x:c r="S350" s="669" t="s">
        <x:v>80</x:v>
      </x:c>
      <x:c r="T350" s="669" t="s">
        <x:v>135</x:v>
      </x:c>
      <x:c r="U350" s="669" t="s">
        <x:v>222</x:v>
      </x:c>
      <x:c r="V350" s="669" t="s">
        <x:v>223</x:v>
      </x:c>
      <x:c r="W350" s="669" t="s">
        <x:v>172</x:v>
      </x:c>
      <x:c r="X350" s="50" t="s">
        <x:v>166</x:v>
      </x:c>
      <x:c r="Y350" s="669" t="s">
        <x:v>135</x:v>
      </x:c>
      <x:c r="Z350" s="669" t="s">
        <x:v>166</x:v>
      </x:c>
      <x:c r="BN350" s="618"/>
    </x:row>
    <x:row r="351" spans="1:66" x14ac:dyDescent="0.25">
      <x:c r="A351"/>
      <x:c r="B351"/>
      <x:c r="C351"/>
      <x:c r="D351"/>
      <x:c r="E351" s="625" t="inlineStr">
        <x:is>
          <x:t>Vlr Servicio</x:t>
        </x:is>
      </x:c>
      <x:c r="F351" s="627" t="n">
        <x:v>-68295.75</x:v>
      </x:c>
      <x:c r="G351" s="627" t="n">
        <x:v>-5526.6</x:v>
      </x:c>
      <x:c r="H351" s="627" t="n">
        <x:v>-2347.86</x:v>
      </x:c>
      <x:c r="I351" s="627" t="n">
        <x:v>-1025.32</x:v>
      </x:c>
      <x:c r="J351" s="627" t="n">
        <x:v>-12634.35</x:v>
      </x:c>
      <x:c r="K351" s="627" t="n">
        <x:v>-514.5</x:v>
      </x:c>
      <x:c r="L351" s="627" t="n">
        <x:v>0</x:v>
      </x:c>
      <x:c r="M351" s="627" t="n">
        <x:v>-4513.23</x:v>
      </x:c>
      <x:c r="N351" s="627" t="n">
        <x:v>-5739.05</x:v>
      </x:c>
      <x:c r="O351" s="627" t="n">
        <x:v>-21072.9</x:v>
      </x:c>
      <x:c r="P351" s="627" t="n">
        <x:v>-14082.45</x:v>
      </x:c>
      <x:c r="Q351" s="627" t="n">
        <x:v>-839.49</x:v>
      </x:c>
      <x:c r="R351" s="627" t="n">
        <x:v>0</x:v>
      </x:c>
      <x:c r="S351" s="627">
        <x:v>0</x:v>
      </x:c>
      <x:c r="T351" s="653" t="n">
        <x:v>0</x:v>
      </x:c>
      <x:c r="U351" s="653">
        <x:v>0</x:v>
      </x:c>
      <x:c r="V351" s="653">
        <x:v>0</x:v>
      </x:c>
      <x:c r="W351" s="653">
        <x:v>0</x:v>
      </x:c>
      <x:c r="X351" s="653">
        <x:v>0</x:v>
      </x:c>
      <x:c r="Y351" s="627">
        <x:v>0</x:v>
      </x:c>
      <x:c r="Z351" s="653" t="n">
        <x:v>0</x:v>
      </x:c>
      <x:c r="BN351" s="624"/>
    </x:row>
    <x:row r="352" spans="1:66" x14ac:dyDescent="0.25">
      <x:c r="A352"/>
      <x:c r="B352"/>
      <x:c r="C352"/>
      <x:c r="D352" s="25" t="inlineStr">
        <x:is>
          <x:t>E</x:t>
        </x:is>
      </x:c>
      <x:c r="E352" s="625" t="inlineStr">
        <x:is>
          <x:t>Total</x:t>
        </x:is>
      </x:c>
      <x:c r="F352" s="627" t="n">
        <x:v>-68295.75</x:v>
      </x:c>
      <x:c r="G352" s="627" t="n">
        <x:v>-5526.6</x:v>
      </x:c>
      <x:c r="H352" s="627" t="n">
        <x:v>-2347.86</x:v>
      </x:c>
      <x:c r="I352" s="627" t="n">
        <x:v>-1025.32</x:v>
      </x:c>
      <x:c r="J352" s="627" t="n">
        <x:v>-12634.35</x:v>
      </x:c>
      <x:c r="K352" s="627" t="n">
        <x:v>-514.5</x:v>
      </x:c>
      <x:c r="L352" s="627" t="n">
        <x:v>0</x:v>
      </x:c>
      <x:c r="M352" s="627" t="n">
        <x:v>-4513.23</x:v>
      </x:c>
      <x:c r="N352" s="627" t="n">
        <x:v>-5739.05</x:v>
      </x:c>
      <x:c r="O352" s="627" t="n">
        <x:v>-21072.9</x:v>
      </x:c>
      <x:c r="P352" s="627" t="n">
        <x:v>-14082.45</x:v>
      </x:c>
      <x:c r="Q352" s="627" t="n">
        <x:v>-839.49</x:v>
      </x:c>
      <x:c r="R352" s="627" t="n">
        <x:v>0</x:v>
      </x:c>
      <x:c r="S352" s="627">
        <x:v>0</x:v>
      </x:c>
      <x:c r="T352" s="653" t="n">
        <x:v>0</x:v>
      </x:c>
      <x:c r="U352" s="653">
        <x:v>0</x:v>
      </x:c>
      <x:c r="V352" s="653">
        <x:v>0</x:v>
      </x:c>
      <x:c r="W352" s="653">
        <x:v>0</x:v>
      </x:c>
      <x:c r="X352" s="653">
        <x:v>0</x:v>
      </x:c>
      <x:c r="Y352" s="627">
        <x:v>0</x:v>
      </x:c>
      <x:c r="Z352" s="653" t="n">
        <x:v>0</x:v>
      </x:c>
      <x:c r="BN352" s="624"/>
    </x:row>
    <x:row r="353" spans="1:66" x14ac:dyDescent="0.25">
      <x:c r="A353" s="628"/>
      <x:c r="B353" s="628"/>
      <x:c r="C353" s="628" t="inlineStr">
        <x:is>
          <x:t>ENEL</x:t>
        </x:is>
      </x:c>
      <x:c r="D353" s="628" t="inlineStr">
        <x:is>
          <x:t>Total</x:t>
        </x:is>
      </x:c>
      <x:c r="E353" s="629"/>
      <x:c r="F353" s="630" t="n">
        <x:v>-68295.75</x:v>
      </x:c>
      <x:c r="G353" s="630" t="n">
        <x:v>-5526.6</x:v>
      </x:c>
      <x:c r="H353" s="630" t="n">
        <x:v>-2347.86</x:v>
      </x:c>
      <x:c r="I353" s="630" t="n">
        <x:v>-1025.32</x:v>
      </x:c>
      <x:c r="J353" s="630" t="n">
        <x:v>-12634.35</x:v>
      </x:c>
      <x:c r="K353" s="630" t="n">
        <x:v>-514.5</x:v>
      </x:c>
      <x:c r="L353" s="630" t="n">
        <x:v>0</x:v>
      </x:c>
      <x:c r="M353" s="630" t="n">
        <x:v>-4513.23</x:v>
      </x:c>
      <x:c r="N353" s="630" t="n">
        <x:v>-5739.05</x:v>
      </x:c>
      <x:c r="O353" s="630" t="n">
        <x:v>-21072.9</x:v>
      </x:c>
      <x:c r="P353" s="630" t="n">
        <x:v>-14082.45</x:v>
      </x:c>
      <x:c r="Q353" s="630" t="n">
        <x:v>-839.49</x:v>
      </x:c>
      <x:c r="R353" s="630" t="n">
        <x:v>0</x:v>
      </x:c>
      <x:c r="S353" s="630">
        <x:v>0</x:v>
      </x:c>
      <x:c r="T353" s="630" t="n">
        <x:v>0</x:v>
      </x:c>
      <x:c r="U353" s="630">
        <x:v>0</x:v>
      </x:c>
      <x:c r="V353" s="630">
        <x:v>0</x:v>
      </x:c>
      <x:c r="W353" s="630">
        <x:v>0</x:v>
      </x:c>
      <x:c r="X353" s="630">
        <x:v>0</x:v>
      </x:c>
      <x:c r="Y353" s="630">
        <x:v>0</x:v>
      </x:c>
      <x:c r="Z353" s="630" t="n">
        <x:v>0</x:v>
      </x:c>
      <x:c r="AA353" s="628"/>
      <x:c r="AB353" s="628"/>
      <x:c r="AC353" s="628"/>
      <x:c r="AD353" s="628"/>
      <x:c r="AE353" s="628"/>
      <x:c r="AF353" s="628"/>
      <x:c r="AG353" s="628"/>
      <x:c r="AH353" s="628"/>
      <x:c r="AI353" s="628"/>
      <x:c r="AJ353" s="628"/>
      <x:c r="AK353" s="628"/>
      <x:c r="AL353" s="628"/>
      <x:c r="AM353" s="628"/>
      <x:c r="AN353" s="628"/>
      <x:c r="AO353" s="628"/>
      <x:c r="AP353" s="628"/>
      <x:c r="AQ353" s="628"/>
      <x:c r="AR353" s="628"/>
      <x:c r="AS353" s="628"/>
      <x:c r="AT353" s="628"/>
      <x:c r="AU353" s="628"/>
      <x:c r="AV353" s="628"/>
      <x:c r="AW353" s="628"/>
      <x:c r="AX353" s="628"/>
      <x:c r="AY353" s="628"/>
      <x:c r="AZ353" s="628"/>
      <x:c r="BA353" s="628"/>
      <x:c r="BB353" s="628"/>
      <x:c r="BC353" s="628"/>
      <x:c r="BD353" s="628"/>
      <x:c r="BE353" s="628"/>
      <x:c r="BF353" s="628"/>
      <x:c r="BG353" s="628"/>
      <x:c r="BH353" s="628"/>
      <x:c r="BI353" s="628"/>
      <x:c r="BJ353" s="628"/>
      <x:c r="BK353" s="628"/>
      <x:c r="BL353" s="628"/>
      <x:c r="BM353" s="628"/>
      <x:c r="BN353" s="624"/>
    </x:row>
    <x:row r="354" spans="1:66" x14ac:dyDescent="0.25">
      <x:c r="A354"/>
      <x:c r="B354"/>
      <x:c r="C354"/>
      <x:c r="D354"/>
      <x:c r="E354" s="625" t="inlineStr">
        <x:is>
          <x:t>Vlr Servicio</x:t>
        </x:is>
      </x:c>
      <x:c r="F354" s="627" t="n">
        <x:v>-126294.09</x:v>
      </x:c>
      <x:c r="G354" s="627" t="n">
        <x:v>-10236.33</x:v>
      </x:c>
      <x:c r="H354" s="627" t="n">
        <x:v>-4348.74</x:v>
      </x:c>
      <x:c r="I354" s="627" t="n">
        <x:v>-1899.07</x:v>
      </x:c>
      <x:c r="J354" s="627" t="n">
        <x:v>-23344.69</x:v>
      </x:c>
      <x:c r="K354" s="627" t="n">
        <x:v>-950.67</x:v>
      </x:c>
      <x:c r="L354" s="627" t="n">
        <x:v>0</x:v>
      </x:c>
      <x:c r="M354" s="627" t="n">
        <x:v>-8339.21</x:v>
      </x:c>
      <x:c r="N354" s="627" t="n">
        <x:v>-10604.15</x:v>
      </x:c>
      <x:c r="O354" s="627" t="n">
        <x:v>-38936.7</x:v>
      </x:c>
      <x:c r="P354" s="627" t="n">
        <x:v>-26083.38</x:v>
      </x:c>
      <x:c r="Q354" s="627" t="n">
        <x:v>-1551.15</x:v>
      </x:c>
      <x:c r="R354" s="627" t="n">
        <x:v>0</x:v>
      </x:c>
      <x:c r="S354" s="627">
        <x:v>0</x:v>
      </x:c>
      <x:c r="T354" s="653" t="n">
        <x:v>0</x:v>
      </x:c>
      <x:c r="U354" s="653">
        <x:v>0</x:v>
      </x:c>
      <x:c r="V354" s="653">
        <x:v>0</x:v>
      </x:c>
      <x:c r="W354" s="653">
        <x:v>0</x:v>
      </x:c>
      <x:c r="X354" s="653">
        <x:v>0</x:v>
      </x:c>
      <x:c r="Y354" s="627">
        <x:v>0</x:v>
      </x:c>
      <x:c r="Z354" s="653" t="n">
        <x:v>0</x:v>
      </x:c>
      <x:c r="BN354" s="624"/>
    </x:row>
    <x:row r="355" spans="1:66" x14ac:dyDescent="0.25">
      <x:c r="A355"/>
      <x:c r="B355"/>
      <x:c r="C355"/>
      <x:c r="D355" s="25" t="inlineStr">
        <x:is>
          <x:t>O</x:t>
        </x:is>
      </x:c>
      <x:c r="E355" s="625" t="inlineStr">
        <x:is>
          <x:t>Total</x:t>
        </x:is>
      </x:c>
      <x:c r="F355" s="627" t="n">
        <x:v>-126294.09</x:v>
      </x:c>
      <x:c r="G355" s="627" t="n">
        <x:v>-10236.33</x:v>
      </x:c>
      <x:c r="H355" s="627" t="n">
        <x:v>-4348.74</x:v>
      </x:c>
      <x:c r="I355" s="627" t="n">
        <x:v>-1899.07</x:v>
      </x:c>
      <x:c r="J355" s="627" t="n">
        <x:v>-23344.69</x:v>
      </x:c>
      <x:c r="K355" s="627" t="n">
        <x:v>-950.67</x:v>
      </x:c>
      <x:c r="L355" s="627" t="n">
        <x:v>0</x:v>
      </x:c>
      <x:c r="M355" s="627" t="n">
        <x:v>-8339.21</x:v>
      </x:c>
      <x:c r="N355" s="627" t="n">
        <x:v>-10604.15</x:v>
      </x:c>
      <x:c r="O355" s="627" t="n">
        <x:v>-38936.7</x:v>
      </x:c>
      <x:c r="P355" s="627" t="n">
        <x:v>-26083.38</x:v>
      </x:c>
      <x:c r="Q355" s="627" t="n">
        <x:v>-1551.15</x:v>
      </x:c>
      <x:c r="R355" s="627" t="n">
        <x:v>0</x:v>
      </x:c>
      <x:c r="S355" s="627">
        <x:v>0</x:v>
      </x:c>
      <x:c r="T355" s="653" t="n">
        <x:v>0</x:v>
      </x:c>
      <x:c r="U355" s="653">
        <x:v>0</x:v>
      </x:c>
      <x:c r="V355" s="653">
        <x:v>0</x:v>
      </x:c>
      <x:c r="W355" s="653">
        <x:v>0</x:v>
      </x:c>
      <x:c r="X355" s="653">
        <x:v>0</x:v>
      </x:c>
      <x:c r="Y355" s="627">
        <x:v>0</x:v>
      </x:c>
      <x:c r="Z355" s="653" t="n">
        <x:v>0</x:v>
      </x:c>
      <x:c r="BN355" s="624"/>
    </x:row>
    <x:row r="356" spans="1:66" x14ac:dyDescent="0.25">
      <x:c r="A356" s="631"/>
      <x:c r="B356" s="631"/>
      <x:c r="C356" s="632" t="inlineStr">
        <x:is>
          <x:t>OCCIDENTE</x:t>
        </x:is>
      </x:c>
      <x:c r="D356" s="632" t="inlineStr">
        <x:is>
          <x:t>Total</x:t>
        </x:is>
      </x:c>
      <x:c r="E356" s="631"/>
      <x:c r="F356" s="633" t="n">
        <x:v>-126294.09</x:v>
      </x:c>
      <x:c r="G356" s="633" t="n">
        <x:v>-10236.33</x:v>
      </x:c>
      <x:c r="H356" s="633" t="n">
        <x:v>-4348.74</x:v>
      </x:c>
      <x:c r="I356" s="633" t="n">
        <x:v>-1899.07</x:v>
      </x:c>
      <x:c r="J356" s="633" t="n">
        <x:v>-23344.69</x:v>
      </x:c>
      <x:c r="K356" s="633" t="n">
        <x:v>-950.67</x:v>
      </x:c>
      <x:c r="L356" s="633" t="n">
        <x:v>0</x:v>
      </x:c>
      <x:c r="M356" s="633" t="n">
        <x:v>-8339.21</x:v>
      </x:c>
      <x:c r="N356" s="633" t="n">
        <x:v>-10604.15</x:v>
      </x:c>
      <x:c r="O356" s="633" t="n">
        <x:v>-38936.7</x:v>
      </x:c>
      <x:c r="P356" s="633" t="n">
        <x:v>-26083.38</x:v>
      </x:c>
      <x:c r="Q356" s="633" t="n">
        <x:v>-1551.15</x:v>
      </x:c>
      <x:c r="R356" s="633" t="n">
        <x:v>0</x:v>
      </x:c>
      <x:c r="S356" s="633">
        <x:v>0</x:v>
      </x:c>
      <x:c r="T356" s="633" t="n">
        <x:v>0</x:v>
      </x:c>
      <x:c r="U356" s="633">
        <x:v>0</x:v>
      </x:c>
      <x:c r="V356" s="633">
        <x:v>0</x:v>
      </x:c>
      <x:c r="W356" s="633">
        <x:v>0</x:v>
      </x:c>
      <x:c r="X356" s="633">
        <x:v>0</x:v>
      </x:c>
      <x:c r="Y356" s="633">
        <x:v>0</x:v>
      </x:c>
      <x:c r="Z356" s="633" t="n">
        <x:v>0</x:v>
      </x:c>
      <x:c r="AA356" s="631"/>
      <x:c r="AB356" s="631"/>
      <x:c r="AC356" s="631"/>
      <x:c r="AD356" s="631"/>
      <x:c r="AE356" s="631"/>
      <x:c r="AF356" s="631"/>
      <x:c r="AG356" s="631"/>
      <x:c r="AH356" s="631"/>
      <x:c r="AI356" s="631"/>
      <x:c r="AJ356" s="631"/>
      <x:c r="AK356" s="631"/>
      <x:c r="AL356" s="631"/>
      <x:c r="AM356" s="631"/>
      <x:c r="AN356" s="631"/>
      <x:c r="AO356" s="631"/>
      <x:c r="AP356" s="631"/>
      <x:c r="AQ356" s="631"/>
      <x:c r="AR356" s="631"/>
      <x:c r="AS356" s="631"/>
      <x:c r="AT356" s="631"/>
      <x:c r="AU356" s="631"/>
      <x:c r="AV356" s="631"/>
      <x:c r="AW356" s="631"/>
      <x:c r="AX356" s="631"/>
      <x:c r="AY356" s="631"/>
      <x:c r="AZ356" s="631"/>
      <x:c r="BA356" s="631"/>
      <x:c r="BB356" s="631"/>
      <x:c r="BC356" s="631"/>
      <x:c r="BD356" s="631"/>
      <x:c r="BE356" s="631"/>
      <x:c r="BF356" s="631"/>
      <x:c r="BG356" s="631"/>
      <x:c r="BH356" s="631"/>
      <x:c r="BI356" s="631"/>
      <x:c r="BJ356" s="631"/>
      <x:c r="BK356" s="631"/>
      <x:c r="BL356" s="631"/>
      <x:c r="BM356" s="631"/>
      <x:c r="BN356" s="624"/>
    </x:row>
    <x:row r="357" spans="1:66" x14ac:dyDescent="0.25">
      <x:c r="A357"/>
      <x:c r="B357" s="25" t="inlineStr">
        <x:is>
          <x:t>Mes</x:t>
        </x:is>
      </x:c>
      <x:c r="C357" s="25" t="inlineStr">
        <x:is>
          <x:t>Total</x:t>
        </x:is>
      </x:c>
      <x:c r="D357"/>
      <x:c r="E357" s="625"/>
      <x:c r="F357" s="627" t="n">
        <x:v>-194589.84</x:v>
      </x:c>
      <x:c r="G357" s="627" t="n">
        <x:v>-15762.93</x:v>
      </x:c>
      <x:c r="H357" s="627" t="n">
        <x:v>-6696.6</x:v>
      </x:c>
      <x:c r="I357" s="627" t="n">
        <x:v>-2924.39</x:v>
      </x:c>
      <x:c r="J357" s="627" t="n">
        <x:v>-35979.04</x:v>
      </x:c>
      <x:c r="K357" s="627" t="n">
        <x:v>-1465.17</x:v>
      </x:c>
      <x:c r="L357" s="627" t="n">
        <x:v>0</x:v>
      </x:c>
      <x:c r="M357" s="627" t="n">
        <x:v>-12852.44</x:v>
      </x:c>
      <x:c r="N357" s="627" t="n">
        <x:v>-16343.2</x:v>
      </x:c>
      <x:c r="O357" s="627" t="n">
        <x:v>-60009.6</x:v>
      </x:c>
      <x:c r="P357" s="627" t="n">
        <x:v>-40165.83</x:v>
      </x:c>
      <x:c r="Q357" s="627" t="n">
        <x:v>-2390.64</x:v>
      </x:c>
      <x:c r="R357" s="627" t="n">
        <x:v>0</x:v>
      </x:c>
      <x:c r="S357" s="627">
        <x:v>0</x:v>
      </x:c>
      <x:c r="T357" s="653" t="n">
        <x:v>0</x:v>
      </x:c>
      <x:c r="U357" s="653">
        <x:v>0</x:v>
      </x:c>
      <x:c r="V357" s="653">
        <x:v>0</x:v>
      </x:c>
      <x:c r="W357" s="653">
        <x:v>0</x:v>
      </x:c>
      <x:c r="X357" s="653">
        <x:v>0</x:v>
      </x:c>
      <x:c r="Y357" s="627">
        <x:v>0</x:v>
      </x:c>
      <x:c r="Z357" s="653" t="n">
        <x:v>0</x:v>
      </x:c>
      <x:c r="BN357" s="624"/>
    </x:row>
    <x:row r="358" spans="1:66" x14ac:dyDescent="0.25">
      <x:c r="A358" s="634" t="inlineStr">
        <x:is>
          <x:t>AFaseo</x:t>
        </x:is>
      </x:c>
      <x:c r="B358" s="634" t="inlineStr">
        <x:is>
          <x:t>Total</x:t>
        </x:is>
      </x:c>
      <x:c r="C358" s="634"/>
      <x:c r="D358" s="634"/>
      <x:c r="E358" s="634"/>
      <x:c r="F358" s="670" t="n">
        <x:v>-194589.84</x:v>
      </x:c>
      <x:c r="G358" s="670" t="n">
        <x:v>-15762.93</x:v>
      </x:c>
      <x:c r="H358" s="670" t="n">
        <x:v>-6696.6</x:v>
      </x:c>
      <x:c r="I358" s="670" t="n">
        <x:v>-2924.39</x:v>
      </x:c>
      <x:c r="J358" s="670" t="n">
        <x:v>-35979.04</x:v>
      </x:c>
      <x:c r="K358" s="670" t="n">
        <x:v>-1465.17</x:v>
      </x:c>
      <x:c r="L358" s="670" t="n">
        <x:v>0</x:v>
      </x:c>
      <x:c r="M358" s="670" t="n">
        <x:v>-12852.44</x:v>
      </x:c>
      <x:c r="N358" s="670" t="n">
        <x:v>-16343.2</x:v>
      </x:c>
      <x:c r="O358" s="670" t="n">
        <x:v>-60009.6</x:v>
      </x:c>
      <x:c r="P358" s="670" t="n">
        <x:v>-40165.83</x:v>
      </x:c>
      <x:c r="Q358" s="670" t="n">
        <x:v>-2390.64</x:v>
      </x:c>
      <x:c r="R358" s="670" t="n">
        <x:v>0</x:v>
      </x:c>
      <x:c r="S358" s="670">
        <x:v>0</x:v>
      </x:c>
      <x:c r="T358" s="670" t="n">
        <x:v>0</x:v>
      </x:c>
      <x:c r="U358" s="670">
        <x:v>0</x:v>
      </x:c>
      <x:c r="V358" s="670">
        <x:v>0</x:v>
      </x:c>
      <x:c r="W358" s="670">
        <x:v>0</x:v>
      </x:c>
      <x:c r="X358" s="670">
        <x:v>0</x:v>
      </x:c>
      <x:c r="Y358" s="670">
        <x:v>0</x:v>
      </x:c>
      <x:c r="Z358" s="670" t="n">
        <x:v>0</x:v>
      </x:c>
      <x:c r="AA358" s="634"/>
      <x:c r="AB358" s="634"/>
      <x:c r="AC358" s="634"/>
      <x:c r="AD358" s="634"/>
      <x:c r="AE358" s="634"/>
      <x:c r="AF358" s="634"/>
      <x:c r="AG358" s="634"/>
      <x:c r="AH358" s="634"/>
      <x:c r="AI358" s="634"/>
      <x:c r="AJ358" s="634"/>
      <x:c r="AK358" s="634"/>
      <x:c r="AL358" s="634"/>
      <x:c r="AM358" s="634"/>
      <x:c r="AN358" s="634"/>
      <x:c r="AO358" s="634"/>
      <x:c r="AP358" s="634"/>
      <x:c r="AQ358" s="634"/>
      <x:c r="AR358" s="634"/>
      <x:c r="AS358" s="634"/>
      <x:c r="AT358" s="634"/>
      <x:c r="AU358" s="634"/>
      <x:c r="AV358" s="634"/>
      <x:c r="AW358" s="634"/>
      <x:c r="AX358" s="634"/>
      <x:c r="AY358" s="634"/>
      <x:c r="AZ358" s="634"/>
      <x:c r="BA358" s="634"/>
      <x:c r="BB358" s="634"/>
      <x:c r="BC358" s="634"/>
      <x:c r="BD358" s="634"/>
      <x:c r="BE358" s="634"/>
      <x:c r="BF358" s="634"/>
      <x:c r="BG358" s="634"/>
      <x:c r="BH358" s="634"/>
      <x:c r="BI358" s="634"/>
      <x:c r="BJ358" s="634"/>
      <x:c r="BK358" s="634"/>
      <x:c r="BL358" s="634"/>
      <x:c r="BM358" s="634"/>
      <x:c r="BN358" s="624"/>
    </x:row>
    <x:row r="359" spans="1:66" x14ac:dyDescent="0.25">
      <x:c r="A359"/>
      <x:c r="B359"/>
      <x:c r="C359"/>
      <x:c r="D359"/>
      <x:c r="E359" s="625" t="inlineStr">
        <x:is>
          <x:t>Vlr Servicio</x:t>
        </x:is>
      </x:c>
      <x:c r="F359" s="627" t="n">
        <x:v>3474318.94</x:v>
      </x:c>
      <x:c r="G359" s="627" t="n">
        <x:v>179517.17</x:v>
      </x:c>
      <x:c r="H359" s="627" t="n">
        <x:v>100565</x:v>
      </x:c>
      <x:c r="I359" s="627" t="n">
        <x:v>54370.42</x:v>
      </x:c>
      <x:c r="J359" s="627" t="n">
        <x:v>704737.06</x:v>
      </x:c>
      <x:c r="K359" s="627" t="n">
        <x:v>25270.93</x:v>
      </x:c>
      <x:c r="L359" s="627" t="n">
        <x:v>0</x:v>
      </x:c>
      <x:c r="M359" s="627" t="n">
        <x:v>221675.22</x:v>
      </x:c>
      <x:c r="N359" s="627" t="n">
        <x:v>228682.7</x:v>
      </x:c>
      <x:c r="O359" s="627" t="n">
        <x:v>1439394.46</x:v>
      </x:c>
      <x:c r="P359" s="627" t="n">
        <x:v>477974.43</x:v>
      </x:c>
      <x:c r="Q359" s="627" t="n">
        <x:v>42120.73</x:v>
      </x:c>
      <x:c r="R359" s="627" t="n">
        <x:v>10.82</x:v>
      </x:c>
      <x:c r="S359" s="627">
        <x:v>0</x:v>
      </x:c>
      <x:c r="T359" s="653" t="n">
        <x:v>0</x:v>
      </x:c>
      <x:c r="U359" s="653">
        <x:v>0</x:v>
      </x:c>
      <x:c r="V359" s="653">
        <x:v>0</x:v>
      </x:c>
      <x:c r="W359" s="653">
        <x:v>0</x:v>
      </x:c>
      <x:c r="X359" s="653">
        <x:v>0</x:v>
      </x:c>
      <x:c r="Y359" s="627">
        <x:v>0</x:v>
      </x:c>
      <x:c r="Z359" s="653" t="n">
        <x:v>0</x:v>
      </x:c>
      <x:c r="BN359" s="624"/>
    </x:row>
    <x:row r="360" spans="1:66" x14ac:dyDescent="0.25">
      <x:c r="A360"/>
      <x:c r="B360"/>
      <x:c r="C360"/>
      <x:c r="D360"/>
      <x:c r="E360" s="625" t="inlineStr">
        <x:is>
          <x:t>Vlr Intereses</x:t>
        </x:is>
      </x:c>
      <x:c r="F360" s="627" t="n">
        <x:v>102080</x:v>
      </x:c>
      <x:c r="G360" s="627" t="n">
        <x:v>9443.62</x:v>
      </x:c>
      <x:c r="H360" s="627" t="n">
        <x:v>1966.53</x:v>
      </x:c>
      <x:c r="I360" s="627" t="n">
        <x:v>104.85</x:v>
      </x:c>
      <x:c r="J360" s="627" t="n">
        <x:v>14336.51</x:v>
      </x:c>
      <x:c r="K360" s="627" t="n">
        <x:v>1241.61</x:v>
      </x:c>
      <x:c r="L360" s="627" t="n">
        <x:v>0</x:v>
      </x:c>
      <x:c r="M360" s="627" t="n">
        <x:v>10892.44</x:v>
      </x:c>
      <x:c r="N360" s="627" t="n">
        <x:v>7250.83</x:v>
      </x:c>
      <x:c r="O360" s="627" t="n">
        <x:v>22273.45</x:v>
      </x:c>
      <x:c r="P360" s="627" t="n">
        <x:v>32552.68</x:v>
      </x:c>
      <x:c r="Q360" s="627" t="n">
        <x:v>2025.84</x:v>
      </x:c>
      <x:c r="R360" s="627" t="n">
        <x:v>-8.36</x:v>
      </x:c>
      <x:c r="S360" s="627">
        <x:v>0</x:v>
      </x:c>
      <x:c r="T360" s="653" t="n">
        <x:v>0</x:v>
      </x:c>
      <x:c r="U360" s="653">
        <x:v>0</x:v>
      </x:c>
      <x:c r="V360" s="653">
        <x:v>0</x:v>
      </x:c>
      <x:c r="W360" s="653">
        <x:v>0</x:v>
      </x:c>
      <x:c r="X360" s="653">
        <x:v>0</x:v>
      </x:c>
      <x:c r="Y360" s="627">
        <x:v>0</x:v>
      </x:c>
      <x:c r="Z360" s="653" t="n">
        <x:v>0</x:v>
      </x:c>
      <x:c r="BN360" s="624"/>
    </x:row>
    <x:row r="361" spans="1:66" x14ac:dyDescent="0.25">
      <x:c r="A361"/>
      <x:c r="B361"/>
      <x:c r="C361"/>
      <x:c r="D361" s="25" t="inlineStr">
        <x:is>
          <x:t>E</x:t>
        </x:is>
      </x:c>
      <x:c r="E361" s="625" t="inlineStr">
        <x:is>
          <x:t>Total</x:t>
        </x:is>
      </x:c>
      <x:c r="F361" s="627" t="n">
        <x:v>3576398.94</x:v>
      </x:c>
      <x:c r="G361" s="627" t="n">
        <x:v>188960.79</x:v>
      </x:c>
      <x:c r="H361" s="627" t="n">
        <x:v>102531.53</x:v>
      </x:c>
      <x:c r="I361" s="627" t="n">
        <x:v>54475.27</x:v>
      </x:c>
      <x:c r="J361" s="627" t="n">
        <x:v>719073.57</x:v>
      </x:c>
      <x:c r="K361" s="627" t="n">
        <x:v>26512.54</x:v>
      </x:c>
      <x:c r="L361" s="627" t="n">
        <x:v>0</x:v>
      </x:c>
      <x:c r="M361" s="627" t="n">
        <x:v>232567.66</x:v>
      </x:c>
      <x:c r="N361" s="627" t="n">
        <x:v>235933.53</x:v>
      </x:c>
      <x:c r="O361" s="627" t="n">
        <x:v>1461667.91</x:v>
      </x:c>
      <x:c r="P361" s="627" t="n">
        <x:v>510527.11</x:v>
      </x:c>
      <x:c r="Q361" s="627" t="n">
        <x:v>44146.57</x:v>
      </x:c>
      <x:c r="R361" s="627" t="n">
        <x:v>2.46</x:v>
      </x:c>
      <x:c r="S361" s="627">
        <x:v>0</x:v>
      </x:c>
      <x:c r="T361" s="653" t="n">
        <x:v>0</x:v>
      </x:c>
      <x:c r="U361" s="653">
        <x:v>0</x:v>
      </x:c>
      <x:c r="V361" s="653">
        <x:v>0</x:v>
      </x:c>
      <x:c r="W361" s="653">
        <x:v>0</x:v>
      </x:c>
      <x:c r="X361" s="653">
        <x:v>0</x:v>
      </x:c>
      <x:c r="Y361" s="627">
        <x:v>0</x:v>
      </x:c>
      <x:c r="Z361" s="653" t="n">
        <x:v>0</x:v>
      </x:c>
      <x:c r="BN361" s="624"/>
    </x:row>
    <x:row r="362" spans="1:66" x14ac:dyDescent="0.25">
      <x:c r="A362" s="628"/>
      <x:c r="B362" s="628"/>
      <x:c r="C362" s="628" t="inlineStr">
        <x:is>
          <x:t>ENEL</x:t>
        </x:is>
      </x:c>
      <x:c r="D362" s="628" t="inlineStr">
        <x:is>
          <x:t>Total</x:t>
        </x:is>
      </x:c>
      <x:c r="E362" s="629"/>
      <x:c r="F362" s="630" t="n">
        <x:v>3576398.94</x:v>
      </x:c>
      <x:c r="G362" s="630" t="n">
        <x:v>188960.79</x:v>
      </x:c>
      <x:c r="H362" s="630" t="n">
        <x:v>102531.53</x:v>
      </x:c>
      <x:c r="I362" s="630" t="n">
        <x:v>54475.27</x:v>
      </x:c>
      <x:c r="J362" s="630" t="n">
        <x:v>719073.57</x:v>
      </x:c>
      <x:c r="K362" s="630" t="n">
        <x:v>26512.54</x:v>
      </x:c>
      <x:c r="L362" s="630" t="n">
        <x:v>0</x:v>
      </x:c>
      <x:c r="M362" s="630" t="n">
        <x:v>232567.66</x:v>
      </x:c>
      <x:c r="N362" s="630" t="n">
        <x:v>235933.53</x:v>
      </x:c>
      <x:c r="O362" s="630" t="n">
        <x:v>1461667.91</x:v>
      </x:c>
      <x:c r="P362" s="630" t="n">
        <x:v>510527.11</x:v>
      </x:c>
      <x:c r="Q362" s="630" t="n">
        <x:v>44146.57</x:v>
      </x:c>
      <x:c r="R362" s="630" t="n">
        <x:v>2.46</x:v>
      </x:c>
      <x:c r="S362" s="630">
        <x:v>0</x:v>
      </x:c>
      <x:c r="T362" s="630" t="n">
        <x:v>0</x:v>
      </x:c>
      <x:c r="U362" s="630">
        <x:v>0</x:v>
      </x:c>
      <x:c r="V362" s="630">
        <x:v>0</x:v>
      </x:c>
      <x:c r="W362" s="630">
        <x:v>0</x:v>
      </x:c>
      <x:c r="X362" s="630">
        <x:v>0</x:v>
      </x:c>
      <x:c r="Y362" s="630">
        <x:v>0</x:v>
      </x:c>
      <x:c r="Z362" s="630" t="n">
        <x:v>0</x:v>
      </x:c>
      <x:c r="AA362" s="628"/>
      <x:c r="AB362" s="628"/>
      <x:c r="AC362" s="628"/>
      <x:c r="AD362" s="628"/>
      <x:c r="AE362" s="628"/>
      <x:c r="AF362" s="628"/>
      <x:c r="AG362" s="628"/>
      <x:c r="AH362" s="628"/>
      <x:c r="AI362" s="628"/>
      <x:c r="AJ362" s="628"/>
      <x:c r="AK362" s="628"/>
      <x:c r="AL362" s="628"/>
      <x:c r="AM362" s="628"/>
      <x:c r="AN362" s="628"/>
      <x:c r="AO362" s="628"/>
      <x:c r="AP362" s="628"/>
      <x:c r="AQ362" s="628"/>
      <x:c r="AR362" s="628"/>
      <x:c r="AS362" s="628"/>
      <x:c r="AT362" s="628"/>
      <x:c r="AU362" s="628"/>
      <x:c r="AV362" s="628"/>
      <x:c r="AW362" s="628"/>
      <x:c r="AX362" s="628"/>
      <x:c r="AY362" s="628"/>
      <x:c r="AZ362" s="628"/>
      <x:c r="BA362" s="628"/>
      <x:c r="BB362" s="628"/>
      <x:c r="BC362" s="628"/>
      <x:c r="BD362" s="628"/>
      <x:c r="BE362" s="628"/>
      <x:c r="BF362" s="628"/>
      <x:c r="BG362" s="628"/>
      <x:c r="BH362" s="628"/>
      <x:c r="BI362" s="628"/>
      <x:c r="BJ362" s="628"/>
      <x:c r="BK362" s="628"/>
      <x:c r="BL362" s="628"/>
      <x:c r="BM362" s="628"/>
      <x:c r="BN362" s="624"/>
    </x:row>
    <x:row r="363" spans="1:66" x14ac:dyDescent="0.25">
      <x:c r="A363"/>
      <x:c r="B363"/>
      <x:c r="C363"/>
      <x:c r="D363"/>
      <x:c r="E363" s="625" t="inlineStr">
        <x:is>
          <x:t>Vlr Servicio</x:t>
        </x:is>
      </x:c>
      <x:c r="F363" s="627" t="n">
        <x:v>1485208.31</x:v>
      </x:c>
      <x:c r="G363" s="627" t="n">
        <x:v>55007.46</x:v>
      </x:c>
      <x:c r="H363" s="627" t="n">
        <x:v>31471.04</x:v>
      </x:c>
      <x:c r="I363" s="627" t="n">
        <x:v>17189.75</x:v>
      </x:c>
      <x:c r="J363" s="627" t="n">
        <x:v>237868.49</x:v>
      </x:c>
      <x:c r="K363" s="627" t="n">
        <x:v>8447.82</x:v>
      </x:c>
      <x:c r="L363" s="627" t="n">
        <x:v>0</x:v>
      </x:c>
      <x:c r="M363" s="627" t="n">
        <x:v>57477</x:v>
      </x:c>
      <x:c r="N363" s="627" t="n">
        <x:v>58985.32</x:v>
      </x:c>
      <x:c r="O363" s="627" t="n">
        <x:v>860183.87</x:v>
      </x:c>
      <x:c r="P363" s="627" t="n">
        <x:v>144788.83</x:v>
      </x:c>
      <x:c r="Q363" s="627" t="n">
        <x:v>13783.27</x:v>
      </x:c>
      <x:c r="R363" s="627" t="n">
        <x:v>5.46</x:v>
      </x:c>
      <x:c r="S363" s="627">
        <x:v>0</x:v>
      </x:c>
      <x:c r="T363" s="653" t="n">
        <x:v>0</x:v>
      </x:c>
      <x:c r="U363" s="653">
        <x:v>0</x:v>
      </x:c>
      <x:c r="V363" s="653">
        <x:v>0</x:v>
      </x:c>
      <x:c r="W363" s="653">
        <x:v>0</x:v>
      </x:c>
      <x:c r="X363" s="653">
        <x:v>0</x:v>
      </x:c>
      <x:c r="Y363" s="627">
        <x:v>0</x:v>
      </x:c>
      <x:c r="Z363" s="653" t="n">
        <x:v>0</x:v>
      </x:c>
      <x:c r="BN363" s="624"/>
    </x:row>
    <x:row r="364" spans="1:66" x14ac:dyDescent="0.25">
      <x:c r="A364"/>
      <x:c r="B364"/>
      <x:c r="C364"/>
      <x:c r="D364" s="25"/>
      <x:c r="E364" s="625" t="inlineStr">
        <x:is>
          <x:t>Vlr Intereses</x:t>
        </x:is>
      </x:c>
      <x:c r="F364" s="627" t="n">
        <x:v>11.34</x:v>
      </x:c>
      <x:c r="G364" s="627" t="n">
        <x:v>0.36</x:v>
      </x:c>
      <x:c r="H364" s="627" t="n">
        <x:v>0.16</x:v>
      </x:c>
      <x:c r="I364" s="627" t="n">
        <x:v>0.1</x:v>
      </x:c>
      <x:c r="J364" s="627" t="n">
        <x:v>3.16</x:v>
      </x:c>
      <x:c r="K364" s="627" t="n">
        <x:v>0.08</x:v>
      </x:c>
      <x:c r="L364" s="627" t="n">
        <x:v>0</x:v>
      </x:c>
      <x:c r="M364" s="627" t="n">
        <x:v>0.7</x:v>
      </x:c>
      <x:c r="N364" s="627" t="n">
        <x:v>0.94</x:v>
      </x:c>
      <x:c r="O364" s="627" t="n">
        <x:v>4.75</x:v>
      </x:c>
      <x:c r="P364" s="627" t="n">
        <x:v>0.96</x:v>
      </x:c>
      <x:c r="Q364" s="627" t="n">
        <x:v>0.13</x:v>
      </x:c>
      <x:c r="R364" s="627" t="n">
        <x:v>0</x:v>
      </x:c>
      <x:c r="S364" s="627">
        <x:v>0</x:v>
      </x:c>
      <x:c r="T364" s="653" t="n">
        <x:v>0</x:v>
      </x:c>
      <x:c r="U364" s="653">
        <x:v>0</x:v>
      </x:c>
      <x:c r="V364" s="653">
        <x:v>0</x:v>
      </x:c>
      <x:c r="W364" s="653">
        <x:v>0</x:v>
      </x:c>
      <x:c r="X364" s="653">
        <x:v>0</x:v>
      </x:c>
      <x:c r="Y364" s="627">
        <x:v>0</x:v>
      </x:c>
      <x:c r="Z364" s="653" t="n">
        <x:v>0</x:v>
      </x:c>
      <x:c r="BN364" s="624"/>
    </x:row>
    <x:row r="365" spans="1:66" x14ac:dyDescent="0.25">
      <x:c r="A365" s="667"/>
      <x:c r="B365" s="667"/>
      <x:c r="C365" s="647"/>
      <x:c r="D365" s="647" t="inlineStr">
        <x:is>
          <x:t>O</x:t>
        </x:is>
      </x:c>
      <x:c r="E365" s="667" t="inlineStr">
        <x:is>
          <x:t>Total</x:t>
        </x:is>
      </x:c>
      <x:c r="F365" s="648" t="n">
        <x:v>1485219.65</x:v>
      </x:c>
      <x:c r="G365" s="648" t="n">
        <x:v>55007.82</x:v>
      </x:c>
      <x:c r="H365" s="648" t="n">
        <x:v>31471.2</x:v>
      </x:c>
      <x:c r="I365" s="648" t="n">
        <x:v>17189.85</x:v>
      </x:c>
      <x:c r="J365" s="648" t="n">
        <x:v>237871.65</x:v>
      </x:c>
      <x:c r="K365" s="648" t="n">
        <x:v>8447.9</x:v>
      </x:c>
      <x:c r="L365" s="648" t="n">
        <x:v>0</x:v>
      </x:c>
      <x:c r="M365" s="648" t="n">
        <x:v>57477.7</x:v>
      </x:c>
      <x:c r="N365" s="648" t="n">
        <x:v>58986.26</x:v>
      </x:c>
      <x:c r="O365" s="648" t="n">
        <x:v>860188.62</x:v>
      </x:c>
      <x:c r="P365" s="648" t="n">
        <x:v>144789.79</x:v>
      </x:c>
      <x:c r="Q365" s="648" t="n">
        <x:v>13783.4</x:v>
      </x:c>
      <x:c r="R365" s="648" t="n">
        <x:v>5.46</x:v>
      </x:c>
      <x:c r="S365" s="648">
        <x:v>0</x:v>
      </x:c>
      <x:c r="T365" s="648" t="n">
        <x:v>0</x:v>
      </x:c>
      <x:c r="U365" s="648">
        <x:v>0</x:v>
      </x:c>
      <x:c r="V365" s="648">
        <x:v>0</x:v>
      </x:c>
      <x:c r="W365" s="648">
        <x:v>0</x:v>
      </x:c>
      <x:c r="X365" s="672">
        <x:v>0</x:v>
      </x:c>
      <x:c r="Y365" s="672">
        <x:v>0</x:v>
      </x:c>
      <x:c r="Z365" s="672" t="n">
        <x:v>0</x:v>
      </x:c>
      <x:c r="AA365" s="667"/>
      <x:c r="AB365" s="667"/>
      <x:c r="AC365" s="667"/>
      <x:c r="AD365" s="667"/>
      <x:c r="AE365" s="667"/>
      <x:c r="AF365" s="667"/>
      <x:c r="AG365" s="667"/>
      <x:c r="AH365" s="667"/>
      <x:c r="AI365" s="667"/>
      <x:c r="AJ365" s="667"/>
      <x:c r="AK365" s="667"/>
      <x:c r="AL365" s="667"/>
      <x:c r="AM365" s="667"/>
      <x:c r="AN365" s="667"/>
      <x:c r="AO365" s="667"/>
      <x:c r="AP365" s="667"/>
      <x:c r="AQ365" s="667"/>
      <x:c r="AR365" s="667"/>
      <x:c r="AS365" s="667"/>
      <x:c r="AT365" s="667"/>
      <x:c r="AU365" s="667"/>
      <x:c r="AV365" s="667"/>
      <x:c r="AW365" s="667"/>
      <x:c r="AX365" s="667"/>
      <x:c r="AY365" s="667"/>
      <x:c r="AZ365" s="667"/>
      <x:c r="BA365" s="667"/>
      <x:c r="BB365" s="667"/>
      <x:c r="BC365" s="667"/>
      <x:c r="BD365" s="667"/>
      <x:c r="BE365" s="667"/>
      <x:c r="BF365" s="667"/>
      <x:c r="BG365" s="667"/>
      <x:c r="BH365" s="667"/>
      <x:c r="BI365" s="667"/>
      <x:c r="BJ365" s="667"/>
      <x:c r="BK365" s="667"/>
      <x:c r="BL365" s="667"/>
      <x:c r="BM365" s="667"/>
      <x:c r="BN365" s="624"/>
    </x:row>
    <x:row r="366" spans="1:66" x14ac:dyDescent="0.25">
      <x:c r="A366"/>
      <x:c r="B366"/>
      <x:c r="C366"/>
      <x:c r="D366"/>
      <x:c r="E366" s="625" t="inlineStr">
        <x:is>
          <x:t>Vlr Servicio</x:t>
        </x:is>
      </x:c>
      <x:c r="F366" s="627" t="n">
        <x:v>228079.28</x:v>
      </x:c>
      <x:c r="G366" s="627" t="n">
        <x:v>21729.6</x:v>
      </x:c>
      <x:c r="H366" s="627" t="n">
        <x:v>12271.11</x:v>
      </x:c>
      <x:c r="I366" s="627" t="n">
        <x:v>6450.82</x:v>
      </x:c>
      <x:c r="J366" s="627" t="n">
        <x:v>41654.2</x:v>
      </x:c>
      <x:c r="K366" s="627" t="n">
        <x:v>992.62</x:v>
      </x:c>
      <x:c r="L366" s="627" t="n">
        <x:v>0</x:v>
      </x:c>
      <x:c r="M366" s="627" t="n">
        <x:v>8707.21</x:v>
      </x:c>
      <x:c r="N366" s="627" t="n">
        <x:v>12742.17</x:v>
      </x:c>
      <x:c r="O366" s="627" t="n">
        <x:v>64291.65</x:v>
      </x:c>
      <x:c r="P366" s="627" t="n">
        <x:v>57619.46</x:v>
      </x:c>
      <x:c r="Q366" s="627" t="n">
        <x:v>1619.55</x:v>
      </x:c>
      <x:c r="R366" s="627" t="n">
        <x:v>0.89</x:v>
      </x:c>
      <x:c r="S366" s="627">
        <x:v>0</x:v>
      </x:c>
      <x:c r="T366" s="653" t="n">
        <x:v>0</x:v>
      </x:c>
      <x:c r="U366" s="653">
        <x:v>0</x:v>
      </x:c>
      <x:c r="V366" s="653">
        <x:v>0</x:v>
      </x:c>
      <x:c r="W366" s="653">
        <x:v>0</x:v>
      </x:c>
      <x:c r="X366" s="653">
        <x:v>0</x:v>
      </x:c>
      <x:c r="Y366" s="627">
        <x:v>0</x:v>
      </x:c>
      <x:c r="Z366" s="653" t="n">
        <x:v>0</x:v>
      </x:c>
      <x:c r="BN366" s="624"/>
    </x:row>
    <x:row r="367" spans="1:66" x14ac:dyDescent="0.25">
      <x:c r="A367"/>
      <x:c r="B367"/>
      <x:c r="C367"/>
      <x:c r="D367" t="inlineStr">
        <x:is>
          <x:t>T</x:t>
        </x:is>
      </x:c>
      <x:c r="E367" s="625" t="inlineStr">
        <x:is>
          <x:t>Total</x:t>
        </x:is>
      </x:c>
      <x:c r="F367" s="627" t="n">
        <x:v>228079.28</x:v>
      </x:c>
      <x:c r="G367" s="627" t="n">
        <x:v>21729.6</x:v>
      </x:c>
      <x:c r="H367" s="627" t="n">
        <x:v>12271.11</x:v>
      </x:c>
      <x:c r="I367" s="627" t="n">
        <x:v>6450.82</x:v>
      </x:c>
      <x:c r="J367" s="627" t="n">
        <x:v>41654.2</x:v>
      </x:c>
      <x:c r="K367" s="627" t="n">
        <x:v>992.62</x:v>
      </x:c>
      <x:c r="L367" s="627" t="n">
        <x:v>0</x:v>
      </x:c>
      <x:c r="M367" s="627" t="n">
        <x:v>8707.21</x:v>
      </x:c>
      <x:c r="N367" s="627" t="n">
        <x:v>12742.17</x:v>
      </x:c>
      <x:c r="O367" s="627" t="n">
        <x:v>64291.65</x:v>
      </x:c>
      <x:c r="P367" s="627" t="n">
        <x:v>57619.46</x:v>
      </x:c>
      <x:c r="Q367" s="627" t="n">
        <x:v>1619.55</x:v>
      </x:c>
      <x:c r="R367" s="627" t="n">
        <x:v>0.89</x:v>
      </x:c>
      <x:c r="S367" s="627">
        <x:v>0</x:v>
      </x:c>
      <x:c r="T367" s="653" t="n">
        <x:v>0</x:v>
      </x:c>
      <x:c r="U367" s="653">
        <x:v>0</x:v>
      </x:c>
      <x:c r="V367" s="653">
        <x:v>0</x:v>
      </x:c>
      <x:c r="W367" s="653">
        <x:v>0</x:v>
      </x:c>
      <x:c r="X367" s="653">
        <x:v>0</x:v>
      </x:c>
      <x:c r="Y367" s="627">
        <x:v>0</x:v>
      </x:c>
      <x:c r="Z367" s="653" t="n">
        <x:v>0</x:v>
      </x:c>
      <x:c r="BN367" s="624"/>
    </x:row>
    <x:row r="368" spans="1:66" x14ac:dyDescent="0.25">
      <x:c r="A368"/>
      <x:c r="B368"/>
      <x:c r="C368" t="inlineStr">
        <x:is>
          <x:t>OCCIDENTE</x:t>
        </x:is>
      </x:c>
      <x:c r="D368" s="25" t="inlineStr">
        <x:is>
          <x:t>Total</x:t>
        </x:is>
      </x:c>
      <x:c r="E368" s="625"/>
      <x:c r="F368" s="627" t="n">
        <x:v>1713298.93</x:v>
      </x:c>
      <x:c r="G368" s="627" t="n">
        <x:v>76737.42</x:v>
      </x:c>
      <x:c r="H368" s="627" t="n">
        <x:v>43742.31</x:v>
      </x:c>
      <x:c r="I368" s="627" t="n">
        <x:v>23640.67</x:v>
      </x:c>
      <x:c r="J368" s="627" t="n">
        <x:v>279525.85</x:v>
      </x:c>
      <x:c r="K368" s="627" t="n">
        <x:v>9440.52</x:v>
      </x:c>
      <x:c r="L368" s="627" t="n">
        <x:v>0</x:v>
      </x:c>
      <x:c r="M368" s="627" t="n">
        <x:v>66184.91</x:v>
      </x:c>
      <x:c r="N368" s="627" t="n">
        <x:v>71728.43</x:v>
      </x:c>
      <x:c r="O368" s="627" t="n">
        <x:v>924480.27</x:v>
      </x:c>
      <x:c r="P368" s="627" t="n">
        <x:v>202409.25</x:v>
      </x:c>
      <x:c r="Q368" s="627" t="n">
        <x:v>15402.95</x:v>
      </x:c>
      <x:c r="R368" s="627" t="n">
        <x:v>6.35</x:v>
      </x:c>
      <x:c r="S368" s="627">
        <x:v>0</x:v>
      </x:c>
      <x:c r="T368" s="653" t="n">
        <x:v>0</x:v>
      </x:c>
      <x:c r="U368" s="653">
        <x:v>0</x:v>
      </x:c>
      <x:c r="V368" s="653">
        <x:v>0</x:v>
      </x:c>
      <x:c r="W368" s="653">
        <x:v>0</x:v>
      </x:c>
      <x:c r="X368" s="653">
        <x:v>0</x:v>
      </x:c>
      <x:c r="Y368" s="627">
        <x:v>0</x:v>
      </x:c>
      <x:c r="Z368" s="653" t="n">
        <x:v>0</x:v>
      </x:c>
      <x:c r="BN368" s="624"/>
    </x:row>
    <x:row r="369" spans="1:66" x14ac:dyDescent="0.25">
      <x:c r="A369" s="631"/>
      <x:c r="B369" s="631" t="inlineStr">
        <x:is>
          <x:t>Aplicacion nuevos x reversion</x:t>
        </x:is>
      </x:c>
      <x:c r="C369" s="632" t="inlineStr">
        <x:is>
          <x:t>Total</x:t>
        </x:is>
      </x:c>
      <x:c r="D369" s="632"/>
      <x:c r="E369" s="631"/>
      <x:c r="F369" s="633" t="n">
        <x:v>5289697.87</x:v>
      </x:c>
      <x:c r="G369" s="633" t="n">
        <x:v>265698.21</x:v>
      </x:c>
      <x:c r="H369" s="633" t="n">
        <x:v>146273.84</x:v>
      </x:c>
      <x:c r="I369" s="633" t="n">
        <x:v>78115.94</x:v>
      </x:c>
      <x:c r="J369" s="633" t="n">
        <x:v>998599.42</x:v>
      </x:c>
      <x:c r="K369" s="633" t="n">
        <x:v>35953.06</x:v>
      </x:c>
      <x:c r="L369" s="633" t="n">
        <x:v>0</x:v>
      </x:c>
      <x:c r="M369" s="633" t="n">
        <x:v>298752.57</x:v>
      </x:c>
      <x:c r="N369" s="633" t="n">
        <x:v>307661.96</x:v>
      </x:c>
      <x:c r="O369" s="633" t="n">
        <x:v>2386148.18</x:v>
      </x:c>
      <x:c r="P369" s="633" t="n">
        <x:v>712936.36</x:v>
      </x:c>
      <x:c r="Q369" s="633" t="n">
        <x:v>59549.52</x:v>
      </x:c>
      <x:c r="R369" s="633" t="n">
        <x:v>8.81</x:v>
      </x:c>
      <x:c r="S369" s="633">
        <x:v>0</x:v>
      </x:c>
      <x:c r="T369" s="633" t="n">
        <x:v>0</x:v>
      </x:c>
      <x:c r="U369" s="633">
        <x:v>0</x:v>
      </x:c>
      <x:c r="V369" s="633">
        <x:v>0</x:v>
      </x:c>
      <x:c r="W369" s="633">
        <x:v>0</x:v>
      </x:c>
      <x:c r="X369" s="633">
        <x:v>0</x:v>
      </x:c>
      <x:c r="Y369" s="633">
        <x:v>0</x:v>
      </x:c>
      <x:c r="Z369" s="633" t="n">
        <x:v>0</x:v>
      </x:c>
      <x:c r="AA369" s="631"/>
      <x:c r="AB369" s="631"/>
      <x:c r="AC369" s="631"/>
      <x:c r="AD369" s="631"/>
      <x:c r="AE369" s="631"/>
      <x:c r="AF369" s="631"/>
      <x:c r="AG369" s="631"/>
      <x:c r="AH369" s="631"/>
      <x:c r="AI369" s="631"/>
      <x:c r="AJ369" s="631"/>
      <x:c r="AK369" s="631"/>
      <x:c r="AL369" s="631"/>
      <x:c r="AM369" s="631"/>
      <x:c r="AN369" s="631"/>
      <x:c r="AO369" s="631"/>
      <x:c r="AP369" s="631"/>
      <x:c r="AQ369" s="631"/>
      <x:c r="AR369" s="631"/>
      <x:c r="AS369" s="631"/>
      <x:c r="AT369" s="631"/>
      <x:c r="AU369" s="631"/>
      <x:c r="AV369" s="631"/>
      <x:c r="AW369" s="631"/>
      <x:c r="AX369" s="631"/>
      <x:c r="AY369" s="631"/>
      <x:c r="AZ369" s="631"/>
      <x:c r="BA369" s="631"/>
      <x:c r="BB369" s="631"/>
      <x:c r="BC369" s="631"/>
      <x:c r="BD369" s="631"/>
      <x:c r="BE369" s="631"/>
      <x:c r="BF369" s="631"/>
      <x:c r="BG369" s="631"/>
      <x:c r="BH369" s="631"/>
      <x:c r="BI369" s="631"/>
      <x:c r="BJ369" s="631"/>
      <x:c r="BK369" s="631"/>
      <x:c r="BL369" s="631"/>
      <x:c r="BM369" s="631"/>
      <x:c r="BN369" s="624"/>
    </x:row>
    <x:row r="370" spans="1:66" x14ac:dyDescent="0.25">
      <x:c r="A370" s="635"/>
      <x:c r="B370" s="635"/>
      <x:c r="C370" s="635"/>
      <x:c r="D370" s="635"/>
      <x:c r="E370" s="636" t="inlineStr">
        <x:is>
          <x:t>Vlr Servicio</x:t>
        </x:is>
      </x:c>
      <x:c r="F370" s="637" t="n">
        <x:v>10888756399.1</x:v>
      </x:c>
      <x:c r="G370" s="637" t="n">
        <x:v>617579068.39</x:v>
      </x:c>
      <x:c r="H370" s="637" t="n">
        <x:v>347051325.96</x:v>
      </x:c>
      <x:c r="I370" s="637" t="n">
        <x:v>182711801.64</x:v>
      </x:c>
      <x:c r="J370" s="637" t="n">
        <x:v>2314992542.92</x:v>
      </x:c>
      <x:c r="K370" s="637" t="n">
        <x:v>89446295.48</x:v>
      </x:c>
      <x:c r="L370" s="637" t="n">
        <x:v>21937488.75</x:v>
      </x:c>
      <x:c r="M370" s="637" t="n">
        <x:v>783908137.03</x:v>
      </x:c>
      <x:c r="N370" s="637" t="n">
        <x:v>772609342.19</x:v>
      </x:c>
      <x:c r="O370" s="637" t="n">
        <x:v>3977972725.22</x:v>
      </x:c>
      <x:c r="P370" s="637" t="n">
        <x:v>1634273422.7</x:v>
      </x:c>
      <x:c r="Q370" s="637" t="n">
        <x:v>146439143.73</x:v>
      </x:c>
      <x:c r="R370" s="637" t="n">
        <x:v>-164894.91</x:v>
      </x:c>
      <x:c r="S370" s="637">
        <x:v>0</x:v>
      </x:c>
      <x:c r="T370" s="637" t="n">
        <x:v>0</x:v>
      </x:c>
      <x:c r="U370" s="637">
        <x:v>0</x:v>
      </x:c>
      <x:c r="V370" s="637">
        <x:v>0</x:v>
      </x:c>
      <x:c r="W370" s="637">
        <x:v>0</x:v>
      </x:c>
      <x:c r="X370" s="637">
        <x:v>0</x:v>
      </x:c>
      <x:c r="Y370" s="637">
        <x:v>0</x:v>
      </x:c>
      <x:c r="Z370" s="637" t="n">
        <x:v>0</x:v>
      </x:c>
      <x:c r="AA370" s="635"/>
      <x:c r="AB370" s="635"/>
      <x:c r="AC370" s="635"/>
      <x:c r="AD370" s="635"/>
      <x:c r="AE370" s="635"/>
      <x:c r="AF370" s="635"/>
      <x:c r="AG370" s="635"/>
      <x:c r="AH370" s="635"/>
      <x:c r="AI370" s="635"/>
      <x:c r="AJ370" s="635"/>
      <x:c r="AK370" s="635"/>
      <x:c r="AL370" s="635"/>
      <x:c r="AM370" s="635"/>
      <x:c r="AN370" s="635"/>
      <x:c r="AO370" s="635"/>
      <x:c r="AP370" s="635"/>
      <x:c r="AQ370" s="635"/>
      <x:c r="AR370" s="635"/>
      <x:c r="AS370" s="635"/>
      <x:c r="AT370" s="635"/>
      <x:c r="AU370" s="635"/>
      <x:c r="AV370" s="635"/>
      <x:c r="AW370" s="635"/>
      <x:c r="AX370" s="635"/>
      <x:c r="AY370" s="635"/>
      <x:c r="AZ370" s="635"/>
      <x:c r="BA370" s="635"/>
      <x:c r="BB370" s="635"/>
      <x:c r="BC370" s="635"/>
      <x:c r="BD370" s="635"/>
      <x:c r="BE370" s="635"/>
      <x:c r="BF370" s="635"/>
      <x:c r="BG370" s="635"/>
      <x:c r="BH370" s="635"/>
      <x:c r="BI370" s="635"/>
      <x:c r="BJ370" s="635"/>
      <x:c r="BK370" s="635"/>
      <x:c r="BL370" s="635"/>
      <x:c r="BM370" s="635"/>
      <x:c r="BN370" s="624"/>
    </x:row>
    <x:row r="371" spans="1:66" x14ac:dyDescent="0.25">
      <x:c r="A371"/>
      <x:c r="B371"/>
      <x:c r="C371"/>
      <x:c r="D371"/>
      <x:c r="E371" s="625" t="inlineStr">
        <x:is>
          <x:t>Vlr Intereses</x:t>
        </x:is>
      </x:c>
      <x:c r="F371" s="627" t="n">
        <x:v>40892315.74</x:v>
      </x:c>
      <x:c r="G371" s="627" t="n">
        <x:v>4929958.76</x:v>
      </x:c>
      <x:c r="H371" s="627" t="n">
        <x:v>2249012.37</x:v>
      </x:c>
      <x:c r="I371" s="627" t="n">
        <x:v>899216.11</x:v>
      </x:c>
      <x:c r="J371" s="627" t="n">
        <x:v>6219405.1</x:v>
      </x:c>
      <x:c r="K371" s="627" t="n">
        <x:v>236699.91</x:v>
      </x:c>
      <x:c r="L371" s="627" t="n">
        <x:v>4857.93</x:v>
      </x:c>
      <x:c r="M371" s="627" t="n">
        <x:v>2075278.81</x:v>
      </x:c>
      <x:c r="N371" s="627" t="n">
        <x:v>2533839.69</x:v>
      </x:c>
      <x:c r="O371" s="627" t="n">
        <x:v>8563005.75</x:v>
      </x:c>
      <x:c r="P371" s="627" t="n">
        <x:v>12797481.7</x:v>
      </x:c>
      <x:c r="Q371" s="627" t="n">
        <x:v>379454.24</x:v>
      </x:c>
      <x:c r="R371" s="627" t="n">
        <x:v>4155.86</x:v>
      </x:c>
      <x:c r="S371" s="627">
        <x:v>0</x:v>
      </x:c>
      <x:c r="T371" s="653" t="n">
        <x:v>35.66</x:v>
      </x:c>
      <x:c r="U371" s="653">
        <x:v>0</x:v>
      </x:c>
      <x:c r="V371" s="653">
        <x:v>0</x:v>
      </x:c>
      <x:c r="W371" s="653">
        <x:v>0</x:v>
      </x:c>
      <x:c r="X371" s="653">
        <x:v>0</x:v>
      </x:c>
      <x:c r="Y371" s="627">
        <x:v>0</x:v>
      </x:c>
      <x:c r="Z371" s="653" t="n">
        <x:v>-86.15</x:v>
      </x:c>
      <x:c r="BN371" s="624"/>
    </x:row>
    <x:row r="372" spans="1:66" x14ac:dyDescent="0.25">
      <x:c r="A372"/>
      <x:c r="B372"/>
      <x:c r="C372"/>
      <x:c r="D372" t="inlineStr">
        <x:is>
          <x:t>E</x:t>
        </x:is>
      </x:c>
      <x:c r="E372" s="625" t="inlineStr">
        <x:is>
          <x:t>Total</x:t>
        </x:is>
      </x:c>
      <x:c r="F372" s="627" t="n">
        <x:v>10929648714.84</x:v>
      </x:c>
      <x:c r="G372" s="627" t="n">
        <x:v>622509027.15</x:v>
      </x:c>
      <x:c r="H372" s="627" t="n">
        <x:v>349300338.33</x:v>
      </x:c>
      <x:c r="I372" s="627" t="n">
        <x:v>183611017.75</x:v>
      </x:c>
      <x:c r="J372" s="627" t="n">
        <x:v>2321211948.02</x:v>
      </x:c>
      <x:c r="K372" s="627" t="n">
        <x:v>89682995.39</x:v>
      </x:c>
      <x:c r="L372" s="627" t="n">
        <x:v>21942346.68</x:v>
      </x:c>
      <x:c r="M372" s="627" t="n">
        <x:v>785983415.84</x:v>
      </x:c>
      <x:c r="N372" s="627" t="n">
        <x:v>775143181.88</x:v>
      </x:c>
      <x:c r="O372" s="627" t="n">
        <x:v>3986535730.97</x:v>
      </x:c>
      <x:c r="P372" s="627" t="n">
        <x:v>1647070904.4</x:v>
      </x:c>
      <x:c r="Q372" s="627" t="n">
        <x:v>146818597.97</x:v>
      </x:c>
      <x:c r="R372" s="627" t="n">
        <x:v>-160739.05</x:v>
      </x:c>
      <x:c r="S372" s="627">
        <x:v>0</x:v>
      </x:c>
      <x:c r="T372" s="653" t="n">
        <x:v>35.66</x:v>
      </x:c>
      <x:c r="U372" s="653">
        <x:v>0</x:v>
      </x:c>
      <x:c r="V372" s="653">
        <x:v>0</x:v>
      </x:c>
      <x:c r="W372" s="653">
        <x:v>0</x:v>
      </x:c>
      <x:c r="X372" s="653">
        <x:v>0</x:v>
      </x:c>
      <x:c r="Y372" s="627">
        <x:v>0</x:v>
      </x:c>
      <x:c r="Z372" s="653" t="n">
        <x:v>-86.15</x:v>
      </x:c>
      <x:c r="BN372" s="624"/>
    </x:row>
    <x:row r="373" spans="1:66" x14ac:dyDescent="0.25">
      <x:c r="A373"/>
      <x:c r="B373"/>
      <x:c r="C373" t="inlineStr">
        <x:is>
          <x:t>ENEL</x:t>
        </x:is>
      </x:c>
      <x:c r="D373" s="25" t="inlineStr">
        <x:is>
          <x:t>Total</x:t>
        </x:is>
      </x:c>
      <x:c r="E373" s="625"/>
      <x:c r="F373" s="627" t="n">
        <x:v>10929648714.84</x:v>
      </x:c>
      <x:c r="G373" s="627" t="n">
        <x:v>622509027.15</x:v>
      </x:c>
      <x:c r="H373" s="627" t="n">
        <x:v>349300338.33</x:v>
      </x:c>
      <x:c r="I373" s="627" t="n">
        <x:v>183611017.75</x:v>
      </x:c>
      <x:c r="J373" s="627" t="n">
        <x:v>2321211948.02</x:v>
      </x:c>
      <x:c r="K373" s="627" t="n">
        <x:v>89682995.39</x:v>
      </x:c>
      <x:c r="L373" s="627" t="n">
        <x:v>21942346.68</x:v>
      </x:c>
      <x:c r="M373" s="627" t="n">
        <x:v>785983415.84</x:v>
      </x:c>
      <x:c r="N373" s="627" t="n">
        <x:v>775143181.88</x:v>
      </x:c>
      <x:c r="O373" s="627" t="n">
        <x:v>3986535730.97</x:v>
      </x:c>
      <x:c r="P373" s="627" t="n">
        <x:v>1647070904.4</x:v>
      </x:c>
      <x:c r="Q373" s="627" t="n">
        <x:v>146818597.97</x:v>
      </x:c>
      <x:c r="R373" s="627" t="n">
        <x:v>-160739.05</x:v>
      </x:c>
      <x:c r="S373" s="627">
        <x:v>0</x:v>
      </x:c>
      <x:c r="T373" s="653" t="n">
        <x:v>35.66</x:v>
      </x:c>
      <x:c r="U373" s="653">
        <x:v>0</x:v>
      </x:c>
      <x:c r="V373" s="653">
        <x:v>0</x:v>
      </x:c>
      <x:c r="W373" s="653">
        <x:v>0</x:v>
      </x:c>
      <x:c r="X373" s="653">
        <x:v>0</x:v>
      </x:c>
      <x:c r="Y373" s="627">
        <x:v>0</x:v>
      </x:c>
      <x:c r="Z373" s="653" t="n">
        <x:v>-86.15</x:v>
      </x:c>
      <x:c r="BN373" s="624"/>
    </x:row>
    <x:row r="374" spans="1:66" x14ac:dyDescent="0.25">
      <x:c r="A374" s="628"/>
      <x:c r="B374" s="628"/>
      <x:c r="C374" s="628"/>
      <x:c r="D374" s="628"/>
      <x:c r="E374" s="629" t="inlineStr">
        <x:is>
          <x:t>Vlr Servicio</x:t>
        </x:is>
      </x:c>
      <x:c r="F374" s="630" t="n">
        <x:v>2584328.36</x:v>
      </x:c>
      <x:c r="G374" s="630" t="n">
        <x:v>268545.82</x:v>
      </x:c>
      <x:c r="H374" s="630" t="n">
        <x:v>126216.96</x:v>
      </x:c>
      <x:c r="I374" s="630" t="n">
        <x:v>63117.66</x:v>
      </x:c>
      <x:c r="J374" s="630" t="n">
        <x:v>437837.92</x:v>
      </x:c>
      <x:c r="K374" s="630" t="n">
        <x:v>14493.13</x:v>
      </x:c>
      <x:c r="L374" s="630" t="n">
        <x:v>0</x:v>
      </x:c>
      <x:c r="M374" s="630" t="n">
        <x:v>127234.24</x:v>
      </x:c>
      <x:c r="N374" s="630" t="n">
        <x:v>153679.13</x:v>
      </x:c>
      <x:c r="O374" s="630" t="n">
        <x:v>657620.76</x:v>
      </x:c>
      <x:c r="P374" s="630" t="n">
        <x:v>711922.73</x:v>
      </x:c>
      <x:c r="Q374" s="630" t="n">
        <x:v>23677.22</x:v>
      </x:c>
      <x:c r="R374" s="630" t="n">
        <x:v>-17.21</x:v>
      </x:c>
      <x:c r="S374" s="630">
        <x:v>0</x:v>
      </x:c>
      <x:c r="T374" s="630" t="n">
        <x:v>0</x:v>
      </x:c>
      <x:c r="U374" s="630">
        <x:v>0</x:v>
      </x:c>
      <x:c r="V374" s="630">
        <x:v>0</x:v>
      </x:c>
      <x:c r="W374" s="630">
        <x:v>0</x:v>
      </x:c>
      <x:c r="X374" s="630">
        <x:v>0</x:v>
      </x:c>
      <x:c r="Y374" s="630">
        <x:v>0</x:v>
      </x:c>
      <x:c r="Z374" s="630" t="n">
        <x:v>0</x:v>
      </x:c>
      <x:c r="AA374" s="628"/>
      <x:c r="AB374" s="628"/>
      <x:c r="AC374" s="628"/>
      <x:c r="AD374" s="628"/>
      <x:c r="AE374" s="628"/>
      <x:c r="AF374" s="628"/>
      <x:c r="AG374" s="628"/>
      <x:c r="AH374" s="628"/>
      <x:c r="AI374" s="628"/>
      <x:c r="AJ374" s="628"/>
      <x:c r="AK374" s="628"/>
      <x:c r="AL374" s="628"/>
      <x:c r="AM374" s="628"/>
      <x:c r="AN374" s="628"/>
      <x:c r="AO374" s="628"/>
      <x:c r="AP374" s="628"/>
      <x:c r="AQ374" s="628"/>
      <x:c r="AR374" s="628"/>
      <x:c r="AS374" s="628"/>
      <x:c r="AT374" s="628"/>
      <x:c r="AU374" s="628"/>
      <x:c r="AV374" s="628"/>
      <x:c r="AW374" s="628"/>
      <x:c r="AX374" s="628"/>
      <x:c r="AY374" s="628"/>
      <x:c r="AZ374" s="628"/>
      <x:c r="BA374" s="628"/>
      <x:c r="BB374" s="628"/>
      <x:c r="BC374" s="628"/>
      <x:c r="BD374" s="628"/>
      <x:c r="BE374" s="628"/>
      <x:c r="BF374" s="628"/>
      <x:c r="BG374" s="628"/>
      <x:c r="BH374" s="628"/>
      <x:c r="BI374" s="628"/>
      <x:c r="BJ374" s="628"/>
      <x:c r="BK374" s="628"/>
      <x:c r="BL374" s="628"/>
      <x:c r="BM374" s="628"/>
      <x:c r="BN374" s="624"/>
    </x:row>
    <x:row r="375" spans="1:66" x14ac:dyDescent="0.25">
      <x:c r="A375"/>
      <x:c r="B375"/>
      <x:c r="C375"/>
      <x:c r="D375" s="625"/>
      <x:c r="E375" s="625" t="inlineStr">
        <x:is>
          <x:t>Vlr Intereses</x:t>
        </x:is>
      </x:c>
      <x:c r="F375" s="627" t="n">
        <x:v>542626.53</x:v>
      </x:c>
      <x:c r="G375" s="627" t="n">
        <x:v>69285.92</x:v>
      </x:c>
      <x:c r="H375" s="627" t="n">
        <x:v>33940.9</x:v>
      </x:c>
      <x:c r="I375" s="627" t="n">
        <x:v>15028.62</x:v>
      </x:c>
      <x:c r="J375" s="627" t="n">
        <x:v>75266.42</x:v>
      </x:c>
      <x:c r="K375" s="627" t="n">
        <x:v>2691.75</x:v>
      </x:c>
      <x:c r="L375" s="627" t="n">
        <x:v>0</x:v>
      </x:c>
      <x:c r="M375" s="627" t="n">
        <x:v>23614.63</x:v>
      </x:c>
      <x:c r="N375" s="627" t="n">
        <x:v>30658.34</x:v>
      </x:c>
      <x:c r="O375" s="627" t="n">
        <x:v>104423.01</x:v>
      </x:c>
      <x:c r="P375" s="627" t="n">
        <x:v>183324.12</x:v>
      </x:c>
      <x:c r="Q375" s="627" t="n">
        <x:v>4392.77</x:v>
      </x:c>
      <x:c r="R375" s="627" t="n">
        <x:v>0.05</x:v>
      </x:c>
      <x:c r="S375" s="627">
        <x:v>0</x:v>
      </x:c>
      <x:c r="T375" s="653" t="n">
        <x:v>0</x:v>
      </x:c>
      <x:c r="U375" s="653">
        <x:v>0</x:v>
      </x:c>
      <x:c r="V375" s="653">
        <x:v>0</x:v>
      </x:c>
      <x:c r="W375" s="653">
        <x:v>0</x:v>
      </x:c>
      <x:c r="X375" s="653">
        <x:v>0</x:v>
      </x:c>
      <x:c r="Y375" s="627">
        <x:v>0</x:v>
      </x:c>
      <x:c r="Z375" s="653" t="n">
        <x:v>0</x:v>
      </x:c>
      <x:c r="BN375" s="624"/>
    </x:row>
    <x:row r="376" spans="1:66" x14ac:dyDescent="0.25">
      <x:c r="A376"/>
      <x:c r="B376"/>
      <x:c r="C376"/>
      <x:c r="D376" s="625" t="inlineStr">
        <x:is>
          <x:t>1</x:t>
        </x:is>
      </x:c>
      <x:c r="E376" s="625" t="inlineStr">
        <x:is>
          <x:t>Total</x:t>
        </x:is>
      </x:c>
      <x:c r="F376" s="627" t="n">
        <x:v>3126954.89</x:v>
      </x:c>
      <x:c r="G376" s="627" t="n">
        <x:v>337831.74</x:v>
      </x:c>
      <x:c r="H376" s="627" t="n">
        <x:v>160157.86</x:v>
      </x:c>
      <x:c r="I376" s="627" t="n">
        <x:v>78146.28</x:v>
      </x:c>
      <x:c r="J376" s="627" t="n">
        <x:v>513104.34</x:v>
      </x:c>
      <x:c r="K376" s="627" t="n">
        <x:v>17184.88</x:v>
      </x:c>
      <x:c r="L376" s="627" t="n">
        <x:v>0</x:v>
      </x:c>
      <x:c r="M376" s="627" t="n">
        <x:v>150848.87</x:v>
      </x:c>
      <x:c r="N376" s="627" t="n">
        <x:v>184337.47</x:v>
      </x:c>
      <x:c r="O376" s="627" t="n">
        <x:v>762043.77</x:v>
      </x:c>
      <x:c r="P376" s="627" t="n">
        <x:v>895246.85</x:v>
      </x:c>
      <x:c r="Q376" s="627" t="n">
        <x:v>28069.99</x:v>
      </x:c>
      <x:c r="R376" s="627" t="n">
        <x:v>-17.16</x:v>
      </x:c>
      <x:c r="S376" s="627">
        <x:v>0</x:v>
      </x:c>
      <x:c r="T376" s="653" t="n">
        <x:v>0</x:v>
      </x:c>
      <x:c r="U376" s="653">
        <x:v>0</x:v>
      </x:c>
      <x:c r="V376" s="653">
        <x:v>0</x:v>
      </x:c>
      <x:c r="W376" s="653">
        <x:v>0</x:v>
      </x:c>
      <x:c r="X376" s="653">
        <x:v>0</x:v>
      </x:c>
      <x:c r="Y376" s="627">
        <x:v>0</x:v>
      </x:c>
      <x:c r="Z376" s="653" t="n">
        <x:v>0</x:v>
      </x:c>
      <x:c r="BN376" s="624"/>
    </x:row>
    <x:row r="377" spans="1:66" x14ac:dyDescent="0.25">
      <x:c r="A377"/>
      <x:c r="B377"/>
      <x:c r="C377"/>
      <x:c r="D377" s="625"/>
      <x:c r="E377" s="625" t="inlineStr">
        <x:is>
          <x:t>Vlr Servicio</x:t>
        </x:is>
      </x:c>
      <x:c r="F377" s="627" t="n">
        <x:v>3365746.04</x:v>
      </x:c>
      <x:c r="G377" s="627" t="n">
        <x:v>218946.04</x:v>
      </x:c>
      <x:c r="H377" s="627" t="n">
        <x:v>119556.1</x:v>
      </x:c>
      <x:c r="I377" s="627" t="n">
        <x:v>61285.4</x:v>
      </x:c>
      <x:c r="J377" s="627" t="n">
        <x:v>727971.61</x:v>
      </x:c>
      <x:c r="K377" s="627" t="n">
        <x:v>26153.88</x:v>
      </x:c>
      <x:c r="L377" s="627" t="n">
        <x:v>0</x:v>
      </x:c>
      <x:c r="M377" s="627" t="n">
        <x:v>228331.78</x:v>
      </x:c>
      <x:c r="N377" s="627" t="n">
        <x:v>237916.39</x:v>
      </x:c>
      <x:c r="O377" s="627" t="n">
        <x:v>1131435.35</x:v>
      </x:c>
      <x:c r="P377" s="627" t="n">
        <x:v>571529.99</x:v>
      </x:c>
      <x:c r="Q377" s="627" t="n">
        <x:v>42687.07</x:v>
      </x:c>
      <x:c r="R377" s="627" t="n">
        <x:v>-67.57</x:v>
      </x:c>
      <x:c r="S377" s="627">
        <x:v>0</x:v>
      </x:c>
      <x:c r="T377" s="653" t="n">
        <x:v>0</x:v>
      </x:c>
      <x:c r="U377" s="653">
        <x:v>0</x:v>
      </x:c>
      <x:c r="V377" s="653">
        <x:v>0</x:v>
      </x:c>
      <x:c r="W377" s="653">
        <x:v>0</x:v>
      </x:c>
      <x:c r="X377" s="653">
        <x:v>0</x:v>
      </x:c>
      <x:c r="Y377" s="627">
        <x:v>0</x:v>
      </x:c>
      <x:c r="Z377" s="653" t="n">
        <x:v>0</x:v>
      </x:c>
      <x:c r="BN377" s="624"/>
    </x:row>
    <x:row r="378" spans="1:66" x14ac:dyDescent="0.25">
      <x:c r="A378"/>
      <x:c r="B378"/>
      <x:c r="C378"/>
      <x:c r="D378" s="625"/>
      <x:c r="E378" s="625" t="inlineStr">
        <x:is>
          <x:t>Vlr Intereses</x:t>
        </x:is>
      </x:c>
      <x:c r="F378" s="627" t="n">
        <x:v>106211.98</x:v>
      </x:c>
      <x:c r="G378" s="627" t="n">
        <x:v>7654.59</x:v>
      </x:c>
      <x:c r="H378" s="627" t="n">
        <x:v>3786.15</x:v>
      </x:c>
      <x:c r="I378" s="627" t="n">
        <x:v>1649.9</x:v>
      </x:c>
      <x:c r="J378" s="627" t="n">
        <x:v>24114.48</x:v>
      </x:c>
      <x:c r="K378" s="627" t="n">
        <x:v>824.75</x:v>
      </x:c>
      <x:c r="L378" s="627" t="n">
        <x:v>0</x:v>
      </x:c>
      <x:c r="M378" s="627" t="n">
        <x:v>7238.4</x:v>
      </x:c>
      <x:c r="N378" s="627" t="n">
        <x:v>9200.16</x:v>
      </x:c>
      <x:c r="O378" s="627" t="n">
        <x:v>30923.31</x:v>
      </x:c>
      <x:c r="P378" s="627" t="n">
        <x:v>19473.67</x:v>
      </x:c>
      <x:c r="Q378" s="627" t="n">
        <x:v>1346.25</x:v>
      </x:c>
      <x:c r="R378" s="627" t="n">
        <x:v>0.32</x:v>
      </x:c>
      <x:c r="S378" s="627">
        <x:v>0</x:v>
      </x:c>
      <x:c r="T378" s="653" t="n">
        <x:v>0</x:v>
      </x:c>
      <x:c r="U378" s="653">
        <x:v>0</x:v>
      </x:c>
      <x:c r="V378" s="653">
        <x:v>0</x:v>
      </x:c>
      <x:c r="W378" s="653">
        <x:v>0</x:v>
      </x:c>
      <x:c r="X378" s="653">
        <x:v>0</x:v>
      </x:c>
      <x:c r="Y378" s="627">
        <x:v>0</x:v>
      </x:c>
      <x:c r="Z378" s="653" t="n">
        <x:v>0</x:v>
      </x:c>
      <x:c r="BN378" s="624"/>
    </x:row>
    <x:row r="379" spans="1:66" x14ac:dyDescent="0.25">
      <x:c r="A379"/>
      <x:c r="B379"/>
      <x:c r="C379"/>
      <x:c r="D379" s="625" t="inlineStr">
        <x:is>
          <x:t>5</x:t>
        </x:is>
      </x:c>
      <x:c r="E379" s="625" t="inlineStr">
        <x:is>
          <x:t>Total</x:t>
        </x:is>
      </x:c>
      <x:c r="F379" s="627" t="n">
        <x:v>3471958.02</x:v>
      </x:c>
      <x:c r="G379" s="627" t="n">
        <x:v>226600.63</x:v>
      </x:c>
      <x:c r="H379" s="627" t="n">
        <x:v>123342.25</x:v>
      </x:c>
      <x:c r="I379" s="627" t="n">
        <x:v>62935.3</x:v>
      </x:c>
      <x:c r="J379" s="627" t="n">
        <x:v>752086.09</x:v>
      </x:c>
      <x:c r="K379" s="627" t="n">
        <x:v>26978.63</x:v>
      </x:c>
      <x:c r="L379" s="627" t="n">
        <x:v>0</x:v>
      </x:c>
      <x:c r="M379" s="627" t="n">
        <x:v>235570.18</x:v>
      </x:c>
      <x:c r="N379" s="627" t="n">
        <x:v>247116.55</x:v>
      </x:c>
      <x:c r="O379" s="627" t="n">
        <x:v>1162358.66</x:v>
      </x:c>
      <x:c r="P379" s="627" t="n">
        <x:v>591003.66</x:v>
      </x:c>
      <x:c r="Q379" s="627" t="n">
        <x:v>44033.32</x:v>
      </x:c>
      <x:c r="R379" s="627" t="n">
        <x:v>-67.25</x:v>
      </x:c>
      <x:c r="S379" s="627">
        <x:v>0</x:v>
      </x:c>
      <x:c r="T379" s="653" t="n">
        <x:v>0</x:v>
      </x:c>
      <x:c r="U379" s="653">
        <x:v>0</x:v>
      </x:c>
      <x:c r="V379" s="653">
        <x:v>0</x:v>
      </x:c>
      <x:c r="W379" s="653">
        <x:v>0</x:v>
      </x:c>
      <x:c r="X379" s="653">
        <x:v>0</x:v>
      </x:c>
      <x:c r="Y379" s="627">
        <x:v>0</x:v>
      </x:c>
      <x:c r="Z379" s="653" t="n">
        <x:v>0</x:v>
      </x:c>
      <x:c r="BN379" s="624"/>
    </x:row>
    <x:row r="380" spans="1:66" x14ac:dyDescent="0.25">
      <x:c r="A380"/>
      <x:c r="B380"/>
      <x:c r="C380" t="inlineStr">
        <x:is>
          <x:t>NUEVO ESQUEMA</x:t>
        </x:is>
      </x:c>
      <x:c r="D380" s="625" t="inlineStr">
        <x:is>
          <x:t>Total</x:t>
        </x:is>
      </x:c>
      <x:c r="E380" s="625"/>
      <x:c r="F380" s="627" t="n">
        <x:v>6598912.91</x:v>
      </x:c>
      <x:c r="G380" s="627" t="n">
        <x:v>564432.37</x:v>
      </x:c>
      <x:c r="H380" s="627" t="n">
        <x:v>283500.11</x:v>
      </x:c>
      <x:c r="I380" s="627" t="n">
        <x:v>141081.58</x:v>
      </x:c>
      <x:c r="J380" s="627" t="n">
        <x:v>1265190.43</x:v>
      </x:c>
      <x:c r="K380" s="627" t="n">
        <x:v>44163.51</x:v>
      </x:c>
      <x:c r="L380" s="627" t="n">
        <x:v>0</x:v>
      </x:c>
      <x:c r="M380" s="627" t="n">
        <x:v>386419.05</x:v>
      </x:c>
      <x:c r="N380" s="627" t="n">
        <x:v>431454.02</x:v>
      </x:c>
      <x:c r="O380" s="627" t="n">
        <x:v>1924402.43</x:v>
      </x:c>
      <x:c r="P380" s="627" t="n">
        <x:v>1486250.51</x:v>
      </x:c>
      <x:c r="Q380" s="627" t="n">
        <x:v>72103.31</x:v>
      </x:c>
      <x:c r="R380" s="627" t="n">
        <x:v>-84.41</x:v>
      </x:c>
      <x:c r="S380" s="627">
        <x:v>0</x:v>
      </x:c>
      <x:c r="T380" s="653" t="n">
        <x:v>0</x:v>
      </x:c>
      <x:c r="U380" s="653">
        <x:v>0</x:v>
      </x:c>
      <x:c r="V380" s="653">
        <x:v>0</x:v>
      </x:c>
      <x:c r="W380" s="653">
        <x:v>0</x:v>
      </x:c>
      <x:c r="X380" s="653">
        <x:v>0</x:v>
      </x:c>
      <x:c r="Y380" s="627">
        <x:v>0</x:v>
      </x:c>
      <x:c r="Z380" s="653" t="n">
        <x:v>0</x:v>
      </x:c>
      <x:c r="BN380" s="624"/>
    </x:row>
    <x:row r="381" spans="1:66" x14ac:dyDescent="0.25">
      <x:c r="A381"/>
      <x:c r="B381"/>
      <x:c r="C381" s="625"/>
      <x:c r="D381" s="625"/>
      <x:c r="E381" s="25" t="inlineStr">
        <x:is>
          <x:t>Vlr Servicio</x:t>
        </x:is>
      </x:c>
      <x:c r="F381" s="627" t="n">
        <x:v>25932169.9</x:v>
      </x:c>
      <x:c r="G381" s="627" t="n">
        <x:v>2104123.62</x:v>
      </x:c>
      <x:c r="H381" s="627" t="n">
        <x:v>1176844.01</x:v>
      </x:c>
      <x:c r="I381" s="627" t="n">
        <x:v>619878.31</x:v>
      </x:c>
      <x:c r="J381" s="627" t="n">
        <x:v>4738322.69</x:v>
      </x:c>
      <x:c r="K381" s="627" t="n">
        <x:v>147258.25</x:v>
      </x:c>
      <x:c r="L381" s="627" t="n">
        <x:v>0</x:v>
      </x:c>
      <x:c r="M381" s="627" t="n">
        <x:v>1285372.94</x:v>
      </x:c>
      <x:c r="N381" s="627" t="n">
        <x:v>1642141.64</x:v>
      </x:c>
      <x:c r="O381" s="627" t="n">
        <x:v>8381057.66</x:v>
      </x:c>
      <x:c r="P381" s="627" t="n">
        <x:v>5596736.79</x:v>
      </x:c>
      <x:c r="Q381" s="627" t="n">
        <x:v>240294.35</x:v>
      </x:c>
      <x:c r="R381" s="627" t="n">
        <x:v>139.64</x:v>
      </x:c>
      <x:c r="S381" s="627">
        <x:v>0</x:v>
      </x:c>
      <x:c r="T381" s="653" t="n">
        <x:v>0</x:v>
      </x:c>
      <x:c r="U381" s="653">
        <x:v>0</x:v>
      </x:c>
      <x:c r="V381" s="653">
        <x:v>0</x:v>
      </x:c>
      <x:c r="W381" s="653">
        <x:v>0</x:v>
      </x:c>
      <x:c r="X381" s="653">
        <x:v>0</x:v>
      </x:c>
      <x:c r="Y381" s="627">
        <x:v>0</x:v>
      </x:c>
      <x:c r="Z381" s="653" t="n">
        <x:v>0</x:v>
      </x:c>
      <x:c r="BN381" s="624"/>
    </x:row>
    <x:row r="382" spans="1:66" x14ac:dyDescent="0.25">
      <x:c r="A382"/>
      <x:c r="B382"/>
      <x:c r="C382"/>
      <x:c r="D382"/>
      <x:c r="E382" s="625" t="inlineStr">
        <x:is>
          <x:t>Vlr Intereses</x:t>
        </x:is>
      </x:c>
      <x:c r="F382" s="627" t="n">
        <x:v>13679.8</x:v>
      </x:c>
      <x:c r="G382" s="627" t="n">
        <x:v>802.29</x:v>
      </x:c>
      <x:c r="H382" s="627" t="n">
        <x:v>357.6</x:v>
      </x:c>
      <x:c r="I382" s="627" t="n">
        <x:v>194.46</x:v>
      </x:c>
      <x:c r="J382" s="627" t="n">
        <x:v>3372.97</x:v>
      </x:c>
      <x:c r="K382" s="627" t="n">
        <x:v>88.42</x:v>
      </x:c>
      <x:c r="L382" s="627" t="n">
        <x:v>0</x:v>
      </x:c>
      <x:c r="M382" s="627" t="n">
        <x:v>777.52</x:v>
      </x:c>
      <x:c r="N382" s="627" t="n">
        <x:v>968.7</x:v>
      </x:c>
      <x:c r="O382" s="627" t="n">
        <x:v>4825.85</x:v>
      </x:c>
      <x:c r="P382" s="627" t="n">
        <x:v>2147.65</x:v>
      </x:c>
      <x:c r="Q382" s="627" t="n">
        <x:v>144.8</x:v>
      </x:c>
      <x:c r="R382" s="627" t="n">
        <x:v>-0.46</x:v>
      </x:c>
      <x:c r="S382" s="627">
        <x:v>0</x:v>
      </x:c>
      <x:c r="T382" s="653" t="n">
        <x:v>0</x:v>
      </x:c>
      <x:c r="U382" s="653">
        <x:v>0</x:v>
      </x:c>
      <x:c r="V382" s="653">
        <x:v>0</x:v>
      </x:c>
      <x:c r="W382" s="653">
        <x:v>0</x:v>
      </x:c>
      <x:c r="X382" s="653">
        <x:v>0</x:v>
      </x:c>
      <x:c r="Y382" s="627">
        <x:v>0</x:v>
      </x:c>
      <x:c r="Z382" s="653" t="n">
        <x:v>0</x:v>
      </x:c>
      <x:c r="BN382" s="624"/>
    </x:row>
    <x:row r="383" spans="1:66" x14ac:dyDescent="0.25">
      <x:c r="A383"/>
      <x:c r="B383"/>
      <x:c r="C383"/>
      <x:c r="D383" s="25" t="inlineStr">
        <x:is>
          <x:t>H</x:t>
        </x:is>
      </x:c>
      <x:c r="E383" s="625" t="inlineStr">
        <x:is>
          <x:t>Total</x:t>
        </x:is>
      </x:c>
      <x:c r="F383" s="627" t="n">
        <x:v>25945849.7</x:v>
      </x:c>
      <x:c r="G383" s="627" t="n">
        <x:v>2104925.91</x:v>
      </x:c>
      <x:c r="H383" s="627" t="n">
        <x:v>1177201.61</x:v>
      </x:c>
      <x:c r="I383" s="627" t="n">
        <x:v>620072.77</x:v>
      </x:c>
      <x:c r="J383" s="627" t="n">
        <x:v>4741695.66</x:v>
      </x:c>
      <x:c r="K383" s="627" t="n">
        <x:v>147346.67</x:v>
      </x:c>
      <x:c r="L383" s="627" t="n">
        <x:v>0</x:v>
      </x:c>
      <x:c r="M383" s="627" t="n">
        <x:v>1286150.46</x:v>
      </x:c>
      <x:c r="N383" s="627" t="n">
        <x:v>1643110.34</x:v>
      </x:c>
      <x:c r="O383" s="627" t="n">
        <x:v>8385883.51</x:v>
      </x:c>
      <x:c r="P383" s="627" t="n">
        <x:v>5598884.44</x:v>
      </x:c>
      <x:c r="Q383" s="627" t="n">
        <x:v>240439.15</x:v>
      </x:c>
      <x:c r="R383" s="627" t="n">
        <x:v>139.18</x:v>
      </x:c>
      <x:c r="S383" s="627">
        <x:v>0</x:v>
      </x:c>
      <x:c r="T383" s="653" t="n">
        <x:v>0</x:v>
      </x:c>
      <x:c r="U383" s="653">
        <x:v>0</x:v>
      </x:c>
      <x:c r="V383" s="653">
        <x:v>0</x:v>
      </x:c>
      <x:c r="W383" s="653">
        <x:v>0</x:v>
      </x:c>
      <x:c r="X383" s="653">
        <x:v>0</x:v>
      </x:c>
      <x:c r="Y383" s="627">
        <x:v>0</x:v>
      </x:c>
      <x:c r="Z383" s="653" t="n">
        <x:v>0</x:v>
      </x:c>
      <x:c r="BN383" s="624"/>
    </x:row>
    <x:row r="384" spans="1:66" x14ac:dyDescent="0.25">
      <x:c r="A384" s="667"/>
      <x:c r="B384" s="667"/>
      <x:c r="C384" s="647"/>
      <x:c r="D384" s="647"/>
      <x:c r="E384" s="667" t="inlineStr">
        <x:is>
          <x:t>Vlr Servicio</x:t>
        </x:is>
      </x:c>
      <x:c r="F384" s="648" t="n">
        <x:v>109194542.64</x:v>
      </x:c>
      <x:c r="G384" s="648" t="n">
        <x:v>8705384.56</x:v>
      </x:c>
      <x:c r="H384" s="648" t="n">
        <x:v>4752929.56</x:v>
      </x:c>
      <x:c r="I384" s="648" t="n">
        <x:v>2431911.8</x:v>
      </x:c>
      <x:c r="J384" s="648" t="n">
        <x:v>16462887.3</x:v>
      </x:c>
      <x:c r="K384" s="648" t="n">
        <x:v>676435.79</x:v>
      </x:c>
      <x:c r="L384" s="648" t="n">
        <x:v>87811.82</x:v>
      </x:c>
      <x:c r="M384" s="648" t="n">
        <x:v>6019564.37</x:v>
      </x:c>
      <x:c r="N384" s="648" t="n">
        <x:v>6446301.72</x:v>
      </x:c>
      <x:c r="O384" s="648" t="n">
        <x:v>39598538.85</x:v>
      </x:c>
      <x:c r="P384" s="648" t="n">
        <x:v>22900403.15</x:v>
      </x:c>
      <x:c r="Q384" s="648" t="n">
        <x:v>1112914.63</x:v>
      </x:c>
      <x:c r="R384" s="648" t="n">
        <x:v>-540.91</x:v>
      </x:c>
      <x:c r="S384" s="648">
        <x:v>0</x:v>
      </x:c>
      <x:c r="T384" s="648" t="n">
        <x:v>0</x:v>
      </x:c>
      <x:c r="U384" s="648">
        <x:v>0</x:v>
      </x:c>
      <x:c r="V384" s="648">
        <x:v>0</x:v>
      </x:c>
      <x:c r="W384" s="648">
        <x:v>0</x:v>
      </x:c>
      <x:c r="X384" s="672">
        <x:v>0</x:v>
      </x:c>
      <x:c r="Y384" s="672">
        <x:v>0</x:v>
      </x:c>
      <x:c r="Z384" s="672" t="n">
        <x:v>0</x:v>
      </x:c>
      <x:c r="AA384" s="667"/>
      <x:c r="AB384" s="667"/>
      <x:c r="AC384" s="667"/>
      <x:c r="AD384" s="667"/>
      <x:c r="AE384" s="667"/>
      <x:c r="AF384" s="667"/>
      <x:c r="AG384" s="667"/>
      <x:c r="AH384" s="667"/>
      <x:c r="AI384" s="667"/>
      <x:c r="AJ384" s="667"/>
      <x:c r="AK384" s="667"/>
      <x:c r="AL384" s="667"/>
      <x:c r="AM384" s="667"/>
      <x:c r="AN384" s="667"/>
      <x:c r="AO384" s="667"/>
      <x:c r="AP384" s="667"/>
      <x:c r="AQ384" s="667"/>
      <x:c r="AR384" s="667"/>
      <x:c r="AS384" s="667"/>
      <x:c r="AT384" s="667"/>
      <x:c r="AU384" s="667"/>
      <x:c r="AV384" s="667"/>
      <x:c r="AW384" s="667"/>
      <x:c r="AX384" s="667"/>
      <x:c r="AY384" s="667"/>
      <x:c r="AZ384" s="667"/>
      <x:c r="BA384" s="667"/>
      <x:c r="BB384" s="667"/>
      <x:c r="BC384" s="667"/>
      <x:c r="BD384" s="667"/>
      <x:c r="BE384" s="667"/>
      <x:c r="BF384" s="667"/>
      <x:c r="BG384" s="667"/>
      <x:c r="BH384" s="667"/>
      <x:c r="BI384" s="667"/>
      <x:c r="BJ384" s="667"/>
      <x:c r="BK384" s="667"/>
      <x:c r="BL384" s="667"/>
      <x:c r="BM384" s="667"/>
      <x:c r="BN384" s="624"/>
    </x:row>
    <x:row r="385" spans="1:66" x14ac:dyDescent="0.25">
      <x:c r="A385"/>
      <x:c r="B385"/>
      <x:c r="C385"/>
      <x:c r="D385"/>
      <x:c r="E385" s="625" t="inlineStr">
        <x:is>
          <x:t>Vlr Intereses</x:t>
        </x:is>
      </x:c>
      <x:c r="F385" s="627" t="n">
        <x:v>36479631.69</x:v>
      </x:c>
      <x:c r="G385" s="627" t="n">
        <x:v>4006092.93</x:v>
      </x:c>
      <x:c r="H385" s="627" t="n">
        <x:v>1699523.19</x:v>
      </x:c>
      <x:c r="I385" s="627" t="n">
        <x:v>624846.76</x:v>
      </x:c>
      <x:c r="J385" s="627" t="n">
        <x:v>5995879.78</x:v>
      </x:c>
      <x:c r="K385" s="627" t="n">
        <x:v>242499.8</x:v>
      </x:c>
      <x:c r="L385" s="627" t="n">
        <x:v>8855.07</x:v>
      </x:c>
      <x:c r="M385" s="627" t="n">
        <x:v>2120367.97</x:v>
      </x:c>
      <x:c r="N385" s="627" t="n">
        <x:v>2453075.33</x:v>
      </x:c>
      <x:c r="O385" s="627" t="n">
        <x:v>8249131.99</x:v>
      </x:c>
      <x:c r="P385" s="627" t="n">
        <x:v>10683629.14</x:v>
      </x:c>
      <x:c r="Q385" s="627" t="n">
        <x:v>395673.64</x:v>
      </x:c>
      <x:c r="R385" s="627" t="n">
        <x:v>55.7</x:v>
      </x:c>
      <x:c r="S385" s="627">
        <x:v>0</x:v>
      </x:c>
      <x:c r="T385" s="653" t="n">
        <x:v>0.39</x:v>
      </x:c>
      <x:c r="U385" s="653">
        <x:v>0</x:v>
      </x:c>
      <x:c r="V385" s="653">
        <x:v>0</x:v>
      </x:c>
      <x:c r="W385" s="653">
        <x:v>0</x:v>
      </x:c>
      <x:c r="X385" s="653">
        <x:v>0</x:v>
      </x:c>
      <x:c r="Y385" s="627">
        <x:v>0</x:v>
      </x:c>
      <x:c r="Z385" s="653" t="n">
        <x:v>0</x:v>
      </x:c>
      <x:c r="BN385" s="624"/>
    </x:row>
    <x:row r="386" spans="1:66" x14ac:dyDescent="0.25">
      <x:c r="A386"/>
      <x:c r="B386"/>
      <x:c r="C386"/>
      <x:c r="D386" s="625" t="inlineStr">
        <x:is>
          <x:t>O</x:t>
        </x:is>
      </x:c>
      <x:c r="E386" s="625" t="inlineStr">
        <x:is>
          <x:t>Total</x:t>
        </x:is>
      </x:c>
      <x:c r="F386" s="627" t="n">
        <x:v>145674174.33</x:v>
      </x:c>
      <x:c r="G386" s="627" t="n">
        <x:v>12711477.49</x:v>
      </x:c>
      <x:c r="H386" s="627" t="n">
        <x:v>6452452.75</x:v>
      </x:c>
      <x:c r="I386" s="627" t="n">
        <x:v>3056758.56</x:v>
      </x:c>
      <x:c r="J386" s="627" t="n">
        <x:v>22458767.08</x:v>
      </x:c>
      <x:c r="K386" s="627" t="n">
        <x:v>918935.59</x:v>
      </x:c>
      <x:c r="L386" s="627" t="n">
        <x:v>96666.89</x:v>
      </x:c>
      <x:c r="M386" s="627" t="n">
        <x:v>8139932.34</x:v>
      </x:c>
      <x:c r="N386" s="627" t="n">
        <x:v>8899377.05</x:v>
      </x:c>
      <x:c r="O386" s="627" t="n">
        <x:v>47847670.84</x:v>
      </x:c>
      <x:c r="P386" s="627" t="n">
        <x:v>33584032.29</x:v>
      </x:c>
      <x:c r="Q386" s="627" t="n">
        <x:v>1508588.27</x:v>
      </x:c>
      <x:c r="R386" s="627" t="n">
        <x:v>-485.21</x:v>
      </x:c>
      <x:c r="S386" s="627">
        <x:v>0</x:v>
      </x:c>
      <x:c r="T386" s="653" t="n">
        <x:v>0.39</x:v>
      </x:c>
      <x:c r="U386" s="653">
        <x:v>0</x:v>
      </x:c>
      <x:c r="V386" s="653">
        <x:v>0</x:v>
      </x:c>
      <x:c r="W386" s="653">
        <x:v>0</x:v>
      </x:c>
      <x:c r="X386" s="653">
        <x:v>0</x:v>
      </x:c>
      <x:c r="Y386" s="627">
        <x:v>0</x:v>
      </x:c>
      <x:c r="Z386" s="653" t="n">
        <x:v>0</x:v>
      </x:c>
      <x:c r="BN386" s="624"/>
    </x:row>
    <x:row r="387" spans="1:66" x14ac:dyDescent="0.25">
      <x:c r="A387"/>
      <x:c r="B387"/>
      <x:c r="C387"/>
      <x:c r="D387" s="25"/>
      <x:c r="E387" s="625" t="inlineStr">
        <x:is>
          <x:t>Vlr Servicio</x:t>
        </x:is>
      </x:c>
      <x:c r="F387" s="627" t="n">
        <x:v>41321679.02</x:v>
      </x:c>
      <x:c r="G387" s="627" t="n">
        <x:v>3721648.87</x:v>
      </x:c>
      <x:c r="H387" s="627" t="n">
        <x:v>1946637.79</x:v>
      </x:c>
      <x:c r="I387" s="627" t="n">
        <x:v>1026569.67</x:v>
      </x:c>
      <x:c r="J387" s="627" t="n">
        <x:v>7497395.08</x:v>
      </x:c>
      <x:c r="K387" s="627" t="n">
        <x:v>197789.05</x:v>
      </x:c>
      <x:c r="L387" s="627" t="n">
        <x:v>929500</x:v>
      </x:c>
      <x:c r="M387" s="627" t="n">
        <x:v>1727377.05</x:v>
      </x:c>
      <x:c r="N387" s="627" t="n">
        <x:v>2422902.44</x:v>
      </x:c>
      <x:c r="O387" s="627" t="n">
        <x:v>12269077.92</x:v>
      </x:c>
      <x:c r="P387" s="627" t="n">
        <x:v>9258690.99</x:v>
      </x:c>
      <x:c r="Q387" s="627" t="n">
        <x:v>323610.08</x:v>
      </x:c>
      <x:c r="R387" s="627" t="n">
        <x:v>480.08</x:v>
      </x:c>
      <x:c r="S387" s="627">
        <x:v>0</x:v>
      </x:c>
      <x:c r="T387" s="653" t="n">
        <x:v>0</x:v>
      </x:c>
      <x:c r="U387" s="653">
        <x:v>0</x:v>
      </x:c>
      <x:c r="V387" s="653">
        <x:v>0</x:v>
      </x:c>
      <x:c r="W387" s="653">
        <x:v>0</x:v>
      </x:c>
      <x:c r="X387" s="653">
        <x:v>0</x:v>
      </x:c>
      <x:c r="Y387" s="627">
        <x:v>0</x:v>
      </x:c>
      <x:c r="Z387" s="653" t="n">
        <x:v>0</x:v>
      </x:c>
      <x:c r="BN387" s="624"/>
    </x:row>
    <x:row r="388" spans="1:66" x14ac:dyDescent="0.25">
      <x:c r="A388"/>
      <x:c r="B388"/>
      <x:c r="C388"/>
      <x:c r="D388"/>
      <x:c r="E388" s="625" t="inlineStr">
        <x:is>
          <x:t>Vlr Intereses</x:t>
        </x:is>
      </x:c>
      <x:c r="F388" s="627" t="n">
        <x:v>680049.48</x:v>
      </x:c>
      <x:c r="G388" s="627" t="n">
        <x:v>60364.66</x:v>
      </x:c>
      <x:c r="H388" s="627" t="n">
        <x:v>30464.51</x:v>
      </x:c>
      <x:c r="I388" s="627" t="n">
        <x:v>12534.58</x:v>
      </x:c>
      <x:c r="J388" s="627" t="n">
        <x:v>137328.21</x:v>
      </x:c>
      <x:c r="K388" s="627" t="n">
        <x:v>4843.52</x:v>
      </x:c>
      <x:c r="L388" s="627" t="n">
        <x:v>0</x:v>
      </x:c>
      <x:c r="M388" s="627" t="n">
        <x:v>42487.09</x:v>
      </x:c>
      <x:c r="N388" s="627" t="n">
        <x:v>54062.23</x:v>
      </x:c>
      <x:c r="O388" s="627" t="n">
        <x:v>173620.87</x:v>
      </x:c>
      <x:c r="P388" s="627" t="n">
        <x:v>156430.14</x:v>
      </x:c>
      <x:c r="Q388" s="627" t="n">
        <x:v>7902.93</x:v>
      </x:c>
      <x:c r="R388" s="627" t="n">
        <x:v>10.74</x:v>
      </x:c>
      <x:c r="S388" s="627">
        <x:v>0</x:v>
      </x:c>
      <x:c r="T388" s="653" t="n">
        <x:v>0</x:v>
      </x:c>
      <x:c r="U388" s="653">
        <x:v>0</x:v>
      </x:c>
      <x:c r="V388" s="653">
        <x:v>0</x:v>
      </x:c>
      <x:c r="W388" s="653">
        <x:v>0</x:v>
      </x:c>
      <x:c r="X388" s="653">
        <x:v>0</x:v>
      </x:c>
      <x:c r="Y388" s="627">
        <x:v>0</x:v>
      </x:c>
      <x:c r="Z388" s="653" t="n">
        <x:v>0</x:v>
      </x:c>
      <x:c r="BN388" s="624"/>
    </x:row>
    <x:row r="389" spans="1:66" x14ac:dyDescent="0.25">
      <x:c r="A389"/>
      <x:c r="B389"/>
      <x:c r="C389"/>
      <x:c r="D389" s="625" t="inlineStr">
        <x:is>
          <x:t>T</x:t>
        </x:is>
      </x:c>
      <x:c r="E389" s="625" t="inlineStr">
        <x:is>
          <x:t>Total</x:t>
        </x:is>
      </x:c>
      <x:c r="F389" s="627" t="n">
        <x:v>42001728.5</x:v>
      </x:c>
      <x:c r="G389" s="627" t="n">
        <x:v>3782013.53</x:v>
      </x:c>
      <x:c r="H389" s="627" t="n">
        <x:v>1977102.3</x:v>
      </x:c>
      <x:c r="I389" s="627" t="n">
        <x:v>1039104.25</x:v>
      </x:c>
      <x:c r="J389" s="627" t="n">
        <x:v>7634723.29</x:v>
      </x:c>
      <x:c r="K389" s="627" t="n">
        <x:v>202632.57</x:v>
      </x:c>
      <x:c r="L389" s="627" t="n">
        <x:v>929500</x:v>
      </x:c>
      <x:c r="M389" s="627" t="n">
        <x:v>1769864.14</x:v>
      </x:c>
      <x:c r="N389" s="627" t="n">
        <x:v>2476964.67</x:v>
      </x:c>
      <x:c r="O389" s="627" t="n">
        <x:v>12442698.79</x:v>
      </x:c>
      <x:c r="P389" s="627" t="n">
        <x:v>9415121.13</x:v>
      </x:c>
      <x:c r="Q389" s="627" t="n">
        <x:v>331513.01</x:v>
      </x:c>
      <x:c r="R389" s="627" t="n">
        <x:v>490.82</x:v>
      </x:c>
      <x:c r="S389" s="627">
        <x:v>0</x:v>
      </x:c>
      <x:c r="T389" s="653" t="n">
        <x:v>0</x:v>
      </x:c>
      <x:c r="U389" s="653">
        <x:v>0</x:v>
      </x:c>
      <x:c r="V389" s="653">
        <x:v>0</x:v>
      </x:c>
      <x:c r="W389" s="653">
        <x:v>0</x:v>
      </x:c>
      <x:c r="X389" s="653">
        <x:v>0</x:v>
      </x:c>
      <x:c r="Y389" s="627">
        <x:v>0</x:v>
      </x:c>
      <x:c r="Z389" s="653" t="n">
        <x:v>0</x:v>
      </x:c>
      <x:c r="BN389" s="624"/>
    </x:row>
    <x:row r="390" spans="1:66" x14ac:dyDescent="0.25">
      <x:c r="A390"/>
      <x:c r="B390"/>
      <x:c r="C390" s="625" t="inlineStr">
        <x:is>
          <x:t>OCCIDENTE</x:t>
        </x:is>
      </x:c>
      <x:c r="D390" s="625" t="inlineStr">
        <x:is>
          <x:t>Total</x:t>
        </x:is>
      </x:c>
      <x:c r="E390" s="25"/>
      <x:c r="F390" s="627" t="n">
        <x:v>213621752.53</x:v>
      </x:c>
      <x:c r="G390" s="627" t="n">
        <x:v>18598416.93</x:v>
      </x:c>
      <x:c r="H390" s="627" t="n">
        <x:v>9606756.66</x:v>
      </x:c>
      <x:c r="I390" s="627" t="n">
        <x:v>4715935.58</x:v>
      </x:c>
      <x:c r="J390" s="627" t="n">
        <x:v>34835186.03</x:v>
      </x:c>
      <x:c r="K390" s="627" t="n">
        <x:v>1268914.83</x:v>
      </x:c>
      <x:c r="L390" s="627" t="n">
        <x:v>1026166.89</x:v>
      </x:c>
      <x:c r="M390" s="627" t="n">
        <x:v>11195946.94</x:v>
      </x:c>
      <x:c r="N390" s="627" t="n">
        <x:v>13019452.06</x:v>
      </x:c>
      <x:c r="O390" s="627" t="n">
        <x:v>68676253.14</x:v>
      </x:c>
      <x:c r="P390" s="627" t="n">
        <x:v>48598037.86</x:v>
      </x:c>
      <x:c r="Q390" s="627" t="n">
        <x:v>2080540.43</x:v>
      </x:c>
      <x:c r="R390" s="627" t="n">
        <x:v>144.79</x:v>
      </x:c>
      <x:c r="S390" s="627">
        <x:v>0</x:v>
      </x:c>
      <x:c r="T390" s="653" t="n">
        <x:v>0.39</x:v>
      </x:c>
      <x:c r="U390" s="653">
        <x:v>0</x:v>
      </x:c>
      <x:c r="V390" s="653">
        <x:v>0</x:v>
      </x:c>
      <x:c r="W390" s="653">
        <x:v>0</x:v>
      </x:c>
      <x:c r="X390" s="653">
        <x:v>0</x:v>
      </x:c>
      <x:c r="Y390" s="627">
        <x:v>0</x:v>
      </x:c>
      <x:c r="Z390" s="653" t="n">
        <x:v>0</x:v>
      </x:c>
      <x:c r="BN390" s="624"/>
    </x:row>
    <x:row r="391" spans="1:66" x14ac:dyDescent="0.25">
      <x:c r="A391"/>
      <x:c r="B391" s="625" t="inlineStr">
        <x:is>
          <x:t>Mes</x:t>
        </x:is>
      </x:c>
      <x:c r="C391" s="625" t="inlineStr">
        <x:is>
          <x:t>Total</x:t>
        </x:is>
      </x:c>
      <x:c r="D391"/>
      <x:c r="E391" s="25"/>
      <x:c r="F391" s="627" t="n">
        <x:v>11149869380.28</x:v>
      </x:c>
      <x:c r="G391" s="627" t="n">
        <x:v>641671876.45</x:v>
      </x:c>
      <x:c r="H391" s="627" t="n">
        <x:v>359190595.1</x:v>
      </x:c>
      <x:c r="I391" s="627" t="n">
        <x:v>188468034.91</x:v>
      </x:c>
      <x:c r="J391" s="627" t="n">
        <x:v>2357312324.48</x:v>
      </x:c>
      <x:c r="K391" s="627" t="n">
        <x:v>90996073.73</x:v>
      </x:c>
      <x:c r="L391" s="627" t="n">
        <x:v>22968513.57</x:v>
      </x:c>
      <x:c r="M391" s="627" t="n">
        <x:v>797565781.83</x:v>
      </x:c>
      <x:c r="N391" s="627" t="n">
        <x:v>788594087.96</x:v>
      </x:c>
      <x:c r="O391" s="627" t="n">
        <x:v>4057136386.54</x:v>
      </x:c>
      <x:c r="P391" s="627" t="n">
        <x:v>1697155192.77</x:v>
      </x:c>
      <x:c r="Q391" s="627" t="n">
        <x:v>148971241.71</x:v>
      </x:c>
      <x:c r="R391" s="627" t="n">
        <x:v>-160678.67</x:v>
      </x:c>
      <x:c r="S391" s="627">
        <x:v>0</x:v>
      </x:c>
      <x:c r="T391" s="653" t="n">
        <x:v>36.05</x:v>
      </x:c>
      <x:c r="U391" s="653">
        <x:v>0</x:v>
      </x:c>
      <x:c r="V391" s="653">
        <x:v>0</x:v>
      </x:c>
      <x:c r="W391" s="653">
        <x:v>0</x:v>
      </x:c>
      <x:c r="X391" s="653">
        <x:v>0</x:v>
      </x:c>
      <x:c r="Y391" s="627">
        <x:v>0</x:v>
      </x:c>
      <x:c r="Z391" s="653" t="n">
        <x:v>-86.15</x:v>
      </x:c>
      <x:c r="BN391" s="624"/>
    </x:row>
    <x:row r="392" spans="1:66" x14ac:dyDescent="0.25">
      <x:c r="A392" s="625" t="inlineStr">
        <x:is>
          <x:t>Componente</x:t>
        </x:is>
      </x:c>
      <x:c r="B392" s="625" t="inlineStr">
        <x:is>
          <x:t>Total</x:t>
        </x:is>
      </x:c>
      <x:c r="C392"/>
      <x:c r="D392"/>
      <x:c r="E392" s="25"/>
      <x:c r="F392" s="627" t="n">
        <x:v>11155159078.15</x:v>
      </x:c>
      <x:c r="G392" s="627" t="n">
        <x:v>641937574.66</x:v>
      </x:c>
      <x:c r="H392" s="627" t="n">
        <x:v>359336868.94</x:v>
      </x:c>
      <x:c r="I392" s="627" t="n">
        <x:v>188546150.85</x:v>
      </x:c>
      <x:c r="J392" s="627" t="n">
        <x:v>2358310923.9</x:v>
      </x:c>
      <x:c r="K392" s="627" t="n">
        <x:v>91032026.79</x:v>
      </x:c>
      <x:c r="L392" s="627" t="n">
        <x:v>22968513.57</x:v>
      </x:c>
      <x:c r="M392" s="627" t="n">
        <x:v>797864534.4</x:v>
      </x:c>
      <x:c r="N392" s="627" t="n">
        <x:v>788901749.92</x:v>
      </x:c>
      <x:c r="O392" s="627" t="n">
        <x:v>4059522534.72</x:v>
      </x:c>
      <x:c r="P392" s="627" t="n">
        <x:v>1697868129.13</x:v>
      </x:c>
      <x:c r="Q392" s="627" t="n">
        <x:v>149030791.23</x:v>
      </x:c>
      <x:c r="R392" s="627" t="n">
        <x:v>-160669.86</x:v>
      </x:c>
      <x:c r="S392" s="627">
        <x:v>0</x:v>
      </x:c>
      <x:c r="T392" s="653" t="n">
        <x:v>36.05</x:v>
      </x:c>
      <x:c r="U392" s="653">
        <x:v>0</x:v>
      </x:c>
      <x:c r="V392" s="653">
        <x:v>0</x:v>
      </x:c>
      <x:c r="W392" s="653">
        <x:v>0</x:v>
      </x:c>
      <x:c r="X392" s="653">
        <x:v>0</x:v>
      </x:c>
      <x:c r="Y392" s="627">
        <x:v>0</x:v>
      </x:c>
      <x:c r="Z392" s="653" t="n">
        <x:v>-86.15</x:v>
      </x:c>
      <x:c r="BN392" s="624"/>
    </x:row>
    <x:row r="393" spans="1:66" x14ac:dyDescent="0.25">
      <x:c r="A393" s="625"/>
      <x:c r="B393" s="625"/>
      <x:c r="C393"/>
      <x:c r="D393" s="25"/>
      <x:c r="E393" s="25" t="inlineStr">
        <x:is>
          <x:t>Subsidio(-)/Contribucion(+)</x:t>
        </x:is>
      </x:c>
      <x:c r="F393" s="627" t="n">
        <x:v>-12248.94</x:v>
      </x:c>
      <x:c r="G393" s="627" t="n">
        <x:v>27842.47</x:v>
      </x:c>
      <x:c r="H393" s="627" t="n">
        <x:v>15793.78</x:v>
      </x:c>
      <x:c r="I393" s="627" t="n">
        <x:v>8290.02</x:v>
      </x:c>
      <x:c r="J393" s="627" t="n">
        <x:v>-39389.73</x:v>
      </x:c>
      <x:c r="K393" s="627" t="n">
        <x:v>-1629.8</x:v>
      </x:c>
      <x:c r="L393" s="627" t="n">
        <x:v>0</x:v>
      </x:c>
      <x:c r="M393" s="627" t="n">
        <x:v>-14296.29</x:v>
      </x:c>
      <x:c r="N393" s="627" t="n">
        <x:v>-13251.55</x:v>
      </x:c>
      <x:c r="O393" s="627" t="n">
        <x:v>-67094.05</x:v>
      </x:c>
      <x:c r="P393" s="627" t="n">
        <x:v>74145.33</x:v>
      </x:c>
      <x:c r="Q393" s="627" t="n">
        <x:v>-2659.12</x:v>
      </x:c>
      <x:c r="R393" s="627" t="n">
        <x:v>0</x:v>
      </x:c>
      <x:c r="S393" s="627">
        <x:v>0</x:v>
      </x:c>
      <x:c r="T393" s="653" t="n">
        <x:v>0</x:v>
      </x:c>
      <x:c r="U393" s="653">
        <x:v>0</x:v>
      </x:c>
      <x:c r="V393" s="653">
        <x:v>0</x:v>
      </x:c>
      <x:c r="W393" s="653">
        <x:v>0</x:v>
      </x:c>
      <x:c r="X393" s="653">
        <x:v>0</x:v>
      </x:c>
      <x:c r="Y393" s="627">
        <x:v>0</x:v>
      </x:c>
      <x:c r="Z393" s="653" t="n">
        <x:v>0</x:v>
      </x:c>
      <x:c r="BN393" s="624"/>
    </x:row>
    <x:row r="394" spans="1:66" x14ac:dyDescent="0.25">
      <x:c r="A394" s="631"/>
      <x:c r="B394" s="631"/>
      <x:c r="C394" s="632"/>
      <x:c r="D394" s="632" t="inlineStr">
        <x:is>
          <x:t>E</x:t>
        </x:is>
      </x:c>
      <x:c r="E394" s="631" t="inlineStr">
        <x:is>
          <x:t>Total</x:t>
        </x:is>
      </x:c>
      <x:c r="F394" s="633" t="n">
        <x:v>-12248.94</x:v>
      </x:c>
      <x:c r="G394" s="633" t="n">
        <x:v>27842.47</x:v>
      </x:c>
      <x:c r="H394" s="633" t="n">
        <x:v>15793.78</x:v>
      </x:c>
      <x:c r="I394" s="633" t="n">
        <x:v>8290.02</x:v>
      </x:c>
      <x:c r="J394" s="633" t="n">
        <x:v>-39389.73</x:v>
      </x:c>
      <x:c r="K394" s="633" t="n">
        <x:v>-1629.8</x:v>
      </x:c>
      <x:c r="L394" s="633" t="n">
        <x:v>0</x:v>
      </x:c>
      <x:c r="M394" s="633" t="n">
        <x:v>-14296.29</x:v>
      </x:c>
      <x:c r="N394" s="633" t="n">
        <x:v>-13251.55</x:v>
      </x:c>
      <x:c r="O394" s="633" t="n">
        <x:v>-67094.05</x:v>
      </x:c>
      <x:c r="P394" s="633" t="n">
        <x:v>74145.33</x:v>
      </x:c>
      <x:c r="Q394" s="633" t="n">
        <x:v>-2659.12</x:v>
      </x:c>
      <x:c r="R394" s="633" t="n">
        <x:v>0</x:v>
      </x:c>
      <x:c r="S394" s="633">
        <x:v>0</x:v>
      </x:c>
      <x:c r="T394" s="633" t="n">
        <x:v>0</x:v>
      </x:c>
      <x:c r="U394" s="633">
        <x:v>0</x:v>
      </x:c>
      <x:c r="V394" s="633">
        <x:v>0</x:v>
      </x:c>
      <x:c r="W394" s="633">
        <x:v>0</x:v>
      </x:c>
      <x:c r="X394" s="633">
        <x:v>0</x:v>
      </x:c>
      <x:c r="Y394" s="633">
        <x:v>0</x:v>
      </x:c>
      <x:c r="Z394" s="633" t="n">
        <x:v>0</x:v>
      </x:c>
      <x:c r="AA394" s="631"/>
      <x:c r="AB394" s="631"/>
      <x:c r="AC394" s="631"/>
      <x:c r="AD394" s="631"/>
      <x:c r="AE394" s="631"/>
      <x:c r="AF394" s="631"/>
      <x:c r="AG394" s="631"/>
      <x:c r="AH394" s="631"/>
      <x:c r="AI394" s="631"/>
      <x:c r="AJ394" s="631"/>
      <x:c r="AK394" s="631"/>
      <x:c r="AL394" s="631"/>
      <x:c r="AM394" s="631"/>
      <x:c r="AN394" s="631"/>
      <x:c r="AO394" s="631"/>
      <x:c r="AP394" s="631"/>
      <x:c r="AQ394" s="631"/>
      <x:c r="AR394" s="631"/>
      <x:c r="AS394" s="631"/>
      <x:c r="AT394" s="631"/>
      <x:c r="AU394" s="631"/>
      <x:c r="AV394" s="631"/>
      <x:c r="AW394" s="631"/>
      <x:c r="AX394" s="631"/>
      <x:c r="AY394" s="631"/>
      <x:c r="AZ394" s="631"/>
      <x:c r="BA394" s="631"/>
      <x:c r="BB394" s="631"/>
      <x:c r="BC394" s="631"/>
      <x:c r="BD394" s="631"/>
      <x:c r="BE394" s="631"/>
      <x:c r="BF394" s="631"/>
      <x:c r="BG394" s="631"/>
      <x:c r="BH394" s="631"/>
      <x:c r="BI394" s="631"/>
      <x:c r="BJ394" s="631"/>
      <x:c r="BK394" s="631"/>
      <x:c r="BL394" s="631"/>
      <x:c r="BM394" s="631"/>
      <x:c r="BN394" s="624"/>
    </x:row>
    <x:row r="395" spans="1:66" x14ac:dyDescent="0.25">
      <x:c r="A395" s="638"/>
      <x:c r="B395" s="639"/>
      <x:c r="C395" s="639" t="inlineStr">
        <x:is>
          <x:t>ENEL</x:t>
        </x:is>
      </x:c>
      <x:c r="D395" s="638" t="inlineStr">
        <x:is>
          <x:t>Total</x:t>
        </x:is>
      </x:c>
      <x:c r="E395" s="638"/>
      <x:c r="F395" s="640" t="n">
        <x:v>-12248.94</x:v>
      </x:c>
      <x:c r="G395" s="640" t="n">
        <x:v>27842.47</x:v>
      </x:c>
      <x:c r="H395" s="640" t="n">
        <x:v>15793.78</x:v>
      </x:c>
      <x:c r="I395" s="640" t="n">
        <x:v>8290.02</x:v>
      </x:c>
      <x:c r="J395" s="640" t="n">
        <x:v>-39389.73</x:v>
      </x:c>
      <x:c r="K395" s="640" t="n">
        <x:v>-1629.8</x:v>
      </x:c>
      <x:c r="L395" s="640" t="n">
        <x:v>0</x:v>
      </x:c>
      <x:c r="M395" s="640" t="n">
        <x:v>-14296.29</x:v>
      </x:c>
      <x:c r="N395" s="640" t="n">
        <x:v>-13251.55</x:v>
      </x:c>
      <x:c r="O395" s="640" t="n">
        <x:v>-67094.05</x:v>
      </x:c>
      <x:c r="P395" s="640" t="n">
        <x:v>74145.33</x:v>
      </x:c>
      <x:c r="Q395" s="640" t="n">
        <x:v>-2659.12</x:v>
      </x:c>
      <x:c r="R395" s="640" t="n">
        <x:v>0</x:v>
      </x:c>
      <x:c r="S395" s="640">
        <x:v>0</x:v>
      </x:c>
      <x:c r="T395" s="640" t="n">
        <x:v>0</x:v>
      </x:c>
      <x:c r="U395" s="640">
        <x:v>0</x:v>
      </x:c>
      <x:c r="V395" s="640">
        <x:v>0</x:v>
      </x:c>
      <x:c r="W395" s="640">
        <x:v>0</x:v>
      </x:c>
      <x:c r="X395" s="640">
        <x:v>0</x:v>
      </x:c>
      <x:c r="Y395" s="640">
        <x:v>0</x:v>
      </x:c>
      <x:c r="Z395" s="640" t="n">
        <x:v>0</x:v>
      </x:c>
      <x:c r="AA395" s="638"/>
      <x:c r="AB395" s="638"/>
      <x:c r="AC395" s="638"/>
      <x:c r="AD395" s="638"/>
      <x:c r="AE395" s="638"/>
      <x:c r="AF395" s="638"/>
      <x:c r="AG395" s="638"/>
      <x:c r="AH395" s="638"/>
      <x:c r="AI395" s="638"/>
      <x:c r="AJ395" s="638"/>
      <x:c r="AK395" s="638"/>
      <x:c r="AL395" s="638"/>
      <x:c r="AM395" s="638"/>
      <x:c r="AN395" s="638"/>
      <x:c r="AO395" s="638"/>
      <x:c r="AP395" s="638"/>
      <x:c r="AQ395" s="638"/>
      <x:c r="AR395" s="638"/>
      <x:c r="AS395" s="638"/>
      <x:c r="AT395" s="638"/>
      <x:c r="AU395" s="638"/>
      <x:c r="AV395" s="638"/>
      <x:c r="AW395" s="638"/>
      <x:c r="AX395" s="638"/>
      <x:c r="AY395" s="638"/>
      <x:c r="AZ395" s="638"/>
      <x:c r="BA395" s="638"/>
      <x:c r="BB395" s="638"/>
      <x:c r="BC395" s="638"/>
      <x:c r="BD395" s="638"/>
      <x:c r="BE395" s="638"/>
      <x:c r="BF395" s="638"/>
      <x:c r="BG395" s="638"/>
      <x:c r="BH395" s="638"/>
      <x:c r="BI395" s="638"/>
      <x:c r="BJ395" s="638"/>
      <x:c r="BK395" s="638"/>
      <x:c r="BL395" s="638"/>
      <x:c r="BM395" s="638"/>
      <x:c r="BN395" s="624"/>
    </x:row>
    <x:row r="396" spans="1:66" x14ac:dyDescent="0.25">
      <x:c r="A396" s="625"/>
      <x:c r="B396" s="625"/>
      <x:c r="C396"/>
      <x:c r="D396"/>
      <x:c r="E396" t="inlineStr">
        <x:is>
          <x:t>Subsidio(-)/Contribucion(+)</x:t>
        </x:is>
      </x:c>
      <x:c r="F396" s="627" t="n">
        <x:v>28290.35</x:v>
      </x:c>
      <x:c r="G396" s="627" t="n">
        <x:v>5543.39</x:v>
      </x:c>
      <x:c r="H396" s="627" t="n">
        <x:v>3136.31</x:v>
      </x:c>
      <x:c r="I396" s="627" t="n">
        <x:v>1671.99</x:v>
      </x:c>
      <x:c r="J396" s="627" t="n">
        <x:v>909.12</x:v>
      </x:c>
      <x:c r="K396" s="627" t="n">
        <x:v>27.58</x:v>
      </x:c>
      <x:c r="L396" s="627" t="n">
        <x:v>0</x:v>
      </x:c>
      <x:c r="M396" s="627" t="n">
        <x:v>242.09</x:v>
      </x:c>
      <x:c r="N396" s="627" t="n">
        <x:v>247.16</x:v>
      </x:c>
      <x:c r="O396" s="627" t="n">
        <x:v>1770.36</x:v>
      </x:c>
      <x:c r="P396" s="627" t="n">
        <x:v>14697.32</x:v>
      </x:c>
      <x:c r="Q396" s="627" t="n">
        <x:v>45.03</x:v>
      </x:c>
      <x:c r="R396" s="627" t="n">
        <x:v>0</x:v>
      </x:c>
      <x:c r="S396" s="627">
        <x:v>0</x:v>
      </x:c>
      <x:c r="T396" s="653" t="n">
        <x:v>0</x:v>
      </x:c>
      <x:c r="U396" s="653">
        <x:v>0</x:v>
      </x:c>
      <x:c r="V396" s="653">
        <x:v>0</x:v>
      </x:c>
      <x:c r="W396" s="653">
        <x:v>0</x:v>
      </x:c>
      <x:c r="X396" s="653">
        <x:v>0</x:v>
      </x:c>
      <x:c r="Y396" s="627">
        <x:v>0</x:v>
      </x:c>
      <x:c r="Z396" s="653" t="n">
        <x:v>0</x:v>
      </x:c>
      <x:c r="BN396" s="624"/>
    </x:row>
    <x:row r="397" spans="1:66" x14ac:dyDescent="0.25">
      <x:c r="A397"/>
      <x:c r="B397"/>
      <x:c r="C397"/>
      <x:c r="D397" t="inlineStr">
        <x:is>
          <x:t>O</x:t>
        </x:is>
      </x:c>
      <x:c r="E397" s="625" t="inlineStr">
        <x:is>
          <x:t>Total</x:t>
        </x:is>
      </x:c>
      <x:c r="F397" s="627" t="n">
        <x:v>28290.35</x:v>
      </x:c>
      <x:c r="G397" s="627" t="n">
        <x:v>5543.39</x:v>
      </x:c>
      <x:c r="H397" s="627" t="n">
        <x:v>3136.31</x:v>
      </x:c>
      <x:c r="I397" s="627" t="n">
        <x:v>1671.99</x:v>
      </x:c>
      <x:c r="J397" s="627" t="n">
        <x:v>909.12</x:v>
      </x:c>
      <x:c r="K397" s="627" t="n">
        <x:v>27.58</x:v>
      </x:c>
      <x:c r="L397" s="627" t="n">
        <x:v>0</x:v>
      </x:c>
      <x:c r="M397" s="627" t="n">
        <x:v>242.09</x:v>
      </x:c>
      <x:c r="N397" s="627" t="n">
        <x:v>247.16</x:v>
      </x:c>
      <x:c r="O397" s="627" t="n">
        <x:v>1770.36</x:v>
      </x:c>
      <x:c r="P397" s="627" t="n">
        <x:v>14697.32</x:v>
      </x:c>
      <x:c r="Q397" s="627" t="n">
        <x:v>45.03</x:v>
      </x:c>
      <x:c r="R397" s="627" t="n">
        <x:v>0</x:v>
      </x:c>
      <x:c r="S397" s="627">
        <x:v>0</x:v>
      </x:c>
      <x:c r="T397" s="653" t="n">
        <x:v>0</x:v>
      </x:c>
      <x:c r="U397" s="653">
        <x:v>0</x:v>
      </x:c>
      <x:c r="V397" s="653">
        <x:v>0</x:v>
      </x:c>
      <x:c r="W397" s="653">
        <x:v>0</x:v>
      </x:c>
      <x:c r="X397" s="653">
        <x:v>0</x:v>
      </x:c>
      <x:c r="Y397" s="627">
        <x:v>0</x:v>
      </x:c>
      <x:c r="Z397" s="653" t="n">
        <x:v>0</x:v>
      </x:c>
      <x:c r="BN397" s="624"/>
    </x:row>
    <x:row r="398" spans="1:66" x14ac:dyDescent="0.25">
      <x:c r="A398"/>
      <x:c r="B398"/>
      <x:c r="C398"/>
      <x:c r="D398" s="25"/>
      <x:c r="E398" s="625" t="inlineStr">
        <x:is>
          <x:t>Subsidio(-)/Contribucion(+)</x:t>
        </x:is>
      </x:c>
      <x:c r="F398" s="627" t="n">
        <x:v>114040.72</x:v>
      </x:c>
      <x:c r="G398" s="627" t="n">
        <x:v>10859.84</x:v>
      </x:c>
      <x:c r="H398" s="627" t="n">
        <x:v>6134.06</x:v>
      </x:c>
      <x:c r="I398" s="627" t="n">
        <x:v>3229.64</x:v>
      </x:c>
      <x:c r="J398" s="627" t="n">
        <x:v>20785.52</x:v>
      </x:c>
      <x:c r="K398" s="627" t="n">
        <x:v>496.96</x:v>
      </x:c>
      <x:c r="L398" s="627" t="n">
        <x:v>0</x:v>
      </x:c>
      <x:c r="M398" s="627" t="n">
        <x:v>4359.32</x:v>
      </x:c>
      <x:c r="N398" s="627" t="n">
        <x:v>6380.48</x:v>
      </x:c>
      <x:c r="O398" s="627" t="n">
        <x:v>32136.48</x:v>
      </x:c>
      <x:c r="P398" s="627" t="n">
        <x:v>28847.56</x:v>
      </x:c>
      <x:c r="Q398" s="627" t="n">
        <x:v>810.86</x:v>
      </x:c>
      <x:c r="R398" s="627" t="n">
        <x:v>0</x:v>
      </x:c>
      <x:c r="S398" s="627">
        <x:v>0</x:v>
      </x:c>
      <x:c r="T398" s="653" t="n">
        <x:v>0</x:v>
      </x:c>
      <x:c r="U398" s="653">
        <x:v>0</x:v>
      </x:c>
      <x:c r="V398" s="653">
        <x:v>0</x:v>
      </x:c>
      <x:c r="W398" s="653">
        <x:v>0</x:v>
      </x:c>
      <x:c r="X398" s="653">
        <x:v>0</x:v>
      </x:c>
      <x:c r="Y398" s="627">
        <x:v>0</x:v>
      </x:c>
      <x:c r="Z398" s="653" t="n">
        <x:v>0</x:v>
      </x:c>
      <x:c r="BN398" s="624"/>
    </x:row>
    <x:row r="399" spans="1:66" x14ac:dyDescent="0.25">
      <x:c r="A399" s="628"/>
      <x:c r="B399" s="628"/>
      <x:c r="C399" s="628"/>
      <x:c r="D399" s="628" t="inlineStr">
        <x:is>
          <x:t>T</x:t>
        </x:is>
      </x:c>
      <x:c r="E399" s="629" t="inlineStr">
        <x:is>
          <x:t>Total</x:t>
        </x:is>
      </x:c>
      <x:c r="F399" s="630" t="n">
        <x:v>114040.72</x:v>
      </x:c>
      <x:c r="G399" s="630" t="n">
        <x:v>10859.84</x:v>
      </x:c>
      <x:c r="H399" s="630" t="n">
        <x:v>6134.06</x:v>
      </x:c>
      <x:c r="I399" s="630" t="n">
        <x:v>3229.64</x:v>
      </x:c>
      <x:c r="J399" s="630" t="n">
        <x:v>20785.52</x:v>
      </x:c>
      <x:c r="K399" s="630" t="n">
        <x:v>496.96</x:v>
      </x:c>
      <x:c r="L399" s="630" t="n">
        <x:v>0</x:v>
      </x:c>
      <x:c r="M399" s="630" t="n">
        <x:v>4359.32</x:v>
      </x:c>
      <x:c r="N399" s="630" t="n">
        <x:v>6380.48</x:v>
      </x:c>
      <x:c r="O399" s="630" t="n">
        <x:v>32136.48</x:v>
      </x:c>
      <x:c r="P399" s="630" t="n">
        <x:v>28847.56</x:v>
      </x:c>
      <x:c r="Q399" s="630" t="n">
        <x:v>810.86</x:v>
      </x:c>
      <x:c r="R399" s="630" t="n">
        <x:v>0</x:v>
      </x:c>
      <x:c r="S399" s="630">
        <x:v>0</x:v>
      </x:c>
      <x:c r="T399" s="630" t="n">
        <x:v>0</x:v>
      </x:c>
      <x:c r="U399" s="630">
        <x:v>0</x:v>
      </x:c>
      <x:c r="V399" s="630">
        <x:v>0</x:v>
      </x:c>
      <x:c r="W399" s="630">
        <x:v>0</x:v>
      </x:c>
      <x:c r="X399" s="630">
        <x:v>0</x:v>
      </x:c>
      <x:c r="Y399" s="630">
        <x:v>0</x:v>
      </x:c>
      <x:c r="Z399" s="630" t="n">
        <x:v>0</x:v>
      </x:c>
      <x:c r="AA399" s="628"/>
      <x:c r="AB399" s="628"/>
      <x:c r="AC399" s="628"/>
      <x:c r="AD399" s="628"/>
      <x:c r="AE399" s="628"/>
      <x:c r="AF399" s="628"/>
      <x:c r="AG399" s="628"/>
      <x:c r="AH399" s="628"/>
      <x:c r="AI399" s="628"/>
      <x:c r="AJ399" s="628"/>
      <x:c r="AK399" s="628"/>
      <x:c r="AL399" s="628"/>
      <x:c r="AM399" s="628"/>
      <x:c r="AN399" s="628"/>
      <x:c r="AO399" s="628"/>
      <x:c r="AP399" s="628"/>
      <x:c r="AQ399" s="628"/>
      <x:c r="AR399" s="628"/>
      <x:c r="AS399" s="628"/>
      <x:c r="AT399" s="628"/>
      <x:c r="AU399" s="628"/>
      <x:c r="AV399" s="628"/>
      <x:c r="AW399" s="628"/>
      <x:c r="AX399" s="628"/>
      <x:c r="AY399" s="628"/>
      <x:c r="AZ399" s="628"/>
      <x:c r="BA399" s="628"/>
      <x:c r="BB399" s="628"/>
      <x:c r="BC399" s="628"/>
      <x:c r="BD399" s="628"/>
      <x:c r="BE399" s="628"/>
      <x:c r="BF399" s="628"/>
      <x:c r="BG399" s="628"/>
      <x:c r="BH399" s="628"/>
      <x:c r="BI399" s="628"/>
      <x:c r="BJ399" s="628"/>
      <x:c r="BK399" s="628"/>
      <x:c r="BL399" s="628"/>
      <x:c r="BM399" s="628"/>
      <x:c r="BN399" s="624"/>
    </x:row>
    <x:row r="400" spans="1:66" x14ac:dyDescent="0.25">
      <x:c r="A400"/>
      <x:c r="B400"/>
      <x:c r="C400" t="inlineStr">
        <x:is>
          <x:t>OCCIDENTE</x:t>
        </x:is>
      </x:c>
      <x:c r="D400" t="inlineStr">
        <x:is>
          <x:t>Total</x:t>
        </x:is>
      </x:c>
      <x:c r="E400" s="625"/>
      <x:c r="F400" s="627" t="n">
        <x:v>142331.07</x:v>
      </x:c>
      <x:c r="G400" s="627" t="n">
        <x:v>16403.23</x:v>
      </x:c>
      <x:c r="H400" s="627" t="n">
        <x:v>9270.37</x:v>
      </x:c>
      <x:c r="I400" s="627" t="n">
        <x:v>4901.63</x:v>
      </x:c>
      <x:c r="J400" s="627" t="n">
        <x:v>21694.64</x:v>
      </x:c>
      <x:c r="K400" s="627" t="n">
        <x:v>524.54</x:v>
      </x:c>
      <x:c r="L400" s="627" t="n">
        <x:v>0</x:v>
      </x:c>
      <x:c r="M400" s="627" t="n">
        <x:v>4601.41</x:v>
      </x:c>
      <x:c r="N400" s="627" t="n">
        <x:v>6627.64</x:v>
      </x:c>
      <x:c r="O400" s="627" t="n">
        <x:v>33906.84</x:v>
      </x:c>
      <x:c r="P400" s="627" t="n">
        <x:v>43544.88</x:v>
      </x:c>
      <x:c r="Q400" s="627" t="n">
        <x:v>855.89</x:v>
      </x:c>
      <x:c r="R400" s="627" t="n">
        <x:v>0</x:v>
      </x:c>
      <x:c r="S400" s="627">
        <x:v>0</x:v>
      </x:c>
      <x:c r="T400" s="653" t="n">
        <x:v>0</x:v>
      </x:c>
      <x:c r="U400" s="653">
        <x:v>0</x:v>
      </x:c>
      <x:c r="V400" s="653">
        <x:v>0</x:v>
      </x:c>
      <x:c r="W400" s="653">
        <x:v>0</x:v>
      </x:c>
      <x:c r="X400" s="653">
        <x:v>0</x:v>
      </x:c>
      <x:c r="Y400" s="627">
        <x:v>0</x:v>
      </x:c>
      <x:c r="Z400" s="653" t="n">
        <x:v>0</x:v>
      </x:c>
      <x:c r="BN400" s="624"/>
    </x:row>
    <x:row r="401" spans="1:66" x14ac:dyDescent="0.25">
      <x:c r="A401"/>
      <x:c r="B401" t="inlineStr">
        <x:is>
          <x:t>Aplicacion nuevos x reversion</x:t>
        </x:is>
      </x:c>
      <x:c r="C401" t="inlineStr">
        <x:is>
          <x:t>Total</x:t>
        </x:is>
      </x:c>
      <x:c r="D401" s="25"/>
      <x:c r="E401" s="625"/>
      <x:c r="F401" s="627" t="n">
        <x:v>130082.13</x:v>
      </x:c>
      <x:c r="G401" s="627" t="n">
        <x:v>44245.7</x:v>
      </x:c>
      <x:c r="H401" s="627" t="n">
        <x:v>25064.15</x:v>
      </x:c>
      <x:c r="I401" s="627" t="n">
        <x:v>13191.65</x:v>
      </x:c>
      <x:c r="J401" s="627" t="n">
        <x:v>-17695.09</x:v>
      </x:c>
      <x:c r="K401" s="627" t="n">
        <x:v>-1105.26</x:v>
      </x:c>
      <x:c r="L401" s="627" t="n">
        <x:v>0</x:v>
      </x:c>
      <x:c r="M401" s="627" t="n">
        <x:v>-9694.88</x:v>
      </x:c>
      <x:c r="N401" s="627" t="n">
        <x:v>-6623.91</x:v>
      </x:c>
      <x:c r="O401" s="627" t="n">
        <x:v>-33187.21</x:v>
      </x:c>
      <x:c r="P401" s="627" t="n">
        <x:v>117690.21</x:v>
      </x:c>
      <x:c r="Q401" s="627" t="n">
        <x:v>-1803.23</x:v>
      </x:c>
      <x:c r="R401" s="627" t="n">
        <x:v>0</x:v>
      </x:c>
      <x:c r="S401" s="627">
        <x:v>0</x:v>
      </x:c>
      <x:c r="T401" s="653" t="n">
        <x:v>0</x:v>
      </x:c>
      <x:c r="U401" s="653">
        <x:v>0</x:v>
      </x:c>
      <x:c r="V401" s="653">
        <x:v>0</x:v>
      </x:c>
      <x:c r="W401" s="653">
        <x:v>0</x:v>
      </x:c>
      <x:c r="X401" s="653">
        <x:v>0</x:v>
      </x:c>
      <x:c r="Y401" s="627">
        <x:v>0</x:v>
      </x:c>
      <x:c r="Z401" s="653" t="n">
        <x:v>0</x:v>
      </x:c>
      <x:c r="BN401" s="624"/>
    </x:row>
    <x:row r="402" spans="1:66" x14ac:dyDescent="0.25">
      <x:c r="A402" s="631"/>
      <x:c r="B402" s="631"/>
      <x:c r="C402" s="632"/>
      <x:c r="D402" s="632"/>
      <x:c r="E402" s="631" t="inlineStr">
        <x:is>
          <x:t>Subsidio(-)/Contribucion(+)</x:t>
        </x:is>
      </x:c>
      <x:c r="F402" s="633" t="n">
        <x:v>-588681732.09</x:v>
      </x:c>
      <x:c r="G402" s="633" t="n">
        <x:v>38852194.15</x:v>
      </x:c>
      <x:c r="H402" s="633" t="n">
        <x:v>21559872.87</x:v>
      </x:c>
      <x:c r="I402" s="633" t="n">
        <x:v>11294945.32</x:v>
      </x:c>
      <x:c r="J402" s="633" t="n">
        <x:v>-214645574.85</x:v>
      </x:c>
      <x:c r="K402" s="633" t="n">
        <x:v>-8503643.02</x:v>
      </x:c>
      <x:c r="L402" s="633" t="n">
        <x:v>0</x:v>
      </x:c>
      <x:c r="M402" s="633" t="n">
        <x:v>-74680218.03</x:v>
      </x:c>
      <x:c r="N402" s="633" t="n">
        <x:v>-73122983.15</x:v>
      </x:c>
      <x:c r="O402" s="633" t="n">
        <x:v>-378007081.61</x:v>
      </x:c>
      <x:c r="P402" s="633" t="n">
        <x:v>102445142.43</x:v>
      </x:c>
      <x:c r="Q402" s="633" t="n">
        <x:v>-13874386.2</x:v>
      </x:c>
      <x:c r="R402" s="633" t="n">
        <x:v>0</x:v>
      </x:c>
      <x:c r="S402" s="633">
        <x:v>0</x:v>
      </x:c>
      <x:c r="T402" s="633" t="n">
        <x:v>0</x:v>
      </x:c>
      <x:c r="U402" s="633">
        <x:v>0</x:v>
      </x:c>
      <x:c r="V402" s="633">
        <x:v>0</x:v>
      </x:c>
      <x:c r="W402" s="633">
        <x:v>0</x:v>
      </x:c>
      <x:c r="X402" s="633">
        <x:v>0</x:v>
      </x:c>
      <x:c r="Y402" s="633">
        <x:v>0</x:v>
      </x:c>
      <x:c r="Z402" s="633" t="n">
        <x:v>0</x:v>
      </x:c>
      <x:c r="AA402" s="631"/>
      <x:c r="AB402" s="631"/>
      <x:c r="AC402" s="631"/>
      <x:c r="AD402" s="631"/>
      <x:c r="AE402" s="631"/>
      <x:c r="AF402" s="631"/>
      <x:c r="AG402" s="631"/>
      <x:c r="AH402" s="631"/>
      <x:c r="AI402" s="631"/>
      <x:c r="AJ402" s="631"/>
      <x:c r="AK402" s="631"/>
      <x:c r="AL402" s="631"/>
      <x:c r="AM402" s="631"/>
      <x:c r="AN402" s="631"/>
      <x:c r="AO402" s="631"/>
      <x:c r="AP402" s="631"/>
      <x:c r="AQ402" s="631"/>
      <x:c r="AR402" s="631"/>
      <x:c r="AS402" s="631"/>
      <x:c r="AT402" s="631"/>
      <x:c r="AU402" s="631"/>
      <x:c r="AV402" s="631"/>
      <x:c r="AW402" s="631"/>
      <x:c r="AX402" s="631"/>
      <x:c r="AY402" s="631"/>
      <x:c r="AZ402" s="631"/>
      <x:c r="BA402" s="631"/>
      <x:c r="BB402" s="631"/>
      <x:c r="BC402" s="631"/>
      <x:c r="BD402" s="631"/>
      <x:c r="BE402" s="631"/>
      <x:c r="BF402" s="631"/>
      <x:c r="BG402" s="631"/>
      <x:c r="BH402" s="631"/>
      <x:c r="BI402" s="631"/>
      <x:c r="BJ402" s="631"/>
      <x:c r="BK402" s="631"/>
      <x:c r="BL402" s="631"/>
      <x:c r="BM402" s="631"/>
      <x:c r="BN402" s="624"/>
    </x:row>
    <x:row r="403" spans="1:66" x14ac:dyDescent="0.25">
      <x:c r="A403" s="635"/>
      <x:c r="B403" s="635"/>
      <x:c r="C403" s="635"/>
      <x:c r="D403" s="635" t="inlineStr">
        <x:is>
          <x:t>E</x:t>
        </x:is>
      </x:c>
      <x:c r="E403" s="636" t="inlineStr">
        <x:is>
          <x:t>Total</x:t>
        </x:is>
      </x:c>
      <x:c r="F403" s="637" t="n">
        <x:v>-588681732.09</x:v>
      </x:c>
      <x:c r="G403" s="637" t="n">
        <x:v>38852194.15</x:v>
      </x:c>
      <x:c r="H403" s="637" t="n">
        <x:v>21559872.87</x:v>
      </x:c>
      <x:c r="I403" s="637" t="n">
        <x:v>11294945.32</x:v>
      </x:c>
      <x:c r="J403" s="637" t="n">
        <x:v>-214645574.85</x:v>
      </x:c>
      <x:c r="K403" s="637" t="n">
        <x:v>-8503643.02</x:v>
      </x:c>
      <x:c r="L403" s="637" t="n">
        <x:v>0</x:v>
      </x:c>
      <x:c r="M403" s="637" t="n">
        <x:v>-74680218.03</x:v>
      </x:c>
      <x:c r="N403" s="637" t="n">
        <x:v>-73122983.15</x:v>
      </x:c>
      <x:c r="O403" s="637" t="n">
        <x:v>-378007081.61</x:v>
      </x:c>
      <x:c r="P403" s="637" t="n">
        <x:v>102445142.43</x:v>
      </x:c>
      <x:c r="Q403" s="637" t="n">
        <x:v>-13874386.2</x:v>
      </x:c>
      <x:c r="R403" s="637" t="n">
        <x:v>0</x:v>
      </x:c>
      <x:c r="S403" s="637">
        <x:v>0</x:v>
      </x:c>
      <x:c r="T403" s="637" t="n">
        <x:v>0</x:v>
      </x:c>
      <x:c r="U403" s="637">
        <x:v>0</x:v>
      </x:c>
      <x:c r="V403" s="637">
        <x:v>0</x:v>
      </x:c>
      <x:c r="W403" s="637">
        <x:v>0</x:v>
      </x:c>
      <x:c r="X403" s="637">
        <x:v>0</x:v>
      </x:c>
      <x:c r="Y403" s="637">
        <x:v>0</x:v>
      </x:c>
      <x:c r="Z403" s="637" t="n">
        <x:v>0</x:v>
      </x:c>
      <x:c r="AA403" s="635"/>
      <x:c r="AB403" s="635"/>
      <x:c r="AC403" s="635"/>
      <x:c r="AD403" s="635"/>
      <x:c r="AE403" s="635"/>
      <x:c r="AF403" s="635"/>
      <x:c r="AG403" s="635"/>
      <x:c r="AH403" s="635"/>
      <x:c r="AI403" s="635"/>
      <x:c r="AJ403" s="635"/>
      <x:c r="AK403" s="635"/>
      <x:c r="AL403" s="635"/>
      <x:c r="AM403" s="635"/>
      <x:c r="AN403" s="635"/>
      <x:c r="AO403" s="635"/>
      <x:c r="AP403" s="635"/>
      <x:c r="AQ403" s="635"/>
      <x:c r="AR403" s="635"/>
      <x:c r="AS403" s="635"/>
      <x:c r="AT403" s="635"/>
      <x:c r="AU403" s="635"/>
      <x:c r="AV403" s="635"/>
      <x:c r="AW403" s="635"/>
      <x:c r="AX403" s="635"/>
      <x:c r="AY403" s="635"/>
      <x:c r="AZ403" s="635"/>
      <x:c r="BA403" s="635"/>
      <x:c r="BB403" s="635"/>
      <x:c r="BC403" s="635"/>
      <x:c r="BD403" s="635"/>
      <x:c r="BE403" s="635"/>
      <x:c r="BF403" s="635"/>
      <x:c r="BG403" s="635"/>
      <x:c r="BH403" s="635"/>
      <x:c r="BI403" s="635"/>
      <x:c r="BJ403" s="635"/>
      <x:c r="BK403" s="635"/>
      <x:c r="BL403" s="635"/>
      <x:c r="BM403" s="635"/>
      <x:c r="BN403" s="624"/>
    </x:row>
    <x:row r="404" spans="1:66" x14ac:dyDescent="0.25">
      <x:c r="A404"/>
      <x:c r="B404"/>
      <x:c r="C404" t="inlineStr">
        <x:is>
          <x:t>ENEL</x:t>
        </x:is>
      </x:c>
      <x:c r="D404" t="inlineStr">
        <x:is>
          <x:t>Total</x:t>
        </x:is>
      </x:c>
      <x:c r="E404" s="625"/>
      <x:c r="F404" s="627" t="n">
        <x:v>-588681732.09</x:v>
      </x:c>
      <x:c r="G404" s="627" t="n">
        <x:v>38852194.15</x:v>
      </x:c>
      <x:c r="H404" s="627" t="n">
        <x:v>21559872.87</x:v>
      </x:c>
      <x:c r="I404" s="627" t="n">
        <x:v>11294945.32</x:v>
      </x:c>
      <x:c r="J404" s="627" t="n">
        <x:v>-214645574.85</x:v>
      </x:c>
      <x:c r="K404" s="627" t="n">
        <x:v>-8503643.02</x:v>
      </x:c>
      <x:c r="L404" s="627" t="n">
        <x:v>0</x:v>
      </x:c>
      <x:c r="M404" s="627" t="n">
        <x:v>-74680218.03</x:v>
      </x:c>
      <x:c r="N404" s="627" t="n">
        <x:v>-73122983.15</x:v>
      </x:c>
      <x:c r="O404" s="627" t="n">
        <x:v>-378007081.61</x:v>
      </x:c>
      <x:c r="P404" s="627" t="n">
        <x:v>102445142.43</x:v>
      </x:c>
      <x:c r="Q404" s="627" t="n">
        <x:v>-13874386.2</x:v>
      </x:c>
      <x:c r="R404" s="627" t="n">
        <x:v>0</x:v>
      </x:c>
      <x:c r="S404" s="627">
        <x:v>0</x:v>
      </x:c>
      <x:c r="T404" s="653" t="n">
        <x:v>0</x:v>
      </x:c>
      <x:c r="U404" s="653">
        <x:v>0</x:v>
      </x:c>
      <x:c r="V404" s="653">
        <x:v>0</x:v>
      </x:c>
      <x:c r="W404" s="653">
        <x:v>0</x:v>
      </x:c>
      <x:c r="X404" s="653">
        <x:v>0</x:v>
      </x:c>
      <x:c r="Y404" s="627">
        <x:v>0</x:v>
      </x:c>
      <x:c r="Z404" s="653" t="n">
        <x:v>0</x:v>
      </x:c>
      <x:c r="BN404" s="624"/>
    </x:row>
    <x:row r="405" spans="1:66" x14ac:dyDescent="0.25">
      <x:c r="A405"/>
      <x:c r="B405"/>
      <x:c r="C405"/>
      <x:c r="D405" s="625"/>
      <x:c r="E405" s="625" t="inlineStr">
        <x:is>
          <x:t>Subsidio(-)/Contribucion(+)</x:t>
        </x:is>
      </x:c>
      <x:c r="F405" s="627" t="n">
        <x:v>1075825.11</x:v>
      </x:c>
      <x:c r="G405" s="627" t="n">
        <x:v>118187.49</x:v>
      </x:c>
      <x:c r="H405" s="627" t="n">
        <x:v>54496.88</x:v>
      </x:c>
      <x:c r="I405" s="627" t="n">
        <x:v>27754.01</x:v>
      </x:c>
      <x:c r="J405" s="627" t="n">
        <x:v>181556.38</x:v>
      </x:c>
      <x:c r="K405" s="627" t="n">
        <x:v>5317.95</x:v>
      </x:c>
      <x:c r="L405" s="627" t="n">
        <x:v>0</x:v>
      </x:c>
      <x:c r="M405" s="627" t="n">
        <x:v>46672.9</x:v>
      </x:c>
      <x:c r="N405" s="627" t="n">
        <x:v>58457.99</x:v>
      </x:c>
      <x:c r="O405" s="627" t="n">
        <x:v>260211.69</x:v>
      </x:c>
      <x:c r="P405" s="627" t="n">
        <x:v>314485.54</x:v>
      </x:c>
      <x:c r="Q405" s="627" t="n">
        <x:v>8684.28</x:v>
      </x:c>
      <x:c r="R405" s="627" t="n">
        <x:v>0</x:v>
      </x:c>
      <x:c r="S405" s="627">
        <x:v>0</x:v>
      </x:c>
      <x:c r="T405" s="653" t="n">
        <x:v>0</x:v>
      </x:c>
      <x:c r="U405" s="653">
        <x:v>0</x:v>
      </x:c>
      <x:c r="V405" s="653">
        <x:v>0</x:v>
      </x:c>
      <x:c r="W405" s="653">
        <x:v>0</x:v>
      </x:c>
      <x:c r="X405" s="653">
        <x:v>0</x:v>
      </x:c>
      <x:c r="Y405" s="627">
        <x:v>0</x:v>
      </x:c>
      <x:c r="Z405" s="653" t="n">
        <x:v>0</x:v>
      </x:c>
      <x:c r="BN405" s="624"/>
    </x:row>
    <x:row r="406" spans="1:66" x14ac:dyDescent="0.25">
      <x:c r="A406" s="628"/>
      <x:c r="B406" s="628"/>
      <x:c r="C406" s="628"/>
      <x:c r="D406" s="628" t="inlineStr">
        <x:is>
          <x:t>1</x:t>
        </x:is>
      </x:c>
      <x:c r="E406" s="629" t="inlineStr">
        <x:is>
          <x:t>Total</x:t>
        </x:is>
      </x:c>
      <x:c r="F406" s="630" t="n">
        <x:v>1075825.11</x:v>
      </x:c>
      <x:c r="G406" s="630" t="n">
        <x:v>118187.49</x:v>
      </x:c>
      <x:c r="H406" s="630" t="n">
        <x:v>54496.88</x:v>
      </x:c>
      <x:c r="I406" s="630" t="n">
        <x:v>27754.01</x:v>
      </x:c>
      <x:c r="J406" s="630" t="n">
        <x:v>181556.38</x:v>
      </x:c>
      <x:c r="K406" s="630" t="n">
        <x:v>5317.95</x:v>
      </x:c>
      <x:c r="L406" s="630" t="n">
        <x:v>0</x:v>
      </x:c>
      <x:c r="M406" s="630" t="n">
        <x:v>46672.9</x:v>
      </x:c>
      <x:c r="N406" s="630" t="n">
        <x:v>58457.99</x:v>
      </x:c>
      <x:c r="O406" s="630" t="n">
        <x:v>260211.69</x:v>
      </x:c>
      <x:c r="P406" s="630" t="n">
        <x:v>314485.54</x:v>
      </x:c>
      <x:c r="Q406" s="630" t="n">
        <x:v>8684.28</x:v>
      </x:c>
      <x:c r="R406" s="630" t="n">
        <x:v>0</x:v>
      </x:c>
      <x:c r="S406" s="630">
        <x:v>0</x:v>
      </x:c>
      <x:c r="T406" s="630" t="n">
        <x:v>0</x:v>
      </x:c>
      <x:c r="U406" s="630">
        <x:v>0</x:v>
      </x:c>
      <x:c r="V406" s="630">
        <x:v>0</x:v>
      </x:c>
      <x:c r="W406" s="630">
        <x:v>0</x:v>
      </x:c>
      <x:c r="X406" s="630">
        <x:v>0</x:v>
      </x:c>
      <x:c r="Y406" s="630">
        <x:v>0</x:v>
      </x:c>
      <x:c r="Z406" s="630" t="n">
        <x:v>0</x:v>
      </x:c>
      <x:c r="AA406" s="628"/>
      <x:c r="AB406" s="628"/>
      <x:c r="AC406" s="628"/>
      <x:c r="AD406" s="628"/>
      <x:c r="AE406" s="628"/>
      <x:c r="AF406" s="628"/>
      <x:c r="AG406" s="628"/>
      <x:c r="AH406" s="628"/>
      <x:c r="AI406" s="628"/>
      <x:c r="AJ406" s="628"/>
      <x:c r="AK406" s="628"/>
      <x:c r="AL406" s="628"/>
      <x:c r="AM406" s="628"/>
      <x:c r="AN406" s="628"/>
      <x:c r="AO406" s="628"/>
      <x:c r="AP406" s="628"/>
      <x:c r="AQ406" s="628"/>
      <x:c r="AR406" s="628"/>
      <x:c r="AS406" s="628"/>
      <x:c r="AT406" s="628"/>
      <x:c r="AU406" s="628"/>
      <x:c r="AV406" s="628"/>
      <x:c r="AW406" s="628"/>
      <x:c r="AX406" s="628"/>
      <x:c r="AY406" s="628"/>
      <x:c r="AZ406" s="628"/>
      <x:c r="BA406" s="628"/>
      <x:c r="BB406" s="628"/>
      <x:c r="BC406" s="628"/>
      <x:c r="BD406" s="628"/>
      <x:c r="BE406" s="628"/>
      <x:c r="BF406" s="628"/>
      <x:c r="BG406" s="628"/>
      <x:c r="BH406" s="628"/>
      <x:c r="BI406" s="628"/>
      <x:c r="BJ406" s="628"/>
      <x:c r="BK406" s="628"/>
      <x:c r="BL406" s="628"/>
      <x:c r="BM406" s="628"/>
      <x:c r="BN406" s="624"/>
    </x:row>
    <x:row r="407" spans="1:66" x14ac:dyDescent="0.25">
      <x:c r="A407"/>
      <x:c r="B407"/>
      <x:c r="C407"/>
      <x:c r="D407" s="625"/>
      <x:c r="E407" s="625" t="inlineStr">
        <x:is>
          <x:t>Subsidio(-)/Contribucion(+)</x:t>
        </x:is>
      </x:c>
      <x:c r="F407" s="627" t="n">
        <x:v>-409758.02</x:v>
      </x:c>
      <x:c r="G407" s="627" t="n">
        <x:v>-5426.25</x:v>
      </x:c>
      <x:c r="H407" s="627" t="n">
        <x:v>-2184.66</x:v>
      </x:c>
      <x:c r="I407" s="627" t="n">
        <x:v>-551.63</x:v>
      </x:c>
      <x:c r="J407" s="627" t="n">
        <x:v>-117669.83</x:v>
      </x:c>
      <x:c r="K407" s="627" t="n">
        <x:v>-4125.62</x:v>
      </x:c>
      <x:c r="L407" s="627" t="n">
        <x:v>0</x:v>
      </x:c>
      <x:c r="M407" s="627" t="n">
        <x:v>-36190.06</x:v>
      </x:c>
      <x:c r="N407" s="627" t="n">
        <x:v>-40286.11</x:v>
      </x:c>
      <x:c r="O407" s="627" t="n">
        <x:v>-183159.86</x:v>
      </x:c>
      <x:c r="P407" s="627" t="n">
        <x:v>-13432.66</x:v>
      </x:c>
      <x:c r="Q407" s="627" t="n">
        <x:v>-6731.34</x:v>
      </x:c>
      <x:c r="R407" s="627" t="n">
        <x:v>0</x:v>
      </x:c>
      <x:c r="S407" s="627">
        <x:v>0</x:v>
      </x:c>
      <x:c r="T407" s="653" t="n">
        <x:v>0</x:v>
      </x:c>
      <x:c r="U407" s="653">
        <x:v>0</x:v>
      </x:c>
      <x:c r="V407" s="653">
        <x:v>0</x:v>
      </x:c>
      <x:c r="W407" s="653">
        <x:v>0</x:v>
      </x:c>
      <x:c r="X407" s="653">
        <x:v>0</x:v>
      </x:c>
      <x:c r="Y407" s="627">
        <x:v>0</x:v>
      </x:c>
      <x:c r="Z407" s="653" t="n">
        <x:v>0</x:v>
      </x:c>
      <x:c r="BN407" s="624"/>
    </x:row>
    <x:row r="408" spans="1:66" x14ac:dyDescent="0.25">
      <x:c r="A408"/>
      <x:c r="B408"/>
      <x:c r="C408"/>
      <x:c r="D408" s="625" t="inlineStr">
        <x:is>
          <x:t>5</x:t>
        </x:is>
      </x:c>
      <x:c r="E408" s="625" t="inlineStr">
        <x:is>
          <x:t>Total</x:t>
        </x:is>
      </x:c>
      <x:c r="F408" s="627" t="n">
        <x:v>-409758.02</x:v>
      </x:c>
      <x:c r="G408" s="627" t="n">
        <x:v>-5426.25</x:v>
      </x:c>
      <x:c r="H408" s="627" t="n">
        <x:v>-2184.66</x:v>
      </x:c>
      <x:c r="I408" s="627" t="n">
        <x:v>-551.63</x:v>
      </x:c>
      <x:c r="J408" s="627" t="n">
        <x:v>-117669.83</x:v>
      </x:c>
      <x:c r="K408" s="627" t="n">
        <x:v>-4125.62</x:v>
      </x:c>
      <x:c r="L408" s="627" t="n">
        <x:v>0</x:v>
      </x:c>
      <x:c r="M408" s="627" t="n">
        <x:v>-36190.06</x:v>
      </x:c>
      <x:c r="N408" s="627" t="n">
        <x:v>-40286.11</x:v>
      </x:c>
      <x:c r="O408" s="627" t="n">
        <x:v>-183159.86</x:v>
      </x:c>
      <x:c r="P408" s="627" t="n">
        <x:v>-13432.66</x:v>
      </x:c>
      <x:c r="Q408" s="627" t="n">
        <x:v>-6731.34</x:v>
      </x:c>
      <x:c r="R408" s="627" t="n">
        <x:v>0</x:v>
      </x:c>
      <x:c r="S408" s="627">
        <x:v>0</x:v>
      </x:c>
      <x:c r="T408" s="653" t="n">
        <x:v>0</x:v>
      </x:c>
      <x:c r="U408" s="653">
        <x:v>0</x:v>
      </x:c>
      <x:c r="V408" s="653">
        <x:v>0</x:v>
      </x:c>
      <x:c r="W408" s="653">
        <x:v>0</x:v>
      </x:c>
      <x:c r="X408" s="653">
        <x:v>0</x:v>
      </x:c>
      <x:c r="Y408" s="627">
        <x:v>0</x:v>
      </x:c>
      <x:c r="Z408" s="653" t="n">
        <x:v>0</x:v>
      </x:c>
      <x:c r="BN408" s="624"/>
    </x:row>
    <x:row r="409" spans="1:66" x14ac:dyDescent="0.25">
      <x:c r="A409"/>
      <x:c r="B409"/>
      <x:c r="C409" t="inlineStr">
        <x:is>
          <x:t>NUEVO ESQUEMA</x:t>
        </x:is>
      </x:c>
      <x:c r="D409" s="625" t="inlineStr">
        <x:is>
          <x:t>Total</x:t>
        </x:is>
      </x:c>
      <x:c r="E409" s="625"/>
      <x:c r="F409" s="627" t="n">
        <x:v>666067.09</x:v>
      </x:c>
      <x:c r="G409" s="627" t="n">
        <x:v>112761.24</x:v>
      </x:c>
      <x:c r="H409" s="627" t="n">
        <x:v>52312.22</x:v>
      </x:c>
      <x:c r="I409" s="627" t="n">
        <x:v>27202.38</x:v>
      </x:c>
      <x:c r="J409" s="627" t="n">
        <x:v>63886.55</x:v>
      </x:c>
      <x:c r="K409" s="627" t="n">
        <x:v>1192.33</x:v>
      </x:c>
      <x:c r="L409" s="627" t="n">
        <x:v>0</x:v>
      </x:c>
      <x:c r="M409" s="627" t="n">
        <x:v>10482.84</x:v>
      </x:c>
      <x:c r="N409" s="627" t="n">
        <x:v>18171.88</x:v>
      </x:c>
      <x:c r="O409" s="627" t="n">
        <x:v>77051.83</x:v>
      </x:c>
      <x:c r="P409" s="627" t="n">
        <x:v>301052.88</x:v>
      </x:c>
      <x:c r="Q409" s="627" t="n">
        <x:v>1952.94</x:v>
      </x:c>
      <x:c r="R409" s="627" t="n">
        <x:v>0</x:v>
      </x:c>
      <x:c r="S409" s="627">
        <x:v>0</x:v>
      </x:c>
      <x:c r="T409" s="653" t="n">
        <x:v>0</x:v>
      </x:c>
      <x:c r="U409" s="653">
        <x:v>0</x:v>
      </x:c>
      <x:c r="V409" s="653">
        <x:v>0</x:v>
      </x:c>
      <x:c r="W409" s="653">
        <x:v>0</x:v>
      </x:c>
      <x:c r="X409" s="653">
        <x:v>0</x:v>
      </x:c>
      <x:c r="Y409" s="627">
        <x:v>0</x:v>
      </x:c>
      <x:c r="Z409" s="653" t="n">
        <x:v>0</x:v>
      </x:c>
      <x:c r="BN409" s="624"/>
    </x:row>
    <x:row r="410" spans="1:66" x14ac:dyDescent="0.25">
      <x:c r="A410"/>
      <x:c r="B410"/>
      <x:c r="C410"/>
      <x:c r="D410" s="625"/>
      <x:c r="E410" s="625" t="inlineStr">
        <x:is>
          <x:t>Subsidio(-)/Contribucion(+)</x:t>
        </x:is>
      </x:c>
      <x:c r="F410" s="627" t="n">
        <x:v>3622990.3</x:v>
      </x:c>
      <x:c r="G410" s="627" t="n">
        <x:v>590222.14</x:v>
      </x:c>
      <x:c r="H410" s="627" t="n">
        <x:v>336206.92</x:v>
      </x:c>
      <x:c r="I410" s="627" t="n">
        <x:v>174817.86</x:v>
      </x:c>
      <x:c r="J410" s="627" t="n">
        <x:v>324755.1</x:v>
      </x:c>
      <x:c r="K410" s="627" t="n">
        <x:v>8191.39</x:v>
      </x:c>
      <x:c r="L410" s="627" t="n">
        <x:v>0</x:v>
      </x:c>
      <x:c r="M410" s="627" t="n">
        <x:v>70922.24</x:v>
      </x:c>
      <x:c r="N410" s="627" t="n">
        <x:v>89381.22</x:v>
      </x:c>
      <x:c r="O410" s="627" t="n">
        <x:v>445745.85</x:v>
      </x:c>
      <x:c r="P410" s="627" t="n">
        <x:v>1569553.68</x:v>
      </x:c>
      <x:c r="Q410" s="627" t="n">
        <x:v>13193.9</x:v>
      </x:c>
      <x:c r="R410" s="627" t="n">
        <x:v>0</x:v>
      </x:c>
      <x:c r="S410" s="627">
        <x:v>0</x:v>
      </x:c>
      <x:c r="T410" s="653" t="n">
        <x:v>0</x:v>
      </x:c>
      <x:c r="U410" s="653">
        <x:v>0</x:v>
      </x:c>
      <x:c r="V410" s="653">
        <x:v>0</x:v>
      </x:c>
      <x:c r="W410" s="653">
        <x:v>0</x:v>
      </x:c>
      <x:c r="X410" s="653">
        <x:v>0</x:v>
      </x:c>
      <x:c r="Y410" s="627">
        <x:v>0</x:v>
      </x:c>
      <x:c r="Z410" s="653" t="n">
        <x:v>0</x:v>
      </x:c>
      <x:c r="BN410" s="624"/>
    </x:row>
    <x:row r="411" spans="1:66" x14ac:dyDescent="0.25">
      <x:c r="A411"/>
      <x:c r="B411"/>
      <x:c r="C411"/>
      <x:c r="D411" t="inlineStr">
        <x:is>
          <x:t>H</x:t>
        </x:is>
      </x:c>
      <x:c r="E411" s="625" t="inlineStr">
        <x:is>
          <x:t>Total</x:t>
        </x:is>
      </x:c>
      <x:c r="F411" s="627" t="n">
        <x:v>3622990.3</x:v>
      </x:c>
      <x:c r="G411" s="627" t="n">
        <x:v>590222.14</x:v>
      </x:c>
      <x:c r="H411" s="627" t="n">
        <x:v>336206.92</x:v>
      </x:c>
      <x:c r="I411" s="627" t="n">
        <x:v>174817.86</x:v>
      </x:c>
      <x:c r="J411" s="627" t="n">
        <x:v>324755.1</x:v>
      </x:c>
      <x:c r="K411" s="627" t="n">
        <x:v>8191.39</x:v>
      </x:c>
      <x:c r="L411" s="627" t="n">
        <x:v>0</x:v>
      </x:c>
      <x:c r="M411" s="627" t="n">
        <x:v>70922.24</x:v>
      </x:c>
      <x:c r="N411" s="627" t="n">
        <x:v>89381.22</x:v>
      </x:c>
      <x:c r="O411" s="627" t="n">
        <x:v>445745.85</x:v>
      </x:c>
      <x:c r="P411" s="627" t="n">
        <x:v>1569553.68</x:v>
      </x:c>
      <x:c r="Q411" s="627" t="n">
        <x:v>13193.9</x:v>
      </x:c>
      <x:c r="R411" s="627" t="n">
        <x:v>0</x:v>
      </x:c>
      <x:c r="S411" s="627">
        <x:v>0</x:v>
      </x:c>
      <x:c r="T411" s="653" t="n">
        <x:v>0</x:v>
      </x:c>
      <x:c r="U411" s="653">
        <x:v>0</x:v>
      </x:c>
      <x:c r="V411" s="653">
        <x:v>0</x:v>
      </x:c>
      <x:c r="W411" s="653">
        <x:v>0</x:v>
      </x:c>
      <x:c r="X411" s="653">
        <x:v>0</x:v>
      </x:c>
      <x:c r="Y411" s="627">
        <x:v>0</x:v>
      </x:c>
      <x:c r="Z411" s="653" t="n">
        <x:v>0</x:v>
      </x:c>
      <x:c r="BN411" s="624"/>
    </x:row>
    <x:row r="412" spans="1:66" x14ac:dyDescent="0.25">
      <x:c r="A412"/>
      <x:c r="B412"/>
      <x:c r="C412"/>
      <x:c r="D412" s="625"/>
      <x:c r="E412" s="625" t="inlineStr">
        <x:is>
          <x:t>Subsidio(-)/Contribucion(+)</x:t>
        </x:is>
      </x:c>
      <x:c r="F412" s="627" t="n">
        <x:v>5662210.16</x:v>
      </x:c>
      <x:c r="G412" s="627" t="n">
        <x:v>3127334.66</x:v>
      </x:c>
      <x:c r="H412" s="627" t="n">
        <x:v>1832930.21</x:v>
      </x:c>
      <x:c r="I412" s="627" t="n">
        <x:v>982982.55</x:v>
      </x:c>
      <x:c r="J412" s="627" t="n">
        <x:v>-2926361.39</x:v>
      </x:c>
      <x:c r="K412" s="627" t="n">
        <x:v>-82726.43</x:v>
      </x:c>
      <x:c r="L412" s="627" t="n">
        <x:v>0</x:v>
      </x:c>
      <x:c r="M412" s="627" t="n">
        <x:v>-726530.48</x:v>
      </x:c>
      <x:c r="N412" s="627" t="n">
        <x:v>-893736.62</x:v>
      </x:c>
      <x:c r="O412" s="627" t="n">
        <x:v>-3791233.16</x:v>
      </x:c>
      <x:c r="P412" s="627" t="n">
        <x:v>8274314.98</x:v>
      </x:c>
      <x:c r="Q412" s="627" t="n">
        <x:v>-134764.16</x:v>
      </x:c>
      <x:c r="R412" s="627" t="n">
        <x:v>0</x:v>
      </x:c>
      <x:c r="S412" s="627">
        <x:v>0</x:v>
      </x:c>
      <x:c r="T412" s="653" t="n">
        <x:v>0</x:v>
      </x:c>
      <x:c r="U412" s="653">
        <x:v>0</x:v>
      </x:c>
      <x:c r="V412" s="653">
        <x:v>0</x:v>
      </x:c>
      <x:c r="W412" s="653">
        <x:v>0</x:v>
      </x:c>
      <x:c r="X412" s="653">
        <x:v>0</x:v>
      </x:c>
      <x:c r="Y412" s="627">
        <x:v>0</x:v>
      </x:c>
      <x:c r="Z412" s="653" t="n">
        <x:v>0</x:v>
      </x:c>
      <x:c r="BN412" s="624"/>
    </x:row>
    <x:row r="413" spans="1:66" x14ac:dyDescent="0.25">
      <x:c r="A413" s="667"/>
      <x:c r="B413" s="667"/>
      <x:c r="C413" s="647"/>
      <x:c r="D413" s="647" t="inlineStr">
        <x:is>
          <x:t>O</x:t>
        </x:is>
      </x:c>
      <x:c r="E413" s="667" t="inlineStr">
        <x:is>
          <x:t>Total</x:t>
        </x:is>
      </x:c>
      <x:c r="F413" s="648" t="n">
        <x:v>5662210.16</x:v>
      </x:c>
      <x:c r="G413" s="648" t="n">
        <x:v>3127334.66</x:v>
      </x:c>
      <x:c r="H413" s="648" t="n">
        <x:v>1832930.21</x:v>
      </x:c>
      <x:c r="I413" s="648" t="n">
        <x:v>982982.55</x:v>
      </x:c>
      <x:c r="J413" s="648" t="n">
        <x:v>-2926361.39</x:v>
      </x:c>
      <x:c r="K413" s="648" t="n">
        <x:v>-82726.43</x:v>
      </x:c>
      <x:c r="L413" s="648" t="n">
        <x:v>0</x:v>
      </x:c>
      <x:c r="M413" s="648" t="n">
        <x:v>-726530.48</x:v>
      </x:c>
      <x:c r="N413" s="648" t="n">
        <x:v>-893736.62</x:v>
      </x:c>
      <x:c r="O413" s="648" t="n">
        <x:v>-3791233.16</x:v>
      </x:c>
      <x:c r="P413" s="648" t="n">
        <x:v>8274314.98</x:v>
      </x:c>
      <x:c r="Q413" s="648" t="n">
        <x:v>-134764.16</x:v>
      </x:c>
      <x:c r="R413" s="648" t="n">
        <x:v>0</x:v>
      </x:c>
      <x:c r="S413" s="648">
        <x:v>0</x:v>
      </x:c>
      <x:c r="T413" s="648" t="n">
        <x:v>0</x:v>
      </x:c>
      <x:c r="U413" s="648">
        <x:v>0</x:v>
      </x:c>
      <x:c r="V413" s="648">
        <x:v>0</x:v>
      </x:c>
      <x:c r="W413" s="648">
        <x:v>0</x:v>
      </x:c>
      <x:c r="X413" s="672">
        <x:v>0</x:v>
      </x:c>
      <x:c r="Y413" s="672">
        <x:v>0</x:v>
      </x:c>
      <x:c r="Z413" s="672" t="n">
        <x:v>0</x:v>
      </x:c>
      <x:c r="AA413" s="667"/>
      <x:c r="AB413" s="667"/>
      <x:c r="AC413" s="667"/>
      <x:c r="AD413" s="667"/>
      <x:c r="AE413" s="667"/>
      <x:c r="AF413" s="667"/>
      <x:c r="AG413" s="667"/>
      <x:c r="AH413" s="667"/>
      <x:c r="AI413" s="667"/>
      <x:c r="AJ413" s="667"/>
      <x:c r="AK413" s="667"/>
      <x:c r="AL413" s="667"/>
      <x:c r="AM413" s="667"/>
      <x:c r="AN413" s="667"/>
      <x:c r="AO413" s="667"/>
      <x:c r="AP413" s="667"/>
      <x:c r="AQ413" s="667"/>
      <x:c r="AR413" s="667"/>
      <x:c r="AS413" s="667"/>
      <x:c r="AT413" s="667"/>
      <x:c r="AU413" s="667"/>
      <x:c r="AV413" s="667"/>
      <x:c r="AW413" s="667"/>
      <x:c r="AX413" s="667"/>
      <x:c r="AY413" s="667"/>
      <x:c r="AZ413" s="667"/>
      <x:c r="BA413" s="667"/>
      <x:c r="BB413" s="667"/>
      <x:c r="BC413" s="667"/>
      <x:c r="BD413" s="667"/>
      <x:c r="BE413" s="667"/>
      <x:c r="BF413" s="667"/>
      <x:c r="BG413" s="667"/>
      <x:c r="BH413" s="667"/>
      <x:c r="BI413" s="667"/>
      <x:c r="BJ413" s="667"/>
      <x:c r="BK413" s="667"/>
      <x:c r="BL413" s="667"/>
      <x:c r="BM413" s="667"/>
      <x:c r="BN413" s="624"/>
    </x:row>
    <x:row r="414" spans="1:66" x14ac:dyDescent="0.25">
      <x:c r="A414"/>
      <x:c r="B414"/>
      <x:c r="C414"/>
      <x:c r="D414"/>
      <x:c r="E414" s="625" t="inlineStr">
        <x:is>
          <x:t>Subsidio(-)/Contribucion(+)</x:t>
        </x:is>
      </x:c>
      <x:c r="F414" s="627" t="n">
        <x:v>4433691.5</x:v>
      </x:c>
      <x:c r="G414" s="627" t="n">
        <x:v>559733.61</x:v>
      </x:c>
      <x:c r="H414" s="627" t="n">
        <x:v>309610.7</x:v>
      </x:c>
      <x:c r="I414" s="627" t="n">
        <x:v>162521.6</x:v>
      </x:c>
      <x:c r="J414" s="627" t="n">
        <x:v>580911.03</x:v>
      </x:c>
      <x:c r="K414" s="627" t="n">
        <x:v>17897.18</x:v>
      </x:c>
      <x:c r="L414" s="627" t="n">
        <x:v>0</x:v>
      </x:c>
      <x:c r="M414" s="627" t="n">
        <x:v>157015.51</x:v>
      </x:c>
      <x:c r="N414" s="627" t="n">
        <x:v>195990.45</x:v>
      </x:c>
      <x:c r="O414" s="627" t="n">
        <x:v>927536.58</x:v>
      </x:c>
      <x:c r="P414" s="627" t="n">
        <x:v>1493266.41</x:v>
      </x:c>
      <x:c r="Q414" s="627" t="n">
        <x:v>29208.43</x:v>
      </x:c>
      <x:c r="R414" s="627" t="n">
        <x:v>0</x:v>
      </x:c>
      <x:c r="S414" s="627">
        <x:v>0</x:v>
      </x:c>
      <x:c r="T414" s="653" t="n">
        <x:v>0</x:v>
      </x:c>
      <x:c r="U414" s="653">
        <x:v>0</x:v>
      </x:c>
      <x:c r="V414" s="653">
        <x:v>0</x:v>
      </x:c>
      <x:c r="W414" s="653">
        <x:v>0</x:v>
      </x:c>
      <x:c r="X414" s="653">
        <x:v>0</x:v>
      </x:c>
      <x:c r="Y414" s="627">
        <x:v>0</x:v>
      </x:c>
      <x:c r="Z414" s="653" t="n">
        <x:v>0</x:v>
      </x:c>
      <x:c r="BN414" s="624"/>
    </x:row>
    <x:row r="415" spans="1:66" x14ac:dyDescent="0.25">
      <x:c r="A415"/>
      <x:c r="B415"/>
      <x:c r="C415"/>
      <x:c r="D415" s="625" t="inlineStr">
        <x:is>
          <x:t>T</x:t>
        </x:is>
      </x:c>
      <x:c r="E415" s="625" t="inlineStr">
        <x:is>
          <x:t>Total</x:t>
        </x:is>
      </x:c>
      <x:c r="F415" s="627" t="n">
        <x:v>4433691.5</x:v>
      </x:c>
      <x:c r="G415" s="627" t="n">
        <x:v>559733.61</x:v>
      </x:c>
      <x:c r="H415" s="627" t="n">
        <x:v>309610.7</x:v>
      </x:c>
      <x:c r="I415" s="627" t="n">
        <x:v>162521.6</x:v>
      </x:c>
      <x:c r="J415" s="627" t="n">
        <x:v>580911.03</x:v>
      </x:c>
      <x:c r="K415" s="627" t="n">
        <x:v>17897.18</x:v>
      </x:c>
      <x:c r="L415" s="627" t="n">
        <x:v>0</x:v>
      </x:c>
      <x:c r="M415" s="627" t="n">
        <x:v>157015.51</x:v>
      </x:c>
      <x:c r="N415" s="627" t="n">
        <x:v>195990.45</x:v>
      </x:c>
      <x:c r="O415" s="627" t="n">
        <x:v>927536.58</x:v>
      </x:c>
      <x:c r="P415" s="627" t="n">
        <x:v>1493266.41</x:v>
      </x:c>
      <x:c r="Q415" s="627" t="n">
        <x:v>29208.43</x:v>
      </x:c>
      <x:c r="R415" s="627" t="n">
        <x:v>0</x:v>
      </x:c>
      <x:c r="S415" s="627">
        <x:v>0</x:v>
      </x:c>
      <x:c r="T415" s="653" t="n">
        <x:v>0</x:v>
      </x:c>
      <x:c r="U415" s="653">
        <x:v>0</x:v>
      </x:c>
      <x:c r="V415" s="653">
        <x:v>0</x:v>
      </x:c>
      <x:c r="W415" s="653">
        <x:v>0</x:v>
      </x:c>
      <x:c r="X415" s="653">
        <x:v>0</x:v>
      </x:c>
      <x:c r="Y415" s="627">
        <x:v>0</x:v>
      </x:c>
      <x:c r="Z415" s="653" t="n">
        <x:v>0</x:v>
      </x:c>
      <x:c r="BN415" s="624"/>
    </x:row>
    <x:row r="416" spans="1:66" x14ac:dyDescent="0.25">
      <x:c r="A416"/>
      <x:c r="B416"/>
      <x:c r="C416" t="inlineStr">
        <x:is>
          <x:t>OCCIDENTE</x:t>
        </x:is>
      </x:c>
      <x:c r="D416" t="inlineStr">
        <x:is>
          <x:t>Total</x:t>
        </x:is>
      </x:c>
      <x:c r="E416" s="625"/>
      <x:c r="F416" s="627" t="n">
        <x:v>13718891.96</x:v>
      </x:c>
      <x:c r="G416" s="627" t="n">
        <x:v>4277290.41</x:v>
      </x:c>
      <x:c r="H416" s="627" t="n">
        <x:v>2478747.83</x:v>
      </x:c>
      <x:c r="I416" s="627" t="n">
        <x:v>1320322.01</x:v>
      </x:c>
      <x:c r="J416" s="627" t="n">
        <x:v>-2020695.26</x:v>
      </x:c>
      <x:c r="K416" s="627" t="n">
        <x:v>-56637.86</x:v>
      </x:c>
      <x:c r="L416" s="627" t="n">
        <x:v>0</x:v>
      </x:c>
      <x:c r="M416" s="627" t="n">
        <x:v>-498592.73</x:v>
      </x:c>
      <x:c r="N416" s="627" t="n">
        <x:v>-608364.95</x:v>
      </x:c>
      <x:c r="O416" s="627" t="n">
        <x:v>-2417950.73</x:v>
      </x:c>
      <x:c r="P416" s="627" t="n">
        <x:v>11337135.07</x:v>
      </x:c>
      <x:c r="Q416" s="627" t="n">
        <x:v>-92361.83</x:v>
      </x:c>
      <x:c r="R416" s="627" t="n">
        <x:v>0</x:v>
      </x:c>
      <x:c r="S416" s="627">
        <x:v>0</x:v>
      </x:c>
      <x:c r="T416" s="653" t="n">
        <x:v>0</x:v>
      </x:c>
      <x:c r="U416" s="653">
        <x:v>0</x:v>
      </x:c>
      <x:c r="V416" s="653">
        <x:v>0</x:v>
      </x:c>
      <x:c r="W416" s="653">
        <x:v>0</x:v>
      </x:c>
      <x:c r="X416" s="653">
        <x:v>0</x:v>
      </x:c>
      <x:c r="Y416" s="627">
        <x:v>0</x:v>
      </x:c>
      <x:c r="Z416" s="653" t="n">
        <x:v>0</x:v>
      </x:c>
      <x:c r="BN416" s="624"/>
    </x:row>
    <x:row r="417" spans="1:66" x14ac:dyDescent="0.25">
      <x:c r="A417"/>
      <x:c r="B417" t="inlineStr">
        <x:is>
          <x:t>Mes</x:t>
        </x:is>
      </x:c>
      <x:c r="C417" t="inlineStr">
        <x:is>
          <x:t>Total</x:t>
        </x:is>
      </x:c>
      <x:c r="D417" s="625"/>
      <x:c r="E417" s="625"/>
      <x:c r="F417" s="627" t="n">
        <x:v>-574296773.04</x:v>
      </x:c>
      <x:c r="G417" s="627" t="n">
        <x:v>43242245.8</x:v>
      </x:c>
      <x:c r="H417" s="627" t="n">
        <x:v>24090932.92</x:v>
      </x:c>
      <x:c r="I417" s="627" t="n">
        <x:v>12642469.71</x:v>
      </x:c>
      <x:c r="J417" s="627" t="n">
        <x:v>-216602383.56</x:v>
      </x:c>
      <x:c r="K417" s="627" t="n">
        <x:v>-8559088.55</x:v>
      </x:c>
      <x:c r="L417" s="627" t="n">
        <x:v>0</x:v>
      </x:c>
      <x:c r="M417" s="627" t="n">
        <x:v>-75168327.92</x:v>
      </x:c>
      <x:c r="N417" s="627" t="n">
        <x:v>-73713176.22</x:v>
      </x:c>
      <x:c r="O417" s="627" t="n">
        <x:v>-380347980.51</x:v>
      </x:c>
      <x:c r="P417" s="627" t="n">
        <x:v>114083330.38</x:v>
      </x:c>
      <x:c r="Q417" s="627" t="n">
        <x:v>-13964795.09</x:v>
      </x:c>
      <x:c r="R417" s="627" t="n">
        <x:v>0</x:v>
      </x:c>
      <x:c r="S417" s="627">
        <x:v>0</x:v>
      </x:c>
      <x:c r="T417" s="653" t="n">
        <x:v>0</x:v>
      </x:c>
      <x:c r="U417" s="653">
        <x:v>0</x:v>
      </x:c>
      <x:c r="V417" s="653">
        <x:v>0</x:v>
      </x:c>
      <x:c r="W417" s="653">
        <x:v>0</x:v>
      </x:c>
      <x:c r="X417" s="653">
        <x:v>0</x:v>
      </x:c>
      <x:c r="Y417" s="627">
        <x:v>0</x:v>
      </x:c>
      <x:c r="Z417" s="653" t="n">
        <x:v>0</x:v>
      </x:c>
      <x:c r="BN417" s="624"/>
    </x:row>
    <x:row r="418" spans="1:66" x14ac:dyDescent="0.25">
      <x:c r="A418" t="inlineStr">
        <x:is>
          <x:t>Subs/Cont</x:t>
        </x:is>
      </x:c>
      <x:c r="B418" t="inlineStr">
        <x:is>
          <x:t>Total</x:t>
        </x:is>
      </x:c>
      <x:c r="C418"/>
      <x:c r="D418"/>
      <x:c r="E418" s="625"/>
      <x:c r="F418" s="627" t="n">
        <x:v>-574166690.91</x:v>
      </x:c>
      <x:c r="G418" s="627" t="n">
        <x:v>43286491.5</x:v>
      </x:c>
      <x:c r="H418" s="627" t="n">
        <x:v>24115997.07</x:v>
      </x:c>
      <x:c r="I418" s="627" t="n">
        <x:v>12655661.36</x:v>
      </x:c>
      <x:c r="J418" s="627" t="n">
        <x:v>-216620078.65</x:v>
      </x:c>
      <x:c r="K418" s="627" t="n">
        <x:v>-8560193.81</x:v>
      </x:c>
      <x:c r="L418" s="627" t="n">
        <x:v>0</x:v>
      </x:c>
      <x:c r="M418" s="627" t="n">
        <x:v>-75178022.8</x:v>
      </x:c>
      <x:c r="N418" s="627" t="n">
        <x:v>-73719800.13</x:v>
      </x:c>
      <x:c r="O418" s="627" t="n">
        <x:v>-380381167.72</x:v>
      </x:c>
      <x:c r="P418" s="627" t="n">
        <x:v>114201020.59</x:v>
      </x:c>
      <x:c r="Q418" s="627" t="n">
        <x:v>-13966598.32</x:v>
      </x:c>
      <x:c r="R418" s="627" t="n">
        <x:v>0</x:v>
      </x:c>
      <x:c r="S418" s="627">
        <x:v>0</x:v>
      </x:c>
      <x:c r="T418" s="653" t="n">
        <x:v>0</x:v>
      </x:c>
      <x:c r="U418" s="653">
        <x:v>0</x:v>
      </x:c>
      <x:c r="V418" s="653">
        <x:v>0</x:v>
      </x:c>
      <x:c r="W418" s="653">
        <x:v>0</x:v>
      </x:c>
      <x:c r="X418" s="653">
        <x:v>0</x:v>
      </x:c>
      <x:c r="Y418" s="627">
        <x:v>0</x:v>
      </x:c>
      <x:c r="Z418" s="653" t="n">
        <x:v>0</x:v>
      </x:c>
      <x:c r="BN418" s="624"/>
    </x:row>
    <x:row r="419" spans="1:66" x14ac:dyDescent="0.25">
      <x:c r="A419" s="625" t="inlineStr">
        <x:is>
          <x:t>Total</x:t>
        </x:is>
      </x:c>
      <x:c r="B419"/>
      <x:c r="C419"/>
      <x:c r="D419"/>
      <x:c r="E419"/>
      <x:c r="F419" s="627" t="n">
        <x:v>10580797797.4</x:v>
      </x:c>
      <x:c r="G419" s="627" t="n">
        <x:v>685208303.23</x:v>
      </x:c>
      <x:c r="H419" s="627" t="n">
        <x:v>383446169.41</x:v>
      </x:c>
      <x:c r="I419" s="627" t="n">
        <x:v>201198887.82</x:v>
      </x:c>
      <x:c r="J419" s="627" t="n">
        <x:v>2141654866.21</x:v>
      </x:c>
      <x:c r="K419" s="627" t="n">
        <x:v>82470367.81</x:v>
      </x:c>
      <x:c r="L419" s="627" t="n">
        <x:v>22968513.57</x:v>
      </x:c>
      <x:c r="M419" s="627" t="n">
        <x:v>722673659.16</x:v>
      </x:c>
      <x:c r="N419" s="627" t="n">
        <x:v>715165606.59</x:v>
      </x:c>
      <x:c r="O419" s="627" t="n">
        <x:v>3679081357.4</x:v>
      </x:c>
      <x:c r="P419" s="627" t="n">
        <x:v>1812028983.89</x:v>
      </x:c>
      <x:c r="Q419" s="627" t="n">
        <x:v>135061802.27</x:v>
      </x:c>
      <x:c r="R419" s="627" t="n">
        <x:v>-160669.86</x:v>
      </x:c>
      <x:c r="S419" s="627">
        <x:v>0</x:v>
      </x:c>
      <x:c r="T419" s="653" t="n">
        <x:v>36.05</x:v>
      </x:c>
      <x:c r="U419" s="653">
        <x:v>0</x:v>
      </x:c>
      <x:c r="V419" s="653">
        <x:v>0</x:v>
      </x:c>
      <x:c r="W419" s="653">
        <x:v>0</x:v>
      </x:c>
      <x:c r="X419" s="653">
        <x:v>0</x:v>
      </x:c>
      <x:c r="Y419" s="627">
        <x:v>0</x:v>
      </x:c>
      <x:c r="Z419" s="653" t="n">
        <x:v>-86.15</x:v>
      </x:c>
      <x:c r="BN419" s="624"/>
    </x:row>
    <x:row r="420" spans="1:66" x14ac:dyDescent="0.25">
      <x:c r="A420" s="625"/>
      <x:c r="F420" s="627"/>
      <x:c r="G420" s="627"/>
      <x:c r="H420" s="627"/>
      <x:c r="I420" s="627"/>
      <x:c r="J420" s="627"/>
      <x:c r="K420" s="627"/>
      <x:c r="L420" s="627"/>
      <x:c r="M420" s="627"/>
      <x:c r="N420" s="627"/>
      <x:c r="O420" s="627"/>
      <x:c r="P420" s="627"/>
      <x:c r="Q420" s="627"/>
      <x:c r="R420" s="627"/>
      <x:c r="S420" s="627"/>
      <x:c r="T420" s="627"/>
      <x:c r="U420" s="627"/>
      <x:c r="V420" s="627"/>
      <x:c r="W420" s="627"/>
      <x:c r="BN420" s="624"/>
    </x:row>
    <x:row r="421" spans="1:66" x14ac:dyDescent="0.25">
      <x:c r="A421" s="625"/>
      <x:c r="F421" s="627"/>
      <x:c r="G421" s="627"/>
      <x:c r="H421" s="627"/>
      <x:c r="I421" s="627"/>
      <x:c r="J421" s="627"/>
      <x:c r="K421" s="627"/>
      <x:c r="L421" s="627"/>
      <x:c r="M421" s="627"/>
      <x:c r="N421" s="627"/>
      <x:c r="O421" s="627"/>
      <x:c r="P421" s="627"/>
      <x:c r="Q421" s="627"/>
      <x:c r="R421" s="627"/>
      <x:c r="S421" s="627"/>
      <x:c r="BN421" s="624"/>
    </x:row>
    <x:row r="422" spans="1:66" x14ac:dyDescent="0.25">
      <x:c r="A422" s="625"/>
      <x:c r="F422" s="627"/>
      <x:c r="G422" s="627"/>
      <x:c r="H422" s="627"/>
      <x:c r="I422" s="627"/>
      <x:c r="J422" s="627"/>
      <x:c r="K422" s="627"/>
      <x:c r="L422" s="627"/>
      <x:c r="M422" s="627"/>
      <x:c r="N422" s="627"/>
      <x:c r="O422" s="627"/>
      <x:c r="P422" s="627"/>
      <x:c r="Q422" s="627"/>
      <x:c r="R422" s="627"/>
      <x:c r="S422" s="627"/>
      <x:c r="BN422" s="624"/>
    </x:row>
    <x:row r="423" spans="1:66" x14ac:dyDescent="0.25">
      <x:c r="A423" s="625"/>
      <x:c r="F423" s="627"/>
      <x:c r="G423" s="627"/>
      <x:c r="H423" s="627"/>
      <x:c r="I423" s="627"/>
      <x:c r="J423" s="627"/>
      <x:c r="K423" s="627"/>
      <x:c r="L423" s="627"/>
      <x:c r="M423" s="627"/>
      <x:c r="N423" s="627"/>
      <x:c r="O423" s="627"/>
      <x:c r="P423" s="627"/>
      <x:c r="Q423" s="627"/>
      <x:c r="R423" s="627"/>
      <x:c r="S423" s="627"/>
      <x:c r="BN423" s="624"/>
    </x:row>
    <x:row r="424" spans="1:66" x14ac:dyDescent="0.25">
      <x:c r="A424" s="625"/>
      <x:c r="F424" s="627"/>
      <x:c r="G424" s="627"/>
      <x:c r="H424" s="627"/>
      <x:c r="I424" s="627"/>
      <x:c r="J424" s="627"/>
      <x:c r="K424" s="627"/>
      <x:c r="L424" s="627"/>
      <x:c r="M424" s="627"/>
      <x:c r="N424" s="627"/>
      <x:c r="O424" s="627"/>
      <x:c r="P424" s="627"/>
      <x:c r="Q424" s="627"/>
      <x:c r="R424" s="627"/>
      <x:c r="S424" s="627"/>
      <x:c r="BN424" s="624"/>
    </x:row>
    <x:row r="425" spans="1:66" x14ac:dyDescent="0.25">
      <x:c r="A425" s="625"/>
      <x:c r="F425" s="627"/>
      <x:c r="G425" s="627"/>
      <x:c r="H425" s="627"/>
      <x:c r="I425" s="627"/>
      <x:c r="J425" s="627"/>
      <x:c r="K425" s="627"/>
      <x:c r="L425" s="627"/>
      <x:c r="M425" s="627"/>
      <x:c r="N425" s="627"/>
      <x:c r="O425" s="627"/>
      <x:c r="P425" s="627"/>
      <x:c r="Q425" s="627"/>
      <x:c r="R425" s="627"/>
      <x:c r="S425" s="627"/>
      <x:c r="BN425" s="624"/>
    </x:row>
    <x:row r="426" spans="1:66" x14ac:dyDescent="0.25">
      <x:c r="A426" s="625"/>
      <x:c r="F426" s="627"/>
      <x:c r="G426" s="627"/>
      <x:c r="H426" s="627"/>
      <x:c r="I426" s="627"/>
      <x:c r="J426" s="627"/>
      <x:c r="K426" s="627"/>
      <x:c r="L426" s="627"/>
      <x:c r="M426" s="627"/>
      <x:c r="N426" s="627"/>
      <x:c r="O426" s="627"/>
      <x:c r="P426" s="627"/>
      <x:c r="Q426" s="627"/>
      <x:c r="R426" s="627"/>
      <x:c r="S426" s="627"/>
      <x:c r="BN426" s="624"/>
    </x:row>
    <x:row r="427" spans="1:66" x14ac:dyDescent="0.25">
      <x:c r="A427" s="625"/>
      <x:c r="F427" s="627"/>
      <x:c r="G427" s="627"/>
      <x:c r="H427" s="627"/>
      <x:c r="I427" s="627"/>
      <x:c r="J427" s="627"/>
      <x:c r="K427" s="627"/>
      <x:c r="L427" s="627"/>
      <x:c r="M427" s="627"/>
      <x:c r="N427" s="627"/>
      <x:c r="O427" s="627"/>
      <x:c r="P427" s="627"/>
      <x:c r="Q427" s="627"/>
      <x:c r="R427" s="627"/>
      <x:c r="S427" s="627"/>
      <x:c r="BN427" s="624"/>
    </x:row>
    <x:row r="428" spans="1:66" x14ac:dyDescent="0.25">
      <x:c r="A428" s="625"/>
      <x:c r="F428" s="627"/>
      <x:c r="G428" s="627"/>
      <x:c r="H428" s="627"/>
      <x:c r="I428" s="627"/>
      <x:c r="J428" s="627"/>
      <x:c r="K428" s="627"/>
      <x:c r="L428" s="627"/>
      <x:c r="M428" s="627"/>
      <x:c r="N428" s="627"/>
      <x:c r="O428" s="627"/>
      <x:c r="P428" s="627"/>
      <x:c r="Q428" s="627"/>
      <x:c r="R428" s="627"/>
      <x:c r="S428" s="627"/>
      <x:c r="BN428" s="624"/>
    </x:row>
    <x:row r="429" spans="1:66" x14ac:dyDescent="0.25">
      <x:c r="A429" s="625"/>
      <x:c r="F429" s="627"/>
      <x:c r="G429" s="627"/>
      <x:c r="H429" s="627"/>
      <x:c r="I429" s="627"/>
      <x:c r="J429" s="627"/>
      <x:c r="K429" s="627"/>
      <x:c r="L429" s="627"/>
      <x:c r="M429" s="627"/>
      <x:c r="N429" s="627"/>
      <x:c r="O429" s="627"/>
      <x:c r="P429" s="627"/>
      <x:c r="Q429" s="627"/>
      <x:c r="R429" s="627"/>
      <x:c r="S429" s="627"/>
      <x:c r="BN429" s="624"/>
    </x:row>
    <x:row r="430" spans="1:66" x14ac:dyDescent="0.25">
      <x:c r="A430" s="625"/>
      <x:c r="F430" s="627"/>
      <x:c r="G430" s="627"/>
      <x:c r="H430" s="627"/>
      <x:c r="I430" s="627"/>
      <x:c r="J430" s="627"/>
      <x:c r="K430" s="627"/>
      <x:c r="L430" s="627"/>
      <x:c r="M430" s="627"/>
      <x:c r="N430" s="627"/>
      <x:c r="O430" s="627"/>
      <x:c r="P430" s="627"/>
      <x:c r="Q430" s="627"/>
      <x:c r="R430" s="627"/>
      <x:c r="S430" s="627"/>
      <x:c r="BN430" s="624"/>
    </x:row>
    <x:row r="431" spans="1:66" x14ac:dyDescent="0.25">
      <x:c r="A431" s="625"/>
      <x:c r="F431" s="627"/>
      <x:c r="G431" s="627"/>
      <x:c r="H431" s="627"/>
      <x:c r="I431" s="627"/>
      <x:c r="J431" s="627"/>
      <x:c r="K431" s="627"/>
      <x:c r="L431" s="627"/>
      <x:c r="M431" s="627"/>
      <x:c r="N431" s="627"/>
      <x:c r="O431" s="627"/>
      <x:c r="P431" s="627"/>
      <x:c r="Q431" s="627"/>
      <x:c r="R431" s="627"/>
      <x:c r="S431" s="627"/>
      <x:c r="BN431" s="624"/>
    </x:row>
    <x:row r="432" spans="1:66" x14ac:dyDescent="0.25">
      <x:c r="A432" s="625"/>
      <x:c r="F432" s="627"/>
      <x:c r="G432" s="627"/>
      <x:c r="H432" s="627"/>
      <x:c r="I432" s="627"/>
      <x:c r="J432" s="627"/>
      <x:c r="K432" s="627"/>
      <x:c r="L432" s="627"/>
      <x:c r="M432" s="627"/>
      <x:c r="N432" s="627"/>
      <x:c r="O432" s="627"/>
      <x:c r="P432" s="627"/>
      <x:c r="Q432" s="627"/>
      <x:c r="R432" s="627"/>
      <x:c r="S432" s="627"/>
      <x:c r="BN432" s="624"/>
    </x:row>
    <x:row r="433" spans="1:66" x14ac:dyDescent="0.25">
      <x:c r="A433" s="625"/>
      <x:c r="F433" s="627"/>
      <x:c r="G433" s="627"/>
      <x:c r="H433" s="627"/>
      <x:c r="I433" s="627"/>
      <x:c r="J433" s="627"/>
      <x:c r="K433" s="627"/>
      <x:c r="L433" s="627"/>
      <x:c r="M433" s="627"/>
      <x:c r="N433" s="627"/>
      <x:c r="O433" s="627"/>
      <x:c r="P433" s="627"/>
      <x:c r="Q433" s="627"/>
      <x:c r="R433" s="627"/>
      <x:c r="S433" s="627"/>
      <x:c r="BN433" s="624"/>
    </x:row>
    <x:row r="434" spans="1:66" x14ac:dyDescent="0.25">
      <x:c r="A434" s="625"/>
      <x:c r="F434" s="627"/>
      <x:c r="G434" s="627"/>
      <x:c r="H434" s="627"/>
      <x:c r="I434" s="627"/>
      <x:c r="J434" s="627"/>
      <x:c r="K434" s="627"/>
      <x:c r="L434" s="627"/>
      <x:c r="M434" s="627"/>
      <x:c r="N434" s="627"/>
      <x:c r="O434" s="627"/>
      <x:c r="P434" s="627"/>
      <x:c r="Q434" s="627"/>
      <x:c r="R434" s="627"/>
      <x:c r="S434" s="627"/>
      <x:c r="BN434" s="624"/>
    </x:row>
    <x:row r="435" spans="1:66" x14ac:dyDescent="0.25">
      <x:c r="A435" s="625"/>
      <x:c r="F435" s="627"/>
      <x:c r="G435" s="627"/>
      <x:c r="H435" s="627"/>
      <x:c r="I435" s="627"/>
      <x:c r="J435" s="627"/>
      <x:c r="K435" s="627"/>
      <x:c r="L435" s="627"/>
      <x:c r="M435" s="627"/>
      <x:c r="N435" s="627"/>
      <x:c r="O435" s="627"/>
      <x:c r="P435" s="627"/>
      <x:c r="Q435" s="627"/>
      <x:c r="R435" s="627"/>
      <x:c r="S435" s="627"/>
      <x:c r="BN435" s="624"/>
    </x:row>
    <x:row r="436" spans="1:66" x14ac:dyDescent="0.25">
      <x:c r="A436" s="625"/>
      <x:c r="F436" s="627"/>
      <x:c r="G436" s="627"/>
      <x:c r="H436" s="627"/>
      <x:c r="I436" s="627"/>
      <x:c r="J436" s="627"/>
      <x:c r="K436" s="627"/>
      <x:c r="L436" s="627"/>
      <x:c r="M436" s="627"/>
      <x:c r="N436" s="627"/>
      <x:c r="O436" s="627"/>
      <x:c r="P436" s="627"/>
      <x:c r="Q436" s="627"/>
      <x:c r="R436" s="627"/>
      <x:c r="S436" s="627"/>
      <x:c r="BN436" s="624"/>
    </x:row>
    <x:row r="437" spans="1:66" x14ac:dyDescent="0.25">
      <x:c r="C437" s="773" t="s">
        <x:v>2</x:v>
      </x:c>
      <x:c r="D437" s="770" t="s">
        <x:v>132</x:v>
      </x:c>
      <x:c r="E437" s="639" t="s">
        <x:v>70</x:v>
      </x:c>
      <x:c r="F437" s="640">
        <x:f>F391+F417+F357-L357-L391</x:f>
        <x:v>0</x:v>
      </x:c>
      <x:c r="G437" s="640">
        <x:f t="shared" ref="G437:AO437" si="20">G391+G357</x:f>
        <x:v>0</x:v>
      </x:c>
      <x:c r="H437" s="640">
        <x:f t="shared" si="20"/>
        <x:v>0</x:v>
      </x:c>
      <x:c r="I437" s="640">
        <x:f t="shared" si="20"/>
        <x:v>0</x:v>
      </x:c>
      <x:c r="J437" s="640">
        <x:f t="shared" si="20"/>
        <x:v>0</x:v>
      </x:c>
      <x:c r="K437" s="640">
        <x:f t="shared" si="20"/>
        <x:v>0</x:v>
      </x:c>
      <x:c r="L437" s="640">
        <x:f t="shared" si="20"/>
        <x:v>0</x:v>
      </x:c>
      <x:c r="M437" s="640">
        <x:f t="shared" si="20"/>
        <x:v>0</x:v>
      </x:c>
      <x:c r="N437" s="640">
        <x:f t="shared" si="20"/>
        <x:v>0</x:v>
      </x:c>
      <x:c r="O437" s="640">
        <x:f t="shared" si="20"/>
        <x:v>0</x:v>
      </x:c>
      <x:c r="P437" s="640">
        <x:f t="shared" si="20"/>
        <x:v>0</x:v>
      </x:c>
      <x:c r="Q437" s="640">
        <x:f t="shared" si="20"/>
        <x:v>0</x:v>
      </x:c>
      <x:c r="R437" s="640">
        <x:f t="shared" si="20"/>
        <x:v>0</x:v>
      </x:c>
      <x:c r="S437" s="640">
        <x:f t="shared" si="20"/>
        <x:v>0</x:v>
      </x:c>
      <x:c r="T437" s="640">
        <x:f t="shared" si="20"/>
        <x:v>0</x:v>
      </x:c>
      <x:c r="U437" s="640">
        <x:f t="shared" si="20"/>
        <x:v>0</x:v>
      </x:c>
      <x:c r="V437" s="640">
        <x:f t="shared" si="20"/>
        <x:v>0</x:v>
      </x:c>
      <x:c r="W437" s="640">
        <x:f t="shared" si="20"/>
        <x:v>0</x:v>
      </x:c>
      <x:c r="X437" s="640">
        <x:f t="shared" si="20"/>
        <x:v>0</x:v>
      </x:c>
      <x:c r="Y437" s="640">
        <x:f t="shared" si="20"/>
        <x:v>0</x:v>
      </x:c>
      <x:c r="Z437" s="640">
        <x:f t="shared" si="20"/>
        <x:v>0</x:v>
      </x:c>
      <x:c r="AA437" s="640">
        <x:f t="shared" si="20"/>
        <x:v>0</x:v>
      </x:c>
      <x:c r="AB437" s="640">
        <x:f t="shared" si="20"/>
        <x:v>0</x:v>
      </x:c>
      <x:c r="AC437" s="640">
        <x:f t="shared" si="20"/>
        <x:v>0</x:v>
      </x:c>
      <x:c r="AD437" s="640">
        <x:f t="shared" si="20"/>
        <x:v>0</x:v>
      </x:c>
      <x:c r="AE437" s="640">
        <x:f t="shared" si="20"/>
        <x:v>0</x:v>
      </x:c>
      <x:c r="AF437" s="640">
        <x:f t="shared" si="20"/>
        <x:v>0</x:v>
      </x:c>
      <x:c r="AG437" s="640">
        <x:f t="shared" si="20"/>
        <x:v>0</x:v>
      </x:c>
      <x:c r="AH437" s="640">
        <x:f t="shared" si="20"/>
        <x:v>0</x:v>
      </x:c>
      <x:c r="AI437" s="640">
        <x:f t="shared" si="20"/>
        <x:v>0</x:v>
      </x:c>
      <x:c r="AJ437" s="640">
        <x:f t="shared" si="20"/>
        <x:v>0</x:v>
      </x:c>
      <x:c r="AK437" s="640">
        <x:f t="shared" si="20"/>
        <x:v>0</x:v>
      </x:c>
      <x:c r="AL437" s="640">
        <x:f t="shared" si="20"/>
        <x:v>0</x:v>
      </x:c>
      <x:c r="AM437" s="640">
        <x:f t="shared" si="20"/>
        <x:v>0</x:v>
      </x:c>
      <x:c r="AN437" s="640">
        <x:f t="shared" si="20"/>
        <x:v>0</x:v>
      </x:c>
      <x:c r="AO437" s="640">
        <x:f t="shared" si="20"/>
        <x:v>0</x:v>
      </x:c>
      <x:c r="BN437" s="624"/>
    </x:row>
    <x:row r="438" spans="1:66" x14ac:dyDescent="0.25">
      <x:c r="C438" s="773"/>
      <x:c r="D438" s="770"/>
      <x:c r="E438" s="639" t="s">
        <x:v>73</x:v>
      </x:c>
      <x:c r="F438" s="640">
        <x:f>F419</x:f>
        <x:v>0</x:v>
      </x:c>
      <x:c r="G438" s="627"/>
      <x:c r="H438" s="627"/>
      <x:c r="I438" s="627"/>
      <x:c r="J438" s="627"/>
      <x:c r="K438" s="627"/>
      <x:c r="L438" s="627"/>
      <x:c r="M438" s="627"/>
      <x:c r="N438" s="627"/>
      <x:c r="O438" s="627"/>
      <x:c r="P438" s="627"/>
      <x:c r="Q438" s="627"/>
      <x:c r="R438" s="627"/>
      <x:c r="S438" s="627"/>
      <x:c r="BN438" s="624"/>
    </x:row>
    <x:row r="439" spans="1:66" x14ac:dyDescent="0.25">
      <x:c r="C439" s="773"/>
      <x:c r="D439" s="770" t="s">
        <x:v>133</x:v>
      </x:c>
      <x:c r="E439" s="645" t="s">
        <x:v>70</x:v>
      </x:c>
      <x:c r="F439" s="646">
        <x:f>F401+F369-L369</x:f>
        <x:v>0</x:v>
      </x:c>
      <x:c r="G439" s="646">
        <x:f t="shared" ref="G439:AA439" si="21">G370</x:f>
        <x:v>0</x:v>
      </x:c>
      <x:c r="H439" s="646">
        <x:f t="shared" si="21"/>
        <x:v>0</x:v>
      </x:c>
      <x:c r="I439" s="646">
        <x:f t="shared" si="21"/>
        <x:v>0</x:v>
      </x:c>
      <x:c r="J439" s="646">
        <x:f t="shared" si="21"/>
        <x:v>0</x:v>
      </x:c>
      <x:c r="K439" s="646">
        <x:f t="shared" si="21"/>
        <x:v>0</x:v>
      </x:c>
      <x:c r="L439" s="646">
        <x:f t="shared" si="21"/>
        <x:v>0</x:v>
      </x:c>
      <x:c r="M439" s="646">
        <x:f t="shared" si="21"/>
        <x:v>0</x:v>
      </x:c>
      <x:c r="N439" s="646">
        <x:f t="shared" si="21"/>
        <x:v>0</x:v>
      </x:c>
      <x:c r="O439" s="646">
        <x:f t="shared" si="21"/>
        <x:v>0</x:v>
      </x:c>
      <x:c r="P439" s="646">
        <x:f t="shared" si="21"/>
        <x:v>0</x:v>
      </x:c>
      <x:c r="Q439" s="646">
        <x:f t="shared" si="21"/>
        <x:v>0</x:v>
      </x:c>
      <x:c r="R439" s="646">
        <x:f t="shared" si="21"/>
        <x:v>0</x:v>
      </x:c>
      <x:c r="S439" s="646">
        <x:f t="shared" si="21"/>
        <x:v>0</x:v>
      </x:c>
      <x:c r="T439" s="646">
        <x:f t="shared" si="21"/>
        <x:v>0</x:v>
      </x:c>
      <x:c r="U439" s="646">
        <x:f t="shared" si="21"/>
        <x:v>0</x:v>
      </x:c>
      <x:c r="V439" s="646">
        <x:f t="shared" si="21"/>
        <x:v>0</x:v>
      </x:c>
      <x:c r="W439" s="646">
        <x:f t="shared" si="21"/>
        <x:v>0</x:v>
      </x:c>
      <x:c r="X439" s="646">
        <x:f t="shared" si="21"/>
        <x:v>0</x:v>
      </x:c>
      <x:c r="Y439" s="646">
        <x:f t="shared" si="21"/>
        <x:v>0</x:v>
      </x:c>
      <x:c r="Z439" s="646">
        <x:f t="shared" si="21"/>
        <x:v>0</x:v>
      </x:c>
      <x:c r="AA439" s="646">
        <x:f t="shared" si="21"/>
        <x:v>0</x:v>
      </x:c>
      <x:c r="BN439" s="624"/>
    </x:row>
    <x:row r="440" spans="1:66" x14ac:dyDescent="0.25">
      <x:c r="C440" s="773"/>
      <x:c r="D440" s="770"/>
      <x:c r="E440" s="645" t="s">
        <x:v>73</x:v>
      </x:c>
      <x:c r="F440" s="646">
        <x:f>F403</x:f>
        <x:v>0</x:v>
      </x:c>
      <x:c r="G440" s="627"/>
      <x:c r="H440" s="627"/>
      <x:c r="I440" s="627"/>
      <x:c r="J440" s="627"/>
      <x:c r="K440" s="627"/>
      <x:c r="L440" s="627"/>
      <x:c r="M440" s="627"/>
      <x:c r="N440" s="627"/>
      <x:c r="O440" s="627"/>
      <x:c r="P440" s="627"/>
      <x:c r="Q440" s="627"/>
      <x:c r="R440" s="627"/>
      <x:c r="BN440" s="624"/>
    </x:row>
    <x:row r="441" spans="1:66" x14ac:dyDescent="0.25">
      <x:c r="A441" s="625"/>
      <x:c r="C441" s="50"/>
      <x:c r="F441" s="627"/>
      <x:c r="G441" s="627"/>
      <x:c r="H441" s="627"/>
      <x:c r="I441" s="627"/>
      <x:c r="J441" s="627"/>
      <x:c r="K441" s="627"/>
      <x:c r="L441" s="627"/>
      <x:c r="M441" s="627"/>
      <x:c r="N441" s="627"/>
      <x:c r="O441" s="627"/>
      <x:c r="P441" s="627"/>
      <x:c r="Q441" s="627"/>
      <x:c r="R441" s="627"/>
      <x:c r="S441" s="627"/>
      <x:c r="BN441" s="624"/>
    </x:row>
    <x:row r="442" spans="1:66" x14ac:dyDescent="0.25">
      <x:c r="C442" s="773" t="s">
        <x:v>160</x:v>
      </x:c>
      <x:c r="D442" s="770" t="s">
        <x:v>132</x:v>
      </x:c>
      <x:c r="E442" s="647" t="s">
        <x:v>70</x:v>
      </x:c>
      <x:c r="F442" s="648">
        <x:f>F413+F384-L384</x:f>
        <x:v>0</x:v>
      </x:c>
      <x:c r="G442" s="648">
        <x:f t="shared" ref="G442:AO442" si="22">G384</x:f>
        <x:v>0</x:v>
      </x:c>
      <x:c r="H442" s="648">
        <x:f t="shared" si="22"/>
        <x:v>0</x:v>
      </x:c>
      <x:c r="I442" s="648">
        <x:f t="shared" si="22"/>
        <x:v>0</x:v>
      </x:c>
      <x:c r="J442" s="648">
        <x:f t="shared" si="22"/>
        <x:v>0</x:v>
      </x:c>
      <x:c r="K442" s="648">
        <x:f t="shared" si="22"/>
        <x:v>0</x:v>
      </x:c>
      <x:c r="L442" s="648">
        <x:f t="shared" si="22"/>
        <x:v>0</x:v>
      </x:c>
      <x:c r="M442" s="648">
        <x:f t="shared" si="22"/>
        <x:v>0</x:v>
      </x:c>
      <x:c r="N442" s="648">
        <x:f t="shared" si="22"/>
        <x:v>0</x:v>
      </x:c>
      <x:c r="O442" s="648">
        <x:f t="shared" si="22"/>
        <x:v>0</x:v>
      </x:c>
      <x:c r="P442" s="648">
        <x:f t="shared" si="22"/>
        <x:v>0</x:v>
      </x:c>
      <x:c r="Q442" s="648">
        <x:f t="shared" si="22"/>
        <x:v>0</x:v>
      </x:c>
      <x:c r="R442" s="648">
        <x:f t="shared" si="22"/>
        <x:v>0</x:v>
      </x:c>
      <x:c r="S442" s="648">
        <x:f t="shared" si="22"/>
        <x:v>0</x:v>
      </x:c>
      <x:c r="T442" s="648">
        <x:f t="shared" si="22"/>
        <x:v>0</x:v>
      </x:c>
      <x:c r="U442" s="648">
        <x:f t="shared" si="22"/>
        <x:v>0</x:v>
      </x:c>
      <x:c r="V442" s="648">
        <x:f t="shared" si="22"/>
        <x:v>0</x:v>
      </x:c>
      <x:c r="W442" s="648">
        <x:f t="shared" si="22"/>
        <x:v>0</x:v>
      </x:c>
      <x:c r="X442" s="648">
        <x:f t="shared" si="22"/>
        <x:v>0</x:v>
      </x:c>
      <x:c r="Y442" s="648">
        <x:f t="shared" si="22"/>
        <x:v>0</x:v>
      </x:c>
      <x:c r="Z442" s="648">
        <x:f t="shared" si="22"/>
        <x:v>0</x:v>
      </x:c>
      <x:c r="AA442" s="648">
        <x:f t="shared" si="22"/>
        <x:v>0</x:v>
      </x:c>
      <x:c r="AB442" s="648">
        <x:f t="shared" si="22"/>
        <x:v>0</x:v>
      </x:c>
      <x:c r="AC442" s="648">
        <x:f t="shared" si="22"/>
        <x:v>0</x:v>
      </x:c>
      <x:c r="AD442" s="648">
        <x:f t="shared" si="22"/>
        <x:v>0</x:v>
      </x:c>
      <x:c r="AE442" s="648">
        <x:f t="shared" si="22"/>
        <x:v>0</x:v>
      </x:c>
      <x:c r="AF442" s="648">
        <x:f t="shared" si="22"/>
        <x:v>0</x:v>
      </x:c>
      <x:c r="AG442" s="648">
        <x:f t="shared" si="22"/>
        <x:v>0</x:v>
      </x:c>
      <x:c r="AH442" s="648">
        <x:f t="shared" si="22"/>
        <x:v>0</x:v>
      </x:c>
      <x:c r="AI442" s="648">
        <x:f t="shared" si="22"/>
        <x:v>0</x:v>
      </x:c>
      <x:c r="AJ442" s="648">
        <x:f t="shared" si="22"/>
        <x:v>0</x:v>
      </x:c>
      <x:c r="AK442" s="648">
        <x:f t="shared" si="22"/>
        <x:v>0</x:v>
      </x:c>
      <x:c r="AL442" s="648">
        <x:f t="shared" si="22"/>
        <x:v>0</x:v>
      </x:c>
      <x:c r="AM442" s="648">
        <x:f t="shared" si="22"/>
        <x:v>0</x:v>
      </x:c>
      <x:c r="AN442" s="648">
        <x:f t="shared" si="22"/>
        <x:v>0</x:v>
      </x:c>
      <x:c r="AO442" s="648">
        <x:f t="shared" si="22"/>
        <x:v>0</x:v>
      </x:c>
      <x:c r="BN442" s="624"/>
    </x:row>
    <x:row r="443" spans="1:66" x14ac:dyDescent="0.25">
      <x:c r="C443" s="773"/>
      <x:c r="D443" s="770"/>
      <x:c r="E443" s="647" t="s">
        <x:v>73</x:v>
      </x:c>
      <x:c r="F443" s="648">
        <x:f>F413</x:f>
        <x:v>0</x:v>
      </x:c>
      <x:c r="G443" s="627"/>
      <x:c r="H443" s="627"/>
      <x:c r="I443" s="627"/>
      <x:c r="J443" s="627"/>
      <x:c r="K443" s="627"/>
      <x:c r="L443" s="627"/>
      <x:c r="M443" s="627"/>
      <x:c r="N443" s="627"/>
      <x:c r="O443" s="627"/>
      <x:c r="P443" s="627"/>
      <x:c r="Q443" s="627"/>
      <x:c r="R443" s="627"/>
      <x:c r="S443" s="627"/>
      <x:c r="BN443" s="624"/>
    </x:row>
    <x:row r="444" spans="1:66" x14ac:dyDescent="0.25">
      <x:c r="C444" s="773"/>
      <x:c r="D444" s="770" t="s">
        <x:v>133</x:v>
      </x:c>
      <x:c r="E444" s="649" t="s">
        <x:v>70</x:v>
      </x:c>
      <x:c r="F444" s="650">
        <x:f>F365-L365</x:f>
        <x:v>0</x:v>
      </x:c>
      <x:c r="G444" s="650">
        <x:f>G365</x:f>
        <x:v>0</x:v>
      </x:c>
      <x:c r="H444" s="650">
        <x:f t="shared" ref="H444:Z444" si="23">H365</x:f>
        <x:v>0</x:v>
      </x:c>
      <x:c r="I444" s="650">
        <x:f t="shared" si="23"/>
        <x:v>0</x:v>
      </x:c>
      <x:c r="J444" s="650">
        <x:f t="shared" si="23"/>
        <x:v>0</x:v>
      </x:c>
      <x:c r="K444" s="650">
        <x:f t="shared" si="23"/>
        <x:v>0</x:v>
      </x:c>
      <x:c r="L444" s="650">
        <x:f t="shared" si="23"/>
        <x:v>0</x:v>
      </x:c>
      <x:c r="M444" s="650">
        <x:f t="shared" si="23"/>
        <x:v>0</x:v>
      </x:c>
      <x:c r="N444" s="650">
        <x:f t="shared" si="23"/>
        <x:v>0</x:v>
      </x:c>
      <x:c r="O444" s="650">
        <x:f t="shared" si="23"/>
        <x:v>0</x:v>
      </x:c>
      <x:c r="P444" s="650">
        <x:f t="shared" si="23"/>
        <x:v>0</x:v>
      </x:c>
      <x:c r="Q444" s="650">
        <x:f t="shared" si="23"/>
        <x:v>0</x:v>
      </x:c>
      <x:c r="R444" s="650">
        <x:f t="shared" si="23"/>
        <x:v>0</x:v>
      </x:c>
      <x:c r="S444" s="650">
        <x:f t="shared" si="23"/>
        <x:v>0</x:v>
      </x:c>
      <x:c r="T444" s="650">
        <x:f t="shared" si="23"/>
        <x:v>0</x:v>
      </x:c>
      <x:c r="U444" s="650">
        <x:f t="shared" si="23"/>
        <x:v>0</x:v>
      </x:c>
      <x:c r="V444" s="650">
        <x:f t="shared" si="23"/>
        <x:v>0</x:v>
      </x:c>
      <x:c r="W444" s="650">
        <x:f t="shared" si="23"/>
        <x:v>0</x:v>
      </x:c>
      <x:c r="X444" s="650">
        <x:f t="shared" si="23"/>
        <x:v>0</x:v>
      </x:c>
      <x:c r="Y444" s="650">
        <x:f t="shared" si="23"/>
        <x:v>0</x:v>
      </x:c>
      <x:c r="Z444" s="650">
        <x:f t="shared" si="23"/>
        <x:v>0</x:v>
      </x:c>
      <x:c r="BN444" s="624"/>
    </x:row>
    <x:row r="445" spans="1:66" x14ac:dyDescent="0.25">
      <x:c r="C445" s="773"/>
      <x:c r="D445" s="770"/>
      <x:c r="E445" s="649" t="s">
        <x:v>73</x:v>
      </x:c>
      <x:c r="F445" s="650">
        <x:v>0</x:v>
      </x:c>
      <x:c r="G445" s="627"/>
      <x:c r="H445" s="627"/>
      <x:c r="I445" s="627"/>
      <x:c r="J445" s="627"/>
      <x:c r="K445" s="627"/>
      <x:c r="L445" s="627"/>
      <x:c r="M445" s="627"/>
      <x:c r="N445" s="627"/>
      <x:c r="O445" s="627"/>
      <x:c r="P445" s="627"/>
      <x:c r="Q445" s="627"/>
      <x:c r="R445" s="627"/>
      <x:c r="BN445" s="624"/>
    </x:row>
    <x:row r="446" spans="1:66" x14ac:dyDescent="0.25">
      <x:c r="A446" s="625"/>
      <x:c r="C446" s="50"/>
      <x:c r="F446" s="627"/>
      <x:c r="G446" s="627"/>
      <x:c r="H446" s="627"/>
      <x:c r="I446" s="627"/>
      <x:c r="J446" s="627"/>
      <x:c r="K446" s="627"/>
      <x:c r="L446" s="627"/>
      <x:c r="M446" s="627"/>
      <x:c r="N446" s="627"/>
      <x:c r="O446" s="627"/>
      <x:c r="P446" s="627"/>
      <x:c r="Q446" s="627"/>
      <x:c r="R446" s="627"/>
      <x:c r="S446" s="627"/>
      <x:c r="BN446" s="624"/>
    </x:row>
    <x:row r="447" spans="1:66" x14ac:dyDescent="0.25">
      <x:c r="C447" s="773" t="s">
        <x:v>155</x:v>
      </x:c>
      <x:c r="D447" s="770" t="s">
        <x:v>132</x:v>
      </x:c>
      <x:c r="E447" s="651" t="s">
        <x:v>70</x:v>
      </x:c>
      <x:c r="F447" s="652">
        <x:f>F406+F374+F353-L353-L374</x:f>
        <x:v>0</x:v>
      </x:c>
      <x:c r="G447" s="652">
        <x:f t="shared" ref="G447:Z447" si="24">G374+G353</x:f>
        <x:v>0</x:v>
      </x:c>
      <x:c r="H447" s="652">
        <x:f t="shared" si="24"/>
        <x:v>0</x:v>
      </x:c>
      <x:c r="I447" s="652">
        <x:f t="shared" si="24"/>
        <x:v>0</x:v>
      </x:c>
      <x:c r="J447" s="652">
        <x:f t="shared" si="24"/>
        <x:v>0</x:v>
      </x:c>
      <x:c r="K447" s="652">
        <x:f t="shared" si="24"/>
        <x:v>0</x:v>
      </x:c>
      <x:c r="L447" s="652">
        <x:f t="shared" si="24"/>
        <x:v>0</x:v>
      </x:c>
      <x:c r="M447" s="652">
        <x:f t="shared" si="24"/>
        <x:v>0</x:v>
      </x:c>
      <x:c r="N447" s="652">
        <x:f t="shared" si="24"/>
        <x:v>0</x:v>
      </x:c>
      <x:c r="O447" s="652">
        <x:f t="shared" si="24"/>
        <x:v>0</x:v>
      </x:c>
      <x:c r="P447" s="652">
        <x:f t="shared" si="24"/>
        <x:v>0</x:v>
      </x:c>
      <x:c r="Q447" s="652">
        <x:f t="shared" si="24"/>
        <x:v>0</x:v>
      </x:c>
      <x:c r="R447" s="652">
        <x:f t="shared" si="24"/>
        <x:v>0</x:v>
      </x:c>
      <x:c r="S447" s="652">
        <x:f t="shared" si="24"/>
        <x:v>0</x:v>
      </x:c>
      <x:c r="T447" s="652">
        <x:f t="shared" si="24"/>
        <x:v>0</x:v>
      </x:c>
      <x:c r="U447" s="652">
        <x:f t="shared" si="24"/>
        <x:v>0</x:v>
      </x:c>
      <x:c r="V447" s="652">
        <x:f t="shared" si="24"/>
        <x:v>0</x:v>
      </x:c>
      <x:c r="W447" s="652">
        <x:f t="shared" si="24"/>
        <x:v>0</x:v>
      </x:c>
      <x:c r="X447" s="652">
        <x:f t="shared" si="24"/>
        <x:v>0</x:v>
      </x:c>
      <x:c r="Y447" s="652">
        <x:f t="shared" si="24"/>
        <x:v>0</x:v>
      </x:c>
      <x:c r="Z447" s="652">
        <x:f t="shared" si="24"/>
        <x:v>0</x:v>
      </x:c>
      <x:c r="BN447" s="624"/>
    </x:row>
    <x:row r="448" spans="1:66" x14ac:dyDescent="0.25">
      <x:c r="C448" s="773"/>
      <x:c r="D448" s="770"/>
      <x:c r="E448" s="651" t="s">
        <x:v>73</x:v>
      </x:c>
      <x:c r="F448" s="652">
        <x:f>F406</x:f>
        <x:v>0</x:v>
      </x:c>
      <x:c r="G448" s="627"/>
      <x:c r="H448" s="627"/>
      <x:c r="I448" s="627"/>
      <x:c r="J448" s="627"/>
      <x:c r="K448" s="627"/>
      <x:c r="L448" s="627"/>
      <x:c r="M448" s="627"/>
      <x:c r="N448" s="627"/>
      <x:c r="O448" s="627"/>
      <x:c r="P448" s="627"/>
      <x:c r="Q448" s="627"/>
      <x:c r="R448" s="627"/>
      <x:c r="S448" s="627"/>
      <x:c r="BN448" s="624"/>
    </x:row>
    <x:row r="449" spans="1:66" x14ac:dyDescent="0.25">
      <x:c r="C449" s="773"/>
      <x:c r="D449" s="770" t="s">
        <x:v>133</x:v>
      </x:c>
      <x:c r="E449" s="629" t="s">
        <x:v>70</x:v>
      </x:c>
      <x:c r="F449" s="630">
        <x:f>F399+F362-L362</x:f>
        <x:v>0</x:v>
      </x:c>
      <x:c r="G449" s="630">
        <x:f>G362</x:f>
        <x:v>0</x:v>
      </x:c>
      <x:c r="H449" s="630">
        <x:f t="shared" ref="H449:Z449" si="25">H362</x:f>
        <x:v>0</x:v>
      </x:c>
      <x:c r="I449" s="630">
        <x:f t="shared" si="25"/>
        <x:v>0</x:v>
      </x:c>
      <x:c r="J449" s="630">
        <x:f t="shared" si="25"/>
        <x:v>0</x:v>
      </x:c>
      <x:c r="K449" s="630">
        <x:f t="shared" si="25"/>
        <x:v>0</x:v>
      </x:c>
      <x:c r="L449" s="630">
        <x:f t="shared" si="25"/>
        <x:v>0</x:v>
      </x:c>
      <x:c r="M449" s="630">
        <x:f t="shared" si="25"/>
        <x:v>0</x:v>
      </x:c>
      <x:c r="N449" s="630">
        <x:f t="shared" si="25"/>
        <x:v>0</x:v>
      </x:c>
      <x:c r="O449" s="630">
        <x:f t="shared" si="25"/>
        <x:v>0</x:v>
      </x:c>
      <x:c r="P449" s="630">
        <x:f t="shared" si="25"/>
        <x:v>0</x:v>
      </x:c>
      <x:c r="Q449" s="630">
        <x:f t="shared" si="25"/>
        <x:v>0</x:v>
      </x:c>
      <x:c r="R449" s="630">
        <x:f t="shared" si="25"/>
        <x:v>0</x:v>
      </x:c>
      <x:c r="S449" s="630">
        <x:f t="shared" si="25"/>
        <x:v>0</x:v>
      </x:c>
      <x:c r="T449" s="630">
        <x:f t="shared" si="25"/>
        <x:v>0</x:v>
      </x:c>
      <x:c r="U449" s="630">
        <x:f t="shared" si="25"/>
        <x:v>0</x:v>
      </x:c>
      <x:c r="V449" s="630">
        <x:f t="shared" si="25"/>
        <x:v>0</x:v>
      </x:c>
      <x:c r="W449" s="630">
        <x:f t="shared" si="25"/>
        <x:v>0</x:v>
      </x:c>
      <x:c r="X449" s="630">
        <x:f t="shared" si="25"/>
        <x:v>0</x:v>
      </x:c>
      <x:c r="Y449" s="630">
        <x:f t="shared" si="25"/>
        <x:v>0</x:v>
      </x:c>
      <x:c r="Z449" s="630">
        <x:f t="shared" si="25"/>
        <x:v>0</x:v>
      </x:c>
      <x:c r="BN449" s="624"/>
    </x:row>
    <x:row r="450" spans="1:66" x14ac:dyDescent="0.25">
      <x:c r="C450" s="773"/>
      <x:c r="D450" s="770"/>
      <x:c r="E450" s="629" t="s">
        <x:v>73</x:v>
      </x:c>
      <x:c r="F450" s="630">
        <x:f>F399</x:f>
        <x:v>0</x:v>
      </x:c>
      <x:c r="G450" s="627"/>
      <x:c r="H450" s="627"/>
      <x:c r="I450" s="627"/>
      <x:c r="J450" s="627"/>
      <x:c r="K450" s="627"/>
      <x:c r="L450" s="627"/>
      <x:c r="M450" s="627"/>
      <x:c r="N450" s="627"/>
      <x:c r="O450" s="627"/>
      <x:c r="P450" s="627"/>
      <x:c r="Q450" s="627"/>
      <x:c r="R450" s="627"/>
      <x:c r="BN450" s="624"/>
    </x:row>
    <x:row r="451" spans="1:66" x14ac:dyDescent="0.25">
      <x:c r="A451" s="625"/>
      <x:c r="C451" s="50"/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S451" s="627"/>
      <x:c r="BN451" s="624"/>
    </x:row>
    <x:row r="452" spans="1:66" x14ac:dyDescent="0.25">
      <x:c r="C452" s="771" t="s">
        <x:v>326</x:v>
      </x:c>
      <x:c r="D452" s="770" t="s">
        <x:v>132</x:v>
      </x:c>
      <x:c r="E452" s="654" t="s">
        <x:v>70</x:v>
      </x:c>
      <x:c r="F452" s="655">
        <x:v>0</x:v>
      </x:c>
      <x:c r="G452" s="655">
        <x:v>0</x:v>
      </x:c>
      <x:c r="H452" s="655">
        <x:v>0</x:v>
      </x:c>
      <x:c r="I452" s="655">
        <x:v>0</x:v>
      </x:c>
      <x:c r="J452" s="655">
        <x:v>0</x:v>
      </x:c>
      <x:c r="K452" s="655">
        <x:v>0</x:v>
      </x:c>
      <x:c r="L452" s="655">
        <x:v>0</x:v>
      </x:c>
      <x:c r="M452" s="655">
        <x:v>0</x:v>
      </x:c>
      <x:c r="N452" s="655">
        <x:v>0</x:v>
      </x:c>
      <x:c r="O452" s="655">
        <x:v>0</x:v>
      </x:c>
      <x:c r="P452" s="655">
        <x:v>0</x:v>
      </x:c>
      <x:c r="Q452" s="655">
        <x:v>0</x:v>
      </x:c>
      <x:c r="R452" s="655">
        <x:v>0</x:v>
      </x:c>
      <x:c r="S452" s="655">
        <x:v>0</x:v>
      </x:c>
      <x:c r="T452" s="655">
        <x:v>0</x:v>
      </x:c>
      <x:c r="U452" s="655">
        <x:v>0</x:v>
      </x:c>
      <x:c r="V452" s="655">
        <x:v>0</x:v>
      </x:c>
      <x:c r="W452" s="655">
        <x:v>0</x:v>
      </x:c>
      <x:c r="X452" s="655">
        <x:v>0</x:v>
      </x:c>
      <x:c r="Y452" s="655">
        <x:v>0</x:v>
      </x:c>
      <x:c r="Z452" s="655">
        <x:v>0</x:v>
      </x:c>
      <x:c r="AA452" s="655">
        <x:v>0</x:v>
      </x:c>
      <x:c r="AB452" s="655">
        <x:v>0</x:v>
      </x:c>
      <x:c r="AC452" s="655">
        <x:v>0</x:v>
      </x:c>
      <x:c r="AD452" s="655">
        <x:v>0</x:v>
      </x:c>
      <x:c r="AE452" s="655">
        <x:v>0</x:v>
      </x:c>
      <x:c r="AF452" s="655">
        <x:v>0</x:v>
      </x:c>
      <x:c r="AG452" s="655">
        <x:v>0</x:v>
      </x:c>
      <x:c r="AH452" s="655">
        <x:v>0</x:v>
      </x:c>
      <x:c r="AI452" s="655">
        <x:v>0</x:v>
      </x:c>
      <x:c r="AJ452" s="655">
        <x:v>0</x:v>
      </x:c>
      <x:c r="AK452" s="655">
        <x:v>0</x:v>
      </x:c>
      <x:c r="AL452" s="655">
        <x:v>0</x:v>
      </x:c>
      <x:c r="AM452" s="655">
        <x:v>0</x:v>
      </x:c>
      <x:c r="AN452" s="655">
        <x:v>0</x:v>
      </x:c>
      <x:c r="AO452" s="655">
        <x:v>0</x:v>
      </x:c>
      <x:c r="BN452" s="624"/>
    </x:row>
    <x:row r="453" spans="1:66" x14ac:dyDescent="0.25">
      <x:c r="C453" s="771"/>
      <x:c r="D453" s="770"/>
      <x:c r="E453" s="654" t="s">
        <x:v>73</x:v>
      </x:c>
      <x:c r="F453" s="655">
        <x:v>0</x:v>
      </x:c>
      <x:c r="G453" s="627"/>
      <x:c r="H453" s="627"/>
      <x:c r="I453" s="627"/>
      <x:c r="J453" s="627"/>
      <x:c r="K453" s="627"/>
      <x:c r="L453" s="627"/>
      <x:c r="M453" s="627"/>
      <x:c r="N453" s="627"/>
      <x:c r="O453" s="627"/>
      <x:c r="P453" s="627"/>
      <x:c r="Q453" s="627"/>
      <x:c r="R453" s="627"/>
      <x:c r="S453" s="627"/>
      <x:c r="BN453" s="624"/>
    </x:row>
    <x:row r="454" spans="1:66" x14ac:dyDescent="0.25">
      <x:c r="C454" s="771"/>
      <x:c r="D454" s="770" t="s">
        <x:v>133</x:v>
      </x:c>
      <x:c r="E454" s="656" t="s">
        <x:v>70</x:v>
      </x:c>
      <x:c r="F454" s="657">
        <x:v>0</x:v>
      </x:c>
      <x:c r="G454" s="657">
        <x:v>0</x:v>
      </x:c>
      <x:c r="H454" s="657">
        <x:v>0</x:v>
      </x:c>
      <x:c r="I454" s="657">
        <x:v>0</x:v>
      </x:c>
      <x:c r="J454" s="657">
        <x:v>0</x:v>
      </x:c>
      <x:c r="K454" s="657">
        <x:v>0</x:v>
      </x:c>
      <x:c r="L454" s="657">
        <x:v>0</x:v>
      </x:c>
      <x:c r="M454" s="657">
        <x:v>0</x:v>
      </x:c>
      <x:c r="N454" s="657">
        <x:v>0</x:v>
      </x:c>
      <x:c r="O454" s="657">
        <x:v>0</x:v>
      </x:c>
      <x:c r="P454" s="657">
        <x:v>0</x:v>
      </x:c>
      <x:c r="Q454" s="657">
        <x:v>0</x:v>
      </x:c>
      <x:c r="R454" s="657">
        <x:v>0</x:v>
      </x:c>
      <x:c r="S454" s="657">
        <x:v>0</x:v>
      </x:c>
      <x:c r="T454" s="657">
        <x:v>0</x:v>
      </x:c>
      <x:c r="U454" s="657">
        <x:v>0</x:v>
      </x:c>
      <x:c r="V454" s="657">
        <x:v>0</x:v>
      </x:c>
      <x:c r="W454" s="657">
        <x:v>0</x:v>
      </x:c>
      <x:c r="X454" s="657">
        <x:v>0</x:v>
      </x:c>
      <x:c r="Y454" s="657">
        <x:v>0</x:v>
      </x:c>
      <x:c r="Z454" s="657">
        <x:v>0</x:v>
      </x:c>
      <x:c r="AA454" s="657">
        <x:v>0</x:v>
      </x:c>
      <x:c r="AB454" s="657">
        <x:v>0</x:v>
      </x:c>
      <x:c r="AC454" s="657">
        <x:v>0</x:v>
      </x:c>
      <x:c r="AD454" s="657">
        <x:v>0</x:v>
      </x:c>
      <x:c r="AE454" s="657">
        <x:v>0</x:v>
      </x:c>
      <x:c r="AF454" s="657">
        <x:v>0</x:v>
      </x:c>
      <x:c r="AG454" s="657">
        <x:v>0</x:v>
      </x:c>
      <x:c r="AH454" s="657">
        <x:v>0</x:v>
      </x:c>
      <x:c r="AI454" s="657">
        <x:v>0</x:v>
      </x:c>
      <x:c r="AJ454" s="657">
        <x:v>0</x:v>
      </x:c>
      <x:c r="AK454" s="657">
        <x:v>0</x:v>
      </x:c>
      <x:c r="AL454" s="657">
        <x:v>0</x:v>
      </x:c>
      <x:c r="AM454" s="657">
        <x:v>0</x:v>
      </x:c>
      <x:c r="AN454" s="657">
        <x:v>0</x:v>
      </x:c>
      <x:c r="AO454" s="657">
        <x:v>0</x:v>
      </x:c>
      <x:c r="BN454" s="624"/>
    </x:row>
    <x:row r="455" spans="1:66" x14ac:dyDescent="0.25">
      <x:c r="C455" s="771"/>
      <x:c r="D455" s="770"/>
      <x:c r="E455" s="656" t="s">
        <x:v>73</x:v>
      </x:c>
      <x:c r="F455" s="657">
        <x:v>0</x:v>
      </x:c>
      <x:c r="G455" s="627"/>
      <x:c r="H455" s="627"/>
      <x:c r="I455" s="627"/>
      <x:c r="J455" s="627"/>
      <x:c r="K455" s="627"/>
      <x:c r="L455" s="627"/>
      <x:c r="M455" s="627"/>
      <x:c r="N455" s="627"/>
      <x:c r="O455" s="627"/>
      <x:c r="P455" s="627"/>
      <x:c r="Q455" s="627"/>
      <x:c r="R455" s="627"/>
      <x:c r="BN455" s="624"/>
    </x:row>
    <x:row r="456" spans="1:66" x14ac:dyDescent="0.25">
      <x:c r="A456" s="625"/>
      <x:c r="C456" s="50"/>
      <x:c r="F456" s="627"/>
      <x:c r="G456" s="627"/>
      <x:c r="H456" s="627"/>
      <x:c r="I456" s="627"/>
      <x:c r="J456" s="627"/>
      <x:c r="K456" s="627"/>
      <x:c r="L456" s="627"/>
      <x:c r="M456" s="627"/>
      <x:c r="N456" s="627"/>
      <x:c r="O456" s="627"/>
      <x:c r="P456" s="627"/>
      <x:c r="Q456" s="627"/>
      <x:c r="R456" s="627"/>
      <x:c r="S456" s="627"/>
      <x:c r="BN456" s="624"/>
    </x:row>
    <x:row r="457" spans="1:66" x14ac:dyDescent="0.25">
      <x:c r="C457" s="773" t="s">
        <x:v>119</x:v>
      </x:c>
      <x:c r="D457" s="770" t="s">
        <x:v>132</x:v>
      </x:c>
      <x:c r="E457" s="632" t="s">
        <x:v>70</x:v>
      </x:c>
      <x:c r="F457" s="633">
        <x:f>F419+F394+F356-L356-L394</x:f>
        <x:v>0</x:v>
      </x:c>
      <x:c r="G457" s="633">
        <x:f t="shared" ref="G457:AO457" si="26">G394+G356</x:f>
        <x:v>0</x:v>
      </x:c>
      <x:c r="H457" s="633">
        <x:f t="shared" si="26"/>
        <x:v>0</x:v>
      </x:c>
      <x:c r="I457" s="633">
        <x:f t="shared" si="26"/>
        <x:v>0</x:v>
      </x:c>
      <x:c r="J457" s="633">
        <x:f t="shared" si="26"/>
        <x:v>0</x:v>
      </x:c>
      <x:c r="K457" s="633">
        <x:f t="shared" si="26"/>
        <x:v>0</x:v>
      </x:c>
      <x:c r="L457" s="633">
        <x:f t="shared" si="26"/>
        <x:v>0</x:v>
      </x:c>
      <x:c r="M457" s="633">
        <x:f t="shared" si="26"/>
        <x:v>0</x:v>
      </x:c>
      <x:c r="N457" s="633">
        <x:f t="shared" si="26"/>
        <x:v>0</x:v>
      </x:c>
      <x:c r="O457" s="633">
        <x:f t="shared" si="26"/>
        <x:v>0</x:v>
      </x:c>
      <x:c r="P457" s="633">
        <x:f t="shared" si="26"/>
        <x:v>0</x:v>
      </x:c>
      <x:c r="Q457" s="633">
        <x:f t="shared" si="26"/>
        <x:v>0</x:v>
      </x:c>
      <x:c r="R457" s="633">
        <x:f t="shared" si="26"/>
        <x:v>0</x:v>
      </x:c>
      <x:c r="S457" s="633">
        <x:f t="shared" si="26"/>
        <x:v>0</x:v>
      </x:c>
      <x:c r="T457" s="633">
        <x:f t="shared" si="26"/>
        <x:v>0</x:v>
      </x:c>
      <x:c r="U457" s="633">
        <x:f t="shared" si="26"/>
        <x:v>0</x:v>
      </x:c>
      <x:c r="V457" s="633">
        <x:f t="shared" si="26"/>
        <x:v>0</x:v>
      </x:c>
      <x:c r="W457" s="633">
        <x:f t="shared" si="26"/>
        <x:v>0</x:v>
      </x:c>
      <x:c r="X457" s="633">
        <x:f t="shared" si="26"/>
        <x:v>0</x:v>
      </x:c>
      <x:c r="Y457" s="633">
        <x:f t="shared" si="26"/>
        <x:v>0</x:v>
      </x:c>
      <x:c r="Z457" s="633">
        <x:f t="shared" si="26"/>
        <x:v>0</x:v>
      </x:c>
      <x:c r="AA457" s="633">
        <x:f t="shared" si="26"/>
        <x:v>0</x:v>
      </x:c>
      <x:c r="AB457" s="633">
        <x:f t="shared" si="26"/>
        <x:v>0</x:v>
      </x:c>
      <x:c r="AC457" s="633">
        <x:f t="shared" si="26"/>
        <x:v>0</x:v>
      </x:c>
      <x:c r="AD457" s="633">
        <x:f t="shared" si="26"/>
        <x:v>0</x:v>
      </x:c>
      <x:c r="AE457" s="633">
        <x:f t="shared" si="26"/>
        <x:v>0</x:v>
      </x:c>
      <x:c r="AF457" s="633">
        <x:f t="shared" si="26"/>
        <x:v>0</x:v>
      </x:c>
      <x:c r="AG457" s="633">
        <x:f t="shared" si="26"/>
        <x:v>0</x:v>
      </x:c>
      <x:c r="AH457" s="633">
        <x:f t="shared" si="26"/>
        <x:v>0</x:v>
      </x:c>
      <x:c r="AI457" s="633">
        <x:f t="shared" si="26"/>
        <x:v>0</x:v>
      </x:c>
      <x:c r="AJ457" s="633">
        <x:f t="shared" si="26"/>
        <x:v>0</x:v>
      </x:c>
      <x:c r="AK457" s="633">
        <x:f t="shared" si="26"/>
        <x:v>0</x:v>
      </x:c>
      <x:c r="AL457" s="633">
        <x:f t="shared" si="26"/>
        <x:v>0</x:v>
      </x:c>
      <x:c r="AM457" s="633">
        <x:f t="shared" si="26"/>
        <x:v>0</x:v>
      </x:c>
      <x:c r="AN457" s="633">
        <x:f t="shared" si="26"/>
        <x:v>0</x:v>
      </x:c>
      <x:c r="AO457" s="633">
        <x:f t="shared" si="26"/>
        <x:v>0</x:v>
      </x:c>
      <x:c r="BN457" s="624"/>
    </x:row>
    <x:row r="458" spans="1:66" x14ac:dyDescent="0.25">
      <x:c r="C458" s="773"/>
      <x:c r="D458" s="770"/>
      <x:c r="E458" s="632" t="s">
        <x:v>73</x:v>
      </x:c>
      <x:c r="F458" s="633">
        <x:f>F419</x:f>
        <x:v>0</x:v>
      </x:c>
      <x:c r="G458" s="627"/>
      <x:c r="H458" s="627"/>
      <x:c r="I458" s="627"/>
      <x:c r="J458" s="627"/>
      <x:c r="K458" s="627"/>
      <x:c r="L458" s="627"/>
      <x:c r="M458" s="627"/>
      <x:c r="N458" s="627"/>
      <x:c r="O458" s="627"/>
      <x:c r="P458" s="627"/>
      <x:c r="Q458" s="627"/>
      <x:c r="R458" s="627"/>
      <x:c r="S458" s="627"/>
      <x:c r="BN458" s="624"/>
    </x:row>
    <x:row r="459" spans="1:66" x14ac:dyDescent="0.25">
      <x:c r="C459" s="773"/>
      <x:c r="D459" s="770" t="s">
        <x:v>133</x:v>
      </x:c>
      <x:c r="E459" s="658" t="s">
        <x:v>70</x:v>
      </x:c>
      <x:c r="F459" s="659">
        <x:f>F402+F369-L369</x:f>
        <x:v>0</x:v>
      </x:c>
      <x:c r="G459" s="659">
        <x:f t="shared" ref="G459:Z459" si="27">G369</x:f>
        <x:v>0</x:v>
      </x:c>
      <x:c r="H459" s="659">
        <x:f t="shared" si="27"/>
        <x:v>0</x:v>
      </x:c>
      <x:c r="I459" s="659">
        <x:f t="shared" si="27"/>
        <x:v>0</x:v>
      </x:c>
      <x:c r="J459" s="659">
        <x:f t="shared" si="27"/>
        <x:v>0</x:v>
      </x:c>
      <x:c r="K459" s="659">
        <x:f t="shared" si="27"/>
        <x:v>0</x:v>
      </x:c>
      <x:c r="L459" s="659">
        <x:f t="shared" si="27"/>
        <x:v>0</x:v>
      </x:c>
      <x:c r="M459" s="659">
        <x:f t="shared" si="27"/>
        <x:v>0</x:v>
      </x:c>
      <x:c r="N459" s="659">
        <x:f t="shared" si="27"/>
        <x:v>0</x:v>
      </x:c>
      <x:c r="O459" s="659">
        <x:f t="shared" si="27"/>
        <x:v>0</x:v>
      </x:c>
      <x:c r="P459" s="659">
        <x:f t="shared" si="27"/>
        <x:v>0</x:v>
      </x:c>
      <x:c r="Q459" s="659">
        <x:f t="shared" si="27"/>
        <x:v>0</x:v>
      </x:c>
      <x:c r="R459" s="659">
        <x:f t="shared" si="27"/>
        <x:v>0</x:v>
      </x:c>
      <x:c r="S459" s="659">
        <x:f t="shared" si="27"/>
        <x:v>0</x:v>
      </x:c>
      <x:c r="T459" s="659">
        <x:f t="shared" si="27"/>
        <x:v>0</x:v>
      </x:c>
      <x:c r="U459" s="659">
        <x:f t="shared" si="27"/>
        <x:v>0</x:v>
      </x:c>
      <x:c r="V459" s="659">
        <x:f t="shared" si="27"/>
        <x:v>0</x:v>
      </x:c>
      <x:c r="W459" s="659">
        <x:f t="shared" si="27"/>
        <x:v>0</x:v>
      </x:c>
      <x:c r="X459" s="659">
        <x:f t="shared" si="27"/>
        <x:v>0</x:v>
      </x:c>
      <x:c r="Y459" s="659">
        <x:f t="shared" si="27"/>
        <x:v>0</x:v>
      </x:c>
      <x:c r="Z459" s="659">
        <x:f t="shared" si="27"/>
        <x:v>0</x:v>
      </x:c>
      <x:c r="BN459" s="624"/>
    </x:row>
    <x:row r="460" spans="1:66" x14ac:dyDescent="0.25">
      <x:c r="C460" s="773"/>
      <x:c r="D460" s="770"/>
      <x:c r="E460" s="658" t="s">
        <x:v>73</x:v>
      </x:c>
      <x:c r="F460" s="659">
        <x:f>F402</x:f>
        <x:v>0</x:v>
      </x:c>
      <x:c r="G460" s="627"/>
      <x:c r="H460" s="627"/>
      <x:c r="I460" s="627"/>
      <x:c r="J460" s="627"/>
      <x:c r="K460" s="627"/>
      <x:c r="L460" s="627"/>
      <x:c r="M460" s="627"/>
      <x:c r="N460" s="627"/>
      <x:c r="O460" s="627"/>
      <x:c r="P460" s="627"/>
      <x:c r="Q460" s="627"/>
      <x:c r="R460" s="627"/>
      <x:c r="BN460" s="624"/>
    </x:row>
    <x:row r="461" spans="1:66" x14ac:dyDescent="0.25">
      <x:c r="A461" s="625"/>
      <x:c r="C461" s="50"/>
      <x:c r="F461" s="627"/>
      <x:c r="G461" s="627"/>
      <x:c r="H461" s="627"/>
      <x:c r="I461" s="627"/>
      <x:c r="J461" s="627"/>
      <x:c r="K461" s="627"/>
      <x:c r="L461" s="627"/>
      <x:c r="M461" s="627"/>
      <x:c r="N461" s="627"/>
      <x:c r="O461" s="627"/>
      <x:c r="P461" s="627"/>
      <x:c r="Q461" s="627"/>
      <x:c r="R461" s="627"/>
      <x:c r="S461" s="627"/>
      <x:c r="BN461" s="624"/>
    </x:row>
    <x:row r="462" spans="1:66" x14ac:dyDescent="0.25">
      <x:c r="C462" s="772" t="s">
        <x:v>161</x:v>
      </x:c>
      <x:c r="D462" s="770" t="s">
        <x:v>132</x:v>
      </x:c>
      <x:c r="E462" s="661" t="s">
        <x:v>70</x:v>
      </x:c>
      <x:c r="F462" s="662">
        <x:v>0</x:v>
      </x:c>
      <x:c r="G462" s="662">
        <x:v>0</x:v>
      </x:c>
      <x:c r="H462" s="662">
        <x:v>0</x:v>
      </x:c>
      <x:c r="I462" s="662">
        <x:v>0</x:v>
      </x:c>
      <x:c r="J462" s="662">
        <x:v>0</x:v>
      </x:c>
      <x:c r="K462" s="662">
        <x:v>0</x:v>
      </x:c>
      <x:c r="L462" s="662">
        <x:v>0</x:v>
      </x:c>
      <x:c r="M462" s="662">
        <x:v>0</x:v>
      </x:c>
      <x:c r="N462" s="662">
        <x:v>0</x:v>
      </x:c>
      <x:c r="O462" s="662">
        <x:v>0</x:v>
      </x:c>
      <x:c r="P462" s="662">
        <x:v>0</x:v>
      </x:c>
      <x:c r="Q462" s="662">
        <x:v>0</x:v>
      </x:c>
      <x:c r="R462" s="662">
        <x:v>0</x:v>
      </x:c>
      <x:c r="S462" s="662">
        <x:v>0</x:v>
      </x:c>
      <x:c r="T462" s="662">
        <x:v>0</x:v>
      </x:c>
      <x:c r="U462" s="662">
        <x:v>0</x:v>
      </x:c>
      <x:c r="V462" s="662">
        <x:v>0</x:v>
      </x:c>
      <x:c r="W462" s="662">
        <x:v>0</x:v>
      </x:c>
      <x:c r="X462" s="662">
        <x:v>0</x:v>
      </x:c>
      <x:c r="Y462" s="662">
        <x:v>0</x:v>
      </x:c>
      <x:c r="Z462" s="662">
        <x:v>0</x:v>
      </x:c>
      <x:c r="AA462" s="662">
        <x:v>0</x:v>
      </x:c>
      <x:c r="AB462" s="662">
        <x:v>0</x:v>
      </x:c>
      <x:c r="AC462" s="662">
        <x:v>0</x:v>
      </x:c>
      <x:c r="AD462" s="662">
        <x:v>0</x:v>
      </x:c>
      <x:c r="AE462" s="662">
        <x:v>0</x:v>
      </x:c>
      <x:c r="AF462" s="662">
        <x:v>0</x:v>
      </x:c>
      <x:c r="AG462" s="662">
        <x:v>0</x:v>
      </x:c>
      <x:c r="AH462" s="662">
        <x:v>0</x:v>
      </x:c>
      <x:c r="AI462" s="662">
        <x:v>0</x:v>
      </x:c>
      <x:c r="AJ462" s="662">
        <x:v>0</x:v>
      </x:c>
      <x:c r="AK462" s="662">
        <x:v>0</x:v>
      </x:c>
      <x:c r="AL462" s="662">
        <x:v>0</x:v>
      </x:c>
      <x:c r="AM462" s="662">
        <x:v>0</x:v>
      </x:c>
      <x:c r="AN462" s="662">
        <x:v>0</x:v>
      </x:c>
      <x:c r="AO462" s="662">
        <x:v>0</x:v>
      </x:c>
      <x:c r="BN462" s="624"/>
    </x:row>
    <x:row r="463" spans="1:66" x14ac:dyDescent="0.25">
      <x:c r="C463" s="772"/>
      <x:c r="D463" s="770"/>
      <x:c r="E463" s="661" t="s">
        <x:v>73</x:v>
      </x:c>
      <x:c r="F463" s="662">
        <x:v>0</x:v>
      </x:c>
      <x:c r="G463" s="627"/>
      <x:c r="H463" s="627"/>
      <x:c r="I463" s="627"/>
      <x:c r="J463" s="627"/>
      <x:c r="K463" s="627"/>
      <x:c r="L463" s="627"/>
      <x:c r="M463" s="627"/>
      <x:c r="N463" s="627"/>
      <x:c r="O463" s="627"/>
      <x:c r="P463" s="627"/>
      <x:c r="Q463" s="627"/>
      <x:c r="R463" s="627"/>
      <x:c r="S463" s="627"/>
      <x:c r="BN463" s="624"/>
    </x:row>
    <x:row r="464" spans="1:66" x14ac:dyDescent="0.25">
      <x:c r="C464" s="772"/>
      <x:c r="E464" s="663" t="s">
        <x:v>70</x:v>
      </x:c>
      <x:c r="F464" s="664">
        <x:v>0</x:v>
      </x:c>
      <x:c r="G464" s="664">
        <x:v>0</x:v>
      </x:c>
      <x:c r="H464" s="664">
        <x:v>0</x:v>
      </x:c>
      <x:c r="I464" s="664">
        <x:v>0</x:v>
      </x:c>
      <x:c r="J464" s="664">
        <x:v>0</x:v>
      </x:c>
      <x:c r="K464" s="664">
        <x:v>0</x:v>
      </x:c>
      <x:c r="L464" s="664">
        <x:v>0</x:v>
      </x:c>
      <x:c r="M464" s="664">
        <x:v>0</x:v>
      </x:c>
      <x:c r="N464" s="664">
        <x:v>0</x:v>
      </x:c>
      <x:c r="O464" s="664">
        <x:v>0</x:v>
      </x:c>
      <x:c r="P464" s="664">
        <x:v>0</x:v>
      </x:c>
      <x:c r="Q464" s="664">
        <x:v>0</x:v>
      </x:c>
      <x:c r="R464" s="664">
        <x:v>0</x:v>
      </x:c>
      <x:c r="S464" s="664">
        <x:v>0</x:v>
      </x:c>
      <x:c r="T464" s="664">
        <x:v>0</x:v>
      </x:c>
      <x:c r="U464" s="664">
        <x:v>0</x:v>
      </x:c>
      <x:c r="V464" s="664">
        <x:v>0</x:v>
      </x:c>
      <x:c r="W464" s="664">
        <x:v>0</x:v>
      </x:c>
      <x:c r="X464" s="664">
        <x:v>0</x:v>
      </x:c>
      <x:c r="Y464" s="664">
        <x:v>0</x:v>
      </x:c>
      <x:c r="Z464" s="664">
        <x:v>0</x:v>
      </x:c>
      <x:c r="BN464" s="624"/>
    </x:row>
    <x:row r="465" spans="1:66" x14ac:dyDescent="0.25">
      <x:c r="C465" s="772"/>
      <x:c r="D465" s="644" t="s">
        <x:v>132</x:v>
      </x:c>
      <x:c r="E465" s="663" t="s">
        <x:v>73</x:v>
      </x:c>
      <x:c r="F465" s="664">
        <x:v>0</x:v>
      </x:c>
      <x:c r="G465" s="627"/>
      <x:c r="H465" s="627"/>
      <x:c r="I465" s="627"/>
      <x:c r="J465" s="627"/>
      <x:c r="K465" s="627"/>
      <x:c r="L465" s="627"/>
      <x:c r="M465" s="627"/>
      <x:c r="N465" s="627"/>
      <x:c r="O465" s="627"/>
      <x:c r="P465" s="627"/>
      <x:c r="Q465" s="627"/>
      <x:c r="R465" s="627"/>
      <x:c r="BN465" s="624"/>
    </x:row>
    <x:row r="466" spans="1:66" x14ac:dyDescent="0.25">
      <x:c r="C466" s="660"/>
      <x:c r="D466" s="644"/>
      <x:c r="E466" s="625"/>
      <x:c r="F466" s="627"/>
      <x:c r="G466" s="627"/>
      <x:c r="H466" s="627"/>
      <x:c r="I466" s="627"/>
      <x:c r="J466" s="627"/>
      <x:c r="K466" s="627"/>
      <x:c r="L466" s="627"/>
      <x:c r="M466" s="627"/>
      <x:c r="N466" s="627"/>
      <x:c r="O466" s="627"/>
      <x:c r="P466" s="627"/>
      <x:c r="Q466" s="627"/>
      <x:c r="R466" s="627"/>
      <x:c r="BN466" s="624"/>
    </x:row>
    <x:row r="467" spans="1:66" x14ac:dyDescent="0.25">
      <x:c r="D467" s="634" t="s">
        <x:v>185</x:v>
      </x:c>
      <x:c r="E467" s="665" t="s">
        <x:v>70</x:v>
      </x:c>
      <x:c r="F467" s="666">
        <x:f t="shared" ref="F467:Z467" si="28">F358</x:f>
        <x:v>0</x:v>
      </x:c>
      <x:c r="G467" s="666">
        <x:f t="shared" si="28"/>
        <x:v>0</x:v>
      </x:c>
      <x:c r="H467" s="666">
        <x:f t="shared" si="28"/>
        <x:v>0</x:v>
      </x:c>
      <x:c r="I467" s="666">
        <x:f t="shared" si="28"/>
        <x:v>0</x:v>
      </x:c>
      <x:c r="J467" s="666">
        <x:f t="shared" si="28"/>
        <x:v>0</x:v>
      </x:c>
      <x:c r="K467" s="666">
        <x:f t="shared" si="28"/>
        <x:v>0</x:v>
      </x:c>
      <x:c r="L467" s="666">
        <x:f t="shared" si="28"/>
        <x:v>0</x:v>
      </x:c>
      <x:c r="M467" s="666">
        <x:f t="shared" si="28"/>
        <x:v>0</x:v>
      </x:c>
      <x:c r="N467" s="666">
        <x:f t="shared" si="28"/>
        <x:v>0</x:v>
      </x:c>
      <x:c r="O467" s="666">
        <x:f t="shared" si="28"/>
        <x:v>0</x:v>
      </x:c>
      <x:c r="P467" s="666">
        <x:f t="shared" si="28"/>
        <x:v>0</x:v>
      </x:c>
      <x:c r="Q467" s="666">
        <x:f t="shared" si="28"/>
        <x:v>0</x:v>
      </x:c>
      <x:c r="R467" s="666">
        <x:f t="shared" si="28"/>
        <x:v>0</x:v>
      </x:c>
      <x:c r="S467" s="666">
        <x:f t="shared" si="28"/>
        <x:v>0</x:v>
      </x:c>
      <x:c r="T467" s="666">
        <x:f t="shared" si="28"/>
        <x:v>0</x:v>
      </x:c>
      <x:c r="U467" s="666">
        <x:f t="shared" si="28"/>
        <x:v>0</x:v>
      </x:c>
      <x:c r="V467" s="666">
        <x:f t="shared" si="28"/>
        <x:v>0</x:v>
      </x:c>
      <x:c r="W467" s="666">
        <x:f t="shared" si="28"/>
        <x:v>0</x:v>
      </x:c>
      <x:c r="X467" s="666">
        <x:f t="shared" si="28"/>
        <x:v>0</x:v>
      </x:c>
      <x:c r="Y467" s="666">
        <x:f t="shared" si="28"/>
        <x:v>0</x:v>
      </x:c>
      <x:c r="Z467" s="666">
        <x:f t="shared" si="28"/>
        <x:v>0</x:v>
      </x:c>
      <x:c r="BN467" s="624"/>
    </x:row>
    <x:row r="468" spans="1:66" x14ac:dyDescent="0.25">
      <x:c r="C468" s="660"/>
      <x:c r="D468" s="644"/>
      <x:c r="E468" s="625"/>
      <x:c r="F468" s="627"/>
      <x:c r="G468" s="627"/>
      <x:c r="H468" s="627"/>
      <x:c r="I468" s="627"/>
      <x:c r="J468" s="627"/>
      <x:c r="K468" s="627"/>
      <x:c r="L468" s="627"/>
      <x:c r="M468" s="627"/>
      <x:c r="N468" s="627"/>
      <x:c r="O468" s="627"/>
      <x:c r="P468" s="627"/>
      <x:c r="Q468" s="627"/>
      <x:c r="R468" s="627"/>
      <x:c r="BN468" s="624"/>
    </x:row>
    <x:row r="469" spans="1:66" x14ac:dyDescent="0.25">
      <x:c r="A469" s="624"/>
      <x:c r="B469" s="624"/>
      <x:c r="C469" s="624"/>
      <x:c r="D469" s="624"/>
      <x:c r="E469" s="624"/>
      <x:c r="F469" s="624"/>
      <x:c r="G469" s="624"/>
      <x:c r="H469" s="624"/>
      <x:c r="I469" s="624"/>
      <x:c r="J469" s="624"/>
      <x:c r="K469" s="624"/>
      <x:c r="L469" s="624"/>
      <x:c r="M469" s="624"/>
      <x:c r="N469" s="624"/>
      <x:c r="O469" s="624"/>
      <x:c r="P469" s="624"/>
      <x:c r="Q469" s="624"/>
      <x:c r="R469" s="624"/>
      <x:c r="S469" s="624"/>
      <x:c r="T469" s="624"/>
      <x:c r="U469" s="624"/>
      <x:c r="V469" s="624"/>
      <x:c r="W469" s="624"/>
      <x:c r="X469" s="624"/>
      <x:c r="Y469" s="624"/>
      <x:c r="Z469" s="624"/>
      <x:c r="AA469" s="624"/>
      <x:c r="AB469" s="624"/>
      <x:c r="AC469" s="624"/>
      <x:c r="AD469" s="624"/>
      <x:c r="AE469" s="624"/>
      <x:c r="AF469" s="624"/>
      <x:c r="AG469" s="624"/>
      <x:c r="AH469" s="624"/>
      <x:c r="AI469" s="624"/>
      <x:c r="AJ469" s="624"/>
      <x:c r="AK469" s="624"/>
      <x:c r="AL469" s="624"/>
      <x:c r="AM469" s="624"/>
      <x:c r="AN469" s="624"/>
      <x:c r="AO469" s="624"/>
      <x:c r="AP469" s="624"/>
      <x:c r="AQ469" s="624"/>
      <x:c r="AR469" s="624"/>
      <x:c r="AS469" s="624"/>
      <x:c r="AT469" s="624"/>
      <x:c r="AU469" s="624"/>
      <x:c r="AV469" s="624"/>
      <x:c r="AW469" s="624"/>
      <x:c r="AX469" s="624"/>
      <x:c r="AY469" s="624"/>
      <x:c r="AZ469" s="624"/>
      <x:c r="BA469" s="624"/>
      <x:c r="BB469" s="624"/>
      <x:c r="BC469" s="624"/>
      <x:c r="BD469" s="624"/>
      <x:c r="BE469" s="624"/>
      <x:c r="BF469" s="624"/>
      <x:c r="BG469" s="624"/>
      <x:c r="BH469" s="624"/>
      <x:c r="BI469" s="624"/>
      <x:c r="BJ469" s="624"/>
      <x:c r="BK469" s="624"/>
      <x:c r="BL469" s="624"/>
      <x:c r="BM469" s="624"/>
      <x:c r="BN469" s="624"/>
    </x:row>
    <x:row r="470" spans="1:66" x14ac:dyDescent="0.25">
      <x:c r="A470" s="625"/>
      <x:c r="B470" s="50" t="s">
        <x:v>93</x:v>
      </x:c>
      <x:c r="E470" s="627"/>
      <x:c r="F470" s="627"/>
      <x:c r="G470" s="627"/>
      <x:c r="H470" s="627"/>
      <x:c r="I470" s="627"/>
      <x:c r="J470" s="627"/>
      <x:c r="K470" s="627"/>
      <x:c r="L470" s="627"/>
      <x:c r="M470" s="627"/>
      <x:c r="N470" s="627"/>
      <x:c r="O470" s="627"/>
      <x:c r="P470" s="627"/>
      <x:c r="Q470" s="627"/>
      <x:c r="BN470" s="624"/>
    </x:row>
    <x:row r="471" spans="1:66" s="50" customFormat="1" ht="27.6" x14ac:dyDescent="0.25">
      <x:c r="F471" s="669" t="s">
        <x:v>70</x:v>
      </x:c>
      <x:c r="G471" s="669" t="s">
        <x:v>64</x:v>
      </x:c>
      <x:c r="H471" s="669" t="s">
        <x:v>65</x:v>
      </x:c>
      <x:c r="I471" s="626" t="s">
        <x:v>164</x:v>
      </x:c>
      <x:c r="J471" s="669" t="s">
        <x:v>69</x:v>
      </x:c>
      <x:c r="K471" s="669" t="s">
        <x:v>68</x:v>
      </x:c>
      <x:c r="L471" s="669" t="s">
        <x:v>71</x:v>
      </x:c>
      <x:c r="M471" s="669" t="s">
        <x:v>66</x:v>
      </x:c>
      <x:c r="N471" s="669" t="s">
        <x:v>63</x:v>
      </x:c>
      <x:c r="O471" s="669" t="s">
        <x:v>61</x:v>
      </x:c>
      <x:c r="P471" s="669" t="s">
        <x:v>62</x:v>
      </x:c>
      <x:c r="Q471" s="669" t="s">
        <x:v>67</x:v>
      </x:c>
      <x:c r="R471" s="669" t="s">
        <x:v>77</x:v>
      </x:c>
      <x:c r="S471" s="669" t="s">
        <x:v>80</x:v>
      </x:c>
      <x:c r="T471" s="669" t="s">
        <x:v>135</x:v>
      </x:c>
      <x:c r="U471" s="669" t="s">
        <x:v>223</x:v>
      </x:c>
      <x:c r="V471" s="669" t="s">
        <x:v>223</x:v>
      </x:c>
      <x:c r="W471" s="669" t="s">
        <x:v>172</x:v>
      </x:c>
      <x:c r="X471" s="50" t="s">
        <x:v>222</x:v>
      </x:c>
      <x:c r="Y471" s="669" t="s">
        <x:v>135</x:v>
      </x:c>
      <x:c r="Z471" s="669" t="s">
        <x:v>166</x:v>
      </x:c>
      <x:c r="BN471" s="618"/>
    </x:row>
    <x:row r="472" spans="1:66" x14ac:dyDescent="0.25">
      <x:c r="A472" s="625"/>
      <x:c r="B472" s="625"/>
      <x:c r="C472"/>
      <x:c r="D472"/>
      <x:c r="E472" s="25" t="inlineStr">
        <x:is>
          <x:t>Vlr Servicio</x:t>
        </x:is>
      </x:c>
      <x:c r="F472" s="627" t="n">
        <x:v>-6448.05</x:v>
      </x:c>
      <x:c r="G472" s="627" t="n">
        <x:v>-525.33</x:v>
      </x:c>
      <x:c r="H472" s="627" t="n">
        <x:v>-223.17</x:v>
      </x:c>
      <x:c r="I472" s="627" t="n">
        <x:v>-97.44</x:v>
      </x:c>
      <x:c r="J472" s="627" t="n">
        <x:v>-1090.28</x:v>
      </x:c>
      <x:c r="K472" s="627" t="n">
        <x:v>-67.18</x:v>
      </x:c>
      <x:c r="L472" s="627" t="n">
        <x:v>0</x:v>
      </x:c>
      <x:c r="M472" s="627" t="n">
        <x:v>-589.29</x:v>
      </x:c>
      <x:c r="N472" s="627" t="n">
        <x:v>-493.88</x:v>
      </x:c>
      <x:c r="O472" s="627" t="n">
        <x:v>-1805.24</x:v>
      </x:c>
      <x:c r="P472" s="627" t="n">
        <x:v>-1446.62</x:v>
      </x:c>
      <x:c r="Q472" s="627" t="n">
        <x:v>-109.62</x:v>
      </x:c>
      <x:c r="R472" s="627" t="n">
        <x:v>0</x:v>
      </x:c>
      <x:c r="S472" s="627" t="n">
        <x:v>0</x:v>
      </x:c>
      <x:c r="T472" s="653" t="n">
        <x:v>0</x:v>
      </x:c>
      <x:c r="U472" s="653">
        <x:v>0</x:v>
      </x:c>
      <x:c r="V472" s="653">
        <x:v>0</x:v>
      </x:c>
      <x:c r="W472" s="653">
        <x:v>0</x:v>
      </x:c>
      <x:c r="X472" s="653">
        <x:v>0</x:v>
      </x:c>
      <x:c r="Y472" s="653">
        <x:v>0</x:v>
      </x:c>
      <x:c r="Z472" s="653" t="n">
        <x:v>0</x:v>
      </x:c>
      <x:c r="BN472" s="624"/>
    </x:row>
    <x:row r="473" spans="1:66" x14ac:dyDescent="0.25">
      <x:c r="A473" s="625"/>
      <x:c r="B473" s="625"/>
      <x:c r="C473"/>
      <x:c r="D473" s="25" t="inlineStr">
        <x:is>
          <x:t>E</x:t>
        </x:is>
      </x:c>
      <x:c r="E473" s="25" t="inlineStr">
        <x:is>
          <x:t>Total</x:t>
        </x:is>
      </x:c>
      <x:c r="F473" s="627" t="n">
        <x:v>-6448.05</x:v>
      </x:c>
      <x:c r="G473" s="627" t="n">
        <x:v>-525.33</x:v>
      </x:c>
      <x:c r="H473" s="627" t="n">
        <x:v>-223.17</x:v>
      </x:c>
      <x:c r="I473" s="627" t="n">
        <x:v>-97.44</x:v>
      </x:c>
      <x:c r="J473" s="627" t="n">
        <x:v>-1090.28</x:v>
      </x:c>
      <x:c r="K473" s="627" t="n">
        <x:v>-67.18</x:v>
      </x:c>
      <x:c r="L473" s="627" t="n">
        <x:v>0</x:v>
      </x:c>
      <x:c r="M473" s="627" t="n">
        <x:v>-589.29</x:v>
      </x:c>
      <x:c r="N473" s="627" t="n">
        <x:v>-493.88</x:v>
      </x:c>
      <x:c r="O473" s="627" t="n">
        <x:v>-1805.24</x:v>
      </x:c>
      <x:c r="P473" s="627" t="n">
        <x:v>-1446.62</x:v>
      </x:c>
      <x:c r="Q473" s="627" t="n">
        <x:v>-109.62</x:v>
      </x:c>
      <x:c r="R473" s="627" t="n">
        <x:v>0</x:v>
      </x:c>
      <x:c r="S473" s="627" t="n">
        <x:v>0</x:v>
      </x:c>
      <x:c r="T473" s="653" t="n">
        <x:v>0</x:v>
      </x:c>
      <x:c r="U473" s="653">
        <x:v>0</x:v>
      </x:c>
      <x:c r="V473" s="653">
        <x:v>0</x:v>
      </x:c>
      <x:c r="W473" s="653">
        <x:v>0</x:v>
      </x:c>
      <x:c r="X473" s="653">
        <x:v>0</x:v>
      </x:c>
      <x:c r="Y473" s="653">
        <x:v>0</x:v>
      </x:c>
      <x:c r="Z473" s="653" t="n">
        <x:v>0</x:v>
      </x:c>
      <x:c r="BN473" s="624"/>
    </x:row>
    <x:row r="474" spans="1:66" x14ac:dyDescent="0.25">
      <x:c r="A474" s="625"/>
      <x:c r="B474" s="625"/>
      <x:c r="C474" t="inlineStr">
        <x:is>
          <x:t>ENEL</x:t>
        </x:is>
      </x:c>
      <x:c r="D474" t="inlineStr">
        <x:is>
          <x:t>Total</x:t>
        </x:is>
      </x:c>
      <x:c r="E474" s="25"/>
      <x:c r="F474" s="627" t="n">
        <x:v>-6448.05</x:v>
      </x:c>
      <x:c r="G474" s="627" t="n">
        <x:v>-525.33</x:v>
      </x:c>
      <x:c r="H474" s="627" t="n">
        <x:v>-223.17</x:v>
      </x:c>
      <x:c r="I474" s="627" t="n">
        <x:v>-97.44</x:v>
      </x:c>
      <x:c r="J474" s="627" t="n">
        <x:v>-1090.28</x:v>
      </x:c>
      <x:c r="K474" s="627" t="n">
        <x:v>-67.18</x:v>
      </x:c>
      <x:c r="L474" s="627" t="n">
        <x:v>0</x:v>
      </x:c>
      <x:c r="M474" s="627" t="n">
        <x:v>-589.29</x:v>
      </x:c>
      <x:c r="N474" s="627" t="n">
        <x:v>-493.88</x:v>
      </x:c>
      <x:c r="O474" s="627" t="n">
        <x:v>-1805.24</x:v>
      </x:c>
      <x:c r="P474" s="627" t="n">
        <x:v>-1446.62</x:v>
      </x:c>
      <x:c r="Q474" s="627" t="n">
        <x:v>-109.62</x:v>
      </x:c>
      <x:c r="R474" s="627" t="n">
        <x:v>0</x:v>
      </x:c>
      <x:c r="S474" s="627" t="n">
        <x:v>0</x:v>
      </x:c>
      <x:c r="T474" s="653" t="n">
        <x:v>0</x:v>
      </x:c>
      <x:c r="U474" s="653">
        <x:v>0</x:v>
      </x:c>
      <x:c r="V474" s="653">
        <x:v>0</x:v>
      </x:c>
      <x:c r="W474" s="653">
        <x:v>0</x:v>
      </x:c>
      <x:c r="X474" s="653">
        <x:v>0</x:v>
      </x:c>
      <x:c r="Y474" s="653">
        <x:v>0</x:v>
      </x:c>
      <x:c r="Z474" s="653" t="n">
        <x:v>0</x:v>
      </x:c>
      <x:c r="BN474" s="624"/>
    </x:row>
    <x:row r="475" spans="1:66" x14ac:dyDescent="0.25">
      <x:c r="A475" s="625"/>
      <x:c r="B475" s="625"/>
      <x:c r="C475"/>
      <x:c r="D475"/>
      <x:c r="E475" s="25" t="inlineStr">
        <x:is>
          <x:t>Vlr Servicio</x:t>
        </x:is>
      </x:c>
      <x:c r="F475" s="627" t="n">
        <x:v>-6194.17</x:v>
      </x:c>
      <x:c r="G475" s="627" t="n">
        <x:v>-525.33</x:v>
      </x:c>
      <x:c r="H475" s="627" t="n">
        <x:v>-223.17</x:v>
      </x:c>
      <x:c r="I475" s="627" t="n">
        <x:v>-97.44</x:v>
      </x:c>
      <x:c r="J475" s="627" t="n">
        <x:v>-1090.28</x:v>
      </x:c>
      <x:c r="K475" s="627" t="n">
        <x:v>-44.91</x:v>
      </x:c>
      <x:c r="L475" s="627" t="n">
        <x:v>0</x:v>
      </x:c>
      <x:c r="M475" s="627" t="n">
        <x:v>-393.99</x:v>
      </x:c>
      <x:c r="N475" s="627" t="n">
        <x:v>-493.88</x:v>
      </x:c>
      <x:c r="O475" s="627" t="n">
        <x:v>-1805.25</x:v>
      </x:c>
      <x:c r="P475" s="627" t="n">
        <x:v>-1446.63</x:v>
      </x:c>
      <x:c r="Q475" s="627" t="n">
        <x:v>-73.29</x:v>
      </x:c>
      <x:c r="R475" s="627" t="n">
        <x:v>0</x:v>
      </x:c>
      <x:c r="S475" s="627" t="n">
        <x:v>0</x:v>
      </x:c>
      <x:c r="T475" s="653" t="n">
        <x:v>0</x:v>
      </x:c>
      <x:c r="U475" s="653">
        <x:v>0</x:v>
      </x:c>
      <x:c r="V475" s="653">
        <x:v>0</x:v>
      </x:c>
      <x:c r="W475" s="653">
        <x:v>0</x:v>
      </x:c>
      <x:c r="X475" s="653">
        <x:v>0</x:v>
      </x:c>
      <x:c r="Y475" s="653">
        <x:v>0</x:v>
      </x:c>
      <x:c r="Z475" s="653" t="n">
        <x:v>0</x:v>
      </x:c>
      <x:c r="BN475" s="624"/>
    </x:row>
    <x:row r="476" spans="1:66" x14ac:dyDescent="0.25">
      <x:c r="A476" s="625"/>
      <x:c r="B476" s="625"/>
      <x:c r="C476"/>
      <x:c r="D476" s="25" t="inlineStr">
        <x:is>
          <x:t>O</x:t>
        </x:is>
      </x:c>
      <x:c r="E476" s="25" t="inlineStr">
        <x:is>
          <x:t>Total</x:t>
        </x:is>
      </x:c>
      <x:c r="F476" s="627" t="n">
        <x:v>-6194.17</x:v>
      </x:c>
      <x:c r="G476" s="627" t="n">
        <x:v>-525.33</x:v>
      </x:c>
      <x:c r="H476" s="627" t="n">
        <x:v>-223.17</x:v>
      </x:c>
      <x:c r="I476" s="627" t="n">
        <x:v>-97.44</x:v>
      </x:c>
      <x:c r="J476" s="627" t="n">
        <x:v>-1090.28</x:v>
      </x:c>
      <x:c r="K476" s="627" t="n">
        <x:v>-44.91</x:v>
      </x:c>
      <x:c r="L476" s="627" t="n">
        <x:v>0</x:v>
      </x:c>
      <x:c r="M476" s="627" t="n">
        <x:v>-393.99</x:v>
      </x:c>
      <x:c r="N476" s="627" t="n">
        <x:v>-493.88</x:v>
      </x:c>
      <x:c r="O476" s="627" t="n">
        <x:v>-1805.25</x:v>
      </x:c>
      <x:c r="P476" s="627" t="n">
        <x:v>-1446.63</x:v>
      </x:c>
      <x:c r="Q476" s="627" t="n">
        <x:v>-73.29</x:v>
      </x:c>
      <x:c r="R476" s="627" t="n">
        <x:v>0</x:v>
      </x:c>
      <x:c r="S476" s="627" t="n">
        <x:v>0</x:v>
      </x:c>
      <x:c r="T476" s="653" t="n">
        <x:v>0</x:v>
      </x:c>
      <x:c r="U476" s="653">
        <x:v>0</x:v>
      </x:c>
      <x:c r="V476" s="653">
        <x:v>0</x:v>
      </x:c>
      <x:c r="W476" s="653">
        <x:v>0</x:v>
      </x:c>
      <x:c r="X476" s="653">
        <x:v>0</x:v>
      </x:c>
      <x:c r="Y476" s="653">
        <x:v>0</x:v>
      </x:c>
      <x:c r="Z476" s="653" t="n">
        <x:v>0</x:v>
      </x:c>
      <x:c r="BN476" s="624"/>
    </x:row>
    <x:row r="477" spans="1:66" x14ac:dyDescent="0.25">
      <x:c r="A477" s="625"/>
      <x:c r="B477" s="625"/>
      <x:c r="C477" t="inlineStr">
        <x:is>
          <x:t>OCCIDENTE</x:t>
        </x:is>
      </x:c>
      <x:c r="D477" t="inlineStr">
        <x:is>
          <x:t>Total</x:t>
        </x:is>
      </x:c>
      <x:c r="E477" s="25"/>
      <x:c r="F477" s="627" t="n">
        <x:v>-6194.17</x:v>
      </x:c>
      <x:c r="G477" s="627" t="n">
        <x:v>-525.33</x:v>
      </x:c>
      <x:c r="H477" s="627" t="n">
        <x:v>-223.17</x:v>
      </x:c>
      <x:c r="I477" s="627" t="n">
        <x:v>-97.44</x:v>
      </x:c>
      <x:c r="J477" s="627" t="n">
        <x:v>-1090.28</x:v>
      </x:c>
      <x:c r="K477" s="627" t="n">
        <x:v>-44.91</x:v>
      </x:c>
      <x:c r="L477" s="627" t="n">
        <x:v>0</x:v>
      </x:c>
      <x:c r="M477" s="627" t="n">
        <x:v>-393.99</x:v>
      </x:c>
      <x:c r="N477" s="627" t="n">
        <x:v>-493.88</x:v>
      </x:c>
      <x:c r="O477" s="627" t="n">
        <x:v>-1805.25</x:v>
      </x:c>
      <x:c r="P477" s="627" t="n">
        <x:v>-1446.63</x:v>
      </x:c>
      <x:c r="Q477" s="627" t="n">
        <x:v>-73.29</x:v>
      </x:c>
      <x:c r="R477" s="627" t="n">
        <x:v>0</x:v>
      </x:c>
      <x:c r="S477" s="627" t="n">
        <x:v>0</x:v>
      </x:c>
      <x:c r="T477" s="653" t="n">
        <x:v>0</x:v>
      </x:c>
      <x:c r="U477" s="653">
        <x:v>0</x:v>
      </x:c>
      <x:c r="V477" s="653">
        <x:v>0</x:v>
      </x:c>
      <x:c r="W477" s="653">
        <x:v>0</x:v>
      </x:c>
      <x:c r="X477" s="653">
        <x:v>0</x:v>
      </x:c>
      <x:c r="Y477" s="653">
        <x:v>0</x:v>
      </x:c>
      <x:c r="Z477" s="653" t="n">
        <x:v>0</x:v>
      </x:c>
      <x:c r="BN477" s="624"/>
    </x:row>
    <x:row r="478" spans="1:66" x14ac:dyDescent="0.25">
      <x:c r="A478" s="625"/>
      <x:c r="B478" s="625" t="inlineStr">
        <x:is>
          <x:t>Mes</x:t>
        </x:is>
      </x:c>
      <x:c r="C478" t="inlineStr">
        <x:is>
          <x:t>Total</x:t>
        </x:is>
      </x:c>
      <x:c r="D478"/>
      <x:c r="E478" s="25"/>
      <x:c r="F478" s="627" t="n">
        <x:v>-12642.22</x:v>
      </x:c>
      <x:c r="G478" s="627" t="n">
        <x:v>-1050.66</x:v>
      </x:c>
      <x:c r="H478" s="627" t="n">
        <x:v>-446.34</x:v>
      </x:c>
      <x:c r="I478" s="627" t="n">
        <x:v>-194.88</x:v>
      </x:c>
      <x:c r="J478" s="627" t="n">
        <x:v>-2180.56</x:v>
      </x:c>
      <x:c r="K478" s="627" t="n">
        <x:v>-112.09</x:v>
      </x:c>
      <x:c r="L478" s="627" t="n">
        <x:v>0</x:v>
      </x:c>
      <x:c r="M478" s="627" t="n">
        <x:v>-983.28</x:v>
      </x:c>
      <x:c r="N478" s="627" t="n">
        <x:v>-987.76</x:v>
      </x:c>
      <x:c r="O478" s="627" t="n">
        <x:v>-3610.49</x:v>
      </x:c>
      <x:c r="P478" s="627" t="n">
        <x:v>-2893.25</x:v>
      </x:c>
      <x:c r="Q478" s="627" t="n">
        <x:v>-182.91</x:v>
      </x:c>
      <x:c r="R478" s="627" t="n">
        <x:v>0</x:v>
      </x:c>
      <x:c r="S478" s="627" t="n">
        <x:v>0</x:v>
      </x:c>
      <x:c r="T478" s="653" t="n">
        <x:v>0</x:v>
      </x:c>
      <x:c r="U478" s="653">
        <x:v>0</x:v>
      </x:c>
      <x:c r="V478" s="653">
        <x:v>0</x:v>
      </x:c>
      <x:c r="W478" s="653">
        <x:v>0</x:v>
      </x:c>
      <x:c r="X478" s="653">
        <x:v>0</x:v>
      </x:c>
      <x:c r="Y478" s="653">
        <x:v>0</x:v>
      </x:c>
      <x:c r="Z478" s="653" t="n">
        <x:v>0</x:v>
      </x:c>
      <x:c r="BN478" s="624"/>
    </x:row>
    <x:row r="479" spans="1:66" x14ac:dyDescent="0.25">
      <x:c r="A479" s="625" t="inlineStr">
        <x:is>
          <x:t>AFaseo</x:t>
        </x:is>
      </x:c>
      <x:c r="B479" s="625" t="inlineStr">
        <x:is>
          <x:t>Total</x:t>
        </x:is>
      </x:c>
      <x:c r="C479"/>
      <x:c r="D479" s="25"/>
      <x:c r="E479" s="25"/>
      <x:c r="F479" s="627" t="n">
        <x:v>-12642.22</x:v>
      </x:c>
      <x:c r="G479" s="627" t="n">
        <x:v>-1050.66</x:v>
      </x:c>
      <x:c r="H479" s="627" t="n">
        <x:v>-446.34</x:v>
      </x:c>
      <x:c r="I479" s="627" t="n">
        <x:v>-194.88</x:v>
      </x:c>
      <x:c r="J479" s="627" t="n">
        <x:v>-2180.56</x:v>
      </x:c>
      <x:c r="K479" s="627" t="n">
        <x:v>-112.09</x:v>
      </x:c>
      <x:c r="L479" s="627" t="n">
        <x:v>0</x:v>
      </x:c>
      <x:c r="M479" s="627" t="n">
        <x:v>-983.28</x:v>
      </x:c>
      <x:c r="N479" s="627" t="n">
        <x:v>-987.76</x:v>
      </x:c>
      <x:c r="O479" s="627" t="n">
        <x:v>-3610.49</x:v>
      </x:c>
      <x:c r="P479" s="627" t="n">
        <x:v>-2893.25</x:v>
      </x:c>
      <x:c r="Q479" s="627" t="n">
        <x:v>-182.91</x:v>
      </x:c>
      <x:c r="R479" s="627" t="n">
        <x:v>0</x:v>
      </x:c>
      <x:c r="S479" s="627" t="n">
        <x:v>0</x:v>
      </x:c>
      <x:c r="T479" s="653" t="n">
        <x:v>0</x:v>
      </x:c>
      <x:c r="U479" s="653">
        <x:v>0</x:v>
      </x:c>
      <x:c r="V479" s="653">
        <x:v>0</x:v>
      </x:c>
      <x:c r="W479" s="653">
        <x:v>0</x:v>
      </x:c>
      <x:c r="X479" s="653">
        <x:v>0</x:v>
      </x:c>
      <x:c r="Y479" s="653">
        <x:v>0</x:v>
      </x:c>
      <x:c r="Z479" s="653" t="n">
        <x:v>0</x:v>
      </x:c>
      <x:c r="BN479" s="624"/>
    </x:row>
    <x:row r="480" spans="1:66" x14ac:dyDescent="0.25">
      <x:c r="A480" s="631"/>
      <x:c r="B480" s="631"/>
      <x:c r="C480" s="632"/>
      <x:c r="D480" s="632"/>
      <x:c r="E480" s="631" t="inlineStr">
        <x:is>
          <x:t>Vlr Servicio</x:t>
        </x:is>
      </x:c>
      <x:c r="F480" s="633" t="n">
        <x:v>8441578652.91</x:v>
      </x:c>
      <x:c r="G480" s="633" t="n">
        <x:v>473070284.37</x:v>
      </x:c>
      <x:c r="H480" s="633" t="n">
        <x:v>266158826.21</x:v>
      </x:c>
      <x:c r="I480" s="633" t="n">
        <x:v>137071439.8</x:v>
      </x:c>
      <x:c r="J480" s="633" t="n">
        <x:v>1776930458.32</x:v>
      </x:c>
      <x:c r="K480" s="633" t="n">
        <x:v>68733001.08</x:v>
      </x:c>
      <x:c r="L480" s="633" t="n">
        <x:v>10829501</x:v>
      </x:c>
      <x:c r="M480" s="633" t="n">
        <x:v>603416256.07</x:v>
      </x:c>
      <x:c r="N480" s="633" t="n">
        <x:v>588612811.94</x:v>
      </x:c>
      <x:c r="O480" s="633" t="n">
        <x:v>3028329065.41</x:v>
      </x:c>
      <x:c r="P480" s="633" t="n">
        <x:v>1376349046.18</x:v>
      </x:c>
      <x:c r="Q480" s="633" t="n">
        <x:v>112158349.83</x:v>
      </x:c>
      <x:c r="R480" s="633" t="n">
        <x:v>-80387.3</x:v>
      </x:c>
      <x:c r="S480" s="633" t="n">
        <x:v>0</x:v>
      </x:c>
      <x:c r="T480" s="633" t="n">
        <x:v>0</x:v>
      </x:c>
      <x:c r="U480" s="633">
        <x:v>0</x:v>
      </x:c>
      <x:c r="V480" s="633">
        <x:v>0</x:v>
      </x:c>
      <x:c r="W480" s="633">
        <x:v>0</x:v>
      </x:c>
      <x:c r="X480" s="633">
        <x:v>0</x:v>
      </x:c>
      <x:c r="Y480" s="633">
        <x:v>0</x:v>
      </x:c>
      <x:c r="Z480" s="633" t="n">
        <x:v>0</x:v>
      </x:c>
      <x:c r="AA480" s="631"/>
      <x:c r="AB480" s="631"/>
      <x:c r="AC480" s="631"/>
      <x:c r="AD480" s="631"/>
      <x:c r="AE480" s="631"/>
      <x:c r="AF480" s="631"/>
      <x:c r="AG480" s="631"/>
      <x:c r="AH480" s="631"/>
      <x:c r="AI480" s="631"/>
      <x:c r="AJ480" s="631"/>
      <x:c r="AK480" s="631"/>
      <x:c r="AL480" s="631"/>
      <x:c r="AM480" s="631"/>
      <x:c r="AN480" s="631"/>
      <x:c r="AO480" s="631"/>
      <x:c r="AP480" s="631"/>
      <x:c r="AQ480" s="631"/>
      <x:c r="AR480" s="631"/>
      <x:c r="AS480" s="631"/>
      <x:c r="AT480" s="631"/>
      <x:c r="AU480" s="631"/>
      <x:c r="AV480" s="631"/>
      <x:c r="AW480" s="631"/>
      <x:c r="AX480" s="631"/>
      <x:c r="AY480" s="631"/>
      <x:c r="AZ480" s="631"/>
      <x:c r="BA480" s="631"/>
      <x:c r="BB480" s="631"/>
      <x:c r="BC480" s="631"/>
      <x:c r="BD480" s="631"/>
      <x:c r="BE480" s="631"/>
      <x:c r="BF480" s="631"/>
      <x:c r="BG480" s="631"/>
      <x:c r="BH480" s="631"/>
      <x:c r="BI480" s="631"/>
      <x:c r="BJ480" s="631"/>
      <x:c r="BK480" s="631"/>
      <x:c r="BL480" s="631"/>
      <x:c r="BM480" s="631"/>
      <x:c r="BN480" s="624"/>
    </x:row>
    <x:row r="481" spans="1:66" x14ac:dyDescent="0.25">
      <x:c r="A481" s="635"/>
      <x:c r="B481" s="635"/>
      <x:c r="C481" s="635"/>
      <x:c r="D481" s="635"/>
      <x:c r="E481" s="636" t="inlineStr">
        <x:is>
          <x:t>Vlr Intereses</x:t>
        </x:is>
      </x:c>
      <x:c r="F481" s="637" t="n">
        <x:v>8264968.23</x:v>
      </x:c>
      <x:c r="G481" s="637" t="n">
        <x:v>774367.51</x:v>
      </x:c>
      <x:c r="H481" s="637" t="n">
        <x:v>385722.34</x:v>
      </x:c>
      <x:c r="I481" s="637" t="n">
        <x:v>183942.42</x:v>
      </x:c>
      <x:c r="J481" s="637" t="n">
        <x:v>1391904.03</x:v>
      </x:c>
      <x:c r="K481" s="637" t="n">
        <x:v>60843.26</x:v>
      </x:c>
      <x:c r="L481" s="637" t="n">
        <x:v>2308.91</x:v>
      </x:c>
      <x:c r="M481" s="637" t="n">
        <x:v>532642.09</x:v>
      </x:c>
      <x:c r="N481" s="637" t="n">
        <x:v>474724.6</x:v>
      </x:c>
      <x:c r="O481" s="637" t="n">
        <x:v>2122915.91</x:v>
      </x:c>
      <x:c r="P481" s="637" t="n">
        <x:v>2236307.76</x:v>
      </x:c>
      <x:c r="Q481" s="637" t="n">
        <x:v>99310.75</x:v>
      </x:c>
      <x:c r="R481" s="637" t="n">
        <x:v>15.89</x:v>
      </x:c>
      <x:c r="S481" s="637" t="n">
        <x:v>0</x:v>
      </x:c>
      <x:c r="T481" s="637" t="n">
        <x:v>3.92</x:v>
      </x:c>
      <x:c r="U481" s="637">
        <x:v>0</x:v>
      </x:c>
      <x:c r="V481" s="637">
        <x:v>0</x:v>
      </x:c>
      <x:c r="W481" s="637">
        <x:v>0</x:v>
      </x:c>
      <x:c r="X481" s="637">
        <x:v>0</x:v>
      </x:c>
      <x:c r="Y481" s="637">
        <x:v>0</x:v>
      </x:c>
      <x:c r="Z481" s="637" t="n">
        <x:v>-41.16</x:v>
      </x:c>
      <x:c r="AA481" s="635"/>
      <x:c r="AB481" s="635"/>
      <x:c r="AC481" s="635"/>
      <x:c r="AD481" s="635"/>
      <x:c r="AE481" s="635"/>
      <x:c r="AF481" s="635"/>
      <x:c r="AG481" s="635"/>
      <x:c r="AH481" s="635"/>
      <x:c r="AI481" s="635"/>
      <x:c r="AJ481" s="635"/>
      <x:c r="AK481" s="635"/>
      <x:c r="AL481" s="635"/>
      <x:c r="AM481" s="635"/>
      <x:c r="AN481" s="635"/>
      <x:c r="AO481" s="635"/>
      <x:c r="AP481" s="635"/>
      <x:c r="AQ481" s="635"/>
      <x:c r="AR481" s="635"/>
      <x:c r="AS481" s="635"/>
      <x:c r="AT481" s="635"/>
      <x:c r="AU481" s="635"/>
      <x:c r="AV481" s="635"/>
      <x:c r="AW481" s="635"/>
      <x:c r="AX481" s="635"/>
      <x:c r="AY481" s="635"/>
      <x:c r="AZ481" s="635"/>
      <x:c r="BA481" s="635"/>
      <x:c r="BB481" s="635"/>
      <x:c r="BC481" s="635"/>
      <x:c r="BD481" s="635"/>
      <x:c r="BE481" s="635"/>
      <x:c r="BF481" s="635"/>
      <x:c r="BG481" s="635"/>
      <x:c r="BH481" s="635"/>
      <x:c r="BI481" s="635"/>
      <x:c r="BJ481" s="635"/>
      <x:c r="BK481" s="635"/>
      <x:c r="BL481" s="635"/>
      <x:c r="BM481" s="635"/>
      <x:c r="BN481" s="624"/>
    </x:row>
    <x:row r="482" spans="1:66" x14ac:dyDescent="0.25">
      <x:c r="A482"/>
      <x:c r="B482"/>
      <x:c r="C482" s="625"/>
      <x:c r="D482" s="625" t="inlineStr">
        <x:is>
          <x:t>E</x:t>
        </x:is>
      </x:c>
      <x:c r="E482" s="25" t="inlineStr">
        <x:is>
          <x:t>Total</x:t>
        </x:is>
      </x:c>
      <x:c r="F482" s="627" t="n">
        <x:v>8449843621.14</x:v>
      </x:c>
      <x:c r="G482" s="627" t="n">
        <x:v>473844651.88</x:v>
      </x:c>
      <x:c r="H482" s="627" t="n">
        <x:v>266544548.55</x:v>
      </x:c>
      <x:c r="I482" s="627" t="n">
        <x:v>137255382.22</x:v>
      </x:c>
      <x:c r="J482" s="627" t="n">
        <x:v>1778322362.35</x:v>
      </x:c>
      <x:c r="K482" s="627" t="n">
        <x:v>68793844.34</x:v>
      </x:c>
      <x:c r="L482" s="627" t="n">
        <x:v>10831809.91</x:v>
      </x:c>
      <x:c r="M482" s="627" t="n">
        <x:v>603948898.16</x:v>
      </x:c>
      <x:c r="N482" s="627" t="n">
        <x:v>589087536.54</x:v>
      </x:c>
      <x:c r="O482" s="627" t="n">
        <x:v>3030451981.32</x:v>
      </x:c>
      <x:c r="P482" s="627" t="n">
        <x:v>1378585353.94</x:v>
      </x:c>
      <x:c r="Q482" s="627" t="n">
        <x:v>112257660.58</x:v>
      </x:c>
      <x:c r="R482" s="627" t="n">
        <x:v>-80371.41</x:v>
      </x:c>
      <x:c r="S482" s="627" t="n">
        <x:v>0</x:v>
      </x:c>
      <x:c r="T482" s="653" t="n">
        <x:v>3.92</x:v>
      </x:c>
      <x:c r="U482" s="653">
        <x:v>0</x:v>
      </x:c>
      <x:c r="V482" s="653">
        <x:v>0</x:v>
      </x:c>
      <x:c r="W482" s="653">
        <x:v>0</x:v>
      </x:c>
      <x:c r="X482" s="653">
        <x:v>0</x:v>
      </x:c>
      <x:c r="Y482" s="653">
        <x:v>0</x:v>
      </x:c>
      <x:c r="Z482" s="653" t="n">
        <x:v>-41.16</x:v>
      </x:c>
      <x:c r="BN482" s="624"/>
    </x:row>
    <x:row r="483" spans="1:66" x14ac:dyDescent="0.25">
      <x:c r="A483"/>
      <x:c r="B483"/>
      <x:c r="C483" s="625" t="inlineStr">
        <x:is>
          <x:t>ENEL</x:t>
        </x:is>
      </x:c>
      <x:c r="D483" s="625" t="inlineStr">
        <x:is>
          <x:t>Total</x:t>
        </x:is>
      </x:c>
      <x:c r="E483" s="25"/>
      <x:c r="F483" s="627" t="n">
        <x:v>8449843621.14</x:v>
      </x:c>
      <x:c r="G483" s="627" t="n">
        <x:v>473844651.88</x:v>
      </x:c>
      <x:c r="H483" s="627" t="n">
        <x:v>266544548.55</x:v>
      </x:c>
      <x:c r="I483" s="627" t="n">
        <x:v>137255382.22</x:v>
      </x:c>
      <x:c r="J483" s="627" t="n">
        <x:v>1778322362.35</x:v>
      </x:c>
      <x:c r="K483" s="627" t="n">
        <x:v>68793844.34</x:v>
      </x:c>
      <x:c r="L483" s="627" t="n">
        <x:v>10831809.91</x:v>
      </x:c>
      <x:c r="M483" s="627" t="n">
        <x:v>603948898.16</x:v>
      </x:c>
      <x:c r="N483" s="627" t="n">
        <x:v>589087536.54</x:v>
      </x:c>
      <x:c r="O483" s="627" t="n">
        <x:v>3030451981.32</x:v>
      </x:c>
      <x:c r="P483" s="627" t="n">
        <x:v>1378585353.94</x:v>
      </x:c>
      <x:c r="Q483" s="627" t="n">
        <x:v>112257660.58</x:v>
      </x:c>
      <x:c r="R483" s="627" t="n">
        <x:v>-80371.41</x:v>
      </x:c>
      <x:c r="S483" s="627" t="n">
        <x:v>0</x:v>
      </x:c>
      <x:c r="T483" s="653" t="n">
        <x:v>3.92</x:v>
      </x:c>
      <x:c r="U483" s="653">
        <x:v>0</x:v>
      </x:c>
      <x:c r="V483" s="653">
        <x:v>0</x:v>
      </x:c>
      <x:c r="W483" s="653">
        <x:v>0</x:v>
      </x:c>
      <x:c r="X483" s="653">
        <x:v>0</x:v>
      </x:c>
      <x:c r="Y483" s="653">
        <x:v>0</x:v>
      </x:c>
      <x:c r="Z483" s="653" t="n">
        <x:v>-41.16</x:v>
      </x:c>
      <x:c r="BN483" s="624"/>
    </x:row>
    <x:row r="484" spans="1:66" x14ac:dyDescent="0.25">
      <x:c r="A484"/>
      <x:c r="B484"/>
      <x:c r="C484"/>
      <x:c r="D484" s="25"/>
      <x:c r="E484" s="625" t="inlineStr">
        <x:is>
          <x:t>Vlr Servicio</x:t>
        </x:is>
      </x:c>
      <x:c r="F484" s="627" t="n">
        <x:v>147144339.71</x:v>
      </x:c>
      <x:c r="G484" s="627" t="n">
        <x:v>8715906.99</x:v>
      </x:c>
      <x:c r="H484" s="627" t="n">
        <x:v>4854878.16</x:v>
      </x:c>
      <x:c r="I484" s="627" t="n">
        <x:v>2597086</x:v>
      </x:c>
      <x:c r="J484" s="627" t="n">
        <x:v>30665942.24</x:v>
      </x:c>
      <x:c r="K484" s="627" t="n">
        <x:v>1155486.39</x:v>
      </x:c>
      <x:c r="L484" s="627" t="n">
        <x:v>0</x:v>
      </x:c>
      <x:c r="M484" s="627" t="n">
        <x:v>10072244.24</x:v>
      </x:c>
      <x:c r="N484" s="627" t="n">
        <x:v>9893010.49</x:v>
      </x:c>
      <x:c r="O484" s="627" t="n">
        <x:v>52263426.57</x:v>
      </x:c>
      <x:c r="P484" s="627" t="n">
        <x:v>25034032.86</x:v>
      </x:c>
      <x:c r="Q484" s="627" t="n">
        <x:v>1890226.15</x:v>
      </x:c>
      <x:c r="R484" s="627" t="n">
        <x:v>2099.62</x:v>
      </x:c>
      <x:c r="S484" s="627" t="n">
        <x:v>0</x:v>
      </x:c>
      <x:c r="T484" s="653" t="n">
        <x:v>0</x:v>
      </x:c>
      <x:c r="U484" s="653">
        <x:v>0</x:v>
      </x:c>
      <x:c r="V484" s="653">
        <x:v>0</x:v>
      </x:c>
      <x:c r="W484" s="653">
        <x:v>0</x:v>
      </x:c>
      <x:c r="X484" s="653">
        <x:v>0</x:v>
      </x:c>
      <x:c r="Y484" s="653">
        <x:v>0</x:v>
      </x:c>
      <x:c r="Z484" s="653" t="n">
        <x:v>0</x:v>
      </x:c>
      <x:c r="BN484" s="624"/>
    </x:row>
    <x:row r="485" spans="1:66" x14ac:dyDescent="0.25">
      <x:c r="A485" s="628"/>
      <x:c r="B485" s="628"/>
      <x:c r="C485" s="628"/>
      <x:c r="D485" s="628"/>
      <x:c r="E485" s="629" t="inlineStr">
        <x:is>
          <x:t>Vlr Intereses</x:t>
        </x:is>
      </x:c>
      <x:c r="F485" s="630" t="n">
        <x:v>79781.66</x:v>
      </x:c>
      <x:c r="G485" s="630" t="n">
        <x:v>4644.64</x:v>
      </x:c>
      <x:c r="H485" s="630" t="n">
        <x:v>2385.55</x:v>
      </x:c>
      <x:c r="I485" s="630" t="n">
        <x:v>1331</x:v>
      </x:c>
      <x:c r="J485" s="630" t="n">
        <x:v>16772.2</x:v>
      </x:c>
      <x:c r="K485" s="630" t="n">
        <x:v>531.05</x:v>
      </x:c>
      <x:c r="L485" s="630" t="n">
        <x:v>139.96</x:v>
      </x:c>
      <x:c r="M485" s="630" t="n">
        <x:v>4776.24</x:v>
      </x:c>
      <x:c r="N485" s="630" t="n">
        <x:v>5555.68</x:v>
      </x:c>
      <x:c r="O485" s="630" t="n">
        <x:v>28525.24</x:v>
      </x:c>
      <x:c r="P485" s="630" t="n">
        <x:v>14258.78</x:v>
      </x:c>
      <x:c r="Q485" s="630" t="n">
        <x:v>863</x:v>
      </x:c>
      <x:c r="R485" s="630" t="n">
        <x:v>-1.66</x:v>
      </x:c>
      <x:c r="S485" s="630" t="n">
        <x:v>-0.02</x:v>
      </x:c>
      <x:c r="T485" s="630" t="n">
        <x:v>0</x:v>
      </x:c>
      <x:c r="U485" s="630">
        <x:v>0</x:v>
      </x:c>
      <x:c r="V485" s="630">
        <x:v>0</x:v>
      </x:c>
      <x:c r="W485" s="630">
        <x:v>0</x:v>
      </x:c>
      <x:c r="X485" s="630">
        <x:v>0</x:v>
      </x:c>
      <x:c r="Y485" s="630">
        <x:v>0</x:v>
      </x:c>
      <x:c r="Z485" s="630" t="n">
        <x:v>0</x:v>
      </x:c>
      <x:c r="AA485" s="628"/>
      <x:c r="AB485" s="628"/>
      <x:c r="AC485" s="628"/>
      <x:c r="AD485" s="628"/>
      <x:c r="AE485" s="628"/>
      <x:c r="AF485" s="628"/>
      <x:c r="AG485" s="628"/>
      <x:c r="AH485" s="628"/>
      <x:c r="AI485" s="628"/>
      <x:c r="AJ485" s="628"/>
      <x:c r="AK485" s="628"/>
      <x:c r="AL485" s="628"/>
      <x:c r="AM485" s="628"/>
      <x:c r="AN485" s="628"/>
      <x:c r="AO485" s="628"/>
      <x:c r="AP485" s="628"/>
      <x:c r="AQ485" s="628"/>
      <x:c r="AR485" s="628"/>
      <x:c r="AS485" s="628"/>
      <x:c r="AT485" s="628"/>
      <x:c r="AU485" s="628"/>
      <x:c r="AV485" s="628"/>
      <x:c r="AW485" s="628"/>
      <x:c r="AX485" s="628"/>
      <x:c r="AY485" s="628"/>
      <x:c r="AZ485" s="628"/>
      <x:c r="BA485" s="628"/>
      <x:c r="BB485" s="628"/>
      <x:c r="BC485" s="628"/>
      <x:c r="BD485" s="628"/>
      <x:c r="BE485" s="628"/>
      <x:c r="BF485" s="628"/>
      <x:c r="BG485" s="628"/>
      <x:c r="BH485" s="628"/>
      <x:c r="BI485" s="628"/>
      <x:c r="BJ485" s="628"/>
      <x:c r="BK485" s="628"/>
      <x:c r="BL485" s="628"/>
      <x:c r="BM485" s="628"/>
      <x:c r="BN485" s="624"/>
    </x:row>
    <x:row r="486" spans="1:66" x14ac:dyDescent="0.25">
      <x:c r="A486"/>
      <x:c r="B486"/>
      <x:c r="C486"/>
      <x:c r="D486" t="inlineStr">
        <x:is>
          <x:t>E</x:t>
        </x:is>
      </x:c>
      <x:c r="E486" s="625" t="inlineStr">
        <x:is>
          <x:t>Total</x:t>
        </x:is>
      </x:c>
      <x:c r="F486" s="627" t="n">
        <x:v>147224121.37</x:v>
      </x:c>
      <x:c r="G486" s="627" t="n">
        <x:v>8720551.63</x:v>
      </x:c>
      <x:c r="H486" s="627" t="n">
        <x:v>4857263.71</x:v>
      </x:c>
      <x:c r="I486" s="627" t="n">
        <x:v>2598417</x:v>
      </x:c>
      <x:c r="J486" s="627" t="n">
        <x:v>30682714.44</x:v>
      </x:c>
      <x:c r="K486" s="627" t="n">
        <x:v>1156017.44</x:v>
      </x:c>
      <x:c r="L486" s="627" t="n">
        <x:v>139.96</x:v>
      </x:c>
      <x:c r="M486" s="627" t="n">
        <x:v>10077020.48</x:v>
      </x:c>
      <x:c r="N486" s="627" t="n">
        <x:v>9898566.17</x:v>
      </x:c>
      <x:c r="O486" s="627" t="n">
        <x:v>52291951.81</x:v>
      </x:c>
      <x:c r="P486" s="627" t="n">
        <x:v>25048291.64</x:v>
      </x:c>
      <x:c r="Q486" s="627" t="n">
        <x:v>1891089.15</x:v>
      </x:c>
      <x:c r="R486" s="627" t="n">
        <x:v>2097.96</x:v>
      </x:c>
      <x:c r="S486" s="627" t="n">
        <x:v>-0.02</x:v>
      </x:c>
      <x:c r="T486" s="653" t="n">
        <x:v>0</x:v>
      </x:c>
      <x:c r="U486" s="653">
        <x:v>0</x:v>
      </x:c>
      <x:c r="V486" s="653">
        <x:v>0</x:v>
      </x:c>
      <x:c r="W486" s="653">
        <x:v>0</x:v>
      </x:c>
      <x:c r="X486" s="653">
        <x:v>0</x:v>
      </x:c>
      <x:c r="Y486" s="653">
        <x:v>0</x:v>
      </x:c>
      <x:c r="Z486" s="653" t="n">
        <x:v>0</x:v>
      </x:c>
      <x:c r="BN486" s="624"/>
    </x:row>
    <x:row r="487" spans="1:66" x14ac:dyDescent="0.25">
      <x:c r="A487"/>
      <x:c r="B487"/>
      <x:c r="C487" t="inlineStr">
        <x:is>
          <x:t>ENERBIT</x:t>
        </x:is>
      </x:c>
      <x:c r="D487" t="inlineStr">
        <x:is>
          <x:t>Total</x:t>
        </x:is>
      </x:c>
      <x:c r="E487" s="625"/>
      <x:c r="F487" s="627" t="n">
        <x:v>147224121.37</x:v>
      </x:c>
      <x:c r="G487" s="627" t="n">
        <x:v>8720551.63</x:v>
      </x:c>
      <x:c r="H487" s="627" t="n">
        <x:v>4857263.71</x:v>
      </x:c>
      <x:c r="I487" s="627" t="n">
        <x:v>2598417</x:v>
      </x:c>
      <x:c r="J487" s="627" t="n">
        <x:v>30682714.44</x:v>
      </x:c>
      <x:c r="K487" s="627" t="n">
        <x:v>1156017.44</x:v>
      </x:c>
      <x:c r="L487" s="627" t="n">
        <x:v>139.96</x:v>
      </x:c>
      <x:c r="M487" s="627" t="n">
        <x:v>10077020.48</x:v>
      </x:c>
      <x:c r="N487" s="627" t="n">
        <x:v>9898566.17</x:v>
      </x:c>
      <x:c r="O487" s="627" t="n">
        <x:v>52291951.81</x:v>
      </x:c>
      <x:c r="P487" s="627" t="n">
        <x:v>25048291.64</x:v>
      </x:c>
      <x:c r="Q487" s="627" t="n">
        <x:v>1891089.15</x:v>
      </x:c>
      <x:c r="R487" s="627" t="n">
        <x:v>2097.96</x:v>
      </x:c>
      <x:c r="S487" s="627" t="n">
        <x:v>-0.02</x:v>
      </x:c>
      <x:c r="T487" s="653" t="n">
        <x:v>0</x:v>
      </x:c>
      <x:c r="U487" s="653">
        <x:v>0</x:v>
      </x:c>
      <x:c r="V487" s="653">
        <x:v>0</x:v>
      </x:c>
      <x:c r="W487" s="653">
        <x:v>0</x:v>
      </x:c>
      <x:c r="X487" s="653">
        <x:v>0</x:v>
      </x:c>
      <x:c r="Y487" s="653">
        <x:v>0</x:v>
      </x:c>
      <x:c r="Z487" s="653" t="n">
        <x:v>0</x:v>
      </x:c>
      <x:c r="BN487" s="624"/>
    </x:row>
    <x:row r="488" spans="1:66" x14ac:dyDescent="0.25">
      <x:c r="A488"/>
      <x:c r="B488"/>
      <x:c r="C488"/>
      <x:c r="D488" s="25"/>
      <x:c r="E488" s="625" t="inlineStr">
        <x:is>
          <x:t>Vlr Servicio</x:t>
        </x:is>
      </x:c>
      <x:c r="F488" s="627" t="n">
        <x:v>11206358.21</x:v>
      </x:c>
      <x:c r="G488" s="627" t="n">
        <x:v>537089.56</x:v>
      </x:c>
      <x:c r="H488" s="627" t="n">
        <x:v>298718.48</x:v>
      </x:c>
      <x:c r="I488" s="627" t="n">
        <x:v>156686.97</x:v>
      </x:c>
      <x:c r="J488" s="627" t="n">
        <x:v>1639171.31</x:v>
      </x:c>
      <x:c r="K488" s="627" t="n">
        <x:v>85752.67</x:v>
      </x:c>
      <x:c r="L488" s="627" t="n">
        <x:v>0</x:v>
      </x:c>
      <x:c r="M488" s="627" t="n">
        <x:v>744451.06</x:v>
      </x:c>
      <x:c r="N488" s="627" t="n">
        <x:v>974111.63</x:v>
      </x:c>
      <x:c r="O488" s="627" t="n">
        <x:v>5094151.04</x:v>
      </x:c>
      <x:c r="P488" s="627" t="n">
        <x:v>1531836.33</x:v>
      </x:c>
      <x:c r="Q488" s="627" t="n">
        <x:v>144419.92</x:v>
      </x:c>
      <x:c r="R488" s="627" t="n">
        <x:v>-30.76</x:v>
      </x:c>
      <x:c r="S488" s="627" t="n">
        <x:v>0</x:v>
      </x:c>
      <x:c r="T488" s="653" t="n">
        <x:v>0</x:v>
      </x:c>
      <x:c r="U488" s="653">
        <x:v>0</x:v>
      </x:c>
      <x:c r="V488" s="653">
        <x:v>0</x:v>
      </x:c>
      <x:c r="W488" s="653">
        <x:v>0</x:v>
      </x:c>
      <x:c r="X488" s="653">
        <x:v>0</x:v>
      </x:c>
      <x:c r="Y488" s="653">
        <x:v>0</x:v>
      </x:c>
      <x:c r="Z488" s="653" t="n">
        <x:v>0</x:v>
      </x:c>
      <x:c r="BN488" s="624"/>
    </x:row>
    <x:row r="489" spans="1:66" x14ac:dyDescent="0.25">
      <x:c r="A489" s="668"/>
      <x:c r="B489" s="668"/>
      <x:c r="C489" s="668"/>
      <x:c r="D489" s="668"/>
      <x:c r="E489" s="661" t="inlineStr">
        <x:is>
          <x:t>Vlr Intereses</x:t>
        </x:is>
      </x:c>
      <x:c r="F489" s="662" t="n">
        <x:v>-228746.31</x:v>
      </x:c>
      <x:c r="G489" s="662" t="n">
        <x:v>-12956.85</x:v>
      </x:c>
      <x:c r="H489" s="662" t="n">
        <x:v>-5750.39</x:v>
      </x:c>
      <x:c r="I489" s="662" t="n">
        <x:v>-1883.47</x:v>
      </x:c>
      <x:c r="J489" s="662" t="n">
        <x:v>-51760.8</x:v>
      </x:c>
      <x:c r="K489" s="662" t="n">
        <x:v>-2936.57</x:v>
      </x:c>
      <x:c r="L489" s="662" t="n">
        <x:v>0</x:v>
      </x:c>
      <x:c r="M489" s="662" t="n">
        <x:v>-25854.69</x:v>
      </x:c>
      <x:c r="N489" s="662" t="n">
        <x:v>-19751.63</x:v>
      </x:c>
      <x:c r="O489" s="662" t="n">
        <x:v>-67633.89</x:v>
      </x:c>
      <x:c r="P489" s="662" t="n">
        <x:v>-35447.95</x:v>
      </x:c>
      <x:c r="Q489" s="662" t="n">
        <x:v>-4772.73</x:v>
      </x:c>
      <x:c r="R489" s="662" t="n">
        <x:v>0.14</x:v>
      </x:c>
      <x:c r="S489" s="662" t="n">
        <x:v>2.52</x:v>
      </x:c>
      <x:c r="T489" s="673" t="n">
        <x:v>0</x:v>
      </x:c>
      <x:c r="U489" s="673">
        <x:v>0</x:v>
      </x:c>
      <x:c r="V489" s="673">
        <x:v>0</x:v>
      </x:c>
      <x:c r="W489" s="673">
        <x:v>0</x:v>
      </x:c>
      <x:c r="X489" s="673">
        <x:v>0</x:v>
      </x:c>
      <x:c r="Y489" s="673">
        <x:v>0</x:v>
      </x:c>
      <x:c r="Z489" s="673" t="n">
        <x:v>0</x:v>
      </x:c>
      <x:c r="AA489" s="668"/>
      <x:c r="AB489" s="668"/>
      <x:c r="AC489" s="668"/>
      <x:c r="AD489" s="668"/>
      <x:c r="AE489" s="668"/>
      <x:c r="AF489" s="668"/>
      <x:c r="AG489" s="668"/>
      <x:c r="AH489" s="668"/>
      <x:c r="AI489" s="668"/>
      <x:c r="AJ489" s="668"/>
      <x:c r="AK489" s="668"/>
      <x:c r="AL489" s="668"/>
      <x:c r="AM489" s="668"/>
      <x:c r="AN489" s="668"/>
      <x:c r="AO489" s="668"/>
      <x:c r="AP489" s="668"/>
      <x:c r="AQ489" s="668"/>
      <x:c r="AR489" s="668"/>
      <x:c r="AS489" s="668"/>
      <x:c r="AT489" s="668"/>
      <x:c r="AU489" s="668"/>
      <x:c r="AV489" s="668"/>
      <x:c r="AW489" s="668"/>
      <x:c r="AX489" s="668"/>
      <x:c r="AY489" s="668"/>
      <x:c r="AZ489" s="668"/>
      <x:c r="BA489" s="668"/>
      <x:c r="BB489" s="668"/>
      <x:c r="BC489" s="668"/>
      <x:c r="BD489" s="668"/>
      <x:c r="BE489" s="668"/>
      <x:c r="BF489" s="668"/>
      <x:c r="BG489" s="668"/>
      <x:c r="BH489" s="668"/>
      <x:c r="BI489" s="668"/>
      <x:c r="BJ489" s="668"/>
      <x:c r="BK489" s="668"/>
      <x:c r="BL489" s="668"/>
      <x:c r="BM489" s="668"/>
      <x:c r="BN489" s="624"/>
    </x:row>
    <x:row r="490" spans="1:66" x14ac:dyDescent="0.25">
      <x:c r="A490"/>
      <x:c r="B490"/>
      <x:c r="C490"/>
      <x:c r="D490" t="inlineStr">
        <x:is>
          <x:t>H</x:t>
        </x:is>
      </x:c>
      <x:c r="E490" s="625" t="inlineStr">
        <x:is>
          <x:t>Total</x:t>
        </x:is>
      </x:c>
      <x:c r="F490" s="627" t="n">
        <x:v>10977611.9</x:v>
      </x:c>
      <x:c r="G490" s="627" t="n">
        <x:v>524132.71</x:v>
      </x:c>
      <x:c r="H490" s="627" t="n">
        <x:v>292968.09</x:v>
      </x:c>
      <x:c r="I490" s="627" t="n">
        <x:v>154803.5</x:v>
      </x:c>
      <x:c r="J490" s="627" t="n">
        <x:v>1587410.51</x:v>
      </x:c>
      <x:c r="K490" s="627" t="n">
        <x:v>82816.1</x:v>
      </x:c>
      <x:c r="L490" s="627" t="n">
        <x:v>0</x:v>
      </x:c>
      <x:c r="M490" s="627" t="n">
        <x:v>718596.37</x:v>
      </x:c>
      <x:c r="N490" s="627" t="n">
        <x:v>954360</x:v>
      </x:c>
      <x:c r="O490" s="627" t="n">
        <x:v>5026517.15</x:v>
      </x:c>
      <x:c r="P490" s="627" t="n">
        <x:v>1496388.38</x:v>
      </x:c>
      <x:c r="Q490" s="627" t="n">
        <x:v>139647.19</x:v>
      </x:c>
      <x:c r="R490" s="627" t="n">
        <x:v>-30.62</x:v>
      </x:c>
      <x:c r="S490" s="627" t="n">
        <x:v>2.52</x:v>
      </x:c>
      <x:c r="T490" s="653" t="n">
        <x:v>0</x:v>
      </x:c>
      <x:c r="U490" s="653">
        <x:v>0</x:v>
      </x:c>
      <x:c r="V490" s="653">
        <x:v>0</x:v>
      </x:c>
      <x:c r="W490" s="653">
        <x:v>0</x:v>
      </x:c>
      <x:c r="X490" s="653">
        <x:v>0</x:v>
      </x:c>
      <x:c r="Y490" s="653">
        <x:v>0</x:v>
      </x:c>
      <x:c r="Z490" s="653" t="n">
        <x:v>0</x:v>
      </x:c>
      <x:c r="BN490" s="624"/>
    </x:row>
    <x:row r="491" spans="1:66" x14ac:dyDescent="0.25">
      <x:c r="A491"/>
      <x:c r="B491"/>
      <x:c r="C491"/>
      <x:c r="D491"/>
      <x:c r="E491" s="625" t="inlineStr">
        <x:is>
          <x:t>Vlr Servicio</x:t>
        </x:is>
      </x:c>
      <x:c r="F491" s="627" t="n">
        <x:v>31508933.92</x:v>
      </x:c>
      <x:c r="G491" s="627" t="n">
        <x:v>1951328.21</x:v>
      </x:c>
      <x:c r="H491" s="627" t="n">
        <x:v>984604.51</x:v>
      </x:c>
      <x:c r="I491" s="627" t="n">
        <x:v>499663.61</x:v>
      </x:c>
      <x:c r="J491" s="627" t="n">
        <x:v>4236848.46</x:v>
      </x:c>
      <x:c r="K491" s="627" t="n">
        <x:v>289347.98</x:v>
      </x:c>
      <x:c r="L491" s="627" t="n">
        <x:v>0</x:v>
      </x:c>
      <x:c r="M491" s="627" t="n">
        <x:v>2554329.39</x:v>
      </x:c>
      <x:c r="N491" s="627" t="n">
        <x:v>2495169.66</x:v>
      </x:c>
      <x:c r="O491" s="627" t="n">
        <x:v>12345844.56</x:v>
      </x:c>
      <x:c r="P491" s="627" t="n">
        <x:v>5678472.17</x:v>
      </x:c>
      <x:c r="Q491" s="627" t="n">
        <x:v>473491.84</x:v>
      </x:c>
      <x:c r="R491" s="627" t="n">
        <x:v>-166.47</x:v>
      </x:c>
      <x:c r="S491" s="627" t="n">
        <x:v>0</x:v>
      </x:c>
      <x:c r="T491" s="653" t="n">
        <x:v>0</x:v>
      </x:c>
      <x:c r="U491" s="653">
        <x:v>0</x:v>
      </x:c>
      <x:c r="V491" s="653">
        <x:v>0</x:v>
      </x:c>
      <x:c r="W491" s="653">
        <x:v>0</x:v>
      </x:c>
      <x:c r="X491" s="653">
        <x:v>0</x:v>
      </x:c>
      <x:c r="Y491" s="653">
        <x:v>0</x:v>
      </x:c>
      <x:c r="Z491" s="653" t="n">
        <x:v>0</x:v>
      </x:c>
      <x:c r="BN491" s="624"/>
    </x:row>
    <x:row r="492" spans="1:66" x14ac:dyDescent="0.25">
      <x:c r="A492"/>
      <x:c r="B492"/>
      <x:c r="C492"/>
      <x:c r="D492" s="625"/>
      <x:c r="E492" s="625" t="inlineStr">
        <x:is>
          <x:t>Vlr Intereses</x:t>
        </x:is>
      </x:c>
      <x:c r="F492" s="627" t="n">
        <x:v>3109372.79</x:v>
      </x:c>
      <x:c r="G492" s="627" t="n">
        <x:v>262462.86</x:v>
      </x:c>
      <x:c r="H492" s="627" t="n">
        <x:v>117478.85</x:v>
      </x:c>
      <x:c r="I492" s="627" t="n">
        <x:v>55857.53</x:v>
      </x:c>
      <x:c r="J492" s="627" t="n">
        <x:v>536595.78</x:v>
      </x:c>
      <x:c r="K492" s="627" t="n">
        <x:v>25487.88</x:v>
      </x:c>
      <x:c r="L492" s="627" t="n">
        <x:v>0</x:v>
      </x:c>
      <x:c r="M492" s="627" t="n">
        <x:v>222242.83</x:v>
      </x:c>
      <x:c r="N492" s="627" t="n">
        <x:v>199689.13</x:v>
      </x:c>
      <x:c r="O492" s="627" t="n">
        <x:v>874286.64</x:v>
      </x:c>
      <x:c r="P492" s="627" t="n">
        <x:v>773721.6</x:v>
      </x:c>
      <x:c r="Q492" s="627" t="n">
        <x:v>41588.25</x:v>
      </x:c>
      <x:c r="R492" s="627" t="n">
        <x:v>30.33</x:v>
      </x:c>
      <x:c r="S492" s="627" t="n">
        <x:v>-0.19</x:v>
      </x:c>
      <x:c r="T492" s="653" t="n">
        <x:v>0.72</x:v>
      </x:c>
      <x:c r="U492" s="653">
        <x:v>0</x:v>
      </x:c>
      <x:c r="V492" s="653">
        <x:v>0</x:v>
      </x:c>
      <x:c r="W492" s="653">
        <x:v>0</x:v>
      </x:c>
      <x:c r="X492" s="653">
        <x:v>0</x:v>
      </x:c>
      <x:c r="Y492" s="653">
        <x:v>0</x:v>
      </x:c>
      <x:c r="Z492" s="653" t="n">
        <x:v>-69.42</x:v>
      </x:c>
      <x:c r="BN492" s="624"/>
    </x:row>
    <x:row r="493" spans="1:66" x14ac:dyDescent="0.25">
      <x:c r="A493"/>
      <x:c r="B493"/>
      <x:c r="C493" s="625"/>
      <x:c r="D493" s="625" t="inlineStr">
        <x:is>
          <x:t>O</x:t>
        </x:is>
      </x:c>
      <x:c r="E493" s="25" t="inlineStr">
        <x:is>
          <x:t>Total</x:t>
        </x:is>
      </x:c>
      <x:c r="F493" s="627" t="n">
        <x:v>34618306.71</x:v>
      </x:c>
      <x:c r="G493" s="627" t="n">
        <x:v>2213791.07</x:v>
      </x:c>
      <x:c r="H493" s="627" t="n">
        <x:v>1102083.36</x:v>
      </x:c>
      <x:c r="I493" s="627" t="n">
        <x:v>555521.14</x:v>
      </x:c>
      <x:c r="J493" s="627" t="n">
        <x:v>4773444.24</x:v>
      </x:c>
      <x:c r="K493" s="627" t="n">
        <x:v>314835.86</x:v>
      </x:c>
      <x:c r="L493" s="627" t="n">
        <x:v>0</x:v>
      </x:c>
      <x:c r="M493" s="627" t="n">
        <x:v>2776572.22</x:v>
      </x:c>
      <x:c r="N493" s="627" t="n">
        <x:v>2694858.79</x:v>
      </x:c>
      <x:c r="O493" s="627" t="n">
        <x:v>13220131.2</x:v>
      </x:c>
      <x:c r="P493" s="627" t="n">
        <x:v>6452193.77</x:v>
      </x:c>
      <x:c r="Q493" s="627" t="n">
        <x:v>515080.09</x:v>
      </x:c>
      <x:c r="R493" s="627" t="n">
        <x:v>-136.14</x:v>
      </x:c>
      <x:c r="S493" s="627" t="n">
        <x:v>-0.19</x:v>
      </x:c>
      <x:c r="T493" s="653" t="n">
        <x:v>0.72</x:v>
      </x:c>
      <x:c r="U493" s="653">
        <x:v>0</x:v>
      </x:c>
      <x:c r="V493" s="653">
        <x:v>0</x:v>
      </x:c>
      <x:c r="W493" s="653">
        <x:v>0</x:v>
      </x:c>
      <x:c r="X493" s="653">
        <x:v>0</x:v>
      </x:c>
      <x:c r="Y493" s="653">
        <x:v>0</x:v>
      </x:c>
      <x:c r="Z493" s="653" t="n">
        <x:v>-69.42</x:v>
      </x:c>
      <x:c r="BN493" s="624"/>
    </x:row>
    <x:row r="494" spans="1:66" x14ac:dyDescent="0.25">
      <x:c r="A494"/>
      <x:c r="B494" s="625"/>
      <x:c r="C494" s="625"/>
      <x:c r="D494"/>
      <x:c r="E494" s="25" t="inlineStr">
        <x:is>
          <x:t>Vlr Servicio</x:t>
        </x:is>
      </x:c>
      <x:c r="F494" s="627" t="n">
        <x:v>85806812.59</x:v>
      </x:c>
      <x:c r="G494" s="627" t="n">
        <x:v>11057910.52</x:v>
      </x:c>
      <x:c r="H494" s="627" t="n">
        <x:v>6113395.82</x:v>
      </x:c>
      <x:c r="I494" s="627" t="n">
        <x:v>3267971</x:v>
      </x:c>
      <x:c r="J494" s="627" t="n">
        <x:v>4055211.19</x:v>
      </x:c>
      <x:c r="K494" s="627" t="n">
        <x:v>138590.88</x:v>
      </x:c>
      <x:c r="L494" s="627" t="n">
        <x:v>16100000</x:v>
      </x:c>
      <x:c r="M494" s="627" t="n">
        <x:v>1207844.81</x:v>
      </x:c>
      <x:c r="N494" s="627" t="n">
        <x:v>1695196.96</x:v>
      </x:c>
      <x:c r="O494" s="627" t="n">
        <x:v>8855603.51</x:v>
      </x:c>
      <x:c r="P494" s="627" t="n">
        <x:v>33081467.37</x:v>
      </x:c>
      <x:c r="Q494" s="627" t="n">
        <x:v>233591.14</x:v>
      </x:c>
      <x:c r="R494" s="627" t="n">
        <x:v>29.39</x:v>
      </x:c>
      <x:c r="S494" s="627" t="n">
        <x:v>0</x:v>
      </x:c>
      <x:c r="T494" s="653" t="n">
        <x:v>0</x:v>
      </x:c>
      <x:c r="U494" s="653">
        <x:v>0</x:v>
      </x:c>
      <x:c r="V494" s="653">
        <x:v>0</x:v>
      </x:c>
      <x:c r="W494" s="653">
        <x:v>0</x:v>
      </x:c>
      <x:c r="X494" s="653">
        <x:v>0</x:v>
      </x:c>
      <x:c r="Y494" s="653">
        <x:v>0</x:v>
      </x:c>
      <x:c r="Z494" s="653" t="n">
        <x:v>0</x:v>
      </x:c>
      <x:c r="BN494" s="624"/>
    </x:row>
    <x:row r="495" spans="1:66" x14ac:dyDescent="0.25">
      <x:c r="A495" s="625"/>
      <x:c r="B495" s="625"/>
      <x:c r="C495"/>
      <x:c r="D495" s="25"/>
      <x:c r="E495" s="25" t="inlineStr">
        <x:is>
          <x:t>Vlr Intereses</x:t>
        </x:is>
      </x:c>
      <x:c r="F495" s="627" t="n">
        <x:v>2682705.74</x:v>
      </x:c>
      <x:c r="G495" s="627" t="n">
        <x:v>505122.23</x:v>
      </x:c>
      <x:c r="H495" s="627" t="n">
        <x:v>249031.03</x:v>
      </x:c>
      <x:c r="I495" s="627" t="n">
        <x:v>138286.57</x:v>
      </x:c>
      <x:c r="J495" s="627" t="n">
        <x:v>86067.77</x:v>
      </x:c>
      <x:c r="K495" s="627" t="n">
        <x:v>2348.09</x:v>
      </x:c>
      <x:c r="L495" s="627" t="n">
        <x:v>1746.85</x:v>
      </x:c>
      <x:c r="M495" s="627" t="n">
        <x:v>20525.51</x:v>
      </x:c>
      <x:c r="N495" s="627" t="n">
        <x:v>27030.93</x:v>
      </x:c>
      <x:c r="O495" s="627" t="n">
        <x:v>136815.44</x:v>
      </x:c>
      <x:c r="P495" s="627" t="n">
        <x:v>1511857.06</x:v>
      </x:c>
      <x:c r="Q495" s="627" t="n">
        <x:v>3874.3</x:v>
      </x:c>
      <x:c r="R495" s="627" t="n">
        <x:v>0.04</x:v>
      </x:c>
      <x:c r="S495" s="627" t="n">
        <x:v>-0.08</x:v>
      </x:c>
      <x:c r="T495" s="653" t="n">
        <x:v>0</x:v>
      </x:c>
      <x:c r="U495" s="653">
        <x:v>0</x:v>
      </x:c>
      <x:c r="V495" s="653">
        <x:v>0</x:v>
      </x:c>
      <x:c r="W495" s="653">
        <x:v>0</x:v>
      </x:c>
      <x:c r="X495" s="653">
        <x:v>0</x:v>
      </x:c>
      <x:c r="Y495" s="653">
        <x:v>0</x:v>
      </x:c>
      <x:c r="Z495" s="653" t="n">
        <x:v>0</x:v>
      </x:c>
      <x:c r="BN495" s="624"/>
    </x:row>
    <x:row r="496" spans="1:66" x14ac:dyDescent="0.25">
      <x:c r="A496"/>
      <x:c r="B496"/>
      <x:c r="C496"/>
      <x:c r="D496" t="inlineStr">
        <x:is>
          <x:t>T</x:t>
        </x:is>
      </x:c>
      <x:c r="E496" s="625" t="inlineStr">
        <x:is>
          <x:t>Total</x:t>
        </x:is>
      </x:c>
      <x:c r="F496" s="627" t="n">
        <x:v>88489518.33</x:v>
      </x:c>
      <x:c r="G496" s="627" t="n">
        <x:v>11563032.75</x:v>
      </x:c>
      <x:c r="H496" s="627" t="n">
        <x:v>6362426.85</x:v>
      </x:c>
      <x:c r="I496" s="627" t="n">
        <x:v>3406257.57</x:v>
      </x:c>
      <x:c r="J496" s="627" t="n">
        <x:v>4141278.96</x:v>
      </x:c>
      <x:c r="K496" s="627" t="n">
        <x:v>140938.97</x:v>
      </x:c>
      <x:c r="L496" s="627" t="n">
        <x:v>16101746.85</x:v>
      </x:c>
      <x:c r="M496" s="627" t="n">
        <x:v>1228370.32</x:v>
      </x:c>
      <x:c r="N496" s="627" t="n">
        <x:v>1722227.89</x:v>
      </x:c>
      <x:c r="O496" s="627" t="n">
        <x:v>8992418.95</x:v>
      </x:c>
      <x:c r="P496" s="627" t="n">
        <x:v>34593324.43</x:v>
      </x:c>
      <x:c r="Q496" s="627" t="n">
        <x:v>237465.44</x:v>
      </x:c>
      <x:c r="R496" s="627" t="n">
        <x:v>29.43</x:v>
      </x:c>
      <x:c r="S496" s="627" t="n">
        <x:v>-0.08</x:v>
      </x:c>
      <x:c r="T496" s="653" t="n">
        <x:v>0</x:v>
      </x:c>
      <x:c r="U496" s="653">
        <x:v>0</x:v>
      </x:c>
      <x:c r="V496" s="653">
        <x:v>0</x:v>
      </x:c>
      <x:c r="W496" s="653">
        <x:v>0</x:v>
      </x:c>
      <x:c r="X496" s="653">
        <x:v>0</x:v>
      </x:c>
      <x:c r="Y496" s="653">
        <x:v>0</x:v>
      </x:c>
      <x:c r="Z496" s="653" t="n">
        <x:v>0</x:v>
      </x:c>
      <x:c r="BN496" s="624"/>
    </x:row>
    <x:row r="497" spans="1:66" x14ac:dyDescent="0.25">
      <x:c r="A497" s="625"/>
      <x:c r="B497" s="625"/>
      <x:c r="C497" t="inlineStr">
        <x:is>
          <x:t>OCCIDENTE</x:t>
        </x:is>
      </x:c>
      <x:c r="D497" t="inlineStr">
        <x:is>
          <x:t>Total</x:t>
        </x:is>
      </x:c>
      <x:c r="E497" s="25"/>
      <x:c r="F497" s="627" t="n">
        <x:v>134085436.94</x:v>
      </x:c>
      <x:c r="G497" s="627" t="n">
        <x:v>14300956.53</x:v>
      </x:c>
      <x:c r="H497" s="627" t="n">
        <x:v>7757478.3</x:v>
      </x:c>
      <x:c r="I497" s="627" t="n">
        <x:v>4116582.21</x:v>
      </x:c>
      <x:c r="J497" s="627" t="n">
        <x:v>10502133.71</x:v>
      </x:c>
      <x:c r="K497" s="627" t="n">
        <x:v>538590.93</x:v>
      </x:c>
      <x:c r="L497" s="627" t="n">
        <x:v>16101746.85</x:v>
      </x:c>
      <x:c r="M497" s="627" t="n">
        <x:v>4723538.91</x:v>
      </x:c>
      <x:c r="N497" s="627" t="n">
        <x:v>5371446.68</x:v>
      </x:c>
      <x:c r="O497" s="627" t="n">
        <x:v>27239067.3</x:v>
      </x:c>
      <x:c r="P497" s="627" t="n">
        <x:v>42541906.58</x:v>
      </x:c>
      <x:c r="Q497" s="627" t="n">
        <x:v>892192.72</x:v>
      </x:c>
      <x:c r="R497" s="627" t="n">
        <x:v>-137.33</x:v>
      </x:c>
      <x:c r="S497" s="627" t="n">
        <x:v>2.25</x:v>
      </x:c>
      <x:c r="T497" s="653" t="n">
        <x:v>0.72</x:v>
      </x:c>
      <x:c r="U497" s="653">
        <x:v>0</x:v>
      </x:c>
      <x:c r="V497" s="653">
        <x:v>0</x:v>
      </x:c>
      <x:c r="W497" s="653">
        <x:v>0</x:v>
      </x:c>
      <x:c r="X497" s="653">
        <x:v>0</x:v>
      </x:c>
      <x:c r="Y497" s="653">
        <x:v>0</x:v>
      </x:c>
      <x:c r="Z497" s="653" t="n">
        <x:v>-69.42</x:v>
      </x:c>
      <x:c r="BN497" s="624"/>
    </x:row>
    <x:row r="498" spans="1:66" x14ac:dyDescent="0.25">
      <x:c r="A498"/>
      <x:c r="B498" t="inlineStr">
        <x:is>
          <x:t>Mes</x:t>
        </x:is>
      </x:c>
      <x:c r="C498" t="inlineStr">
        <x:is>
          <x:t>Total</x:t>
        </x:is>
      </x:c>
      <x:c r="D498" s="25"/>
      <x:c r="E498" s="625"/>
      <x:c r="F498" s="627" t="n">
        <x:v>8731153179.45</x:v>
      </x:c>
      <x:c r="G498" s="627" t="n">
        <x:v>496866160.04</x:v>
      </x:c>
      <x:c r="H498" s="627" t="n">
        <x:v>279159290.56</x:v>
      </x:c>
      <x:c r="I498" s="627" t="n">
        <x:v>143970381.43</x:v>
      </x:c>
      <x:c r="J498" s="627" t="n">
        <x:v>1819507210.5</x:v>
      </x:c>
      <x:c r="K498" s="627" t="n">
        <x:v>70488452.71</x:v>
      </x:c>
      <x:c r="L498" s="627" t="n">
        <x:v>26933696.72</x:v>
      </x:c>
      <x:c r="M498" s="627" t="n">
        <x:v>618749457.55</x:v>
      </x:c>
      <x:c r="N498" s="627" t="n">
        <x:v>604357549.39</x:v>
      </x:c>
      <x:c r="O498" s="627" t="n">
        <x:v>3109983000.43</x:v>
      </x:c>
      <x:c r="P498" s="627" t="n">
        <x:v>1446175552.16</x:v>
      </x:c>
      <x:c r="Q498" s="627" t="n">
        <x:v>115040942.45</x:v>
      </x:c>
      <x:c r="R498" s="627" t="n">
        <x:v>-78410.78</x:v>
      </x:c>
      <x:c r="S498" s="627" t="n">
        <x:v>2.23</x:v>
      </x:c>
      <x:c r="T498" s="653" t="n">
        <x:v>4.64</x:v>
      </x:c>
      <x:c r="U498" s="653">
        <x:v>0</x:v>
      </x:c>
      <x:c r="V498" s="653">
        <x:v>0</x:v>
      </x:c>
      <x:c r="W498" s="653">
        <x:v>0</x:v>
      </x:c>
      <x:c r="X498" s="653">
        <x:v>0</x:v>
      </x:c>
      <x:c r="Y498" s="653">
        <x:v>0</x:v>
      </x:c>
      <x:c r="Z498" s="653" t="n">
        <x:v>-110.58</x:v>
      </x:c>
      <x:c r="BN498" s="624"/>
    </x:row>
    <x:row r="499" spans="1:66" x14ac:dyDescent="0.25">
      <x:c r="A499" s="631" t="inlineStr">
        <x:is>
          <x:t>Componente</x:t>
        </x:is>
      </x:c>
      <x:c r="B499" s="631" t="inlineStr">
        <x:is>
          <x:t>Total</x:t>
        </x:is>
      </x:c>
      <x:c r="C499" s="632"/>
      <x:c r="D499" s="632"/>
      <x:c r="E499" s="631"/>
      <x:c r="F499" s="633" t="n">
        <x:v>8731153179.45</x:v>
      </x:c>
      <x:c r="G499" s="633" t="n">
        <x:v>496866160.04</x:v>
      </x:c>
      <x:c r="H499" s="633" t="n">
        <x:v>279159290.56</x:v>
      </x:c>
      <x:c r="I499" s="633" t="n">
        <x:v>143970381.43</x:v>
      </x:c>
      <x:c r="J499" s="633" t="n">
        <x:v>1819507210.5</x:v>
      </x:c>
      <x:c r="K499" s="633" t="n">
        <x:v>70488452.71</x:v>
      </x:c>
      <x:c r="L499" s="633" t="n">
        <x:v>26933696.72</x:v>
      </x:c>
      <x:c r="M499" s="633" t="n">
        <x:v>618749457.55</x:v>
      </x:c>
      <x:c r="N499" s="633" t="n">
        <x:v>604357549.39</x:v>
      </x:c>
      <x:c r="O499" s="633" t="n">
        <x:v>3109983000.43</x:v>
      </x:c>
      <x:c r="P499" s="633" t="n">
        <x:v>1446175552.16</x:v>
      </x:c>
      <x:c r="Q499" s="633" t="n">
        <x:v>115040942.45</x:v>
      </x:c>
      <x:c r="R499" s="633" t="n">
        <x:v>-78410.78</x:v>
      </x:c>
      <x:c r="S499" s="633" t="n">
        <x:v>2.23</x:v>
      </x:c>
      <x:c r="T499" s="633" t="n">
        <x:v>4.64</x:v>
      </x:c>
      <x:c r="U499" s="633">
        <x:v>0</x:v>
      </x:c>
      <x:c r="V499" s="633">
        <x:v>0</x:v>
      </x:c>
      <x:c r="W499" s="633">
        <x:v>0</x:v>
      </x:c>
      <x:c r="X499" s="633">
        <x:v>0</x:v>
      </x:c>
      <x:c r="Y499" s="633">
        <x:v>0</x:v>
      </x:c>
      <x:c r="Z499" s="633" t="n">
        <x:v>-110.58</x:v>
      </x:c>
      <x:c r="AA499" s="631"/>
      <x:c r="AB499" s="631"/>
      <x:c r="AC499" s="631"/>
      <x:c r="AD499" s="631"/>
      <x:c r="AE499" s="631"/>
      <x:c r="AF499" s="631"/>
      <x:c r="AG499" s="631"/>
      <x:c r="AH499" s="631"/>
      <x:c r="AI499" s="631"/>
      <x:c r="AJ499" s="631"/>
      <x:c r="AK499" s="631"/>
      <x:c r="AL499" s="631"/>
      <x:c r="AM499" s="631"/>
      <x:c r="AN499" s="631"/>
      <x:c r="AO499" s="631"/>
      <x:c r="AP499" s="631"/>
      <x:c r="AQ499" s="631"/>
      <x:c r="AR499" s="631"/>
      <x:c r="AS499" s="631"/>
      <x:c r="AT499" s="631"/>
      <x:c r="AU499" s="631"/>
      <x:c r="AV499" s="631"/>
      <x:c r="AW499" s="631"/>
      <x:c r="AX499" s="631"/>
      <x:c r="AY499" s="631"/>
      <x:c r="AZ499" s="631"/>
      <x:c r="BA499" s="631"/>
      <x:c r="BB499" s="631"/>
      <x:c r="BC499" s="631"/>
      <x:c r="BD499" s="631"/>
      <x:c r="BE499" s="631"/>
      <x:c r="BF499" s="631"/>
      <x:c r="BG499" s="631"/>
      <x:c r="BH499" s="631"/>
      <x:c r="BI499" s="631"/>
      <x:c r="BJ499" s="631"/>
      <x:c r="BK499" s="631"/>
      <x:c r="BL499" s="631"/>
      <x:c r="BM499" s="631"/>
      <x:c r="BN499" s="624"/>
    </x:row>
    <x:row r="500" spans="1:66" x14ac:dyDescent="0.25">
      <x:c r="A500" s="638"/>
      <x:c r="B500" s="639"/>
      <x:c r="C500" s="639"/>
      <x:c r="D500" s="638"/>
      <x:c r="E500" s="638" t="inlineStr">
        <x:is>
          <x:t>Subsidio(-)/Contribucion(+)</x:t>
        </x:is>
      </x:c>
      <x:c r="F500" s="640" t="n">
        <x:v>-209268624.09</x:v>
      </x:c>
      <x:c r="G500" s="640" t="n">
        <x:v>11464231.78</x:v>
      </x:c>
      <x:c r="H500" s="640" t="n">
        <x:v>6446123.52</x:v>
      </x:c>
      <x:c r="I500" s="640" t="n">
        <x:v>3344340.57</x:v>
      </x:c>
      <x:c r="J500" s="640" t="n">
        <x:v>-77325974.07</x:v>
      </x:c>
      <x:c r="K500" s="640" t="n">
        <x:v>-2895505.48</x:v>
      </x:c>
      <x:c r="L500" s="640" t="n">
        <x:v>0</x:v>
      </x:c>
      <x:c r="M500" s="640" t="n">
        <x:v>-25415784.88</x:v>
      </x:c>
      <x:c r="N500" s="640" t="n">
        <x:v>-26050856</x:v>
      </x:c>
      <x:c r="O500" s="640" t="n">
        <x:v>-128357522.86</x:v>
      </x:c>
      <x:c r="P500" s="640" t="n">
        <x:v>34246810.17</x:v>
      </x:c>
      <x:c r="Q500" s="640" t="n">
        <x:v>-4724486.84</x:v>
      </x:c>
      <x:c r="R500" s="640" t="n">
        <x:v>0</x:v>
      </x:c>
      <x:c r="S500" s="640" t="n">
        <x:v>0</x:v>
      </x:c>
      <x:c r="T500" s="640" t="n">
        <x:v>0</x:v>
      </x:c>
      <x:c r="U500" s="640">
        <x:v>0</x:v>
      </x:c>
      <x:c r="V500" s="640">
        <x:v>0</x:v>
      </x:c>
      <x:c r="W500" s="640">
        <x:v>0</x:v>
      </x:c>
      <x:c r="X500" s="640">
        <x:v>0</x:v>
      </x:c>
      <x:c r="Y500" s="640">
        <x:v>0</x:v>
      </x:c>
      <x:c r="Z500" s="640" t="n">
        <x:v>0</x:v>
      </x:c>
      <x:c r="AA500" s="638"/>
      <x:c r="AB500" s="638"/>
      <x:c r="AC500" s="638"/>
      <x:c r="AD500" s="638"/>
      <x:c r="AE500" s="638"/>
      <x:c r="AF500" s="638"/>
      <x:c r="AG500" s="638"/>
      <x:c r="AH500" s="638"/>
      <x:c r="AI500" s="638"/>
      <x:c r="AJ500" s="638"/>
      <x:c r="AK500" s="638"/>
      <x:c r="AL500" s="638"/>
      <x:c r="AM500" s="638"/>
      <x:c r="AN500" s="638"/>
      <x:c r="AO500" s="638"/>
      <x:c r="AP500" s="638"/>
      <x:c r="AQ500" s="638"/>
      <x:c r="AR500" s="638"/>
      <x:c r="AS500" s="638"/>
      <x:c r="AT500" s="638"/>
      <x:c r="AU500" s="638"/>
      <x:c r="AV500" s="638"/>
      <x:c r="AW500" s="638"/>
      <x:c r="AX500" s="638"/>
      <x:c r="AY500" s="638"/>
      <x:c r="AZ500" s="638"/>
      <x:c r="BA500" s="638"/>
      <x:c r="BB500" s="638"/>
      <x:c r="BC500" s="638"/>
      <x:c r="BD500" s="638"/>
      <x:c r="BE500" s="638"/>
      <x:c r="BF500" s="638"/>
      <x:c r="BG500" s="638"/>
      <x:c r="BH500" s="638"/>
      <x:c r="BI500" s="638"/>
      <x:c r="BJ500" s="638"/>
      <x:c r="BK500" s="638"/>
      <x:c r="BL500" s="638"/>
      <x:c r="BM500" s="638"/>
      <x:c r="BN500" s="624"/>
    </x:row>
    <x:row r="501" spans="1:66" x14ac:dyDescent="0.25">
      <x:c r="A501" s="25"/>
      <x:c r="B501" s="25"/>
      <x:c r="C501"/>
      <x:c r="D501" t="inlineStr">
        <x:is>
          <x:t>E</x:t>
        </x:is>
      </x:c>
      <x:c r="E501" s="625" t="inlineStr">
        <x:is>
          <x:t>Total</x:t>
        </x:is>
      </x:c>
      <x:c r="F501" s="627" t="n">
        <x:v>-209268624.09</x:v>
      </x:c>
      <x:c r="G501" s="627" t="n">
        <x:v>11464231.78</x:v>
      </x:c>
      <x:c r="H501" s="627" t="n">
        <x:v>6446123.52</x:v>
      </x:c>
      <x:c r="I501" s="627" t="n">
        <x:v>3344340.57</x:v>
      </x:c>
      <x:c r="J501" s="627" t="n">
        <x:v>-77325974.07</x:v>
      </x:c>
      <x:c r="K501" s="627" t="n">
        <x:v>-2895505.48</x:v>
      </x:c>
      <x:c r="L501" s="627" t="n">
        <x:v>0</x:v>
      </x:c>
      <x:c r="M501" s="627" t="n">
        <x:v>-25415784.88</x:v>
      </x:c>
      <x:c r="N501" s="627" t="n">
        <x:v>-26050856</x:v>
      </x:c>
      <x:c r="O501" s="627" t="n">
        <x:v>-128357522.86</x:v>
      </x:c>
      <x:c r="P501" s="627" t="n">
        <x:v>34246810.17</x:v>
      </x:c>
      <x:c r="Q501" s="627" t="n">
        <x:v>-4724486.84</x:v>
      </x:c>
      <x:c r="R501" s="627" t="n">
        <x:v>0</x:v>
      </x:c>
      <x:c r="S501" s="627" t="n">
        <x:v>0</x:v>
      </x:c>
      <x:c r="T501" s="653" t="n">
        <x:v>0</x:v>
      </x:c>
      <x:c r="U501" s="653">
        <x:v>0</x:v>
      </x:c>
      <x:c r="V501" s="653">
        <x:v>0</x:v>
      </x:c>
      <x:c r="W501" s="653">
        <x:v>0</x:v>
      </x:c>
      <x:c r="X501" s="653">
        <x:v>0</x:v>
      </x:c>
      <x:c r="Y501" s="653">
        <x:v>0</x:v>
      </x:c>
      <x:c r="Z501" s="653" t="n">
        <x:v>0</x:v>
      </x:c>
      <x:c r="BN501" s="624"/>
    </x:row>
    <x:row r="502" spans="1:66" x14ac:dyDescent="0.25">
      <x:c r="A502"/>
      <x:c r="B502"/>
      <x:c r="C502" t="inlineStr">
        <x:is>
          <x:t>ENEL</x:t>
        </x:is>
      </x:c>
      <x:c r="D502" t="inlineStr">
        <x:is>
          <x:t>Total</x:t>
        </x:is>
      </x:c>
      <x:c r="E502" s="625"/>
      <x:c r="F502" s="627" t="n">
        <x:v>-209268624.09</x:v>
      </x:c>
      <x:c r="G502" s="627" t="n">
        <x:v>11464231.78</x:v>
      </x:c>
      <x:c r="H502" s="627" t="n">
        <x:v>6446123.52</x:v>
      </x:c>
      <x:c r="I502" s="627" t="n">
        <x:v>3344340.57</x:v>
      </x:c>
      <x:c r="J502" s="627" t="n">
        <x:v>-77325974.07</x:v>
      </x:c>
      <x:c r="K502" s="627" t="n">
        <x:v>-2895505.48</x:v>
      </x:c>
      <x:c r="L502" s="627" t="n">
        <x:v>0</x:v>
      </x:c>
      <x:c r="M502" s="627" t="n">
        <x:v>-25415784.88</x:v>
      </x:c>
      <x:c r="N502" s="627" t="n">
        <x:v>-26050856</x:v>
      </x:c>
      <x:c r="O502" s="627" t="n">
        <x:v>-128357522.86</x:v>
      </x:c>
      <x:c r="P502" s="627" t="n">
        <x:v>34246810.17</x:v>
      </x:c>
      <x:c r="Q502" s="627" t="n">
        <x:v>-4724486.84</x:v>
      </x:c>
      <x:c r="R502" s="627" t="n">
        <x:v>0</x:v>
      </x:c>
      <x:c r="S502" s="627" t="n">
        <x:v>0</x:v>
      </x:c>
      <x:c r="T502" s="653" t="n">
        <x:v>0</x:v>
      </x:c>
      <x:c r="U502" s="653">
        <x:v>0</x:v>
      </x:c>
      <x:c r="V502" s="653">
        <x:v>0</x:v>
      </x:c>
      <x:c r="W502" s="653">
        <x:v>0</x:v>
      </x:c>
      <x:c r="X502" s="653">
        <x:v>0</x:v>
      </x:c>
      <x:c r="Y502" s="653">
        <x:v>0</x:v>
      </x:c>
      <x:c r="Z502" s="653" t="n">
        <x:v>0</x:v>
      </x:c>
      <x:c r="BN502" s="624"/>
    </x:row>
    <x:row r="503" spans="1:66" x14ac:dyDescent="0.25">
      <x:c r="A503"/>
      <x:c r="B503"/>
      <x:c r="C503"/>
      <x:c r="D503" s="25"/>
      <x:c r="E503" s="625" t="inlineStr">
        <x:is>
          <x:t>Subsidio(-)/Contribucion(+)</x:t>
        </x:is>
      </x:c>
      <x:c r="F503" s="627" t="n">
        <x:v>-20851206.37</x:v>
      </x:c>
      <x:c r="G503" s="627" t="n">
        <x:v>-1129768.81</x:v>
      </x:c>
      <x:c r="H503" s="627" t="n">
        <x:v>-632555.39</x:v>
      </x:c>
      <x:c r="I503" s="627" t="n">
        <x:v>-328155.02</x:v>
      </x:c>
      <x:c r="J503" s="627" t="n">
        <x:v>-4502648.38</x:v>
      </x:c>
      <x:c r="K503" s="627" t="n">
        <x:v>-168539.09</x:v>
      </x:c>
      <x:c r="L503" s="627" t="n">
        <x:v>0</x:v>
      </x:c>
      <x:c r="M503" s="627" t="n">
        <x:v>-1480038.3</x:v>
      </x:c>
      <x:c r="N503" s="627" t="n">
        <x:v>-1479454.83</x:v>
      </x:c>
      <x:c r="O503" s="627" t="n">
        <x:v>-7548380.53</x:v>
      </x:c>
      <x:c r="P503" s="627" t="n">
        <x:v>-3306687.48</x:v>
      </x:c>
      <x:c r="Q503" s="627" t="n">
        <x:v>-274978.54</x:v>
      </x:c>
      <x:c r="R503" s="627" t="n">
        <x:v>0</x:v>
      </x:c>
      <x:c r="S503" s="627" t="n">
        <x:v>0</x:v>
      </x:c>
      <x:c r="T503" s="653" t="n">
        <x:v>0</x:v>
      </x:c>
      <x:c r="U503" s="653">
        <x:v>0</x:v>
      </x:c>
      <x:c r="V503" s="653">
        <x:v>0</x:v>
      </x:c>
      <x:c r="W503" s="653">
        <x:v>0</x:v>
      </x:c>
      <x:c r="X503" s="653">
        <x:v>0</x:v>
      </x:c>
      <x:c r="Y503" s="653">
        <x:v>0</x:v>
      </x:c>
      <x:c r="Z503" s="653" t="n">
        <x:v>0</x:v>
      </x:c>
      <x:c r="BN503" s="624"/>
    </x:row>
    <x:row r="504" spans="1:66" x14ac:dyDescent="0.25">
      <x:c r="A504"/>
      <x:c r="B504"/>
      <x:c r="C504"/>
      <x:c r="D504" t="inlineStr">
        <x:is>
          <x:t>E</x:t>
        </x:is>
      </x:c>
      <x:c r="E504" s="625" t="inlineStr">
        <x:is>
          <x:t>Total</x:t>
        </x:is>
      </x:c>
      <x:c r="F504" s="627" t="n">
        <x:v>-20851206.37</x:v>
      </x:c>
      <x:c r="G504" s="627" t="n">
        <x:v>-1129768.81</x:v>
      </x:c>
      <x:c r="H504" s="627" t="n">
        <x:v>-632555.39</x:v>
      </x:c>
      <x:c r="I504" s="627" t="n">
        <x:v>-328155.02</x:v>
      </x:c>
      <x:c r="J504" s="627" t="n">
        <x:v>-4502648.38</x:v>
      </x:c>
      <x:c r="K504" s="627" t="n">
        <x:v>-168539.09</x:v>
      </x:c>
      <x:c r="L504" s="627" t="n">
        <x:v>0</x:v>
      </x:c>
      <x:c r="M504" s="627" t="n">
        <x:v>-1480038.3</x:v>
      </x:c>
      <x:c r="N504" s="627" t="n">
        <x:v>-1479454.83</x:v>
      </x:c>
      <x:c r="O504" s="627" t="n">
        <x:v>-7548380.53</x:v>
      </x:c>
      <x:c r="P504" s="627" t="n">
        <x:v>-3306687.48</x:v>
      </x:c>
      <x:c r="Q504" s="627" t="n">
        <x:v>-274978.54</x:v>
      </x:c>
      <x:c r="R504" s="627" t="n">
        <x:v>0</x:v>
      </x:c>
      <x:c r="S504" s="627" t="n">
        <x:v>0</x:v>
      </x:c>
      <x:c r="T504" s="653" t="n">
        <x:v>0</x:v>
      </x:c>
      <x:c r="U504" s="653">
        <x:v>0</x:v>
      </x:c>
      <x:c r="V504" s="653">
        <x:v>0</x:v>
      </x:c>
      <x:c r="W504" s="653">
        <x:v>0</x:v>
      </x:c>
      <x:c r="X504" s="653">
        <x:v>0</x:v>
      </x:c>
      <x:c r="Y504" s="653">
        <x:v>0</x:v>
      </x:c>
      <x:c r="Z504" s="653" t="n">
        <x:v>0</x:v>
      </x:c>
      <x:c r="BN504" s="624"/>
    </x:row>
    <x:row r="505" spans="1:66" x14ac:dyDescent="0.25">
      <x:c r="A505"/>
      <x:c r="B505"/>
      <x:c r="C505" t="inlineStr">
        <x:is>
          <x:t>ENERBIT</x:t>
        </x:is>
      </x:c>
      <x:c r="D505" s="25" t="inlineStr">
        <x:is>
          <x:t>Total</x:t>
        </x:is>
      </x:c>
      <x:c r="E505" s="625"/>
      <x:c r="F505" s="627" t="n">
        <x:v>-20851206.37</x:v>
      </x:c>
      <x:c r="G505" s="627" t="n">
        <x:v>-1129768.81</x:v>
      </x:c>
      <x:c r="H505" s="627" t="n">
        <x:v>-632555.39</x:v>
      </x:c>
      <x:c r="I505" s="627" t="n">
        <x:v>-328155.02</x:v>
      </x:c>
      <x:c r="J505" s="627" t="n">
        <x:v>-4502648.38</x:v>
      </x:c>
      <x:c r="K505" s="627" t="n">
        <x:v>-168539.09</x:v>
      </x:c>
      <x:c r="L505" s="627" t="n">
        <x:v>0</x:v>
      </x:c>
      <x:c r="M505" s="627" t="n">
        <x:v>-1480038.3</x:v>
      </x:c>
      <x:c r="N505" s="627" t="n">
        <x:v>-1479454.83</x:v>
      </x:c>
      <x:c r="O505" s="627" t="n">
        <x:v>-7548380.53</x:v>
      </x:c>
      <x:c r="P505" s="627" t="n">
        <x:v>-3306687.48</x:v>
      </x:c>
      <x:c r="Q505" s="627" t="n">
        <x:v>-274978.54</x:v>
      </x:c>
      <x:c r="R505" s="627" t="n">
        <x:v>0</x:v>
      </x:c>
      <x:c r="S505" s="627" t="n">
        <x:v>0</x:v>
      </x:c>
      <x:c r="T505" s="653" t="n">
        <x:v>0</x:v>
      </x:c>
      <x:c r="U505" s="653">
        <x:v>0</x:v>
      </x:c>
      <x:c r="V505" s="653">
        <x:v>0</x:v>
      </x:c>
      <x:c r="W505" s="653">
        <x:v>0</x:v>
      </x:c>
      <x:c r="X505" s="653">
        <x:v>0</x:v>
      </x:c>
      <x:c r="Y505" s="653">
        <x:v>0</x:v>
      </x:c>
      <x:c r="Z505" s="653" t="n">
        <x:v>0</x:v>
      </x:c>
      <x:c r="BN505" s="624"/>
    </x:row>
    <x:row r="506" spans="1:66" x14ac:dyDescent="0.25">
      <x:c r="A506" s="631"/>
      <x:c r="B506" s="631"/>
      <x:c r="C506" s="632"/>
      <x:c r="D506" s="632"/>
      <x:c r="E506" s="631" t="inlineStr">
        <x:is>
          <x:t>Subsidio(-)/Contribucion(+)</x:t>
        </x:is>
      </x:c>
      <x:c r="F506" s="633" t="n">
        <x:v>7068.10000000002</x:v>
      </x:c>
      <x:c r="G506" s="633" t="n">
        <x:v>59485.78</x:v>
      </x:c>
      <x:c r="H506" s="633" t="n">
        <x:v>32534.01</x:v>
      </x:c>
      <x:c r="I506" s="633" t="n">
        <x:v>16618.12</x:v>
      </x:c>
      <x:c r="J506" s="633" t="n">
        <x:v>-51557.07</x:v>
      </x:c>
      <x:c r="K506" s="633" t="n">
        <x:v>-2314.05</x:v>
      </x:c>
      <x:c r="L506" s="633" t="n">
        <x:v>0</x:v>
      </x:c>
      <x:c r="M506" s="633" t="n">
        <x:v>-20297.26</x:v>
      </x:c>
      <x:c r="N506" s="633" t="n">
        <x:v>-30060.56</x:v>
      </x:c>
      <x:c r="O506" s="633" t="n">
        <x:v>-164347.3</x:v>
      </x:c>
      <x:c r="P506" s="633" t="n">
        <x:v>170782.32</x:v>
      </x:c>
      <x:c r="Q506" s="633" t="n">
        <x:v>-3775.89</x:v>
      </x:c>
      <x:c r="R506" s="633" t="n">
        <x:v>0</x:v>
      </x:c>
      <x:c r="S506" s="633" t="n">
        <x:v>0</x:v>
      </x:c>
      <x:c r="T506" s="633" t="n">
        <x:v>0</x:v>
      </x:c>
      <x:c r="U506" s="633">
        <x:v>0</x:v>
      </x:c>
      <x:c r="V506" s="633">
        <x:v>0</x:v>
      </x:c>
      <x:c r="W506" s="633">
        <x:v>0</x:v>
      </x:c>
      <x:c r="X506" s="633">
        <x:v>0</x:v>
      </x:c>
      <x:c r="Y506" s="633">
        <x:v>0</x:v>
      </x:c>
      <x:c r="Z506" s="633" t="n">
        <x:v>0</x:v>
      </x:c>
      <x:c r="AA506" s="631"/>
      <x:c r="AB506" s="631"/>
      <x:c r="AC506" s="631"/>
      <x:c r="AD506" s="631"/>
      <x:c r="AE506" s="631"/>
      <x:c r="AF506" s="631"/>
      <x:c r="AG506" s="631"/>
      <x:c r="AH506" s="631"/>
      <x:c r="AI506" s="631"/>
      <x:c r="AJ506" s="631"/>
      <x:c r="AK506" s="631"/>
      <x:c r="AL506" s="631"/>
      <x:c r="AM506" s="631"/>
      <x:c r="AN506" s="631"/>
      <x:c r="AO506" s="631"/>
      <x:c r="AP506" s="631"/>
      <x:c r="AQ506" s="631"/>
      <x:c r="AR506" s="631"/>
      <x:c r="AS506" s="631"/>
      <x:c r="AT506" s="631"/>
      <x:c r="AU506" s="631"/>
      <x:c r="AV506" s="631"/>
      <x:c r="AW506" s="631"/>
      <x:c r="AX506" s="631"/>
      <x:c r="AY506" s="631"/>
      <x:c r="AZ506" s="631"/>
      <x:c r="BA506" s="631"/>
      <x:c r="BB506" s="631"/>
      <x:c r="BC506" s="631"/>
      <x:c r="BD506" s="631"/>
      <x:c r="BE506" s="631"/>
      <x:c r="BF506" s="631"/>
      <x:c r="BG506" s="631"/>
      <x:c r="BH506" s="631"/>
      <x:c r="BI506" s="631"/>
      <x:c r="BJ506" s="631"/>
      <x:c r="BK506" s="631"/>
      <x:c r="BL506" s="631"/>
      <x:c r="BM506" s="631"/>
      <x:c r="BN506" s="624"/>
    </x:row>
    <x:row r="507" spans="1:66" x14ac:dyDescent="0.25">
      <x:c r="A507" s="635"/>
      <x:c r="B507" s="635"/>
      <x:c r="C507" s="635"/>
      <x:c r="D507" s="635" t="inlineStr">
        <x:is>
          <x:t>H</x:t>
        </x:is>
      </x:c>
      <x:c r="E507" s="636" t="inlineStr">
        <x:is>
          <x:t>Total</x:t>
        </x:is>
      </x:c>
      <x:c r="F507" s="637" t="n">
        <x:v>7068.10000000002</x:v>
      </x:c>
      <x:c r="G507" s="637" t="n">
        <x:v>59485.78</x:v>
      </x:c>
      <x:c r="H507" s="637" t="n">
        <x:v>32534.01</x:v>
      </x:c>
      <x:c r="I507" s="637" t="n">
        <x:v>16618.12</x:v>
      </x:c>
      <x:c r="J507" s="637" t="n">
        <x:v>-51557.07</x:v>
      </x:c>
      <x:c r="K507" s="637" t="n">
        <x:v>-2314.05</x:v>
      </x:c>
      <x:c r="L507" s="637" t="n">
        <x:v>0</x:v>
      </x:c>
      <x:c r="M507" s="637" t="n">
        <x:v>-20297.26</x:v>
      </x:c>
      <x:c r="N507" s="637" t="n">
        <x:v>-30060.56</x:v>
      </x:c>
      <x:c r="O507" s="637" t="n">
        <x:v>-164347.3</x:v>
      </x:c>
      <x:c r="P507" s="637" t="n">
        <x:v>170782.32</x:v>
      </x:c>
      <x:c r="Q507" s="637" t="n">
        <x:v>-3775.89</x:v>
      </x:c>
      <x:c r="R507" s="637" t="n">
        <x:v>0</x:v>
      </x:c>
      <x:c r="S507" s="637" t="n">
        <x:v>0</x:v>
      </x:c>
      <x:c r="T507" s="637" t="n">
        <x:v>0</x:v>
      </x:c>
      <x:c r="U507" s="637">
        <x:v>0</x:v>
      </x:c>
      <x:c r="V507" s="637">
        <x:v>0</x:v>
      </x:c>
      <x:c r="W507" s="637">
        <x:v>0</x:v>
      </x:c>
      <x:c r="X507" s="637">
        <x:v>0</x:v>
      </x:c>
      <x:c r="Y507" s="637">
        <x:v>0</x:v>
      </x:c>
      <x:c r="Z507" s="637" t="n">
        <x:v>0</x:v>
      </x:c>
      <x:c r="AA507" s="635"/>
      <x:c r="AB507" s="635"/>
      <x:c r="AC507" s="635"/>
      <x:c r="AD507" s="635"/>
      <x:c r="AE507" s="635"/>
      <x:c r="AF507" s="635"/>
      <x:c r="AG507" s="635"/>
      <x:c r="AH507" s="635"/>
      <x:c r="AI507" s="635"/>
      <x:c r="AJ507" s="635"/>
      <x:c r="AK507" s="635"/>
      <x:c r="AL507" s="635"/>
      <x:c r="AM507" s="635"/>
      <x:c r="AN507" s="635"/>
      <x:c r="AO507" s="635"/>
      <x:c r="AP507" s="635"/>
      <x:c r="AQ507" s="635"/>
      <x:c r="AR507" s="635"/>
      <x:c r="AS507" s="635"/>
      <x:c r="AT507" s="635"/>
      <x:c r="AU507" s="635"/>
      <x:c r="AV507" s="635"/>
      <x:c r="AW507" s="635"/>
      <x:c r="AX507" s="635"/>
      <x:c r="AY507" s="635"/>
      <x:c r="AZ507" s="635"/>
      <x:c r="BA507" s="635"/>
      <x:c r="BB507" s="635"/>
      <x:c r="BC507" s="635"/>
      <x:c r="BD507" s="635"/>
      <x:c r="BE507" s="635"/>
      <x:c r="BF507" s="635"/>
      <x:c r="BG507" s="635"/>
      <x:c r="BH507" s="635"/>
      <x:c r="BI507" s="635"/>
      <x:c r="BJ507" s="635"/>
      <x:c r="BK507" s="635"/>
      <x:c r="BL507" s="635"/>
      <x:c r="BM507" s="635"/>
      <x:c r="BN507" s="624"/>
    </x:row>
    <x:row r="508" spans="1:66" x14ac:dyDescent="0.25">
      <x:c r="A508"/>
      <x:c r="B508"/>
      <x:c r="C508"/>
      <x:c r="D508"/>
      <x:c r="E508" s="625" t="inlineStr">
        <x:is>
          <x:t>Subsidio(-)/Contribucion(+)</x:t>
        </x:is>
      </x:c>
      <x:c r="F508" s="627" t="n">
        <x:v>2582596.46</x:v>
      </x:c>
      <x:c r="G508" s="627" t="n">
        <x:v>404902.18</x:v>
      </x:c>
      <x:c r="H508" s="627" t="n">
        <x:v>214668.96</x:v>
      </x:c>
      <x:c r="I508" s="627" t="n">
        <x:v>109973.38</x:v>
      </x:c>
      <x:c r="J508" s="627" t="n">
        <x:v>195699.09</x:v>
      </x:c>
      <x:c r="K508" s="627" t="n">
        <x:v>4828.17</x:v>
      </x:c>
      <x:c r="L508" s="627" t="n">
        <x:v>0</x:v>
      </x:c>
      <x:c r="M508" s="627" t="n">
        <x:v>41596.12</x:v>
      </x:c>
      <x:c r="N508" s="627" t="n">
        <x:v>72096.49</x:v>
      </x:c>
      <x:c r="O508" s="627" t="n">
        <x:v>348145.67</x:v>
      </x:c>
      <x:c r="P508" s="627" t="n">
        <x:v>1182802.77</x:v>
      </x:c>
      <x:c r="Q508" s="627" t="n">
        <x:v>7883.63</x:v>
      </x:c>
      <x:c r="R508" s="627" t="n">
        <x:v>0</x:v>
      </x:c>
      <x:c r="S508" s="627" t="n">
        <x:v>0</x:v>
      </x:c>
      <x:c r="T508" s="653" t="n">
        <x:v>0</x:v>
      </x:c>
      <x:c r="U508" s="653">
        <x:v>0</x:v>
      </x:c>
      <x:c r="V508" s="653">
        <x:v>0</x:v>
      </x:c>
      <x:c r="W508" s="653">
        <x:v>0</x:v>
      </x:c>
      <x:c r="X508" s="653">
        <x:v>0</x:v>
      </x:c>
      <x:c r="Y508" s="653">
        <x:v>0</x:v>
      </x:c>
      <x:c r="Z508" s="653" t="n">
        <x:v>0</x:v>
      </x:c>
      <x:c r="BN508" s="624"/>
    </x:row>
    <x:row r="509" spans="1:66" x14ac:dyDescent="0.25">
      <x:c r="A509"/>
      <x:c r="B509"/>
      <x:c r="C509"/>
      <x:c r="D509" s="25" t="inlineStr">
        <x:is>
          <x:t>O</x:t>
        </x:is>
      </x:c>
      <x:c r="E509" s="625" t="inlineStr">
        <x:is>
          <x:t>Total</x:t>
        </x:is>
      </x:c>
      <x:c r="F509" s="627" t="n">
        <x:v>2582596.46</x:v>
      </x:c>
      <x:c r="G509" s="627" t="n">
        <x:v>404902.18</x:v>
      </x:c>
      <x:c r="H509" s="627" t="n">
        <x:v>214668.96</x:v>
      </x:c>
      <x:c r="I509" s="627" t="n">
        <x:v>109973.38</x:v>
      </x:c>
      <x:c r="J509" s="627" t="n">
        <x:v>195699.09</x:v>
      </x:c>
      <x:c r="K509" s="627" t="n">
        <x:v>4828.17</x:v>
      </x:c>
      <x:c r="L509" s="627" t="n">
        <x:v>0</x:v>
      </x:c>
      <x:c r="M509" s="627" t="n">
        <x:v>41596.12</x:v>
      </x:c>
      <x:c r="N509" s="627" t="n">
        <x:v>72096.49</x:v>
      </x:c>
      <x:c r="O509" s="627" t="n">
        <x:v>348145.67</x:v>
      </x:c>
      <x:c r="P509" s="627" t="n">
        <x:v>1182802.77</x:v>
      </x:c>
      <x:c r="Q509" s="627" t="n">
        <x:v>7883.63</x:v>
      </x:c>
      <x:c r="R509" s="627" t="n">
        <x:v>0</x:v>
      </x:c>
      <x:c r="S509" s="627" t="n">
        <x:v>0</x:v>
      </x:c>
      <x:c r="T509" s="653" t="n">
        <x:v>0</x:v>
      </x:c>
      <x:c r="U509" s="653">
        <x:v>0</x:v>
      </x:c>
      <x:c r="V509" s="653">
        <x:v>0</x:v>
      </x:c>
      <x:c r="W509" s="653">
        <x:v>0</x:v>
      </x:c>
      <x:c r="X509" s="653">
        <x:v>0</x:v>
      </x:c>
      <x:c r="Y509" s="653">
        <x:v>0</x:v>
      </x:c>
      <x:c r="Z509" s="653" t="n">
        <x:v>0</x:v>
      </x:c>
      <x:c r="BN509" s="624"/>
    </x:row>
    <x:row r="510" spans="1:66" x14ac:dyDescent="0.25">
      <x:c r="A510" s="628"/>
      <x:c r="B510" s="628"/>
      <x:c r="C510" s="628"/>
      <x:c r="D510" s="628"/>
      <x:c r="E510" s="629" t="inlineStr">
        <x:is>
          <x:t>Subsidio(-)/Contribucion(+)</x:t>
        </x:is>
      </x:c>
      <x:c r="F510" s="630" t="n">
        <x:v>42633654.67</x:v>
      </x:c>
      <x:c r="G510" s="630" t="n">
        <x:v>8363880.87</x:v>
      </x:c>
      <x:c r="H510" s="630" t="n">
        <x:v>4613707.48</x:v>
      </x:c>
      <x:c r="I510" s="630" t="n">
        <x:v>2470128.86</x:v>
      </x:c>
      <x:c r="J510" s="630" t="n">
        <x:v>800537.93</x:v>
      </x:c>
      <x:c r="K510" s="630" t="n">
        <x:v>15916.65</x:v>
      </x:c>
      <x:c r="L510" s="630" t="n">
        <x:v>0</x:v>
      </x:c>
      <x:c r="M510" s="630" t="n">
        <x:v>137975.83</x:v>
      </x:c>
      <x:c r="N510" s="630" t="n">
        <x:v>191674.12</x:v>
      </x:c>
      <x:c r="O510" s="630" t="n">
        <x:v>995247.23</x:v>
      </x:c>
      <x:c r="P510" s="630" t="n">
        <x:v>25018617</x:v>
      </x:c>
      <x:c r="Q510" s="630" t="n">
        <x:v>25968.7</x:v>
      </x:c>
      <x:c r="R510" s="630" t="n">
        <x:v>0</x:v>
      </x:c>
      <x:c r="S510" s="630" t="n">
        <x:v>0</x:v>
      </x:c>
      <x:c r="T510" s="630" t="n">
        <x:v>0</x:v>
      </x:c>
      <x:c r="U510" s="630">
        <x:v>0</x:v>
      </x:c>
      <x:c r="V510" s="630">
        <x:v>0</x:v>
      </x:c>
      <x:c r="W510" s="630">
        <x:v>0</x:v>
      </x:c>
      <x:c r="X510" s="630">
        <x:v>0</x:v>
      </x:c>
      <x:c r="Y510" s="630">
        <x:v>0</x:v>
      </x:c>
      <x:c r="Z510" s="630" t="n">
        <x:v>0</x:v>
      </x:c>
      <x:c r="AA510" s="628"/>
      <x:c r="AB510" s="628"/>
      <x:c r="AC510" s="628"/>
      <x:c r="AD510" s="628"/>
      <x:c r="AE510" s="628"/>
      <x:c r="AF510" s="628"/>
      <x:c r="AG510" s="628"/>
      <x:c r="AH510" s="628"/>
      <x:c r="AI510" s="628"/>
      <x:c r="AJ510" s="628"/>
      <x:c r="AK510" s="628"/>
      <x:c r="AL510" s="628"/>
      <x:c r="AM510" s="628"/>
      <x:c r="AN510" s="628"/>
      <x:c r="AO510" s="628"/>
      <x:c r="AP510" s="628"/>
      <x:c r="AQ510" s="628"/>
      <x:c r="AR510" s="628"/>
      <x:c r="AS510" s="628"/>
      <x:c r="AT510" s="628"/>
      <x:c r="AU510" s="628"/>
      <x:c r="AV510" s="628"/>
      <x:c r="AW510" s="628"/>
      <x:c r="AX510" s="628"/>
      <x:c r="AY510" s="628"/>
      <x:c r="AZ510" s="628"/>
      <x:c r="BA510" s="628"/>
      <x:c r="BB510" s="628"/>
      <x:c r="BC510" s="628"/>
      <x:c r="BD510" s="628"/>
      <x:c r="BE510" s="628"/>
      <x:c r="BF510" s="628"/>
      <x:c r="BG510" s="628"/>
      <x:c r="BH510" s="628"/>
      <x:c r="BI510" s="628"/>
      <x:c r="BJ510" s="628"/>
      <x:c r="BK510" s="628"/>
      <x:c r="BL510" s="628"/>
      <x:c r="BM510" s="628"/>
      <x:c r="BN510" s="624"/>
    </x:row>
    <x:row r="511" spans="1:66" x14ac:dyDescent="0.25">
      <x:c r="A511"/>
      <x:c r="B511"/>
      <x:c r="C511"/>
      <x:c r="D511" t="inlineStr">
        <x:is>
          <x:t>T</x:t>
        </x:is>
      </x:c>
      <x:c r="E511" s="625" t="inlineStr">
        <x:is>
          <x:t>Total</x:t>
        </x:is>
      </x:c>
      <x:c r="F511" s="627" t="n">
        <x:v>42633654.67</x:v>
      </x:c>
      <x:c r="G511" s="627" t="n">
        <x:v>8363880.87</x:v>
      </x:c>
      <x:c r="H511" s="627" t="n">
        <x:v>4613707.48</x:v>
      </x:c>
      <x:c r="I511" s="627" t="n">
        <x:v>2470128.86</x:v>
      </x:c>
      <x:c r="J511" s="627" t="n">
        <x:v>800537.93</x:v>
      </x:c>
      <x:c r="K511" s="627" t="n">
        <x:v>15916.65</x:v>
      </x:c>
      <x:c r="L511" s="627" t="n">
        <x:v>0</x:v>
      </x:c>
      <x:c r="M511" s="627" t="n">
        <x:v>137975.83</x:v>
      </x:c>
      <x:c r="N511" s="627" t="n">
        <x:v>191674.12</x:v>
      </x:c>
      <x:c r="O511" s="627" t="n">
        <x:v>995247.23</x:v>
      </x:c>
      <x:c r="P511" s="627" t="n">
        <x:v>25018617</x:v>
      </x:c>
      <x:c r="Q511" s="627" t="n">
        <x:v>25968.7</x:v>
      </x:c>
      <x:c r="R511" s="627" t="n">
        <x:v>0</x:v>
      </x:c>
      <x:c r="S511" s="627" t="n">
        <x:v>0</x:v>
      </x:c>
      <x:c r="T511" s="653" t="n">
        <x:v>0</x:v>
      </x:c>
      <x:c r="U511" s="653">
        <x:v>0</x:v>
      </x:c>
      <x:c r="V511" s="653">
        <x:v>0</x:v>
      </x:c>
      <x:c r="W511" s="653">
        <x:v>0</x:v>
      </x:c>
      <x:c r="X511" s="653">
        <x:v>0</x:v>
      </x:c>
      <x:c r="Y511" s="653">
        <x:v>0</x:v>
      </x:c>
      <x:c r="Z511" s="653" t="n">
        <x:v>0</x:v>
      </x:c>
      <x:c r="BN511" s="624"/>
    </x:row>
    <x:row r="512" spans="1:66" x14ac:dyDescent="0.25">
      <x:c r="A512"/>
      <x:c r="B512"/>
      <x:c r="C512" t="inlineStr">
        <x:is>
          <x:t>OCCIDENTE</x:t>
        </x:is>
      </x:c>
      <x:c r="D512" s="25" t="inlineStr">
        <x:is>
          <x:t>Total</x:t>
        </x:is>
      </x:c>
      <x:c r="E512" s="625"/>
      <x:c r="F512" s="627" t="n">
        <x:v>45223319.23</x:v>
      </x:c>
      <x:c r="G512" s="627" t="n">
        <x:v>8828268.83</x:v>
      </x:c>
      <x:c r="H512" s="627" t="n">
        <x:v>4860910.45</x:v>
      </x:c>
      <x:c r="I512" s="627" t="n">
        <x:v>2596720.36</x:v>
      </x:c>
      <x:c r="J512" s="627" t="n">
        <x:v>944679.95</x:v>
      </x:c>
      <x:c r="K512" s="627" t="n">
        <x:v>18430.77</x:v>
      </x:c>
      <x:c r="L512" s="627" t="n">
        <x:v>0</x:v>
      </x:c>
      <x:c r="M512" s="627" t="n">
        <x:v>159274.69</x:v>
      </x:c>
      <x:c r="N512" s="627" t="n">
        <x:v>233710.05</x:v>
      </x:c>
      <x:c r="O512" s="627" t="n">
        <x:v>1179045.6</x:v>
      </x:c>
      <x:c r="P512" s="627" t="n">
        <x:v>26372202.09</x:v>
      </x:c>
      <x:c r="Q512" s="627" t="n">
        <x:v>30076.44</x:v>
      </x:c>
      <x:c r="R512" s="627" t="n">
        <x:v>0</x:v>
      </x:c>
      <x:c r="S512" s="627" t="n">
        <x:v>0</x:v>
      </x:c>
      <x:c r="T512" s="653" t="n">
        <x:v>0</x:v>
      </x:c>
      <x:c r="U512" s="653">
        <x:v>0</x:v>
      </x:c>
      <x:c r="V512" s="653">
        <x:v>0</x:v>
      </x:c>
      <x:c r="W512" s="653">
        <x:v>0</x:v>
      </x:c>
      <x:c r="X512" s="653">
        <x:v>0</x:v>
      </x:c>
      <x:c r="Y512" s="653">
        <x:v>0</x:v>
      </x:c>
      <x:c r="Z512" s="653" t="n">
        <x:v>0</x:v>
      </x:c>
      <x:c r="BN512" s="624"/>
    </x:row>
    <x:row r="513" spans="1:66" x14ac:dyDescent="0.25">
      <x:c r="A513" s="668"/>
      <x:c r="B513" s="668" t="inlineStr">
        <x:is>
          <x:t>Mes</x:t>
        </x:is>
      </x:c>
      <x:c r="C513" s="668" t="inlineStr">
        <x:is>
          <x:t>Total</x:t>
        </x:is>
      </x:c>
      <x:c r="D513" s="668"/>
      <x:c r="E513" s="661"/>
      <x:c r="F513" s="662" t="n">
        <x:v>-184896511.23</x:v>
      </x:c>
      <x:c r="G513" s="662" t="n">
        <x:v>19162731.8</x:v>
      </x:c>
      <x:c r="H513" s="662" t="n">
        <x:v>10674478.58</x:v>
      </x:c>
      <x:c r="I513" s="662" t="n">
        <x:v>5612905.91</x:v>
      </x:c>
      <x:c r="J513" s="662" t="n">
        <x:v>-80883942.5</x:v>
      </x:c>
      <x:c r="K513" s="662" t="n">
        <x:v>-3045613.8</x:v>
      </x:c>
      <x:c r="L513" s="662" t="n">
        <x:v>0</x:v>
      </x:c>
      <x:c r="M513" s="662" t="n">
        <x:v>-26736548.49</x:v>
      </x:c>
      <x:c r="N513" s="662" t="n">
        <x:v>-27296600.78</x:v>
      </x:c>
      <x:c r="O513" s="662" t="n">
        <x:v>-134726857.79</x:v>
      </x:c>
      <x:c r="P513" s="662" t="n">
        <x:v>57312324.78</x:v>
      </x:c>
      <x:c r="Q513" s="662" t="n">
        <x:v>-4969388.94</x:v>
      </x:c>
      <x:c r="R513" s="662" t="n">
        <x:v>0</x:v>
      </x:c>
      <x:c r="S513" s="662" t="n">
        <x:v>0</x:v>
      </x:c>
      <x:c r="T513" s="673" t="n">
        <x:v>0</x:v>
      </x:c>
      <x:c r="U513" s="673">
        <x:v>0</x:v>
      </x:c>
      <x:c r="V513" s="673">
        <x:v>0</x:v>
      </x:c>
      <x:c r="W513" s="673">
        <x:v>0</x:v>
      </x:c>
      <x:c r="X513" s="673">
        <x:v>0</x:v>
      </x:c>
      <x:c r="Y513" s="673">
        <x:v>0</x:v>
      </x:c>
      <x:c r="Z513" s="673" t="n">
        <x:v>0</x:v>
      </x:c>
      <x:c r="AA513" s="668"/>
      <x:c r="AB513" s="668"/>
      <x:c r="AC513" s="668"/>
      <x:c r="AD513" s="668"/>
      <x:c r="AE513" s="668"/>
      <x:c r="AF513" s="668"/>
      <x:c r="AG513" s="668"/>
      <x:c r="AH513" s="668"/>
      <x:c r="AI513" s="668"/>
      <x:c r="AJ513" s="668"/>
      <x:c r="AK513" s="668"/>
      <x:c r="AL513" s="668"/>
      <x:c r="AM513" s="668"/>
      <x:c r="AN513" s="668"/>
      <x:c r="AO513" s="668"/>
      <x:c r="AP513" s="668"/>
      <x:c r="AQ513" s="668"/>
      <x:c r="AR513" s="668"/>
      <x:c r="AS513" s="668"/>
      <x:c r="AT513" s="668"/>
      <x:c r="AU513" s="668"/>
      <x:c r="AV513" s="668"/>
      <x:c r="AW513" s="668"/>
      <x:c r="AX513" s="668"/>
      <x:c r="AY513" s="668"/>
      <x:c r="AZ513" s="668"/>
      <x:c r="BA513" s="668"/>
      <x:c r="BB513" s="668"/>
      <x:c r="BC513" s="668"/>
      <x:c r="BD513" s="668"/>
      <x:c r="BE513" s="668"/>
      <x:c r="BF513" s="668"/>
      <x:c r="BG513" s="668"/>
      <x:c r="BH513" s="668"/>
      <x:c r="BI513" s="668"/>
      <x:c r="BJ513" s="668"/>
      <x:c r="BK513" s="668"/>
      <x:c r="BL513" s="668"/>
      <x:c r="BM513" s="668"/>
      <x:c r="BN513" s="624"/>
    </x:row>
    <x:row r="514" spans="1:66" x14ac:dyDescent="0.25">
      <x:c r="A514" t="inlineStr">
        <x:is>
          <x:t>Subs/Cont</x:t>
        </x:is>
      </x:c>
      <x:c r="B514" t="inlineStr">
        <x:is>
          <x:t>Total</x:t>
        </x:is>
      </x:c>
      <x:c r="C514"/>
      <x:c r="D514"/>
      <x:c r="E514" s="625"/>
      <x:c r="F514" s="627" t="n">
        <x:v>-184896511.23</x:v>
      </x:c>
      <x:c r="G514" s="627" t="n">
        <x:v>19162731.8</x:v>
      </x:c>
      <x:c r="H514" s="627" t="n">
        <x:v>10674478.58</x:v>
      </x:c>
      <x:c r="I514" s="627" t="n">
        <x:v>5612905.91</x:v>
      </x:c>
      <x:c r="J514" s="627" t="n">
        <x:v>-80883942.5</x:v>
      </x:c>
      <x:c r="K514" s="627" t="n">
        <x:v>-3045613.8</x:v>
      </x:c>
      <x:c r="L514" s="627" t="n">
        <x:v>0</x:v>
      </x:c>
      <x:c r="M514" s="627" t="n">
        <x:v>-26736548.49</x:v>
      </x:c>
      <x:c r="N514" s="627" t="n">
        <x:v>-27296600.78</x:v>
      </x:c>
      <x:c r="O514" s="627" t="n">
        <x:v>-134726857.79</x:v>
      </x:c>
      <x:c r="P514" s="627" t="n">
        <x:v>57312324.78</x:v>
      </x:c>
      <x:c r="Q514" s="627" t="n">
        <x:v>-4969388.94</x:v>
      </x:c>
      <x:c r="R514" s="627" t="n">
        <x:v>0</x:v>
      </x:c>
      <x:c r="S514" s="627" t="n">
        <x:v>0</x:v>
      </x:c>
      <x:c r="T514" s="653" t="n">
        <x:v>0</x:v>
      </x:c>
      <x:c r="U514" s="653">
        <x:v>0</x:v>
      </x:c>
      <x:c r="V514" s="653">
        <x:v>0</x:v>
      </x:c>
      <x:c r="W514" s="653">
        <x:v>0</x:v>
      </x:c>
      <x:c r="X514" s="653">
        <x:v>0</x:v>
      </x:c>
      <x:c r="Y514" s="653">
        <x:v>0</x:v>
      </x:c>
      <x:c r="Z514" s="653" t="n">
        <x:v>0</x:v>
      </x:c>
      <x:c r="BN514" s="624"/>
    </x:row>
    <x:row r="515" spans="1:66" x14ac:dyDescent="0.25">
      <x:c r="A515" s="625" t="inlineStr">
        <x:is>
          <x:t>Total</x:t>
        </x:is>
      </x:c>
      <x:c r="B515"/>
      <x:c r="C515"/>
      <x:c r="D515"/>
      <x:c r="E515"/>
      <x:c r="F515" s="627" t="n">
        <x:v>8546244026</x:v>
      </x:c>
      <x:c r="G515" s="627" t="n">
        <x:v>516027841.18</x:v>
      </x:c>
      <x:c r="H515" s="627" t="n">
        <x:v>289833322.8</x:v>
      </x:c>
      <x:c r="I515" s="627" t="n">
        <x:v>149583092.46</x:v>
      </x:c>
      <x:c r="J515" s="627" t="n">
        <x:v>1738621087.44</x:v>
      </x:c>
      <x:c r="K515" s="627" t="n">
        <x:v>67442726.82</x:v>
      </x:c>
      <x:c r="L515" s="627" t="n">
        <x:v>26933696.72</x:v>
      </x:c>
      <x:c r="M515" s="627" t="n">
        <x:v>592011925.78</x:v>
      </x:c>
      <x:c r="N515" s="627" t="n">
        <x:v>577059960.85</x:v>
      </x:c>
      <x:c r="O515" s="627" t="n">
        <x:v>2975252532.15</x:v>
      </x:c>
      <x:c r="P515" s="627" t="n">
        <x:v>1503484983.69</x:v>
      </x:c>
      <x:c r="Q515" s="627" t="n">
        <x:v>110071370.6</x:v>
      </x:c>
      <x:c r="R515" s="627" t="n">
        <x:v>-78410.78</x:v>
      </x:c>
      <x:c r="S515" s="627" t="n">
        <x:v>2.23</x:v>
      </x:c>
      <x:c r="T515" s="653" t="n">
        <x:v>4.64</x:v>
      </x:c>
      <x:c r="U515" s="653">
        <x:v>0</x:v>
      </x:c>
      <x:c r="V515" s="653">
        <x:v>0</x:v>
      </x:c>
      <x:c r="W515" s="653">
        <x:v>0</x:v>
      </x:c>
      <x:c r="X515" s="653">
        <x:v>0</x:v>
      </x:c>
      <x:c r="Y515" s="653">
        <x:v>0</x:v>
      </x:c>
      <x:c r="Z515" s="653" t="n">
        <x:v>-110.58</x:v>
      </x:c>
      <x:c r="BN515" s="624"/>
    </x:row>
    <x:row r="516" spans="1:66" x14ac:dyDescent="0.25">
      <x:c r="A516" s="625"/>
      <x:c r="F516" s="627"/>
      <x:c r="G516" s="627"/>
      <x:c r="H516" s="627"/>
      <x:c r="I516" s="627"/>
      <x:c r="J516" s="627"/>
      <x:c r="K516" s="627"/>
      <x:c r="L516" s="627"/>
      <x:c r="M516" s="627"/>
      <x:c r="N516" s="627"/>
      <x:c r="O516" s="627"/>
      <x:c r="P516" s="627"/>
      <x:c r="Q516" s="627"/>
      <x:c r="R516" s="627"/>
      <x:c r="S516" s="627"/>
      <x:c r="T516" s="627"/>
      <x:c r="U516" s="627"/>
      <x:c r="V516" s="627"/>
      <x:c r="W516" s="627"/>
      <x:c r="X516" s="653"/>
      <x:c r="BN516" s="624"/>
    </x:row>
    <x:row r="517" spans="1:66" x14ac:dyDescent="0.25">
      <x:c r="A517" s="625"/>
      <x:c r="F517" s="627"/>
      <x:c r="G517" s="627"/>
      <x:c r="H517" s="627"/>
      <x:c r="I517" s="627"/>
      <x:c r="J517" s="627"/>
      <x:c r="K517" s="627"/>
      <x:c r="L517" s="627"/>
      <x:c r="M517" s="627"/>
      <x:c r="N517" s="627"/>
      <x:c r="O517" s="627"/>
      <x:c r="P517" s="627"/>
      <x:c r="Q517" s="627"/>
      <x:c r="R517" s="627"/>
      <x:c r="S517" s="627"/>
      <x:c r="BN517" s="624"/>
    </x:row>
    <x:row r="518" spans="1:66" x14ac:dyDescent="0.25">
      <x:c r="A518" s="625"/>
      <x:c r="F518" s="627"/>
      <x:c r="G518" s="627"/>
      <x:c r="H518" s="627"/>
      <x:c r="I518" s="627"/>
      <x:c r="J518" s="627"/>
      <x:c r="K518" s="627"/>
      <x:c r="L518" s="627"/>
      <x:c r="M518" s="627"/>
      <x:c r="N518" s="627"/>
      <x:c r="O518" s="627"/>
      <x:c r="P518" s="627"/>
      <x:c r="Q518" s="627"/>
      <x:c r="R518" s="627"/>
      <x:c r="S518" s="627"/>
      <x:c r="BN518" s="624"/>
    </x:row>
    <x:row r="519" spans="1:66" x14ac:dyDescent="0.25">
      <x:c r="C519" s="773" t="s">
        <x:v>2</x:v>
      </x:c>
      <x:c r="D519" s="770" t="s">
        <x:v>132</x:v>
      </x:c>
      <x:c r="E519" s="639" t="s">
        <x:v>70</x:v>
      </x:c>
      <x:c r="F519" s="640">
        <x:f>F513+F498+F478-L478-L498</x:f>
        <x:v>0</x:v>
      </x:c>
      <x:c r="G519" s="640">
        <x:f>G498+G478</x:f>
        <x:v>0</x:v>
      </x:c>
      <x:c r="H519" s="640">
        <x:f t="shared" ref="H519:AO519" si="29">H500</x:f>
        <x:v>0</x:v>
      </x:c>
      <x:c r="I519" s="640">
        <x:f t="shared" si="29"/>
        <x:v>0</x:v>
      </x:c>
      <x:c r="J519" s="640">
        <x:f t="shared" si="29"/>
        <x:v>0</x:v>
      </x:c>
      <x:c r="K519" s="640">
        <x:f t="shared" si="29"/>
        <x:v>0</x:v>
      </x:c>
      <x:c r="L519" s="640">
        <x:f t="shared" si="29"/>
        <x:v>0</x:v>
      </x:c>
      <x:c r="M519" s="640">
        <x:f t="shared" si="29"/>
        <x:v>0</x:v>
      </x:c>
      <x:c r="N519" s="640">
        <x:f t="shared" si="29"/>
        <x:v>0</x:v>
      </x:c>
      <x:c r="O519" s="640">
        <x:f t="shared" si="29"/>
        <x:v>0</x:v>
      </x:c>
      <x:c r="P519" s="640">
        <x:f t="shared" si="29"/>
        <x:v>0</x:v>
      </x:c>
      <x:c r="Q519" s="640">
        <x:f t="shared" si="29"/>
        <x:v>0</x:v>
      </x:c>
      <x:c r="R519" s="640">
        <x:f t="shared" si="29"/>
        <x:v>0</x:v>
      </x:c>
      <x:c r="S519" s="640">
        <x:f t="shared" si="29"/>
        <x:v>0</x:v>
      </x:c>
      <x:c r="T519" s="640">
        <x:f t="shared" si="29"/>
        <x:v>0</x:v>
      </x:c>
      <x:c r="U519" s="640">
        <x:f t="shared" si="29"/>
        <x:v>0</x:v>
      </x:c>
      <x:c r="V519" s="640">
        <x:f t="shared" si="29"/>
        <x:v>0</x:v>
      </x:c>
      <x:c r="W519" s="640">
        <x:f t="shared" si="29"/>
        <x:v>0</x:v>
      </x:c>
      <x:c r="X519" s="640">
        <x:f t="shared" si="29"/>
        <x:v>0</x:v>
      </x:c>
      <x:c r="Y519" s="640">
        <x:f t="shared" si="29"/>
        <x:v>0</x:v>
      </x:c>
      <x:c r="Z519" s="640">
        <x:f t="shared" si="29"/>
        <x:v>0</x:v>
      </x:c>
      <x:c r="AA519" s="640">
        <x:f t="shared" si="29"/>
        <x:v>0</x:v>
      </x:c>
      <x:c r="AB519" s="640">
        <x:f t="shared" si="29"/>
        <x:v>0</x:v>
      </x:c>
      <x:c r="AC519" s="640">
        <x:f t="shared" si="29"/>
        <x:v>0</x:v>
      </x:c>
      <x:c r="AD519" s="640">
        <x:f t="shared" si="29"/>
        <x:v>0</x:v>
      </x:c>
      <x:c r="AE519" s="640">
        <x:f t="shared" si="29"/>
        <x:v>0</x:v>
      </x:c>
      <x:c r="AF519" s="640">
        <x:f t="shared" si="29"/>
        <x:v>0</x:v>
      </x:c>
      <x:c r="AG519" s="640">
        <x:f t="shared" si="29"/>
        <x:v>0</x:v>
      </x:c>
      <x:c r="AH519" s="640">
        <x:f t="shared" si="29"/>
        <x:v>0</x:v>
      </x:c>
      <x:c r="AI519" s="640">
        <x:f t="shared" si="29"/>
        <x:v>0</x:v>
      </x:c>
      <x:c r="AJ519" s="640">
        <x:f t="shared" si="29"/>
        <x:v>0</x:v>
      </x:c>
      <x:c r="AK519" s="640">
        <x:f t="shared" si="29"/>
        <x:v>0</x:v>
      </x:c>
      <x:c r="AL519" s="640">
        <x:f t="shared" si="29"/>
        <x:v>0</x:v>
      </x:c>
      <x:c r="AM519" s="640">
        <x:f t="shared" si="29"/>
        <x:v>0</x:v>
      </x:c>
      <x:c r="AN519" s="640">
        <x:f t="shared" si="29"/>
        <x:v>0</x:v>
      </x:c>
      <x:c r="AO519" s="640">
        <x:f t="shared" si="29"/>
        <x:v>0</x:v>
      </x:c>
      <x:c r="BN519" s="624"/>
    </x:row>
    <x:row r="520" spans="1:66" x14ac:dyDescent="0.25">
      <x:c r="C520" s="773"/>
      <x:c r="D520" s="770"/>
      <x:c r="E520" s="639" t="s">
        <x:v>73</x:v>
      </x:c>
      <x:c r="F520" s="640">
        <x:f>F515</x:f>
        <x:v>0</x:v>
      </x:c>
      <x:c r="G520" s="627"/>
      <x:c r="H520" s="627"/>
      <x:c r="I520" s="627"/>
      <x:c r="J520" s="627"/>
      <x:c r="K520" s="627"/>
      <x:c r="L520" s="627"/>
      <x:c r="M520" s="627"/>
      <x:c r="N520" s="627"/>
      <x:c r="O520" s="627"/>
      <x:c r="P520" s="627"/>
      <x:c r="Q520" s="627"/>
      <x:c r="R520" s="627"/>
      <x:c r="S520" s="627"/>
      <x:c r="BN520" s="624"/>
    </x:row>
    <x:row r="521" spans="1:66" x14ac:dyDescent="0.25">
      <x:c r="C521" s="773"/>
      <x:c r="D521" s="770" t="s">
        <x:v>133</x:v>
      </x:c>
      <x:c r="E521" s="645" t="s">
        <x:v>70</x:v>
      </x:c>
      <x:c r="F521" s="646">
        <x:v>0</x:v>
      </x:c>
      <x:c r="G521" s="646">
        <x:f>G481</x:f>
        <x:v>0</x:v>
      </x:c>
      <x:c r="H521" s="646">
        <x:f t="shared" ref="H521:AO521" si="30">H481</x:f>
        <x:v>0</x:v>
      </x:c>
      <x:c r="I521" s="646">
        <x:f t="shared" si="30"/>
        <x:v>0</x:v>
      </x:c>
      <x:c r="J521" s="646">
        <x:f t="shared" si="30"/>
        <x:v>0</x:v>
      </x:c>
      <x:c r="K521" s="646">
        <x:f t="shared" si="30"/>
        <x:v>0</x:v>
      </x:c>
      <x:c r="L521" s="646">
        <x:f t="shared" si="30"/>
        <x:v>0</x:v>
      </x:c>
      <x:c r="M521" s="646">
        <x:f t="shared" si="30"/>
        <x:v>0</x:v>
      </x:c>
      <x:c r="N521" s="646">
        <x:f t="shared" si="30"/>
        <x:v>0</x:v>
      </x:c>
      <x:c r="O521" s="646">
        <x:f t="shared" si="30"/>
        <x:v>0</x:v>
      </x:c>
      <x:c r="P521" s="646">
        <x:f t="shared" si="30"/>
        <x:v>0</x:v>
      </x:c>
      <x:c r="Q521" s="646">
        <x:f t="shared" si="30"/>
        <x:v>0</x:v>
      </x:c>
      <x:c r="R521" s="646">
        <x:f t="shared" si="30"/>
        <x:v>0</x:v>
      </x:c>
      <x:c r="S521" s="646">
        <x:f t="shared" si="30"/>
        <x:v>0</x:v>
      </x:c>
      <x:c r="T521" s="646">
        <x:f t="shared" si="30"/>
        <x:v>0</x:v>
      </x:c>
      <x:c r="U521" s="646">
        <x:f t="shared" si="30"/>
        <x:v>0</x:v>
      </x:c>
      <x:c r="V521" s="646">
        <x:f t="shared" si="30"/>
        <x:v>0</x:v>
      </x:c>
      <x:c r="W521" s="646">
        <x:f t="shared" si="30"/>
        <x:v>0</x:v>
      </x:c>
      <x:c r="X521" s="646">
        <x:f t="shared" si="30"/>
        <x:v>0</x:v>
      </x:c>
      <x:c r="Y521" s="646">
        <x:f t="shared" si="30"/>
        <x:v>0</x:v>
      </x:c>
      <x:c r="Z521" s="646">
        <x:f t="shared" si="30"/>
        <x:v>0</x:v>
      </x:c>
      <x:c r="AA521" s="646">
        <x:f t="shared" si="30"/>
        <x:v>0</x:v>
      </x:c>
      <x:c r="AB521" s="646">
        <x:f t="shared" si="30"/>
        <x:v>0</x:v>
      </x:c>
      <x:c r="AC521" s="646">
        <x:f t="shared" si="30"/>
        <x:v>0</x:v>
      </x:c>
      <x:c r="AD521" s="646">
        <x:f t="shared" si="30"/>
        <x:v>0</x:v>
      </x:c>
      <x:c r="AE521" s="646">
        <x:f t="shared" si="30"/>
        <x:v>0</x:v>
      </x:c>
      <x:c r="AF521" s="646">
        <x:f t="shared" si="30"/>
        <x:v>0</x:v>
      </x:c>
      <x:c r="AG521" s="646">
        <x:f t="shared" si="30"/>
        <x:v>0</x:v>
      </x:c>
      <x:c r="AH521" s="646">
        <x:f t="shared" si="30"/>
        <x:v>0</x:v>
      </x:c>
      <x:c r="AI521" s="646">
        <x:f t="shared" si="30"/>
        <x:v>0</x:v>
      </x:c>
      <x:c r="AJ521" s="646">
        <x:f t="shared" si="30"/>
        <x:v>0</x:v>
      </x:c>
      <x:c r="AK521" s="646">
        <x:f t="shared" si="30"/>
        <x:v>0</x:v>
      </x:c>
      <x:c r="AL521" s="646">
        <x:f t="shared" si="30"/>
        <x:v>0</x:v>
      </x:c>
      <x:c r="AM521" s="646">
        <x:f t="shared" si="30"/>
        <x:v>0</x:v>
      </x:c>
      <x:c r="AN521" s="646">
        <x:f t="shared" si="30"/>
        <x:v>0</x:v>
      </x:c>
      <x:c r="AO521" s="646">
        <x:f t="shared" si="30"/>
        <x:v>0</x:v>
      </x:c>
      <x:c r="BN521" s="624"/>
    </x:row>
    <x:row r="522" spans="1:66" x14ac:dyDescent="0.25">
      <x:c r="C522" s="773"/>
      <x:c r="D522" s="770"/>
      <x:c r="E522" s="645" t="s">
        <x:v>73</x:v>
      </x:c>
      <x:c r="F522" s="646">
        <x:f>F507</x:f>
        <x:v>0</x:v>
      </x:c>
      <x:c r="G522" s="627"/>
      <x:c r="H522" s="627"/>
      <x:c r="I522" s="627"/>
      <x:c r="J522" s="627"/>
      <x:c r="K522" s="627"/>
      <x:c r="L522" s="627"/>
      <x:c r="M522" s="627"/>
      <x:c r="N522" s="627"/>
      <x:c r="O522" s="627"/>
      <x:c r="P522" s="627"/>
      <x:c r="Q522" s="627"/>
      <x:c r="R522" s="627"/>
      <x:c r="BN522" s="624"/>
    </x:row>
    <x:row r="523" spans="1:66" x14ac:dyDescent="0.25">
      <x:c r="A523" s="625"/>
      <x:c r="C523" s="50"/>
      <x:c r="F523" s="627"/>
      <x:c r="G523" s="627"/>
      <x:c r="H523" s="627"/>
      <x:c r="I523" s="627"/>
      <x:c r="J523" s="627"/>
      <x:c r="K523" s="627"/>
      <x:c r="L523" s="627"/>
      <x:c r="M523" s="627"/>
      <x:c r="N523" s="627"/>
      <x:c r="O523" s="627"/>
      <x:c r="P523" s="627"/>
      <x:c r="Q523" s="627"/>
      <x:c r="R523" s="627"/>
      <x:c r="S523" s="627"/>
      <x:c r="BN523" s="624"/>
    </x:row>
    <x:row r="524" spans="1:66" x14ac:dyDescent="0.25">
      <x:c r="C524" s="773" t="s">
        <x:v>160</x:v>
      </x:c>
      <x:c r="D524" s="770" t="s">
        <x:v>132</x:v>
      </x:c>
      <x:c r="E524" s="647" t="s">
        <x:v>70</x:v>
      </x:c>
      <x:c r="F524" s="648">
        <x:v>0</x:v>
      </x:c>
      <x:c r="G524" s="648">
        <x:v>0</x:v>
      </x:c>
      <x:c r="H524" s="648">
        <x:v>0</x:v>
      </x:c>
      <x:c r="I524" s="648">
        <x:v>0</x:v>
      </x:c>
      <x:c r="J524" s="648">
        <x:v>0</x:v>
      </x:c>
      <x:c r="K524" s="648">
        <x:v>0</x:v>
      </x:c>
      <x:c r="L524" s="648">
        <x:v>0</x:v>
      </x:c>
      <x:c r="M524" s="648">
        <x:v>0</x:v>
      </x:c>
      <x:c r="N524" s="648">
        <x:v>0</x:v>
      </x:c>
      <x:c r="O524" s="648">
        <x:v>0</x:v>
      </x:c>
      <x:c r="P524" s="648">
        <x:v>0</x:v>
      </x:c>
      <x:c r="Q524" s="648">
        <x:v>0</x:v>
      </x:c>
      <x:c r="R524" s="648">
        <x:v>0</x:v>
      </x:c>
      <x:c r="S524" s="648">
        <x:v>0</x:v>
      </x:c>
      <x:c r="T524" s="648">
        <x:v>0</x:v>
      </x:c>
      <x:c r="U524" s="648"/>
      <x:c r="V524" s="648"/>
      <x:c r="W524" s="648"/>
      <x:c r="X524" s="648">
        <x:v>0</x:v>
      </x:c>
      <x:c r="Y524" s="648">
        <x:v>0</x:v>
      </x:c>
      <x:c r="Z524" s="648">
        <x:v>0</x:v>
      </x:c>
      <x:c r="AA524" s="648">
        <x:v>0</x:v>
      </x:c>
      <x:c r="AB524" s="648">
        <x:v>0</x:v>
      </x:c>
      <x:c r="AC524" s="648">
        <x:v>0</x:v>
      </x:c>
      <x:c r="AD524" s="648">
        <x:v>0</x:v>
      </x:c>
      <x:c r="AE524" s="648">
        <x:v>0</x:v>
      </x:c>
      <x:c r="AF524" s="648">
        <x:v>0</x:v>
      </x:c>
      <x:c r="AG524" s="648">
        <x:v>0</x:v>
      </x:c>
      <x:c r="AH524" s="648">
        <x:v>0</x:v>
      </x:c>
      <x:c r="AI524" s="648">
        <x:v>0</x:v>
      </x:c>
      <x:c r="AJ524" s="648">
        <x:v>0</x:v>
      </x:c>
      <x:c r="AK524" s="648">
        <x:v>0</x:v>
      </x:c>
      <x:c r="AL524" s="648">
        <x:v>0</x:v>
      </x:c>
      <x:c r="AM524" s="648">
        <x:v>0</x:v>
      </x:c>
      <x:c r="AN524" s="648">
        <x:v>0</x:v>
      </x:c>
      <x:c r="AO524" s="648">
        <x:v>0</x:v>
      </x:c>
      <x:c r="BN524" s="624"/>
    </x:row>
    <x:row r="525" spans="1:66" x14ac:dyDescent="0.25">
      <x:c r="C525" s="773"/>
      <x:c r="D525" s="770"/>
      <x:c r="E525" s="647" t="s">
        <x:v>73</x:v>
      </x:c>
      <x:c r="F525" s="648">
        <x:v>0</x:v>
      </x:c>
      <x:c r="G525" s="627"/>
      <x:c r="H525" s="627"/>
      <x:c r="I525" s="627"/>
      <x:c r="J525" s="627"/>
      <x:c r="K525" s="627"/>
      <x:c r="L525" s="627"/>
      <x:c r="M525" s="627"/>
      <x:c r="N525" s="627"/>
      <x:c r="O525" s="627"/>
      <x:c r="P525" s="627"/>
      <x:c r="Q525" s="627"/>
      <x:c r="R525" s="627"/>
      <x:c r="S525" s="627"/>
      <x:c r="BN525" s="624"/>
    </x:row>
    <x:row r="526" spans="1:66" x14ac:dyDescent="0.25">
      <x:c r="C526" s="773"/>
      <x:c r="D526" s="770" t="s">
        <x:v>133</x:v>
      </x:c>
      <x:c r="E526" s="649" t="s">
        <x:v>70</x:v>
      </x:c>
      <x:c r="F526" s="650">
        <x:v>0</x:v>
      </x:c>
      <x:c r="G526" s="650">
        <x:v>0</x:v>
      </x:c>
      <x:c r="H526" s="650">
        <x:v>0</x:v>
      </x:c>
      <x:c r="I526" s="650">
        <x:v>0</x:v>
      </x:c>
      <x:c r="J526" s="650">
        <x:v>0</x:v>
      </x:c>
      <x:c r="K526" s="650">
        <x:v>0</x:v>
      </x:c>
      <x:c r="L526" s="650">
        <x:v>0</x:v>
      </x:c>
      <x:c r="M526" s="650">
        <x:v>0</x:v>
      </x:c>
      <x:c r="N526" s="650">
        <x:v>0</x:v>
      </x:c>
      <x:c r="O526" s="650">
        <x:v>0</x:v>
      </x:c>
      <x:c r="P526" s="650">
        <x:v>0</x:v>
      </x:c>
      <x:c r="Q526" s="650">
        <x:v>0</x:v>
      </x:c>
      <x:c r="R526" s="650">
        <x:v>0</x:v>
      </x:c>
      <x:c r="S526" s="650">
        <x:v>0</x:v>
      </x:c>
      <x:c r="T526" s="650">
        <x:v>0</x:v>
      </x:c>
      <x:c r="U526" s="650"/>
      <x:c r="V526" s="650"/>
      <x:c r="W526" s="650"/>
      <x:c r="X526" s="650">
        <x:v>0</x:v>
      </x:c>
      <x:c r="Y526" s="650">
        <x:v>0</x:v>
      </x:c>
      <x:c r="Z526" s="650">
        <x:v>0</x:v>
      </x:c>
      <x:c r="AA526" s="650">
        <x:v>0</x:v>
      </x:c>
      <x:c r="AB526" s="650">
        <x:v>0</x:v>
      </x:c>
      <x:c r="AC526" s="650">
        <x:v>0</x:v>
      </x:c>
      <x:c r="AD526" s="650">
        <x:v>0</x:v>
      </x:c>
      <x:c r="AE526" s="650">
        <x:v>0</x:v>
      </x:c>
      <x:c r="AF526" s="650">
        <x:v>0</x:v>
      </x:c>
      <x:c r="AG526" s="650">
        <x:v>0</x:v>
      </x:c>
      <x:c r="AH526" s="650">
        <x:v>0</x:v>
      </x:c>
      <x:c r="AI526" s="650">
        <x:v>0</x:v>
      </x:c>
      <x:c r="AJ526" s="650">
        <x:v>0</x:v>
      </x:c>
      <x:c r="AK526" s="650">
        <x:v>0</x:v>
      </x:c>
      <x:c r="AL526" s="650">
        <x:v>0</x:v>
      </x:c>
      <x:c r="AM526" s="650">
        <x:v>0</x:v>
      </x:c>
      <x:c r="AN526" s="650">
        <x:v>0</x:v>
      </x:c>
      <x:c r="AO526" s="650">
        <x:v>0</x:v>
      </x:c>
      <x:c r="BN526" s="624"/>
    </x:row>
    <x:row r="527" spans="1:66" x14ac:dyDescent="0.25">
      <x:c r="C527" s="773"/>
      <x:c r="D527" s="770"/>
      <x:c r="E527" s="649" t="s">
        <x:v>73</x:v>
      </x:c>
      <x:c r="F527" s="650">
        <x:v>0</x:v>
      </x:c>
      <x:c r="G527" s="627"/>
      <x:c r="H527" s="627"/>
      <x:c r="I527" s="627"/>
      <x:c r="J527" s="627"/>
      <x:c r="K527" s="627"/>
      <x:c r="L527" s="627"/>
      <x:c r="M527" s="627"/>
      <x:c r="N527" s="627"/>
      <x:c r="O527" s="627"/>
      <x:c r="P527" s="627"/>
      <x:c r="Q527" s="627"/>
      <x:c r="R527" s="627"/>
      <x:c r="BN527" s="624"/>
    </x:row>
    <x:row r="528" spans="1:66" x14ac:dyDescent="0.25">
      <x:c r="A528" s="625"/>
      <x:c r="C528" s="50"/>
      <x:c r="F528" s="627"/>
      <x:c r="G528" s="627"/>
      <x:c r="H528" s="627"/>
      <x:c r="I528" s="627"/>
      <x:c r="J528" s="627"/>
      <x:c r="K528" s="627"/>
      <x:c r="L528" s="627"/>
      <x:c r="M528" s="627"/>
      <x:c r="N528" s="627"/>
      <x:c r="O528" s="627"/>
      <x:c r="P528" s="627"/>
      <x:c r="Q528" s="627"/>
      <x:c r="R528" s="627"/>
      <x:c r="S528" s="627"/>
      <x:c r="BN528" s="624"/>
    </x:row>
    <x:row r="529" spans="1:66" x14ac:dyDescent="0.25">
      <x:c r="C529" s="773" t="s">
        <x:v>155</x:v>
      </x:c>
      <x:c r="D529" s="770" t="s">
        <x:v>132</x:v>
      </x:c>
      <x:c r="E529" s="651" t="s">
        <x:v>70</x:v>
      </x:c>
      <x:c r="F529" s="652">
        <x:f>F510+F485-L485</x:f>
        <x:v>0</x:v>
      </x:c>
      <x:c r="G529" s="652">
        <x:f>G485</x:f>
        <x:v>0</x:v>
      </x:c>
      <x:c r="H529" s="652">
        <x:f t="shared" ref="H529:AO529" si="31">H485</x:f>
        <x:v>0</x:v>
      </x:c>
      <x:c r="I529" s="652">
        <x:f t="shared" si="31"/>
        <x:v>0</x:v>
      </x:c>
      <x:c r="J529" s="652">
        <x:f t="shared" si="31"/>
        <x:v>0</x:v>
      </x:c>
      <x:c r="K529" s="652">
        <x:f t="shared" si="31"/>
        <x:v>0</x:v>
      </x:c>
      <x:c r="L529" s="652">
        <x:f t="shared" si="31"/>
        <x:v>0</x:v>
      </x:c>
      <x:c r="M529" s="652">
        <x:f t="shared" si="31"/>
        <x:v>0</x:v>
      </x:c>
      <x:c r="N529" s="652">
        <x:f t="shared" si="31"/>
        <x:v>0</x:v>
      </x:c>
      <x:c r="O529" s="652">
        <x:f t="shared" si="31"/>
        <x:v>0</x:v>
      </x:c>
      <x:c r="P529" s="652">
        <x:f t="shared" si="31"/>
        <x:v>0</x:v>
      </x:c>
      <x:c r="Q529" s="652">
        <x:f t="shared" si="31"/>
        <x:v>0</x:v>
      </x:c>
      <x:c r="R529" s="652">
        <x:f t="shared" si="31"/>
        <x:v>0</x:v>
      </x:c>
      <x:c r="S529" s="652">
        <x:f t="shared" si="31"/>
        <x:v>0</x:v>
      </x:c>
      <x:c r="T529" s="652">
        <x:f t="shared" si="31"/>
        <x:v>0</x:v>
      </x:c>
      <x:c r="U529" s="652">
        <x:f t="shared" si="31"/>
        <x:v>0</x:v>
      </x:c>
      <x:c r="V529" s="652">
        <x:f t="shared" si="31"/>
        <x:v>0</x:v>
      </x:c>
      <x:c r="W529" s="652">
        <x:f t="shared" si="31"/>
        <x:v>0</x:v>
      </x:c>
      <x:c r="X529" s="652">
        <x:f t="shared" si="31"/>
        <x:v>0</x:v>
      </x:c>
      <x:c r="Y529" s="652">
        <x:f t="shared" si="31"/>
        <x:v>0</x:v>
      </x:c>
      <x:c r="Z529" s="652">
        <x:f t="shared" si="31"/>
        <x:v>0</x:v>
      </x:c>
      <x:c r="AA529" s="652">
        <x:f t="shared" si="31"/>
        <x:v>0</x:v>
      </x:c>
      <x:c r="AB529" s="652">
        <x:f t="shared" si="31"/>
        <x:v>0</x:v>
      </x:c>
      <x:c r="AC529" s="652">
        <x:f t="shared" si="31"/>
        <x:v>0</x:v>
      </x:c>
      <x:c r="AD529" s="652">
        <x:f t="shared" si="31"/>
        <x:v>0</x:v>
      </x:c>
      <x:c r="AE529" s="652">
        <x:f t="shared" si="31"/>
        <x:v>0</x:v>
      </x:c>
      <x:c r="AF529" s="652">
        <x:f t="shared" si="31"/>
        <x:v>0</x:v>
      </x:c>
      <x:c r="AG529" s="652">
        <x:f t="shared" si="31"/>
        <x:v>0</x:v>
      </x:c>
      <x:c r="AH529" s="652">
        <x:f t="shared" si="31"/>
        <x:v>0</x:v>
      </x:c>
      <x:c r="AI529" s="652">
        <x:f t="shared" si="31"/>
        <x:v>0</x:v>
      </x:c>
      <x:c r="AJ529" s="652">
        <x:f t="shared" si="31"/>
        <x:v>0</x:v>
      </x:c>
      <x:c r="AK529" s="652">
        <x:f t="shared" si="31"/>
        <x:v>0</x:v>
      </x:c>
      <x:c r="AL529" s="652">
        <x:f t="shared" si="31"/>
        <x:v>0</x:v>
      </x:c>
      <x:c r="AM529" s="652">
        <x:f t="shared" si="31"/>
        <x:v>0</x:v>
      </x:c>
      <x:c r="AN529" s="652">
        <x:f t="shared" si="31"/>
        <x:v>0</x:v>
      </x:c>
      <x:c r="AO529" s="652">
        <x:f t="shared" si="31"/>
        <x:v>0</x:v>
      </x:c>
      <x:c r="BN529" s="624"/>
    </x:row>
    <x:row r="530" spans="1:66" x14ac:dyDescent="0.25">
      <x:c r="C530" s="773"/>
      <x:c r="D530" s="770"/>
      <x:c r="E530" s="651" t="s">
        <x:v>73</x:v>
      </x:c>
      <x:c r="F530" s="652">
        <x:f>F510</x:f>
        <x:v>0</x:v>
      </x:c>
      <x:c r="G530" s="627"/>
      <x:c r="H530" s="627"/>
      <x:c r="I530" s="627"/>
      <x:c r="J530" s="627"/>
      <x:c r="K530" s="627"/>
      <x:c r="L530" s="627"/>
      <x:c r="M530" s="627"/>
      <x:c r="N530" s="627"/>
      <x:c r="O530" s="627"/>
      <x:c r="P530" s="627"/>
      <x:c r="Q530" s="627"/>
      <x:c r="R530" s="627"/>
      <x:c r="S530" s="627"/>
      <x:c r="BN530" s="624"/>
    </x:row>
    <x:row r="531" spans="1:66" x14ac:dyDescent="0.25">
      <x:c r="C531" s="773"/>
      <x:c r="D531" s="770" t="s">
        <x:v>133</x:v>
      </x:c>
      <x:c r="E531" s="656" t="s">
        <x:v>70</x:v>
      </x:c>
      <x:c r="F531" s="657">
        <x:v>0</x:v>
      </x:c>
      <x:c r="G531" s="657">
        <x:v>0</x:v>
      </x:c>
      <x:c r="H531" s="657">
        <x:v>0</x:v>
      </x:c>
      <x:c r="I531" s="657">
        <x:v>0</x:v>
      </x:c>
      <x:c r="J531" s="657">
        <x:v>0</x:v>
      </x:c>
      <x:c r="K531" s="657">
        <x:v>0</x:v>
      </x:c>
      <x:c r="L531" s="657">
        <x:v>0</x:v>
      </x:c>
      <x:c r="M531" s="657">
        <x:v>0</x:v>
      </x:c>
      <x:c r="N531" s="657">
        <x:v>0</x:v>
      </x:c>
      <x:c r="O531" s="657">
        <x:v>0</x:v>
      </x:c>
      <x:c r="P531" s="657">
        <x:v>0</x:v>
      </x:c>
      <x:c r="Q531" s="657">
        <x:v>0</x:v>
      </x:c>
      <x:c r="R531" s="657">
        <x:v>0</x:v>
      </x:c>
      <x:c r="S531" s="657">
        <x:v>0</x:v>
      </x:c>
      <x:c r="T531" s="657">
        <x:v>0</x:v>
      </x:c>
      <x:c r="U531" s="657">
        <x:v>0</x:v>
      </x:c>
      <x:c r="V531" s="657">
        <x:v>0</x:v>
      </x:c>
      <x:c r="W531" s="657">
        <x:v>0</x:v>
      </x:c>
      <x:c r="X531" s="657">
        <x:v>0</x:v>
      </x:c>
      <x:c r="Y531" s="657">
        <x:v>0</x:v>
      </x:c>
      <x:c r="Z531" s="657">
        <x:v>0</x:v>
      </x:c>
      <x:c r="AA531" s="657">
        <x:v>0</x:v>
      </x:c>
      <x:c r="AB531" s="657">
        <x:v>0</x:v>
      </x:c>
      <x:c r="AC531" s="657">
        <x:v>0</x:v>
      </x:c>
      <x:c r="AD531" s="657">
        <x:v>0</x:v>
      </x:c>
      <x:c r="AE531" s="657">
        <x:v>0</x:v>
      </x:c>
      <x:c r="AF531" s="657">
        <x:v>0</x:v>
      </x:c>
      <x:c r="AG531" s="657">
        <x:v>0</x:v>
      </x:c>
      <x:c r="AH531" s="657">
        <x:v>0</x:v>
      </x:c>
      <x:c r="AI531" s="657">
        <x:v>0</x:v>
      </x:c>
      <x:c r="AJ531" s="657">
        <x:v>0</x:v>
      </x:c>
      <x:c r="AK531" s="657">
        <x:v>0</x:v>
      </x:c>
      <x:c r="AL531" s="657">
        <x:v>0</x:v>
      </x:c>
      <x:c r="AM531" s="657">
        <x:v>0</x:v>
      </x:c>
      <x:c r="AN531" s="657">
        <x:v>0</x:v>
      </x:c>
      <x:c r="AO531" s="657">
        <x:v>0</x:v>
      </x:c>
      <x:c r="BN531" s="624"/>
    </x:row>
    <x:row r="532" spans="1:66" x14ac:dyDescent="0.25">
      <x:c r="C532" s="773"/>
      <x:c r="D532" s="770"/>
      <x:c r="E532" s="656" t="s">
        <x:v>73</x:v>
      </x:c>
      <x:c r="F532" s="657">
        <x:v>0</x:v>
      </x:c>
      <x:c r="G532" s="627"/>
      <x:c r="H532" s="627"/>
      <x:c r="I532" s="627"/>
      <x:c r="J532" s="627"/>
      <x:c r="K532" s="627"/>
      <x:c r="L532" s="627"/>
      <x:c r="M532" s="627"/>
      <x:c r="N532" s="627"/>
      <x:c r="O532" s="627"/>
      <x:c r="P532" s="627"/>
      <x:c r="Q532" s="627"/>
      <x:c r="R532" s="627"/>
      <x:c r="BN532" s="624"/>
    </x:row>
    <x:row r="533" spans="1:66" x14ac:dyDescent="0.25">
      <x:c r="A533" s="625"/>
      <x:c r="C533" s="50"/>
      <x:c r="F533" s="627"/>
      <x:c r="G533" s="627"/>
      <x:c r="H533" s="627"/>
      <x:c r="I533" s="627"/>
      <x:c r="J533" s="627"/>
      <x:c r="K533" s="627"/>
      <x:c r="L533" s="627"/>
      <x:c r="M533" s="627"/>
      <x:c r="N533" s="627"/>
      <x:c r="O533" s="627"/>
      <x:c r="P533" s="627"/>
      <x:c r="Q533" s="627"/>
      <x:c r="R533" s="627"/>
      <x:c r="S533" s="627"/>
      <x:c r="BN533" s="624"/>
    </x:row>
    <x:row r="534" spans="1:66" x14ac:dyDescent="0.25">
      <x:c r="C534" s="771" t="s">
        <x:v>326</x:v>
      </x:c>
      <x:c r="D534" s="770" t="s">
        <x:v>132</x:v>
      </x:c>
      <x:c r="E534" s="654" t="s">
        <x:v>70</x:v>
      </x:c>
      <x:c r="F534" s="655">
        <x:f>F513+F489-L489</x:f>
        <x:v>0</x:v>
      </x:c>
      <x:c r="G534" s="655">
        <x:f>G489</x:f>
        <x:v>0</x:v>
      </x:c>
      <x:c r="H534" s="655">
        <x:f t="shared" ref="H534:AO534" si="32">H489</x:f>
        <x:v>0</x:v>
      </x:c>
      <x:c r="I534" s="655">
        <x:f t="shared" si="32"/>
        <x:v>0</x:v>
      </x:c>
      <x:c r="J534" s="655">
        <x:f t="shared" si="32"/>
        <x:v>0</x:v>
      </x:c>
      <x:c r="K534" s="655">
        <x:f t="shared" si="32"/>
        <x:v>0</x:v>
      </x:c>
      <x:c r="L534" s="655">
        <x:f>L489</x:f>
        <x:v>0</x:v>
      </x:c>
      <x:c r="M534" s="655">
        <x:f t="shared" si="32"/>
        <x:v>0</x:v>
      </x:c>
      <x:c r="N534" s="655">
        <x:f t="shared" si="32"/>
        <x:v>0</x:v>
      </x:c>
      <x:c r="O534" s="655">
        <x:f t="shared" si="32"/>
        <x:v>0</x:v>
      </x:c>
      <x:c r="P534" s="655">
        <x:f t="shared" si="32"/>
        <x:v>0</x:v>
      </x:c>
      <x:c r="Q534" s="655">
        <x:f t="shared" si="32"/>
        <x:v>0</x:v>
      </x:c>
      <x:c r="R534" s="655">
        <x:f t="shared" si="32"/>
        <x:v>0</x:v>
      </x:c>
      <x:c r="S534" s="655">
        <x:f t="shared" si="32"/>
        <x:v>0</x:v>
      </x:c>
      <x:c r="T534" s="655">
        <x:f t="shared" si="32"/>
        <x:v>0</x:v>
      </x:c>
      <x:c r="U534" s="655">
        <x:f t="shared" si="32"/>
        <x:v>0</x:v>
      </x:c>
      <x:c r="V534" s="655">
        <x:f t="shared" si="32"/>
        <x:v>0</x:v>
      </x:c>
      <x:c r="W534" s="655">
        <x:f t="shared" si="32"/>
        <x:v>0</x:v>
      </x:c>
      <x:c r="X534" s="655">
        <x:f t="shared" si="32"/>
        <x:v>0</x:v>
      </x:c>
      <x:c r="Y534" s="655">
        <x:f t="shared" si="32"/>
        <x:v>0</x:v>
      </x:c>
      <x:c r="Z534" s="655">
        <x:f t="shared" si="32"/>
        <x:v>0</x:v>
      </x:c>
      <x:c r="AA534" s="655">
        <x:f t="shared" si="32"/>
        <x:v>0</x:v>
      </x:c>
      <x:c r="AB534" s="655">
        <x:f t="shared" si="32"/>
        <x:v>0</x:v>
      </x:c>
      <x:c r="AC534" s="655">
        <x:f t="shared" si="32"/>
        <x:v>0</x:v>
      </x:c>
      <x:c r="AD534" s="655">
        <x:f t="shared" si="32"/>
        <x:v>0</x:v>
      </x:c>
      <x:c r="AE534" s="655">
        <x:f t="shared" si="32"/>
        <x:v>0</x:v>
      </x:c>
      <x:c r="AF534" s="655">
        <x:f t="shared" si="32"/>
        <x:v>0</x:v>
      </x:c>
      <x:c r="AG534" s="655">
        <x:f t="shared" si="32"/>
        <x:v>0</x:v>
      </x:c>
      <x:c r="AH534" s="655">
        <x:f t="shared" si="32"/>
        <x:v>0</x:v>
      </x:c>
      <x:c r="AI534" s="655">
        <x:f t="shared" si="32"/>
        <x:v>0</x:v>
      </x:c>
      <x:c r="AJ534" s="655">
        <x:f t="shared" si="32"/>
        <x:v>0</x:v>
      </x:c>
      <x:c r="AK534" s="655">
        <x:f t="shared" si="32"/>
        <x:v>0</x:v>
      </x:c>
      <x:c r="AL534" s="655">
        <x:f t="shared" si="32"/>
        <x:v>0</x:v>
      </x:c>
      <x:c r="AM534" s="655">
        <x:f t="shared" si="32"/>
        <x:v>0</x:v>
      </x:c>
      <x:c r="AN534" s="655">
        <x:f t="shared" si="32"/>
        <x:v>0</x:v>
      </x:c>
      <x:c r="AO534" s="655">
        <x:f t="shared" si="32"/>
        <x:v>0</x:v>
      </x:c>
      <x:c r="BN534" s="624"/>
    </x:row>
    <x:row r="535" spans="1:66" x14ac:dyDescent="0.25">
      <x:c r="C535" s="771"/>
      <x:c r="D535" s="770"/>
      <x:c r="E535" s="654" t="s">
        <x:v>73</x:v>
      </x:c>
      <x:c r="F535" s="655">
        <x:f>F513</x:f>
        <x:v>0</x:v>
      </x:c>
      <x:c r="G535" s="627"/>
      <x:c r="H535" s="627"/>
      <x:c r="I535" s="627"/>
      <x:c r="J535" s="627"/>
      <x:c r="K535" s="627"/>
      <x:c r="L535" s="627"/>
      <x:c r="M535" s="627"/>
      <x:c r="N535" s="627"/>
      <x:c r="O535" s="627"/>
      <x:c r="P535" s="627"/>
      <x:c r="Q535" s="627"/>
      <x:c r="R535" s="627"/>
      <x:c r="S535" s="627"/>
      <x:c r="BN535" s="624"/>
    </x:row>
    <x:row r="536" spans="1:66" x14ac:dyDescent="0.25">
      <x:c r="C536" s="771"/>
      <x:c r="D536" s="770" t="s">
        <x:v>133</x:v>
      </x:c>
      <x:c r="E536" s="656" t="s">
        <x:v>70</x:v>
      </x:c>
      <x:c r="F536" s="657">
        <x:v>0</x:v>
      </x:c>
      <x:c r="G536" s="657">
        <x:v>0</x:v>
      </x:c>
      <x:c r="H536" s="657">
        <x:v>0</x:v>
      </x:c>
      <x:c r="I536" s="657">
        <x:v>0</x:v>
      </x:c>
      <x:c r="J536" s="657">
        <x:v>0</x:v>
      </x:c>
      <x:c r="K536" s="657">
        <x:v>0</x:v>
      </x:c>
      <x:c r="L536" s="657">
        <x:v>0</x:v>
      </x:c>
      <x:c r="M536" s="657">
        <x:v>0</x:v>
      </x:c>
      <x:c r="N536" s="657">
        <x:v>0</x:v>
      </x:c>
      <x:c r="O536" s="657">
        <x:v>0</x:v>
      </x:c>
      <x:c r="P536" s="657">
        <x:v>0</x:v>
      </x:c>
      <x:c r="Q536" s="657">
        <x:v>0</x:v>
      </x:c>
      <x:c r="R536" s="657">
        <x:v>0</x:v>
      </x:c>
      <x:c r="S536" s="657">
        <x:v>0</x:v>
      </x:c>
      <x:c r="T536" s="657">
        <x:v>0</x:v>
      </x:c>
      <x:c r="U536" s="657">
        <x:v>0</x:v>
      </x:c>
      <x:c r="V536" s="657">
        <x:v>0</x:v>
      </x:c>
      <x:c r="W536" s="657">
        <x:v>0</x:v>
      </x:c>
      <x:c r="X536" s="657">
        <x:v>0</x:v>
      </x:c>
      <x:c r="Y536" s="657">
        <x:v>0</x:v>
      </x:c>
      <x:c r="Z536" s="657">
        <x:v>0</x:v>
      </x:c>
      <x:c r="AA536" s="657">
        <x:v>0</x:v>
      </x:c>
      <x:c r="AB536" s="657">
        <x:v>0</x:v>
      </x:c>
      <x:c r="AC536" s="657">
        <x:v>0</x:v>
      </x:c>
      <x:c r="AD536" s="657">
        <x:v>0</x:v>
      </x:c>
      <x:c r="AE536" s="657">
        <x:v>0</x:v>
      </x:c>
      <x:c r="AF536" s="657">
        <x:v>0</x:v>
      </x:c>
      <x:c r="AG536" s="657">
        <x:v>0</x:v>
      </x:c>
      <x:c r="AH536" s="657">
        <x:v>0</x:v>
      </x:c>
      <x:c r="AI536" s="657">
        <x:v>0</x:v>
      </x:c>
      <x:c r="AJ536" s="657">
        <x:v>0</x:v>
      </x:c>
      <x:c r="AK536" s="657">
        <x:v>0</x:v>
      </x:c>
      <x:c r="AL536" s="657">
        <x:v>0</x:v>
      </x:c>
      <x:c r="AM536" s="657">
        <x:v>0</x:v>
      </x:c>
      <x:c r="AN536" s="657">
        <x:v>0</x:v>
      </x:c>
      <x:c r="AO536" s="657">
        <x:v>0</x:v>
      </x:c>
      <x:c r="BN536" s="624"/>
    </x:row>
    <x:row r="537" spans="1:66" x14ac:dyDescent="0.25">
      <x:c r="C537" s="771"/>
      <x:c r="D537" s="770"/>
      <x:c r="E537" s="656" t="s">
        <x:v>73</x:v>
      </x:c>
      <x:c r="F537" s="657">
        <x:v>0</x:v>
      </x:c>
      <x:c r="G537" s="627"/>
      <x:c r="H537" s="627"/>
      <x:c r="I537" s="627"/>
      <x:c r="J537" s="627"/>
      <x:c r="K537" s="627"/>
      <x:c r="L537" s="627"/>
      <x:c r="M537" s="627"/>
      <x:c r="N537" s="627"/>
      <x:c r="O537" s="627"/>
      <x:c r="P537" s="627"/>
      <x:c r="Q537" s="627"/>
      <x:c r="R537" s="627"/>
      <x:c r="BN537" s="624"/>
    </x:row>
    <x:row r="538" spans="1:66" x14ac:dyDescent="0.25">
      <x:c r="C538" s="643"/>
      <x:c r="D538" s="644"/>
      <x:c r="E538" s="625"/>
      <x:c r="F538" s="627"/>
      <x:c r="G538" s="627"/>
      <x:c r="H538" s="627"/>
      <x:c r="I538" s="627"/>
      <x:c r="J538" s="627"/>
      <x:c r="K538" s="627"/>
      <x:c r="L538" s="627"/>
      <x:c r="M538" s="627"/>
      <x:c r="N538" s="627"/>
      <x:c r="O538" s="627"/>
      <x:c r="P538" s="627"/>
      <x:c r="Q538" s="627"/>
      <x:c r="R538" s="627"/>
      <x:c r="BN538" s="624"/>
    </x:row>
    <x:row r="539" spans="1:66" x14ac:dyDescent="0.25">
      <x:c r="C539" s="773" t="s">
        <x:v>119</x:v>
      </x:c>
      <x:c r="D539" s="770" t="s">
        <x:v>132</x:v>
      </x:c>
      <x:c r="E539" s="632" t="s">
        <x:v>70</x:v>
      </x:c>
      <x:c r="F539" s="633">
        <x:f>F499+F515-L499</x:f>
        <x:v>0</x:v>
      </x:c>
      <x:c r="G539" s="633">
        <x:f>G499</x:f>
        <x:v>0</x:v>
      </x:c>
      <x:c r="H539" s="633">
        <x:f t="shared" ref="H539:AO539" si="33">H499</x:f>
        <x:v>0</x:v>
      </x:c>
      <x:c r="I539" s="633">
        <x:f t="shared" si="33"/>
        <x:v>0</x:v>
      </x:c>
      <x:c r="J539" s="633">
        <x:f t="shared" si="33"/>
        <x:v>0</x:v>
      </x:c>
      <x:c r="K539" s="633">
        <x:f t="shared" si="33"/>
        <x:v>0</x:v>
      </x:c>
      <x:c r="L539" s="633">
        <x:f t="shared" si="33"/>
        <x:v>0</x:v>
      </x:c>
      <x:c r="M539" s="633">
        <x:f t="shared" si="33"/>
        <x:v>0</x:v>
      </x:c>
      <x:c r="N539" s="633">
        <x:f t="shared" si="33"/>
        <x:v>0</x:v>
      </x:c>
      <x:c r="O539" s="633">
        <x:f t="shared" si="33"/>
        <x:v>0</x:v>
      </x:c>
      <x:c r="P539" s="633">
        <x:f t="shared" si="33"/>
        <x:v>0</x:v>
      </x:c>
      <x:c r="Q539" s="633">
        <x:f t="shared" si="33"/>
        <x:v>0</x:v>
      </x:c>
      <x:c r="R539" s="633">
        <x:f t="shared" si="33"/>
        <x:v>0</x:v>
      </x:c>
      <x:c r="S539" s="633">
        <x:f t="shared" si="33"/>
        <x:v>0</x:v>
      </x:c>
      <x:c r="T539" s="633">
        <x:f t="shared" si="33"/>
        <x:v>0</x:v>
      </x:c>
      <x:c r="U539" s="633">
        <x:f t="shared" si="33"/>
        <x:v>0</x:v>
      </x:c>
      <x:c r="V539" s="633">
        <x:f t="shared" si="33"/>
        <x:v>0</x:v>
      </x:c>
      <x:c r="W539" s="633">
        <x:f t="shared" si="33"/>
        <x:v>0</x:v>
      </x:c>
      <x:c r="X539" s="633">
        <x:f t="shared" si="33"/>
        <x:v>0</x:v>
      </x:c>
      <x:c r="Y539" s="633">
        <x:f t="shared" si="33"/>
        <x:v>0</x:v>
      </x:c>
      <x:c r="Z539" s="633">
        <x:f t="shared" si="33"/>
        <x:v>0</x:v>
      </x:c>
      <x:c r="AA539" s="633">
        <x:f t="shared" si="33"/>
        <x:v>0</x:v>
      </x:c>
      <x:c r="AB539" s="633">
        <x:f t="shared" si="33"/>
        <x:v>0</x:v>
      </x:c>
      <x:c r="AC539" s="633">
        <x:f t="shared" si="33"/>
        <x:v>0</x:v>
      </x:c>
      <x:c r="AD539" s="633">
        <x:f t="shared" si="33"/>
        <x:v>0</x:v>
      </x:c>
      <x:c r="AE539" s="633">
        <x:f t="shared" si="33"/>
        <x:v>0</x:v>
      </x:c>
      <x:c r="AF539" s="633">
        <x:f t="shared" si="33"/>
        <x:v>0</x:v>
      </x:c>
      <x:c r="AG539" s="633">
        <x:f t="shared" si="33"/>
        <x:v>0</x:v>
      </x:c>
      <x:c r="AH539" s="633">
        <x:f t="shared" si="33"/>
        <x:v>0</x:v>
      </x:c>
      <x:c r="AI539" s="633">
        <x:f t="shared" si="33"/>
        <x:v>0</x:v>
      </x:c>
      <x:c r="AJ539" s="633">
        <x:f t="shared" si="33"/>
        <x:v>0</x:v>
      </x:c>
      <x:c r="AK539" s="633">
        <x:f t="shared" si="33"/>
        <x:v>0</x:v>
      </x:c>
      <x:c r="AL539" s="633">
        <x:f t="shared" si="33"/>
        <x:v>0</x:v>
      </x:c>
      <x:c r="AM539" s="633">
        <x:f t="shared" si="33"/>
        <x:v>0</x:v>
      </x:c>
      <x:c r="AN539" s="633">
        <x:f t="shared" si="33"/>
        <x:v>0</x:v>
      </x:c>
      <x:c r="AO539" s="633">
        <x:f t="shared" si="33"/>
        <x:v>0</x:v>
      </x:c>
      <x:c r="BN539" s="624"/>
    </x:row>
    <x:row r="540" spans="1:66" x14ac:dyDescent="0.25">
      <x:c r="C540" s="773"/>
      <x:c r="D540" s="770"/>
      <x:c r="E540" s="632" t="s">
        <x:v>73</x:v>
      </x:c>
      <x:c r="F540" s="633">
        <x:f>F515</x:f>
        <x:v>0</x:v>
      </x:c>
      <x:c r="G540" s="627"/>
      <x:c r="H540" s="627"/>
      <x:c r="I540" s="627"/>
      <x:c r="J540" s="627"/>
      <x:c r="K540" s="627"/>
      <x:c r="L540" s="627"/>
      <x:c r="M540" s="627"/>
      <x:c r="N540" s="627"/>
      <x:c r="O540" s="627"/>
      <x:c r="P540" s="627"/>
      <x:c r="Q540" s="627"/>
      <x:c r="R540" s="627"/>
      <x:c r="S540" s="627"/>
      <x:c r="BN540" s="624"/>
    </x:row>
    <x:row r="541" spans="1:66" x14ac:dyDescent="0.25">
      <x:c r="C541" s="773"/>
      <x:c r="D541" s="770" t="s">
        <x:v>133</x:v>
      </x:c>
      <x:c r="E541" s="658" t="s">
        <x:v>70</x:v>
      </x:c>
      <x:c r="F541" s="659">
        <x:f>F506+F480-L480</x:f>
        <x:v>0</x:v>
      </x:c>
      <x:c r="G541" s="659">
        <x:f>G480</x:f>
        <x:v>0</x:v>
      </x:c>
      <x:c r="H541" s="659">
        <x:f t="shared" ref="H541:AO541" si="34">H480</x:f>
        <x:v>0</x:v>
      </x:c>
      <x:c r="I541" s="659">
        <x:f t="shared" si="34"/>
        <x:v>0</x:v>
      </x:c>
      <x:c r="J541" s="659">
        <x:f t="shared" si="34"/>
        <x:v>0</x:v>
      </x:c>
      <x:c r="K541" s="659">
        <x:f t="shared" si="34"/>
        <x:v>0</x:v>
      </x:c>
      <x:c r="L541" s="659">
        <x:f t="shared" si="34"/>
        <x:v>0</x:v>
      </x:c>
      <x:c r="M541" s="659">
        <x:f t="shared" si="34"/>
        <x:v>0</x:v>
      </x:c>
      <x:c r="N541" s="659">
        <x:f t="shared" si="34"/>
        <x:v>0</x:v>
      </x:c>
      <x:c r="O541" s="659">
        <x:f t="shared" si="34"/>
        <x:v>0</x:v>
      </x:c>
      <x:c r="P541" s="659">
        <x:f t="shared" si="34"/>
        <x:v>0</x:v>
      </x:c>
      <x:c r="Q541" s="659">
        <x:f t="shared" si="34"/>
        <x:v>0</x:v>
      </x:c>
      <x:c r="R541" s="659">
        <x:f t="shared" si="34"/>
        <x:v>0</x:v>
      </x:c>
      <x:c r="S541" s="659">
        <x:f t="shared" si="34"/>
        <x:v>0</x:v>
      </x:c>
      <x:c r="T541" s="659">
        <x:f t="shared" si="34"/>
        <x:v>0</x:v>
      </x:c>
      <x:c r="U541" s="659">
        <x:f t="shared" si="34"/>
        <x:v>0</x:v>
      </x:c>
      <x:c r="V541" s="659">
        <x:f t="shared" si="34"/>
        <x:v>0</x:v>
      </x:c>
      <x:c r="W541" s="659">
        <x:f t="shared" si="34"/>
        <x:v>0</x:v>
      </x:c>
      <x:c r="X541" s="659">
        <x:f t="shared" si="34"/>
        <x:v>0</x:v>
      </x:c>
      <x:c r="Y541" s="659">
        <x:f t="shared" si="34"/>
        <x:v>0</x:v>
      </x:c>
      <x:c r="Z541" s="659">
        <x:f t="shared" si="34"/>
        <x:v>0</x:v>
      </x:c>
      <x:c r="AA541" s="659">
        <x:f t="shared" si="34"/>
        <x:v>0</x:v>
      </x:c>
      <x:c r="AB541" s="659">
        <x:f t="shared" si="34"/>
        <x:v>0</x:v>
      </x:c>
      <x:c r="AC541" s="659">
        <x:f t="shared" si="34"/>
        <x:v>0</x:v>
      </x:c>
      <x:c r="AD541" s="659">
        <x:f t="shared" si="34"/>
        <x:v>0</x:v>
      </x:c>
      <x:c r="AE541" s="659">
        <x:f t="shared" si="34"/>
        <x:v>0</x:v>
      </x:c>
      <x:c r="AF541" s="659">
        <x:f t="shared" si="34"/>
        <x:v>0</x:v>
      </x:c>
      <x:c r="AG541" s="659">
        <x:f t="shared" si="34"/>
        <x:v>0</x:v>
      </x:c>
      <x:c r="AH541" s="659">
        <x:f t="shared" si="34"/>
        <x:v>0</x:v>
      </x:c>
      <x:c r="AI541" s="659">
        <x:f t="shared" si="34"/>
        <x:v>0</x:v>
      </x:c>
      <x:c r="AJ541" s="659">
        <x:f t="shared" si="34"/>
        <x:v>0</x:v>
      </x:c>
      <x:c r="AK541" s="659">
        <x:f t="shared" si="34"/>
        <x:v>0</x:v>
      </x:c>
      <x:c r="AL541" s="659">
        <x:f t="shared" si="34"/>
        <x:v>0</x:v>
      </x:c>
      <x:c r="AM541" s="659">
        <x:f t="shared" si="34"/>
        <x:v>0</x:v>
      </x:c>
      <x:c r="AN541" s="659">
        <x:f t="shared" si="34"/>
        <x:v>0</x:v>
      </x:c>
      <x:c r="AO541" s="659">
        <x:f t="shared" si="34"/>
        <x:v>0</x:v>
      </x:c>
      <x:c r="BN541" s="624"/>
    </x:row>
    <x:row r="542" spans="1:66" x14ac:dyDescent="0.25">
      <x:c r="C542" s="773"/>
      <x:c r="D542" s="770"/>
      <x:c r="E542" s="658" t="s">
        <x:v>73</x:v>
      </x:c>
      <x:c r="F542" s="659">
        <x:f>F506</x:f>
        <x:v>0</x:v>
      </x:c>
      <x:c r="G542" s="627"/>
      <x:c r="H542" s="627"/>
      <x:c r="I542" s="627"/>
      <x:c r="J542" s="627"/>
      <x:c r="K542" s="627"/>
      <x:c r="L542" s="627"/>
      <x:c r="M542" s="627"/>
      <x:c r="N542" s="627"/>
      <x:c r="O542" s="627"/>
      <x:c r="P542" s="627"/>
      <x:c r="Q542" s="627"/>
      <x:c r="R542" s="627"/>
      <x:c r="BN542" s="624"/>
    </x:row>
    <x:row r="543" spans="1:66" x14ac:dyDescent="0.25">
      <x:c r="A543" s="625"/>
      <x:c r="C543" s="50"/>
      <x:c r="F543" s="627"/>
      <x:c r="G543" s="627"/>
      <x:c r="H543" s="627"/>
      <x:c r="I543" s="627"/>
      <x:c r="J543" s="627"/>
      <x:c r="K543" s="627"/>
      <x:c r="L543" s="627"/>
      <x:c r="M543" s="627"/>
      <x:c r="N543" s="627"/>
      <x:c r="O543" s="627"/>
      <x:c r="P543" s="627"/>
      <x:c r="Q543" s="627"/>
      <x:c r="R543" s="627"/>
      <x:c r="S543" s="627"/>
      <x:c r="BN543" s="624"/>
    </x:row>
    <x:row r="544" spans="1:66" x14ac:dyDescent="0.25">
      <x:c r="C544" s="772" t="s">
        <x:v>161</x:v>
      </x:c>
      <x:c r="D544" s="770" t="s">
        <x:v>132</x:v>
      </x:c>
      <x:c r="E544" s="661" t="s">
        <x:v>70</x:v>
      </x:c>
      <x:c r="F544" s="662">
        <x:v>0</x:v>
      </x:c>
      <x:c r="G544" s="662">
        <x:v>0</x:v>
      </x:c>
      <x:c r="H544" s="662">
        <x:v>0</x:v>
      </x:c>
      <x:c r="I544" s="662">
        <x:v>0</x:v>
      </x:c>
      <x:c r="J544" s="662">
        <x:v>0</x:v>
      </x:c>
      <x:c r="K544" s="662">
        <x:v>0</x:v>
      </x:c>
      <x:c r="L544" s="662">
        <x:v>0</x:v>
      </x:c>
      <x:c r="M544" s="662">
        <x:v>0</x:v>
      </x:c>
      <x:c r="N544" s="662">
        <x:v>0</x:v>
      </x:c>
      <x:c r="O544" s="662">
        <x:v>0</x:v>
      </x:c>
      <x:c r="P544" s="662">
        <x:v>0</x:v>
      </x:c>
      <x:c r="Q544" s="662">
        <x:v>0</x:v>
      </x:c>
      <x:c r="R544" s="662">
        <x:v>0</x:v>
      </x:c>
      <x:c r="S544" s="662">
        <x:v>0</x:v>
      </x:c>
      <x:c r="T544" s="662">
        <x:v>0</x:v>
      </x:c>
      <x:c r="U544" s="662"/>
      <x:c r="V544" s="662"/>
      <x:c r="W544" s="662"/>
      <x:c r="X544" s="662">
        <x:v>0</x:v>
      </x:c>
      <x:c r="Y544" s="662">
        <x:v>0</x:v>
      </x:c>
      <x:c r="Z544" s="662">
        <x:v>0</x:v>
      </x:c>
      <x:c r="AA544" s="662">
        <x:v>0</x:v>
      </x:c>
      <x:c r="AB544" s="662">
        <x:v>0</x:v>
      </x:c>
      <x:c r="AC544" s="662">
        <x:v>0</x:v>
      </x:c>
      <x:c r="AD544" s="662">
        <x:v>0</x:v>
      </x:c>
      <x:c r="AE544" s="662">
        <x:v>0</x:v>
      </x:c>
      <x:c r="AF544" s="662">
        <x:v>0</x:v>
      </x:c>
      <x:c r="AG544" s="662">
        <x:v>0</x:v>
      </x:c>
      <x:c r="AH544" s="662">
        <x:v>0</x:v>
      </x:c>
      <x:c r="AI544" s="662">
        <x:v>0</x:v>
      </x:c>
      <x:c r="AJ544" s="662">
        <x:v>0</x:v>
      </x:c>
      <x:c r="AK544" s="662">
        <x:v>0</x:v>
      </x:c>
      <x:c r="AL544" s="662">
        <x:v>0</x:v>
      </x:c>
      <x:c r="AM544" s="662">
        <x:v>0</x:v>
      </x:c>
      <x:c r="AN544" s="662">
        <x:v>0</x:v>
      </x:c>
      <x:c r="AO544" s="662">
        <x:v>0</x:v>
      </x:c>
      <x:c r="BN544" s="624"/>
    </x:row>
    <x:row r="545" spans="1:66" x14ac:dyDescent="0.25">
      <x:c r="C545" s="772"/>
      <x:c r="D545" s="770"/>
      <x:c r="E545" s="661" t="s">
        <x:v>73</x:v>
      </x:c>
      <x:c r="F545" s="662">
        <x:v>0</x:v>
      </x:c>
      <x:c r="G545" s="627"/>
      <x:c r="H545" s="627"/>
      <x:c r="I545" s="627"/>
      <x:c r="J545" s="627"/>
      <x:c r="K545" s="627"/>
      <x:c r="L545" s="627"/>
      <x:c r="M545" s="627"/>
      <x:c r="N545" s="627"/>
      <x:c r="O545" s="627"/>
      <x:c r="P545" s="627"/>
      <x:c r="Q545" s="627"/>
      <x:c r="R545" s="627"/>
      <x:c r="S545" s="627"/>
      <x:c r="BN545" s="624"/>
    </x:row>
    <x:row r="546" spans="1:66" x14ac:dyDescent="0.25">
      <x:c r="C546" s="772"/>
      <x:c r="E546" s="663" t="s">
        <x:v>70</x:v>
      </x:c>
      <x:c r="F546" s="664">
        <x:v>0</x:v>
      </x:c>
      <x:c r="G546" s="664">
        <x:v>0</x:v>
      </x:c>
      <x:c r="H546" s="664">
        <x:v>0</x:v>
      </x:c>
      <x:c r="I546" s="664">
        <x:v>0</x:v>
      </x:c>
      <x:c r="J546" s="664">
        <x:v>0</x:v>
      </x:c>
      <x:c r="K546" s="664">
        <x:v>0</x:v>
      </x:c>
      <x:c r="L546" s="664">
        <x:v>0</x:v>
      </x:c>
      <x:c r="M546" s="664">
        <x:v>0</x:v>
      </x:c>
      <x:c r="N546" s="664">
        <x:v>0</x:v>
      </x:c>
      <x:c r="O546" s="664">
        <x:v>0</x:v>
      </x:c>
      <x:c r="P546" s="664">
        <x:v>0</x:v>
      </x:c>
      <x:c r="Q546" s="664">
        <x:v>0</x:v>
      </x:c>
      <x:c r="R546" s="664">
        <x:v>0</x:v>
      </x:c>
      <x:c r="S546" s="664">
        <x:v>0</x:v>
      </x:c>
      <x:c r="T546" s="664">
        <x:v>0</x:v>
      </x:c>
      <x:c r="U546" s="664"/>
      <x:c r="V546" s="664"/>
      <x:c r="W546" s="664"/>
      <x:c r="X546" s="664">
        <x:v>0</x:v>
      </x:c>
      <x:c r="Y546" s="664">
        <x:v>0</x:v>
      </x:c>
      <x:c r="Z546" s="664">
        <x:v>0</x:v>
      </x:c>
      <x:c r="AA546" s="664">
        <x:v>0</x:v>
      </x:c>
      <x:c r="BN546" s="624"/>
    </x:row>
    <x:row r="547" spans="1:66" x14ac:dyDescent="0.25">
      <x:c r="C547" s="772"/>
      <x:c r="D547" s="644" t="s">
        <x:v>132</x:v>
      </x:c>
      <x:c r="E547" s="663" t="s">
        <x:v>73</x:v>
      </x:c>
      <x:c r="F547" s="664">
        <x:v>0</x:v>
      </x:c>
      <x:c r="G547" s="627"/>
      <x:c r="H547" s="627"/>
      <x:c r="I547" s="627"/>
      <x:c r="J547" s="627"/>
      <x:c r="K547" s="627"/>
      <x:c r="L547" s="627"/>
      <x:c r="M547" s="627"/>
      <x:c r="N547" s="627"/>
      <x:c r="O547" s="627"/>
      <x:c r="P547" s="627"/>
      <x:c r="Q547" s="627"/>
      <x:c r="R547" s="627"/>
      <x:c r="BN547" s="624"/>
    </x:row>
    <x:row r="548" spans="1:66" x14ac:dyDescent="0.25">
      <x:c r="C548" s="660"/>
      <x:c r="D548" s="644"/>
      <x:c r="E548" s="625"/>
      <x:c r="F548" s="627"/>
      <x:c r="G548" s="627"/>
      <x:c r="H548" s="627"/>
      <x:c r="I548" s="627"/>
      <x:c r="J548" s="627"/>
      <x:c r="K548" s="627"/>
      <x:c r="L548" s="627"/>
      <x:c r="M548" s="627"/>
      <x:c r="N548" s="627"/>
      <x:c r="O548" s="627"/>
      <x:c r="P548" s="627"/>
      <x:c r="Q548" s="627"/>
      <x:c r="R548" s="627"/>
      <x:c r="BN548" s="624"/>
    </x:row>
    <x:row r="549" spans="1:66" x14ac:dyDescent="0.25">
      <x:c r="D549" s="634" t="s">
        <x:v>185</x:v>
      </x:c>
      <x:c r="E549" s="665" t="s">
        <x:v>70</x:v>
      </x:c>
      <x:c r="F549" s="666">
        <x:v>0</x:v>
      </x:c>
      <x:c r="G549" s="666">
        <x:v>0</x:v>
      </x:c>
      <x:c r="H549" s="666">
        <x:v>0</x:v>
      </x:c>
      <x:c r="I549" s="666">
        <x:v>0</x:v>
      </x:c>
      <x:c r="J549" s="666">
        <x:v>0</x:v>
      </x:c>
      <x:c r="K549" s="666">
        <x:v>0</x:v>
      </x:c>
      <x:c r="L549" s="666">
        <x:v>0</x:v>
      </x:c>
      <x:c r="M549" s="666">
        <x:v>0</x:v>
      </x:c>
      <x:c r="N549" s="666">
        <x:v>0</x:v>
      </x:c>
      <x:c r="O549" s="666">
        <x:v>0</x:v>
      </x:c>
      <x:c r="P549" s="666">
        <x:v>0</x:v>
      </x:c>
      <x:c r="Q549" s="666">
        <x:v>0</x:v>
      </x:c>
      <x:c r="R549" s="666">
        <x:v>0</x:v>
      </x:c>
      <x:c r="S549" s="666">
        <x:v>0</x:v>
      </x:c>
      <x:c r="T549" s="666">
        <x:v>0</x:v>
      </x:c>
      <x:c r="U549" s="666">
        <x:v>0</x:v>
      </x:c>
      <x:c r="V549" s="666">
        <x:v>0</x:v>
      </x:c>
      <x:c r="W549" s="666">
        <x:v>0</x:v>
      </x:c>
      <x:c r="X549" s="666">
        <x:v>0</x:v>
      </x:c>
      <x:c r="Y549" s="666">
        <x:v>0</x:v>
      </x:c>
      <x:c r="Z549" s="666">
        <x:v>0</x:v>
      </x:c>
      <x:c r="AA549" s="666">
        <x:v>0</x:v>
      </x:c>
      <x:c r="BN549" s="624"/>
    </x:row>
    <x:row r="550" spans="1:66" x14ac:dyDescent="0.25">
      <x:c r="C550" s="660"/>
      <x:c r="D550" s="644"/>
      <x:c r="E550" s="625"/>
      <x:c r="F550" s="627"/>
      <x:c r="G550" s="627"/>
      <x:c r="H550" s="627"/>
      <x:c r="I550" s="627"/>
      <x:c r="J550" s="627"/>
      <x:c r="K550" s="627"/>
      <x:c r="L550" s="627"/>
      <x:c r="M550" s="627"/>
      <x:c r="N550" s="627"/>
      <x:c r="O550" s="627"/>
      <x:c r="P550" s="627"/>
      <x:c r="Q550" s="627"/>
      <x:c r="R550" s="627"/>
      <x:c r="BN550" s="624"/>
    </x:row>
    <x:row r="551" spans="1:66" x14ac:dyDescent="0.25">
      <x:c r="A551" s="624"/>
      <x:c r="B551" s="624"/>
      <x:c r="C551" s="624"/>
      <x:c r="D551" s="624"/>
      <x:c r="E551" s="624"/>
      <x:c r="F551" s="624"/>
      <x:c r="G551" s="624"/>
      <x:c r="H551" s="624"/>
      <x:c r="I551" s="624"/>
      <x:c r="J551" s="624"/>
      <x:c r="K551" s="624"/>
      <x:c r="L551" s="624"/>
      <x:c r="M551" s="624"/>
      <x:c r="N551" s="624"/>
      <x:c r="O551" s="624"/>
      <x:c r="P551" s="624"/>
      <x:c r="Q551" s="624"/>
      <x:c r="R551" s="624"/>
      <x:c r="S551" s="624"/>
      <x:c r="T551" s="624"/>
      <x:c r="U551" s="624"/>
      <x:c r="V551" s="624"/>
      <x:c r="W551" s="624"/>
      <x:c r="X551" s="624"/>
      <x:c r="Y551" s="624"/>
      <x:c r="Z551" s="624"/>
      <x:c r="AA551" s="624"/>
      <x:c r="AB551" s="624"/>
      <x:c r="AC551" s="624"/>
      <x:c r="AD551" s="624"/>
      <x:c r="AE551" s="624"/>
      <x:c r="AF551" s="624"/>
      <x:c r="AG551" s="624"/>
      <x:c r="AH551" s="624"/>
      <x:c r="AI551" s="624"/>
      <x:c r="AJ551" s="624"/>
      <x:c r="AK551" s="624"/>
      <x:c r="AL551" s="624"/>
      <x:c r="AM551" s="624"/>
      <x:c r="AN551" s="624"/>
      <x:c r="AO551" s="624"/>
      <x:c r="AP551" s="624"/>
      <x:c r="AQ551" s="624"/>
      <x:c r="AR551" s="624"/>
      <x:c r="AS551" s="624"/>
      <x:c r="AT551" s="624"/>
      <x:c r="AU551" s="624"/>
      <x:c r="AV551" s="624"/>
      <x:c r="AW551" s="624"/>
      <x:c r="AX551" s="624"/>
      <x:c r="AY551" s="624"/>
      <x:c r="AZ551" s="624"/>
      <x:c r="BA551" s="624"/>
      <x:c r="BB551" s="624"/>
      <x:c r="BC551" s="624"/>
      <x:c r="BD551" s="624"/>
      <x:c r="BE551" s="624"/>
      <x:c r="BF551" s="624"/>
      <x:c r="BG551" s="624"/>
      <x:c r="BH551" s="624"/>
      <x:c r="BI551" s="624"/>
      <x:c r="BJ551" s="624"/>
      <x:c r="BK551" s="624"/>
      <x:c r="BL551" s="624"/>
      <x:c r="BM551" s="624"/>
      <x:c r="BN551" s="624"/>
    </x:row>
  </x:sheetData>
  <x:mergeCells count="87">
    <x:mergeCell ref="D536:D537"/>
    <x:mergeCell ref="C462:C465"/>
    <x:mergeCell ref="C442:C445"/>
    <x:mergeCell ref="D442:D443"/>
    <x:mergeCell ref="D444:D445"/>
    <x:mergeCell ref="C447:C450"/>
    <x:mergeCell ref="D447:D448"/>
    <x:mergeCell ref="D449:D450"/>
    <x:mergeCell ref="C457:C460"/>
    <x:mergeCell ref="D457:D458"/>
    <x:mergeCell ref="D459:D460"/>
    <x:mergeCell ref="D462:D463"/>
    <x:mergeCell ref="C452:C455"/>
    <x:mergeCell ref="D452:D453"/>
    <x:mergeCell ref="D454:D455"/>
    <x:mergeCell ref="C437:C440"/>
    <x:mergeCell ref="D437:D438"/>
    <x:mergeCell ref="D439:D440"/>
    <x:mergeCell ref="C321:C324"/>
    <x:mergeCell ref="D321:D322"/>
    <x:mergeCell ref="D323:D324"/>
    <x:mergeCell ref="C326:C329"/>
    <x:mergeCell ref="D326:D327"/>
    <x:mergeCell ref="D328:D329"/>
    <x:mergeCell ref="C336:C339"/>
    <x:mergeCell ref="D336:D337"/>
    <x:mergeCell ref="D338:D339"/>
    <x:mergeCell ref="C341:C344"/>
    <x:mergeCell ref="D341:D342"/>
    <x:mergeCell ref="D343:D344"/>
    <x:mergeCell ref="C331:C334"/>
    <x:mergeCell ref="D68:D69"/>
    <x:mergeCell ref="C51:C54"/>
    <x:mergeCell ref="C56:C59"/>
    <x:mergeCell ref="D183:D184"/>
    <x:mergeCell ref="C46:C49"/>
    <x:mergeCell ref="D46:D47"/>
    <x:mergeCell ref="D48:D49"/>
    <x:mergeCell ref="C66:C69"/>
    <x:mergeCell ref="D51:D52"/>
    <x:mergeCell ref="D53:D54"/>
    <x:mergeCell ref="D56:D57"/>
    <x:mergeCell ref="D58:D59"/>
    <x:mergeCell ref="D66:D67"/>
    <x:mergeCell ref="C61:C64"/>
    <x:mergeCell ref="D61:D62"/>
    <x:mergeCell ref="D63:D64"/>
    <x:mergeCell ref="D188:D189"/>
    <x:mergeCell ref="D198:D199"/>
    <x:mergeCell ref="C71:C74"/>
    <x:mergeCell ref="D71:D72"/>
    <x:mergeCell ref="D73:D74"/>
    <x:mergeCell ref="C176:C179"/>
    <x:mergeCell ref="D176:D177"/>
    <x:mergeCell ref="D178:D179"/>
    <x:mergeCell ref="C181:C184"/>
    <x:mergeCell ref="D181:D182"/>
    <x:mergeCell ref="D186:D187"/>
    <x:mergeCell ref="C186:C189"/>
    <x:mergeCell ref="C196:C199"/>
    <x:mergeCell ref="D196:D197"/>
    <x:mergeCell ref="C544:C547"/>
    <x:mergeCell ref="C519:C522"/>
    <x:mergeCell ref="D519:D520"/>
    <x:mergeCell ref="D521:D522"/>
    <x:mergeCell ref="C524:C527"/>
    <x:mergeCell ref="D524:D525"/>
    <x:mergeCell ref="D526:D527"/>
    <x:mergeCell ref="C529:C532"/>
    <x:mergeCell ref="D529:D530"/>
    <x:mergeCell ref="D531:D532"/>
    <x:mergeCell ref="C539:C542"/>
    <x:mergeCell ref="D539:D540"/>
    <x:mergeCell ref="D541:D542"/>
    <x:mergeCell ref="D544:D545"/>
    <x:mergeCell ref="C534:C537"/>
    <x:mergeCell ref="D534:D535"/>
    <x:mergeCell ref="D331:D332"/>
    <x:mergeCell ref="D333:D334"/>
    <x:mergeCell ref="C191:C194"/>
    <x:mergeCell ref="D191:D192"/>
    <x:mergeCell ref="D193:D194"/>
    <x:mergeCell ref="C201:C204"/>
    <x:mergeCell ref="D201:D202"/>
    <x:mergeCell ref="C316:C319"/>
    <x:mergeCell ref="D316:D317"/>
    <x:mergeCell ref="D318:D319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Z455"/>
  <x:sheetViews>
    <x:sheetView zoomScale="89" zoomScaleNormal="89" workbookViewId="0">
      <x:pane ySplit="2" topLeftCell="A3" activePane="bottomLeft" state="frozen"/>
      <x:selection activeCell="A6" sqref="A6"/>
      <x:selection pane="bottomLeft" activeCell="D1" sqref="D1"/>
    </x:sheetView>
  </x:sheetViews>
  <x:sheetFormatPr baseColWidth="10" defaultColWidth="11.5546875" defaultRowHeight="13.8" x14ac:dyDescent="0.25"/>
  <x:cols>
    <x:col min="1" max="1" width="12.33203125" style="25" bestFit="1" customWidth="1"/>
    <x:col min="2" max="2" width="29.88671875" style="25" bestFit="1" customWidth="1"/>
    <x:col min="3" max="3" width="12.6640625" style="25" bestFit="1" customWidth="1"/>
    <x:col min="4" max="4" width="25.6640625" style="25" bestFit="1" customWidth="1"/>
    <x:col min="5" max="5" width="14.88671875" style="25" bestFit="1" customWidth="1"/>
    <x:col min="6" max="6" width="18.109375" style="25" bestFit="1" customWidth="1"/>
    <x:col min="7" max="7" width="17.88671875" style="25" bestFit="1" customWidth="1"/>
    <x:col min="8" max="8" width="20.109375" style="25" bestFit="1" customWidth="1"/>
    <x:col min="9" max="9" width="18.44140625" style="25" bestFit="1" customWidth="1"/>
    <x:col min="10" max="10" width="19.44140625" style="25" bestFit="1" customWidth="1"/>
    <x:col min="11" max="11" width="11.5546875" style="25" bestFit="1" customWidth="1"/>
    <x:col min="12" max="12" width="18.33203125" style="25" bestFit="1" customWidth="1"/>
    <x:col min="13" max="15" width="18.109375" style="25" bestFit="1" customWidth="1"/>
    <x:col min="16" max="16" width="23.33203125" style="25" bestFit="1" customWidth="1"/>
    <x:col min="17" max="17" width="10.109375" style="25" bestFit="1" customWidth="1"/>
    <x:col min="18" max="18" width="15.88671875" style="25" bestFit="1" customWidth="1"/>
    <x:col min="19" max="19" width="4.88671875" style="25" bestFit="1" customWidth="1"/>
    <x:col min="20" max="25" width="11.5546875" style="25"/>
    <x:col min="26" max="26" width="2.33203125" style="25" customWidth="1"/>
    <x:col min="27" max="16384" width="11.5546875" style="25"/>
  </x:cols>
  <x:sheetData>
    <x:row r="1" spans="1:26" x14ac:dyDescent="0.25">
      <x:c r="B1" s="676" t="s">
        <x:v>74</x:v>
      </x:c>
      <x:c r="Z1" s="624"/>
    </x:row>
    <x:row r="2" spans="1:26" s="50" customFormat="1" x14ac:dyDescent="0.25">
      <x:c r="E2" s="669" t="s">
        <x:v>70</x:v>
      </x:c>
      <x:c r="F2" s="669" t="s">
        <x:v>64</x:v>
      </x:c>
      <x:c r="G2" s="669" t="s">
        <x:v>65</x:v>
      </x:c>
      <x:c r="H2" s="674" t="s">
        <x:v>164</x:v>
      </x:c>
      <x:c r="I2" s="669" t="s">
        <x:v>69</x:v>
      </x:c>
      <x:c r="J2" s="669" t="s">
        <x:v>68</x:v>
      </x:c>
      <x:c r="K2" s="669" t="s">
        <x:v>83</x:v>
      </x:c>
      <x:c r="L2" s="669" t="s">
        <x:v>66</x:v>
      </x:c>
      <x:c r="M2" s="669" t="s">
        <x:v>63</x:v>
      </x:c>
      <x:c r="N2" s="669" t="s">
        <x:v>61</x:v>
      </x:c>
      <x:c r="O2" s="669" t="s">
        <x:v>62</x:v>
      </x:c>
      <x:c r="P2" s="669" t="s">
        <x:v>67</x:v>
      </x:c>
      <x:c r="Q2" s="669" t="s">
        <x:v>84</x:v>
      </x:c>
      <x:c r="R2" s="669" t="s">
        <x:v>226</x:v>
      </x:c>
      <x:c r="Z2" s="618"/>
    </x:row>
    <x:row r="3" spans="1:26" x14ac:dyDescent="0.25">
      <x:c r="D3" s="25" t="s">
        <x:v>72</x:v>
      </x:c>
      <x:c r="E3" s="627">
        <x:v>0</x:v>
      </x:c>
      <x:c r="F3" s="627">
        <x:v>0</x:v>
      </x:c>
      <x:c r="G3" s="627">
        <x:v>0</x:v>
      </x:c>
      <x:c r="H3" s="627">
        <x:v>0</x:v>
      </x:c>
      <x:c r="I3" s="627">
        <x:v>0</x:v>
      </x:c>
      <x:c r="J3" s="627">
        <x:v>0</x:v>
      </x:c>
      <x:c r="K3" s="627">
        <x:v>0</x:v>
      </x:c>
      <x:c r="L3" s="627">
        <x:v>0</x:v>
      </x:c>
      <x:c r="M3" s="627">
        <x:v>0</x:v>
      </x:c>
      <x:c r="N3" s="627">
        <x:v>0</x:v>
      </x:c>
      <x:c r="O3" s="627">
        <x:v>0</x:v>
      </x:c>
      <x:c r="P3" s="627">
        <x:v>0</x:v>
      </x:c>
      <x:c r="Q3" s="627">
        <x:v>0</x:v>
      </x:c>
      <x:c r="R3" s="653">
        <x:v>0</x:v>
      </x:c>
      <x:c r="Z3" s="624"/>
    </x:row>
    <x:row r="4" spans="1:26" x14ac:dyDescent="0.25">
      <x:c r="D4" s="25" t="s">
        <x:v>81</x:v>
      </x:c>
      <x:c r="E4" s="653">
        <x:v>0</x:v>
      </x:c>
      <x:c r="F4" s="653">
        <x:v>0</x:v>
      </x:c>
      <x:c r="G4" s="653">
        <x:v>0</x:v>
      </x:c>
      <x:c r="H4" s="653">
        <x:v>0</x:v>
      </x:c>
      <x:c r="I4" s="653">
        <x:v>0</x:v>
      </x:c>
      <x:c r="J4" s="653">
        <x:v>0</x:v>
      </x:c>
      <x:c r="K4" s="653">
        <x:v>0</x:v>
      </x:c>
      <x:c r="L4" s="653">
        <x:v>0</x:v>
      </x:c>
      <x:c r="M4" s="653">
        <x:v>0</x:v>
      </x:c>
      <x:c r="N4" s="653">
        <x:v>0</x:v>
      </x:c>
      <x:c r="O4" s="653">
        <x:v>0</x:v>
      </x:c>
      <x:c r="P4" s="653">
        <x:v>0</x:v>
      </x:c>
      <x:c r="Q4" s="653">
        <x:v>0</x:v>
      </x:c>
      <x:c r="R4" s="653">
        <x:v>0</x:v>
      </x:c>
      <x:c r="Z4" s="624"/>
    </x:row>
    <x:row r="5" spans="1:26" x14ac:dyDescent="0.25">
      <x:c r="C5" s="25" t="s">
        <x:v>156</x:v>
      </x:c>
      <x:c r="D5" s="25" t="s">
        <x:v>70</x:v>
      </x:c>
      <x:c r="E5" s="653">
        <x:v>0</x:v>
      </x:c>
      <x:c r="F5" s="653">
        <x:v>0</x:v>
      </x:c>
      <x:c r="G5" s="653">
        <x:v>0</x:v>
      </x:c>
      <x:c r="H5" s="653">
        <x:v>0</x:v>
      </x:c>
      <x:c r="I5" s="653">
        <x:v>0</x:v>
      </x:c>
      <x:c r="J5" s="653">
        <x:v>0</x:v>
      </x:c>
      <x:c r="K5" s="653">
        <x:v>0</x:v>
      </x:c>
      <x:c r="L5" s="653">
        <x:v>0</x:v>
      </x:c>
      <x:c r="M5" s="653">
        <x:v>0</x:v>
      </x:c>
      <x:c r="N5" s="653">
        <x:v>0</x:v>
      </x:c>
      <x:c r="O5" s="653">
        <x:v>0</x:v>
      </x:c>
      <x:c r="P5" s="653">
        <x:v>0</x:v>
      </x:c>
      <x:c r="Q5" s="653">
        <x:v>0</x:v>
      </x:c>
      <x:c r="R5" s="653">
        <x:v>0</x:v>
      </x:c>
      <x:c r="Z5" s="624"/>
    </x:row>
    <x:row r="6" spans="1:26" x14ac:dyDescent="0.25">
      <x:c r="A6" s="628"/>
      <x:c r="B6" s="628" t="s">
        <x:v>155</x:v>
      </x:c>
      <x:c r="C6" s="628" t="s">
        <x:v>70</x:v>
      </x:c>
      <x:c r="D6" s="628"/>
      <x:c r="E6" s="677" t="n">
        <x:v>52853635.27</x:v>
      </x:c>
      <x:c r="F6" s="677">
        <x:v>0</x:v>
      </x:c>
      <x:c r="G6" s="677">
        <x:v>0</x:v>
      </x:c>
      <x:c r="H6" s="677">
        <x:v>0</x:v>
      </x:c>
      <x:c r="I6" s="677">
        <x:v>0</x:v>
      </x:c>
      <x:c r="J6" s="677">
        <x:v>0</x:v>
      </x:c>
      <x:c r="K6" s="677" t="n">
        <x:v>57261.7</x:v>
      </x:c>
      <x:c r="L6" s="677">
        <x:v>0</x:v>
      </x:c>
      <x:c r="M6" s="677">
        <x:v>0</x:v>
      </x:c>
      <x:c r="N6" s="677">
        <x:v>0</x:v>
      </x:c>
      <x:c r="O6" s="677">
        <x:v>0</x:v>
      </x:c>
      <x:c r="P6" s="677">
        <x:v>0</x:v>
      </x:c>
      <x:c r="Q6" s="677">
        <x:v>0</x:v>
      </x:c>
      <x:c r="R6" s="677">
        <x:v>0</x:v>
      </x:c>
      <x:c r="S6" s="628"/>
      <x:c r="T6" s="628"/>
      <x:c r="U6" s="628"/>
      <x:c r="V6" s="628"/>
      <x:c r="W6" s="628"/>
      <x:c r="X6" s="628"/>
      <x:c r="Y6" s="628"/>
      <x:c r="Z6" s="624"/>
    </x:row>
    <x:row r="7" spans="1:26" x14ac:dyDescent="0.25">
      <x:c r="D7" s="25" t="s">
        <x:v>72</x:v>
      </x:c>
      <x:c r="E7" s="653">
        <x:v>0</x:v>
      </x:c>
      <x:c r="F7" s="653">
        <x:v>0</x:v>
      </x:c>
      <x:c r="G7" s="653">
        <x:v>0</x:v>
      </x:c>
      <x:c r="H7" s="653">
        <x:v>0</x:v>
      </x:c>
      <x:c r="I7" s="653">
        <x:v>0</x:v>
      </x:c>
      <x:c r="J7" s="653">
        <x:v>0</x:v>
      </x:c>
      <x:c r="K7" s="653">
        <x:v>0</x:v>
      </x:c>
      <x:c r="L7" s="653">
        <x:v>0</x:v>
      </x:c>
      <x:c r="M7" s="653">
        <x:v>0</x:v>
      </x:c>
      <x:c r="N7" s="653">
        <x:v>0</x:v>
      </x:c>
      <x:c r="O7" s="653">
        <x:v>0</x:v>
      </x:c>
      <x:c r="P7" s="653">
        <x:v>0</x:v>
      </x:c>
      <x:c r="Q7" s="653">
        <x:v>0</x:v>
      </x:c>
      <x:c r="R7" s="653">
        <x:v>0</x:v>
      </x:c>
      <x:c r="Z7" s="624"/>
    </x:row>
    <x:row r="8" spans="1:26" x14ac:dyDescent="0.25">
      <x:c r="D8" s="25" t="s">
        <x:v>81</x:v>
      </x:c>
      <x:c r="E8" s="653">
        <x:v>0</x:v>
      </x:c>
      <x:c r="F8" s="653">
        <x:v>0</x:v>
      </x:c>
      <x:c r="G8" s="653">
        <x:v>0</x:v>
      </x:c>
      <x:c r="H8" s="653">
        <x:v>0</x:v>
      </x:c>
      <x:c r="I8" s="653">
        <x:v>0</x:v>
      </x:c>
      <x:c r="J8" s="653">
        <x:v>0</x:v>
      </x:c>
      <x:c r="K8" s="653">
        <x:v>0</x:v>
      </x:c>
      <x:c r="L8" s="653">
        <x:v>0</x:v>
      </x:c>
      <x:c r="M8" s="653">
        <x:v>0</x:v>
      </x:c>
      <x:c r="N8" s="653">
        <x:v>0</x:v>
      </x:c>
      <x:c r="O8" s="653">
        <x:v>0</x:v>
      </x:c>
      <x:c r="P8" s="653">
        <x:v>0</x:v>
      </x:c>
      <x:c r="Q8" s="653">
        <x:v>0</x:v>
      </x:c>
      <x:c r="R8" s="653">
        <x:v>0</x:v>
      </x:c>
      <x:c r="Z8" s="624"/>
    </x:row>
    <x:row r="9" spans="1:26" x14ac:dyDescent="0.25">
      <x:c r="C9" s="25" t="s">
        <x:v>82</x:v>
      </x:c>
      <x:c r="D9" s="25" t="s">
        <x:v>70</x:v>
      </x:c>
      <x:c r="E9" s="653">
        <x:v>0</x:v>
      </x:c>
      <x:c r="F9" s="653">
        <x:v>0</x:v>
      </x:c>
      <x:c r="G9" s="653">
        <x:v>0</x:v>
      </x:c>
      <x:c r="H9" s="653">
        <x:v>0</x:v>
      </x:c>
      <x:c r="I9" s="653">
        <x:v>0</x:v>
      </x:c>
      <x:c r="J9" s="653">
        <x:v>0</x:v>
      </x:c>
      <x:c r="K9" s="653">
        <x:v>0</x:v>
      </x:c>
      <x:c r="L9" s="653">
        <x:v>0</x:v>
      </x:c>
      <x:c r="M9" s="653">
        <x:v>0</x:v>
      </x:c>
      <x:c r="N9" s="653">
        <x:v>0</x:v>
      </x:c>
      <x:c r="O9" s="653">
        <x:v>0</x:v>
      </x:c>
      <x:c r="P9" s="653">
        <x:v>0</x:v>
      </x:c>
      <x:c r="Q9" s="653">
        <x:v>0</x:v>
      </x:c>
      <x:c r="R9" s="653">
        <x:v>0</x:v>
      </x:c>
      <x:c r="Z9" s="624"/>
    </x:row>
    <x:row r="10" spans="1:26" x14ac:dyDescent="0.25">
      <x:c r="D10" s="25" t="s">
        <x:v>72</x:v>
      </x:c>
      <x:c r="E10" s="653">
        <x:v>0</x:v>
      </x:c>
      <x:c r="F10" s="653">
        <x:v>0</x:v>
      </x:c>
      <x:c r="G10" s="653">
        <x:v>0</x:v>
      </x:c>
      <x:c r="H10" s="653">
        <x:v>0</x:v>
      </x:c>
      <x:c r="I10" s="653">
        <x:v>0</x:v>
      </x:c>
      <x:c r="J10" s="653">
        <x:v>0</x:v>
      </x:c>
      <x:c r="K10" s="653">
        <x:v>0</x:v>
      </x:c>
      <x:c r="L10" s="653">
        <x:v>0</x:v>
      </x:c>
      <x:c r="M10" s="653">
        <x:v>0</x:v>
      </x:c>
      <x:c r="N10" s="653">
        <x:v>0</x:v>
      </x:c>
      <x:c r="O10" s="653">
        <x:v>0</x:v>
      </x:c>
      <x:c r="P10" s="653">
        <x:v>0</x:v>
      </x:c>
      <x:c r="Q10" s="653">
        <x:v>0</x:v>
      </x:c>
      <x:c r="R10" s="653">
        <x:v>0</x:v>
      </x:c>
      <x:c r="Z10" s="624"/>
    </x:row>
    <x:row r="11" spans="1:26" x14ac:dyDescent="0.25">
      <x:c r="D11" s="25" t="s">
        <x:v>81</x:v>
      </x:c>
      <x:c r="E11" s="653">
        <x:v>0</x:v>
      </x:c>
      <x:c r="F11" s="653">
        <x:v>0</x:v>
      </x:c>
      <x:c r="G11" s="653">
        <x:v>0</x:v>
      </x:c>
      <x:c r="H11" s="653">
        <x:v>0</x:v>
      </x:c>
      <x:c r="I11" s="653">
        <x:v>0</x:v>
      </x:c>
      <x:c r="J11" s="653">
        <x:v>0</x:v>
      </x:c>
      <x:c r="K11" s="653">
        <x:v>0</x:v>
      </x:c>
      <x:c r="L11" s="653">
        <x:v>0</x:v>
      </x:c>
      <x:c r="M11" s="653">
        <x:v>0</x:v>
      </x:c>
      <x:c r="N11" s="653">
        <x:v>0</x:v>
      </x:c>
      <x:c r="O11" s="653">
        <x:v>0</x:v>
      </x:c>
      <x:c r="P11" s="653">
        <x:v>0</x:v>
      </x:c>
      <x:c r="Q11" s="653">
        <x:v>0</x:v>
      </x:c>
      <x:c r="R11" s="653">
        <x:v>0</x:v>
      </x:c>
      <x:c r="Z11" s="624"/>
    </x:row>
    <x:row r="12" spans="1:26" x14ac:dyDescent="0.25">
      <x:c r="C12" s="25" t="s">
        <x:v>86</x:v>
      </x:c>
      <x:c r="D12" s="25" t="s">
        <x:v>70</x:v>
      </x:c>
      <x:c r="E12" s="653">
        <x:v>0</x:v>
      </x:c>
      <x:c r="F12" s="653">
        <x:v>0</x:v>
      </x:c>
      <x:c r="G12" s="653">
        <x:v>0</x:v>
      </x:c>
      <x:c r="H12" s="653">
        <x:v>0</x:v>
      </x:c>
      <x:c r="I12" s="653">
        <x:v>0</x:v>
      </x:c>
      <x:c r="J12" s="653">
        <x:v>0</x:v>
      </x:c>
      <x:c r="K12" s="653">
        <x:v>0</x:v>
      </x:c>
      <x:c r="L12" s="653">
        <x:v>0</x:v>
      </x:c>
      <x:c r="M12" s="653">
        <x:v>0</x:v>
      </x:c>
      <x:c r="N12" s="653">
        <x:v>0</x:v>
      </x:c>
      <x:c r="O12" s="653">
        <x:v>0</x:v>
      </x:c>
      <x:c r="P12" s="653">
        <x:v>0</x:v>
      </x:c>
      <x:c r="Q12" s="653">
        <x:v>0</x:v>
      </x:c>
      <x:c r="R12" s="653">
        <x:v>0</x:v>
      </x:c>
      <x:c r="Z12" s="624"/>
    </x:row>
    <x:row r="13" spans="1:26" x14ac:dyDescent="0.25">
      <x:c r="D13" s="25" t="s">
        <x:v>72</x:v>
      </x:c>
      <x:c r="E13" s="653">
        <x:v>0</x:v>
      </x:c>
      <x:c r="F13" s="653">
        <x:v>0</x:v>
      </x:c>
      <x:c r="G13" s="653">
        <x:v>0</x:v>
      </x:c>
      <x:c r="H13" s="653">
        <x:v>0</x:v>
      </x:c>
      <x:c r="I13" s="653">
        <x:v>0</x:v>
      </x:c>
      <x:c r="J13" s="653">
        <x:v>0</x:v>
      </x:c>
      <x:c r="K13" s="653">
        <x:v>0</x:v>
      </x:c>
      <x:c r="L13" s="653">
        <x:v>0</x:v>
      </x:c>
      <x:c r="M13" s="653">
        <x:v>0</x:v>
      </x:c>
      <x:c r="N13" s="653">
        <x:v>0</x:v>
      </x:c>
      <x:c r="O13" s="653">
        <x:v>0</x:v>
      </x:c>
      <x:c r="P13" s="653">
        <x:v>0</x:v>
      </x:c>
      <x:c r="Q13" s="653">
        <x:v>0</x:v>
      </x:c>
      <x:c r="R13" s="653">
        <x:v>0</x:v>
      </x:c>
      <x:c r="Z13" s="624"/>
    </x:row>
    <x:row r="14" spans="1:26" x14ac:dyDescent="0.25">
      <x:c r="D14" s="25" t="s">
        <x:v>81</x:v>
      </x:c>
      <x:c r="E14" s="653" t="n">
        <x:v>3500251.96</x:v>
      </x:c>
      <x:c r="F14" s="653">
        <x:v>0</x:v>
      </x:c>
      <x:c r="G14" s="653">
        <x:v>0</x:v>
      </x:c>
      <x:c r="H14" s="653">
        <x:v>0</x:v>
      </x:c>
      <x:c r="I14" s="653">
        <x:v>0</x:v>
      </x:c>
      <x:c r="J14" s="653">
        <x:v>0</x:v>
      </x:c>
      <x:c r="K14" s="653" t="n">
        <x:v>0</x:v>
      </x:c>
      <x:c r="L14" s="653">
        <x:v>0</x:v>
      </x:c>
      <x:c r="M14" s="653">
        <x:v>0</x:v>
      </x:c>
      <x:c r="N14" s="653">
        <x:v>0</x:v>
      </x:c>
      <x:c r="O14" s="653">
        <x:v>0</x:v>
      </x:c>
      <x:c r="P14" s="653">
        <x:v>0</x:v>
      </x:c>
      <x:c r="Q14" s="653">
        <x:v>0</x:v>
      </x:c>
      <x:c r="R14" s="653">
        <x:v>0</x:v>
      </x:c>
      <x:c r="Z14" s="624"/>
    </x:row>
    <x:row r="15" spans="1:26" x14ac:dyDescent="0.25">
      <x:c r="C15" s="625" t="s">
        <x:v>87</x:v>
      </x:c>
      <x:c r="D15" s="625" t="s">
        <x:v>70</x:v>
      </x:c>
      <x:c r="E15" s="627" t="n">
        <x:v>56353887.23</x:v>
      </x:c>
      <x:c r="F15" s="627">
        <x:v>0</x:v>
      </x:c>
      <x:c r="G15" s="627">
        <x:v>0</x:v>
      </x:c>
      <x:c r="H15" s="627">
        <x:v>0</x:v>
      </x:c>
      <x:c r="I15" s="627">
        <x:v>0</x:v>
      </x:c>
      <x:c r="J15" s="627">
        <x:v>0</x:v>
      </x:c>
      <x:c r="K15" s="627" t="n">
        <x:v>57261.7</x:v>
      </x:c>
      <x:c r="L15" s="627">
        <x:v>0</x:v>
      </x:c>
      <x:c r="M15" s="627">
        <x:v>0</x:v>
      </x:c>
      <x:c r="N15" s="627">
        <x:v>0</x:v>
      </x:c>
      <x:c r="O15" s="627">
        <x:v>0</x:v>
      </x:c>
      <x:c r="P15" s="627">
        <x:v>0</x:v>
      </x:c>
      <x:c r="Q15" s="627">
        <x:v>0</x:v>
      </x:c>
      <x:c r="R15" s="653">
        <x:v>0</x:v>
      </x:c>
      <x:c r="Z15" s="624"/>
    </x:row>
    <x:row r="16" spans="1:26" x14ac:dyDescent="0.25">
      <x:c r="A16" s="631"/>
      <x:c r="B16" s="632" t="s">
        <x:v>119</x:v>
      </x:c>
      <x:c r="C16" s="632" t="s">
        <x:v>70</x:v>
      </x:c>
      <x:c r="D16" s="631"/>
      <x:c r="E16" s="633">
        <x:v>0</x:v>
      </x:c>
      <x:c r="F16" s="633">
        <x:v>0</x:v>
      </x:c>
      <x:c r="G16" s="633">
        <x:v>0</x:v>
      </x:c>
      <x:c r="H16" s="633">
        <x:v>0</x:v>
      </x:c>
      <x:c r="I16" s="633">
        <x:v>0</x:v>
      </x:c>
      <x:c r="J16" s="633">
        <x:v>0</x:v>
      </x:c>
      <x:c r="K16" s="633">
        <x:v>0</x:v>
      </x:c>
      <x:c r="L16" s="633">
        <x:v>0</x:v>
      </x:c>
      <x:c r="M16" s="633">
        <x:v>0</x:v>
      </x:c>
      <x:c r="N16" s="633">
        <x:v>0</x:v>
      </x:c>
      <x:c r="O16" s="633">
        <x:v>0</x:v>
      </x:c>
      <x:c r="P16" s="633">
        <x:v>0</x:v>
      </x:c>
      <x:c r="Q16" s="633">
        <x:v>0</x:v>
      </x:c>
      <x:c r="R16" s="678">
        <x:v>0</x:v>
      </x:c>
      <x:c r="S16" s="631"/>
      <x:c r="T16" s="631"/>
      <x:c r="U16" s="631"/>
      <x:c r="V16" s="631"/>
      <x:c r="W16" s="631"/>
      <x:c r="X16" s="631"/>
      <x:c r="Y16" s="631"/>
      <x:c r="Z16" s="624"/>
    </x:row>
    <x:row r="17" spans="1:26" x14ac:dyDescent="0.25">
      <x:c r="A17" s="639" t="s">
        <x:v>78</x:v>
      </x:c>
      <x:c r="B17" s="639" t="s">
        <x:v>70</x:v>
      </x:c>
      <x:c r="C17" s="638"/>
      <x:c r="D17" s="638"/>
      <x:c r="E17" s="640">
        <x:v>0</x:v>
      </x:c>
      <x:c r="F17" s="640">
        <x:v>0</x:v>
      </x:c>
      <x:c r="G17" s="640">
        <x:v>0</x:v>
      </x:c>
      <x:c r="H17" s="640">
        <x:v>0</x:v>
      </x:c>
      <x:c r="I17" s="640">
        <x:v>0</x:v>
      </x:c>
      <x:c r="J17" s="640">
        <x:v>0</x:v>
      </x:c>
      <x:c r="K17" s="640">
        <x:v>0</x:v>
      </x:c>
      <x:c r="L17" s="640">
        <x:v>0</x:v>
      </x:c>
      <x:c r="M17" s="640">
        <x:v>0</x:v>
      </x:c>
      <x:c r="N17" s="640">
        <x:v>0</x:v>
      </x:c>
      <x:c r="O17" s="640">
        <x:v>0</x:v>
      </x:c>
      <x:c r="P17" s="640">
        <x:v>0</x:v>
      </x:c>
      <x:c r="Q17" s="640">
        <x:v>0</x:v>
      </x:c>
      <x:c r="R17" s="679">
        <x:v>0</x:v>
      </x:c>
      <x:c r="S17" s="638"/>
      <x:c r="T17" s="638"/>
      <x:c r="U17" s="638"/>
      <x:c r="V17" s="638"/>
      <x:c r="W17" s="638"/>
      <x:c r="X17" s="638"/>
      <x:c r="Y17" s="638"/>
      <x:c r="Z17" s="624"/>
    </x:row>
    <x:row r="18" spans="1:26" x14ac:dyDescent="0.25">
      <x:c r="D18" s="625" t="s">
        <x:v>73</x:v>
      </x:c>
      <x:c r="E18" s="627" t="n">
        <x:v>-891046.91</x:v>
      </x:c>
      <x:c r="F18" s="627">
        <x:v>0</x:v>
      </x:c>
      <x:c r="G18" s="627">
        <x:v>0</x:v>
      </x:c>
      <x:c r="H18" s="627">
        <x:v>0</x:v>
      </x:c>
      <x:c r="I18" s="627">
        <x:v>0</x:v>
      </x:c>
      <x:c r="J18" s="627">
        <x:v>0</x:v>
      </x:c>
      <x:c r="K18" s="627">
        <x:v>0</x:v>
      </x:c>
      <x:c r="L18" s="627">
        <x:v>0</x:v>
      </x:c>
      <x:c r="M18" s="627">
        <x:v>0</x:v>
      </x:c>
      <x:c r="N18" s="627">
        <x:v>0</x:v>
      </x:c>
      <x:c r="O18" s="627">
        <x:v>0</x:v>
      </x:c>
      <x:c r="P18" s="627">
        <x:v>0</x:v>
      </x:c>
      <x:c r="Q18" s="627">
        <x:v>0</x:v>
      </x:c>
      <x:c r="R18" s="653">
        <x:v>0</x:v>
      </x:c>
      <x:c r="Z18" s="624"/>
    </x:row>
    <x:row r="19" spans="1:26" x14ac:dyDescent="0.25">
      <x:c r="C19" s="625" t="s">
        <x:v>156</x:v>
      </x:c>
      <x:c r="D19" s="625" t="s">
        <x:v>70</x:v>
      </x:c>
      <x:c r="E19" s="627">
        <x:v>0</x:v>
      </x:c>
      <x:c r="F19" s="627">
        <x:v>0</x:v>
      </x:c>
      <x:c r="G19" s="627">
        <x:v>0</x:v>
      </x:c>
      <x:c r="H19" s="627">
        <x:v>0</x:v>
      </x:c>
      <x:c r="I19" s="627">
        <x:v>0</x:v>
      </x:c>
      <x:c r="J19" s="627">
        <x:v>0</x:v>
      </x:c>
      <x:c r="K19" s="627">
        <x:v>0</x:v>
      </x:c>
      <x:c r="L19" s="627">
        <x:v>0</x:v>
      </x:c>
      <x:c r="M19" s="627">
        <x:v>0</x:v>
      </x:c>
      <x:c r="N19" s="627">
        <x:v>0</x:v>
      </x:c>
      <x:c r="O19" s="627">
        <x:v>0</x:v>
      </x:c>
      <x:c r="P19" s="627">
        <x:v>0</x:v>
      </x:c>
      <x:c r="Q19" s="627">
        <x:v>0</x:v>
      </x:c>
      <x:c r="R19" s="653">
        <x:v>0</x:v>
      </x:c>
      <x:c r="Z19" s="624"/>
    </x:row>
    <x:row r="20" spans="1:26" x14ac:dyDescent="0.25">
      <x:c r="A20" s="628"/>
      <x:c r="B20" s="628" t="s">
        <x:v>155</x:v>
      </x:c>
      <x:c r="C20" s="628" t="s">
        <x:v>70</x:v>
      </x:c>
      <x:c r="D20" s="628"/>
      <x:c r="E20" s="677">
        <x:v>0</x:v>
      </x:c>
      <x:c r="F20" s="677">
        <x:v>0</x:v>
      </x:c>
      <x:c r="G20" s="677">
        <x:v>0</x:v>
      </x:c>
      <x:c r="H20" s="677">
        <x:v>0</x:v>
      </x:c>
      <x:c r="I20" s="677">
        <x:v>0</x:v>
      </x:c>
      <x:c r="J20" s="677">
        <x:v>0</x:v>
      </x:c>
      <x:c r="K20" s="677">
        <x:v>0</x:v>
      </x:c>
      <x:c r="L20" s="677">
        <x:v>0</x:v>
      </x:c>
      <x:c r="M20" s="677">
        <x:v>0</x:v>
      </x:c>
      <x:c r="N20" s="677">
        <x:v>0</x:v>
      </x:c>
      <x:c r="O20" s="677">
        <x:v>0</x:v>
      </x:c>
      <x:c r="P20" s="677">
        <x:v>0</x:v>
      </x:c>
      <x:c r="Q20" s="677">
        <x:v>0</x:v>
      </x:c>
      <x:c r="R20" s="677">
        <x:v>0</x:v>
      </x:c>
      <x:c r="S20" s="628"/>
      <x:c r="T20" s="628"/>
      <x:c r="U20" s="628"/>
      <x:c r="V20" s="628"/>
      <x:c r="W20" s="628"/>
      <x:c r="X20" s="628"/>
      <x:c r="Y20" s="628"/>
      <x:c r="Z20" s="624"/>
    </x:row>
    <x:row r="21" spans="1:26" x14ac:dyDescent="0.25">
      <x:c r="D21" s="625" t="s">
        <x:v>73</x:v>
      </x:c>
      <x:c r="E21" s="627">
        <x:v>0</x:v>
      </x:c>
      <x:c r="F21" s="627">
        <x:v>0</x:v>
      </x:c>
      <x:c r="G21" s="627">
        <x:v>0</x:v>
      </x:c>
      <x:c r="H21" s="627">
        <x:v>0</x:v>
      </x:c>
      <x:c r="I21" s="627">
        <x:v>0</x:v>
      </x:c>
      <x:c r="J21" s="627">
        <x:v>0</x:v>
      </x:c>
      <x:c r="K21" s="627">
        <x:v>0</x:v>
      </x:c>
      <x:c r="L21" s="627">
        <x:v>0</x:v>
      </x:c>
      <x:c r="M21" s="627">
        <x:v>0</x:v>
      </x:c>
      <x:c r="N21" s="627">
        <x:v>0</x:v>
      </x:c>
      <x:c r="O21" s="627">
        <x:v>0</x:v>
      </x:c>
      <x:c r="P21" s="627">
        <x:v>0</x:v>
      </x:c>
      <x:c r="Q21" s="627">
        <x:v>0</x:v>
      </x:c>
      <x:c r="R21" s="653">
        <x:v>0</x:v>
      </x:c>
      <x:c r="Z21" s="624"/>
    </x:row>
    <x:row r="22" spans="1:26" x14ac:dyDescent="0.25">
      <x:c r="C22" s="625" t="s">
        <x:v>82</x:v>
      </x:c>
      <x:c r="D22" s="625" t="s">
        <x:v>70</x:v>
      </x:c>
      <x:c r="E22" s="627">
        <x:v>0</x:v>
      </x:c>
      <x:c r="F22" s="627">
        <x:v>0</x:v>
      </x:c>
      <x:c r="G22" s="627">
        <x:v>0</x:v>
      </x:c>
      <x:c r="H22" s="627">
        <x:v>0</x:v>
      </x:c>
      <x:c r="I22" s="627">
        <x:v>0</x:v>
      </x:c>
      <x:c r="J22" s="627">
        <x:v>0</x:v>
      </x:c>
      <x:c r="K22" s="627">
        <x:v>0</x:v>
      </x:c>
      <x:c r="L22" s="627">
        <x:v>0</x:v>
      </x:c>
      <x:c r="M22" s="627">
        <x:v>0</x:v>
      </x:c>
      <x:c r="N22" s="627">
        <x:v>0</x:v>
      </x:c>
      <x:c r="O22" s="627">
        <x:v>0</x:v>
      </x:c>
      <x:c r="P22" s="627">
        <x:v>0</x:v>
      </x:c>
      <x:c r="Q22" s="627">
        <x:v>0</x:v>
      </x:c>
      <x:c r="R22" s="653">
        <x:v>0</x:v>
      </x:c>
      <x:c r="Z22" s="624"/>
    </x:row>
    <x:row r="23" spans="1:26" x14ac:dyDescent="0.25">
      <x:c r="D23" s="625" t="s">
        <x:v>73</x:v>
      </x:c>
      <x:c r="E23" s="627">
        <x:v>0</x:v>
      </x:c>
      <x:c r="F23" s="627">
        <x:v>0</x:v>
      </x:c>
      <x:c r="G23" s="627">
        <x:v>0</x:v>
      </x:c>
      <x:c r="H23" s="627">
        <x:v>0</x:v>
      </x:c>
      <x:c r="I23" s="627">
        <x:v>0</x:v>
      </x:c>
      <x:c r="J23" s="627">
        <x:v>0</x:v>
      </x:c>
      <x:c r="K23" s="627">
        <x:v>0</x:v>
      </x:c>
      <x:c r="L23" s="627">
        <x:v>0</x:v>
      </x:c>
      <x:c r="M23" s="627">
        <x:v>0</x:v>
      </x:c>
      <x:c r="N23" s="627">
        <x:v>0</x:v>
      </x:c>
      <x:c r="O23" s="627">
        <x:v>0</x:v>
      </x:c>
      <x:c r="P23" s="627">
        <x:v>0</x:v>
      </x:c>
      <x:c r="Q23" s="627">
        <x:v>0</x:v>
      </x:c>
      <x:c r="R23" s="653">
        <x:v>0</x:v>
      </x:c>
      <x:c r="Z23" s="624"/>
    </x:row>
    <x:row r="24" spans="1:26" x14ac:dyDescent="0.25">
      <x:c r="C24" s="625" t="s">
        <x:v>86</x:v>
      </x:c>
      <x:c r="D24" s="625" t="s">
        <x:v>70</x:v>
      </x:c>
      <x:c r="E24" s="627">
        <x:v>0</x:v>
      </x:c>
      <x:c r="F24" s="627">
        <x:v>0</x:v>
      </x:c>
      <x:c r="G24" s="627">
        <x:v>0</x:v>
      </x:c>
      <x:c r="H24" s="627">
        <x:v>0</x:v>
      </x:c>
      <x:c r="I24" s="627">
        <x:v>0</x:v>
      </x:c>
      <x:c r="J24" s="627">
        <x:v>0</x:v>
      </x:c>
      <x:c r="K24" s="627">
        <x:v>0</x:v>
      </x:c>
      <x:c r="L24" s="627">
        <x:v>0</x:v>
      </x:c>
      <x:c r="M24" s="627">
        <x:v>0</x:v>
      </x:c>
      <x:c r="N24" s="627">
        <x:v>0</x:v>
      </x:c>
      <x:c r="O24" s="627">
        <x:v>0</x:v>
      </x:c>
      <x:c r="P24" s="627">
        <x:v>0</x:v>
      </x:c>
      <x:c r="Q24" s="627">
        <x:v>0</x:v>
      </x:c>
      <x:c r="R24" s="653">
        <x:v>0</x:v>
      </x:c>
      <x:c r="Z24" s="624"/>
    </x:row>
    <x:row r="25" spans="1:26" x14ac:dyDescent="0.25">
      <x:c r="D25" s="625" t="s">
        <x:v>73</x:v>
      </x:c>
      <x:c r="E25" s="627" t="n">
        <x:v>-1189192.94</x:v>
      </x:c>
      <x:c r="F25" s="627">
        <x:v>0</x:v>
      </x:c>
      <x:c r="G25" s="627">
        <x:v>0</x:v>
      </x:c>
      <x:c r="H25" s="627">
        <x:v>0</x:v>
      </x:c>
      <x:c r="I25" s="627">
        <x:v>0</x:v>
      </x:c>
      <x:c r="J25" s="627">
        <x:v>0</x:v>
      </x:c>
      <x:c r="K25" s="627">
        <x:v>0</x:v>
      </x:c>
      <x:c r="L25" s="627">
        <x:v>0</x:v>
      </x:c>
      <x:c r="M25" s="627">
        <x:v>0</x:v>
      </x:c>
      <x:c r="N25" s="627">
        <x:v>0</x:v>
      </x:c>
      <x:c r="O25" s="627">
        <x:v>0</x:v>
      </x:c>
      <x:c r="P25" s="627">
        <x:v>0</x:v>
      </x:c>
      <x:c r="Q25" s="627">
        <x:v>0</x:v>
      </x:c>
      <x:c r="R25" s="653">
        <x:v>0</x:v>
      </x:c>
      <x:c r="Z25" s="624"/>
    </x:row>
    <x:row r="26" spans="1:26" x14ac:dyDescent="0.25">
      <x:c r="C26" s="625" t="s">
        <x:v>87</x:v>
      </x:c>
      <x:c r="D26" s="625" t="s">
        <x:v>70</x:v>
      </x:c>
      <x:c r="E26" s="627" t="n">
        <x:v>-2080239.85</x:v>
      </x:c>
      <x:c r="F26" s="627">
        <x:v>0</x:v>
      </x:c>
      <x:c r="G26" s="627">
        <x:v>0</x:v>
      </x:c>
      <x:c r="H26" s="627">
        <x:v>0</x:v>
      </x:c>
      <x:c r="I26" s="627">
        <x:v>0</x:v>
      </x:c>
      <x:c r="J26" s="627">
        <x:v>0</x:v>
      </x:c>
      <x:c r="K26" s="627">
        <x:v>0</x:v>
      </x:c>
      <x:c r="L26" s="627">
        <x:v>0</x:v>
      </x:c>
      <x:c r="M26" s="627">
        <x:v>0</x:v>
      </x:c>
      <x:c r="N26" s="627">
        <x:v>0</x:v>
      </x:c>
      <x:c r="O26" s="627">
        <x:v>0</x:v>
      </x:c>
      <x:c r="P26" s="627">
        <x:v>0</x:v>
      </x:c>
      <x:c r="Q26" s="627">
        <x:v>0</x:v>
      </x:c>
      <x:c r="R26" s="653">
        <x:v>0</x:v>
      </x:c>
      <x:c r="Z26" s="624"/>
    </x:row>
    <x:row r="27" spans="1:26" x14ac:dyDescent="0.25">
      <x:c r="A27" s="631"/>
      <x:c r="B27" s="632" t="s">
        <x:v>119</x:v>
      </x:c>
      <x:c r="C27" s="632" t="s">
        <x:v>70</x:v>
      </x:c>
      <x:c r="D27" s="631"/>
      <x:c r="E27" s="633">
        <x:v>0</x:v>
      </x:c>
      <x:c r="F27" s="633">
        <x:v>0</x:v>
      </x:c>
      <x:c r="G27" s="633">
        <x:v>0</x:v>
      </x:c>
      <x:c r="H27" s="633">
        <x:v>0</x:v>
      </x:c>
      <x:c r="I27" s="633">
        <x:v>0</x:v>
      </x:c>
      <x:c r="J27" s="633">
        <x:v>0</x:v>
      </x:c>
      <x:c r="K27" s="633">
        <x:v>0</x:v>
      </x:c>
      <x:c r="L27" s="633">
        <x:v>0</x:v>
      </x:c>
      <x:c r="M27" s="633">
        <x:v>0</x:v>
      </x:c>
      <x:c r="N27" s="633">
        <x:v>0</x:v>
      </x:c>
      <x:c r="O27" s="633">
        <x:v>0</x:v>
      </x:c>
      <x:c r="P27" s="633">
        <x:v>0</x:v>
      </x:c>
      <x:c r="Q27" s="633">
        <x:v>0</x:v>
      </x:c>
      <x:c r="R27" s="678">
        <x:v>0</x:v>
      </x:c>
      <x:c r="S27" s="631"/>
      <x:c r="T27" s="631"/>
      <x:c r="U27" s="631"/>
      <x:c r="V27" s="631"/>
      <x:c r="W27" s="631"/>
      <x:c r="X27" s="631"/>
      <x:c r="Y27" s="631"/>
      <x:c r="Z27" s="624"/>
    </x:row>
    <x:row r="28" spans="1:26" x14ac:dyDescent="0.25">
      <x:c r="A28" s="639" t="s">
        <x:v>79</x:v>
      </x:c>
      <x:c r="B28" s="639" t="s">
        <x:v>70</x:v>
      </x:c>
      <x:c r="C28" s="638"/>
      <x:c r="D28" s="638"/>
      <x:c r="E28" s="640">
        <x:v>0</x:v>
      </x:c>
      <x:c r="F28" s="640">
        <x:v>0</x:v>
      </x:c>
      <x:c r="G28" s="640">
        <x:v>0</x:v>
      </x:c>
      <x:c r="H28" s="640">
        <x:v>0</x:v>
      </x:c>
      <x:c r="I28" s="640">
        <x:v>0</x:v>
      </x:c>
      <x:c r="J28" s="640">
        <x:v>0</x:v>
      </x:c>
      <x:c r="K28" s="640">
        <x:v>0</x:v>
      </x:c>
      <x:c r="L28" s="640">
        <x:v>0</x:v>
      </x:c>
      <x:c r="M28" s="640">
        <x:v>0</x:v>
      </x:c>
      <x:c r="N28" s="640">
        <x:v>0</x:v>
      </x:c>
      <x:c r="O28" s="640">
        <x:v>0</x:v>
      </x:c>
      <x:c r="P28" s="640">
        <x:v>0</x:v>
      </x:c>
      <x:c r="Q28" s="640">
        <x:v>0</x:v>
      </x:c>
      <x:c r="R28" s="679">
        <x:v>0</x:v>
      </x:c>
      <x:c r="S28" s="638"/>
      <x:c r="T28" s="638"/>
      <x:c r="U28" s="638"/>
      <x:c r="V28" s="638"/>
      <x:c r="W28" s="638"/>
      <x:c r="X28" s="638"/>
      <x:c r="Y28" s="638"/>
      <x:c r="Z28" s="624"/>
    </x:row>
    <x:row r="29" spans="1:26" x14ac:dyDescent="0.25">
      <x:c r="A29" s="625" t="s">
        <x:v>70</x:v>
      </x:c>
      <x:c r="E29" s="627">
        <x:v>0</x:v>
      </x:c>
      <x:c r="F29" s="627">
        <x:v>0</x:v>
      </x:c>
      <x:c r="G29" s="627">
        <x:v>0</x:v>
      </x:c>
      <x:c r="H29" s="627">
        <x:v>0</x:v>
      </x:c>
      <x:c r="I29" s="627">
        <x:v>0</x:v>
      </x:c>
      <x:c r="J29" s="627">
        <x:v>0</x:v>
      </x:c>
      <x:c r="K29" s="627">
        <x:v>0</x:v>
      </x:c>
      <x:c r="L29" s="627">
        <x:v>0</x:v>
      </x:c>
      <x:c r="M29" s="627">
        <x:v>0</x:v>
      </x:c>
      <x:c r="N29" s="627">
        <x:v>0</x:v>
      </x:c>
      <x:c r="O29" s="627">
        <x:v>0</x:v>
      </x:c>
      <x:c r="P29" s="627">
        <x:v>0</x:v>
      </x:c>
      <x:c r="Q29" s="627">
        <x:v>0</x:v>
      </x:c>
      <x:c r="R29" s="680">
        <x:v>0</x:v>
      </x:c>
      <x:c r="Z29" s="624"/>
    </x:row>
    <x:row r="30" spans="1:26" x14ac:dyDescent="0.25">
      <x:c r="A30" s="625"/>
      <x:c r="E30" s="627"/>
      <x:c r="F30" s="627"/>
      <x:c r="G30" s="627"/>
      <x:c r="H30" s="627"/>
      <x:c r="I30" s="627"/>
      <x:c r="J30" s="627"/>
      <x:c r="K30" s="627"/>
      <x:c r="L30" s="627"/>
      <x:c r="M30" s="627"/>
      <x:c r="N30" s="627"/>
      <x:c r="O30" s="627"/>
      <x:c r="P30" s="627"/>
      <x:c r="Q30" s="627"/>
      <x:c r="Z30" s="624"/>
    </x:row>
    <x:row r="31" spans="1:26" x14ac:dyDescent="0.25">
      <x:c r="A31" s="625"/>
      <x:c r="E31" s="627"/>
      <x:c r="F31" s="627"/>
      <x:c r="G31" s="627"/>
      <x:c r="H31" s="627"/>
      <x:c r="I31" s="627"/>
      <x:c r="J31" s="627"/>
      <x:c r="K31" s="627"/>
      <x:c r="L31" s="627"/>
      <x:c r="M31" s="627"/>
      <x:c r="N31" s="627"/>
      <x:c r="O31" s="627"/>
      <x:c r="P31" s="627"/>
      <x:c r="Q31" s="627"/>
      <x:c r="Z31" s="624"/>
    </x:row>
    <x:row r="32" spans="1:26" x14ac:dyDescent="0.25">
      <x:c r="A32" s="625"/>
      <x:c r="E32" s="627"/>
      <x:c r="F32" s="627"/>
      <x:c r="G32" s="627"/>
      <x:c r="H32" s="627"/>
      <x:c r="I32" s="627"/>
      <x:c r="J32" s="627"/>
      <x:c r="K32" s="627"/>
      <x:c r="L32" s="627"/>
      <x:c r="M32" s="627"/>
      <x:c r="N32" s="627"/>
      <x:c r="O32" s="627"/>
      <x:c r="P32" s="627"/>
      <x:c r="Q32" s="627"/>
      <x:c r="Z32" s="624"/>
    </x:row>
    <x:row r="33" spans="1:26" x14ac:dyDescent="0.25">
      <x:c r="A33" s="625"/>
      <x:c r="E33" s="627"/>
      <x:c r="F33" s="627"/>
      <x:c r="G33" s="627"/>
      <x:c r="H33" s="627"/>
      <x:c r="I33" s="627"/>
      <x:c r="J33" s="627"/>
      <x:c r="K33" s="627"/>
      <x:c r="L33" s="627"/>
      <x:c r="M33" s="627"/>
      <x:c r="N33" s="627"/>
      <x:c r="O33" s="627"/>
      <x:c r="P33" s="627"/>
      <x:c r="Q33" s="627"/>
      <x:c r="Z33" s="624"/>
    </x:row>
    <x:row r="34" spans="1:26" x14ac:dyDescent="0.25">
      <x:c r="A34" s="625"/>
      <x:c r="E34" s="627"/>
      <x:c r="F34" s="627"/>
      <x:c r="G34" s="627"/>
      <x:c r="H34" s="627"/>
      <x:c r="I34" s="627"/>
      <x:c r="J34" s="627"/>
      <x:c r="K34" s="627"/>
      <x:c r="L34" s="627"/>
      <x:c r="M34" s="627"/>
      <x:c r="N34" s="627"/>
      <x:c r="O34" s="627"/>
      <x:c r="P34" s="627"/>
      <x:c r="Q34" s="627"/>
      <x:c r="Z34" s="624"/>
    </x:row>
    <x:row r="35" spans="1:26" x14ac:dyDescent="0.25">
      <x:c r="A35" s="625"/>
      <x:c r="E35" s="627"/>
      <x:c r="F35" s="627"/>
      <x:c r="G35" s="627"/>
      <x:c r="H35" s="627"/>
      <x:c r="I35" s="627"/>
      <x:c r="J35" s="627"/>
      <x:c r="K35" s="627"/>
      <x:c r="L35" s="627"/>
      <x:c r="M35" s="627"/>
      <x:c r="N35" s="627"/>
      <x:c r="O35" s="627"/>
      <x:c r="P35" s="627"/>
      <x:c r="Q35" s="627"/>
      <x:c r="Z35" s="624"/>
    </x:row>
    <x:row r="36" spans="1:26" x14ac:dyDescent="0.25">
      <x:c r="A36" s="625"/>
      <x:c r="E36" s="627"/>
      <x:c r="F36" s="627"/>
      <x:c r="G36" s="627"/>
      <x:c r="H36" s="627"/>
      <x:c r="I36" s="627"/>
      <x:c r="J36" s="627"/>
      <x:c r="K36" s="627"/>
      <x:c r="L36" s="627"/>
      <x:c r="M36" s="627"/>
      <x:c r="N36" s="627"/>
      <x:c r="O36" s="627"/>
      <x:c r="P36" s="627"/>
      <x:c r="Q36" s="627"/>
      <x:c r="Z36" s="624"/>
    </x:row>
    <x:row r="37" spans="1:26" x14ac:dyDescent="0.25">
      <x:c r="A37" s="625"/>
      <x:c r="E37" s="627"/>
      <x:c r="F37" s="627"/>
      <x:c r="G37" s="627"/>
      <x:c r="H37" s="627"/>
      <x:c r="I37" s="627"/>
      <x:c r="J37" s="627"/>
      <x:c r="K37" s="627"/>
      <x:c r="L37" s="627"/>
      <x:c r="M37" s="627"/>
      <x:c r="N37" s="627"/>
      <x:c r="O37" s="627"/>
      <x:c r="P37" s="627"/>
      <x:c r="Q37" s="627"/>
      <x:c r="Z37" s="624"/>
    </x:row>
    <x:row r="38" spans="1:26" x14ac:dyDescent="0.25">
      <x:c r="A38" s="625"/>
      <x:c r="E38" s="627"/>
      <x:c r="F38" s="627"/>
      <x:c r="G38" s="627"/>
      <x:c r="H38" s="627"/>
      <x:c r="I38" s="627"/>
      <x:c r="J38" s="627"/>
      <x:c r="K38" s="627"/>
      <x:c r="L38" s="627"/>
      <x:c r="M38" s="627"/>
      <x:c r="N38" s="627"/>
      <x:c r="O38" s="627"/>
      <x:c r="P38" s="627"/>
      <x:c r="Q38" s="627"/>
      <x:c r="Z38" s="624"/>
    </x:row>
    <x:row r="39" spans="1:26" x14ac:dyDescent="0.25">
      <x:c r="A39" s="625"/>
      <x:c r="E39" s="627"/>
      <x:c r="F39" s="627"/>
      <x:c r="G39" s="627"/>
      <x:c r="H39" s="627"/>
      <x:c r="I39" s="627"/>
      <x:c r="J39" s="627"/>
      <x:c r="K39" s="627"/>
      <x:c r="L39" s="627"/>
      <x:c r="M39" s="627"/>
      <x:c r="N39" s="627"/>
      <x:c r="O39" s="627"/>
      <x:c r="P39" s="627"/>
      <x:c r="Q39" s="627"/>
      <x:c r="Z39" s="624"/>
    </x:row>
    <x:row r="40" spans="1:26" x14ac:dyDescent="0.25">
      <x:c r="A40" s="625"/>
      <x:c r="E40" s="627"/>
      <x:c r="F40" s="627"/>
      <x:c r="G40" s="627"/>
      <x:c r="H40" s="627"/>
      <x:c r="I40" s="627"/>
      <x:c r="J40" s="627"/>
      <x:c r="K40" s="627"/>
      <x:c r="L40" s="627"/>
      <x:c r="M40" s="627"/>
      <x:c r="N40" s="627"/>
      <x:c r="O40" s="627"/>
      <x:c r="P40" s="627"/>
      <x:c r="Q40" s="627"/>
      <x:c r="Z40" s="624"/>
    </x:row>
    <x:row r="41" spans="1:26" x14ac:dyDescent="0.25">
      <x:c r="A41" s="625"/>
      <x:c r="E41" s="627"/>
      <x:c r="F41" s="627"/>
      <x:c r="G41" s="627"/>
      <x:c r="H41" s="627"/>
      <x:c r="I41" s="627"/>
      <x:c r="J41" s="627"/>
      <x:c r="K41" s="627"/>
      <x:c r="L41" s="627"/>
      <x:c r="M41" s="627"/>
      <x:c r="N41" s="627"/>
      <x:c r="O41" s="627"/>
      <x:c r="P41" s="627"/>
      <x:c r="Q41" s="627"/>
      <x:c r="Z41" s="624"/>
    </x:row>
    <x:row r="42" spans="1:26" x14ac:dyDescent="0.25">
      <x:c r="A42" s="625"/>
      <x:c r="E42" s="627"/>
      <x:c r="F42" s="627"/>
      <x:c r="G42" s="627"/>
      <x:c r="H42" s="627"/>
      <x:c r="I42" s="627"/>
      <x:c r="J42" s="627"/>
      <x:c r="K42" s="627"/>
      <x:c r="L42" s="627"/>
      <x:c r="M42" s="627"/>
      <x:c r="N42" s="627"/>
      <x:c r="O42" s="627"/>
      <x:c r="P42" s="627"/>
      <x:c r="Q42" s="627"/>
      <x:c r="Z42" s="624"/>
    </x:row>
    <x:row r="43" spans="1:26" x14ac:dyDescent="0.25">
      <x:c r="B43" s="773" t="s">
        <x:v>2</x:v>
      </x:c>
      <x:c r="C43" s="770" t="s">
        <x:v>132</x:v>
      </x:c>
      <x:c r="D43" s="639" t="s">
        <x:v>70</x:v>
      </x:c>
      <x:c r="E43" s="640">
        <x:f>E17+E28-K17</x:f>
        <x:v>0</x:v>
      </x:c>
      <x:c r="F43" s="640">
        <x:f>F17</x:f>
        <x:v>0</x:v>
      </x:c>
      <x:c r="G43" s="640">
        <x:f t="shared" ref="G43:S43" si="0">G17</x:f>
        <x:v>0</x:v>
      </x:c>
      <x:c r="H43" s="640">
        <x:f t="shared" si="0"/>
        <x:v>0</x:v>
      </x:c>
      <x:c r="I43" s="640">
        <x:f t="shared" si="0"/>
        <x:v>0</x:v>
      </x:c>
      <x:c r="J43" s="640">
        <x:f t="shared" si="0"/>
        <x:v>0</x:v>
      </x:c>
      <x:c r="K43" s="640">
        <x:f t="shared" si="0"/>
        <x:v>0</x:v>
      </x:c>
      <x:c r="L43" s="640">
        <x:f t="shared" si="0"/>
        <x:v>0</x:v>
      </x:c>
      <x:c r="M43" s="640">
        <x:f t="shared" si="0"/>
        <x:v>0</x:v>
      </x:c>
      <x:c r="N43" s="640">
        <x:f t="shared" si="0"/>
        <x:v>0</x:v>
      </x:c>
      <x:c r="O43" s="640">
        <x:f t="shared" si="0"/>
        <x:v>0</x:v>
      </x:c>
      <x:c r="P43" s="640">
        <x:f t="shared" si="0"/>
        <x:v>0</x:v>
      </x:c>
      <x:c r="Q43" s="640">
        <x:f t="shared" si="0"/>
        <x:v>0</x:v>
      </x:c>
      <x:c r="R43" s="640">
        <x:f t="shared" si="0"/>
        <x:v>0</x:v>
      </x:c>
      <x:c r="S43" s="640">
        <x:f t="shared" si="0"/>
        <x:v>0</x:v>
      </x:c>
      <x:c r="Z43" s="624"/>
    </x:row>
    <x:row r="44" spans="1:26" x14ac:dyDescent="0.25">
      <x:c r="B44" s="773"/>
      <x:c r="C44" s="770"/>
      <x:c r="D44" s="639" t="s">
        <x:v>73</x:v>
      </x:c>
      <x:c r="E44" s="640">
        <x:f>E28</x:f>
        <x:v>0</x:v>
      </x:c>
      <x:c r="F44" s="627"/>
      <x:c r="G44" s="627"/>
      <x:c r="H44" s="627"/>
      <x:c r="I44" s="627"/>
      <x:c r="J44" s="627"/>
      <x:c r="K44" s="627"/>
      <x:c r="L44" s="627"/>
      <x:c r="M44" s="627"/>
      <x:c r="N44" s="627"/>
      <x:c r="O44" s="627"/>
      <x:c r="P44" s="627"/>
      <x:c r="Q44" s="627"/>
      <x:c r="R44" s="627"/>
      <x:c r="S44" s="627"/>
      <x:c r="Z44" s="624"/>
    </x:row>
    <x:row r="45" spans="1:26" x14ac:dyDescent="0.25">
      <x:c r="A45" s="625"/>
      <x:c r="B45" s="50"/>
      <x:c r="E45" s="627"/>
      <x:c r="F45" s="627"/>
      <x:c r="G45" s="627"/>
      <x:c r="H45" s="627"/>
      <x:c r="I45" s="627"/>
      <x:c r="J45" s="627"/>
      <x:c r="K45" s="627"/>
      <x:c r="L45" s="627"/>
      <x:c r="M45" s="627"/>
      <x:c r="N45" s="627"/>
      <x:c r="O45" s="627"/>
      <x:c r="P45" s="627"/>
      <x:c r="Q45" s="627"/>
      <x:c r="R45" s="627"/>
      <x:c r="S45" s="627"/>
      <x:c r="Z45" s="624"/>
    </x:row>
    <x:row r="46" spans="1:26" x14ac:dyDescent="0.25">
      <x:c r="B46" s="773" t="s">
        <x:v>160</x:v>
      </x:c>
      <x:c r="C46" s="770" t="s">
        <x:v>132</x:v>
      </x:c>
      <x:c r="D46" s="647" t="s">
        <x:v>70</x:v>
      </x:c>
      <x:c r="E46" s="648">
        <x:v>0</x:v>
      </x:c>
      <x:c r="F46" s="648">
        <x:v>0</x:v>
      </x:c>
      <x:c r="G46" s="648">
        <x:v>0</x:v>
      </x:c>
      <x:c r="H46" s="648">
        <x:v>0</x:v>
      </x:c>
      <x:c r="I46" s="648">
        <x:v>0</x:v>
      </x:c>
      <x:c r="J46" s="648">
        <x:v>0</x:v>
      </x:c>
      <x:c r="K46" s="648">
        <x:v>0</x:v>
      </x:c>
      <x:c r="L46" s="648">
        <x:v>0</x:v>
      </x:c>
      <x:c r="M46" s="648">
        <x:v>0</x:v>
      </x:c>
      <x:c r="N46" s="648">
        <x:v>0</x:v>
      </x:c>
      <x:c r="O46" s="648">
        <x:v>0</x:v>
      </x:c>
      <x:c r="P46" s="648">
        <x:v>0</x:v>
      </x:c>
      <x:c r="Q46" s="648">
        <x:v>0</x:v>
      </x:c>
      <x:c r="R46" s="648">
        <x:v>0</x:v>
      </x:c>
      <x:c r="S46" s="648">
        <x:v>0</x:v>
      </x:c>
      <x:c r="Z46" s="624"/>
    </x:row>
    <x:row r="47" spans="1:26" x14ac:dyDescent="0.25">
      <x:c r="B47" s="773"/>
      <x:c r="C47" s="770"/>
      <x:c r="D47" s="647" t="s">
        <x:v>73</x:v>
      </x:c>
      <x:c r="E47" s="648">
        <x:v>0</x:v>
      </x:c>
      <x:c r="F47" s="627"/>
      <x:c r="G47" s="627"/>
      <x:c r="H47" s="627"/>
      <x:c r="I47" s="627"/>
      <x:c r="J47" s="627"/>
      <x:c r="K47" s="627"/>
      <x:c r="L47" s="627"/>
      <x:c r="M47" s="627"/>
      <x:c r="N47" s="627"/>
      <x:c r="O47" s="627"/>
      <x:c r="P47" s="627"/>
      <x:c r="Q47" s="627"/>
      <x:c r="R47" s="627"/>
      <x:c r="S47" s="627"/>
      <x:c r="Z47" s="624"/>
    </x:row>
    <x:row r="48" spans="1:26" x14ac:dyDescent="0.25">
      <x:c r="A48" s="625"/>
      <x:c r="B48" s="50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P48" s="627"/>
      <x:c r="Q48" s="627"/>
      <x:c r="R48" s="627"/>
      <x:c r="S48" s="627"/>
      <x:c r="Z48" s="624"/>
    </x:row>
    <x:row r="49" spans="1:26" x14ac:dyDescent="0.25">
      <x:c r="B49" s="773" t="s">
        <x:v>155</x:v>
      </x:c>
      <x:c r="C49" s="770" t="s">
        <x:v>132</x:v>
      </x:c>
      <x:c r="D49" s="651" t="s">
        <x:v>70</x:v>
      </x:c>
      <x:c r="E49" s="652">
        <x:f>E20+E6-K6</x:f>
        <x:v>0</x:v>
      </x:c>
      <x:c r="F49" s="652">
        <x:f>F6</x:f>
        <x:v>0</x:v>
      </x:c>
      <x:c r="G49" s="652">
        <x:f t="shared" ref="G49:S49" si="1">G6</x:f>
        <x:v>0</x:v>
      </x:c>
      <x:c r="H49" s="652">
        <x:f t="shared" si="1"/>
        <x:v>0</x:v>
      </x:c>
      <x:c r="I49" s="652">
        <x:f t="shared" si="1"/>
        <x:v>0</x:v>
      </x:c>
      <x:c r="J49" s="652">
        <x:f t="shared" si="1"/>
        <x:v>0</x:v>
      </x:c>
      <x:c r="K49" s="652">
        <x:f t="shared" si="1"/>
        <x:v>0</x:v>
      </x:c>
      <x:c r="L49" s="652">
        <x:f t="shared" si="1"/>
        <x:v>0</x:v>
      </x:c>
      <x:c r="M49" s="652">
        <x:f t="shared" si="1"/>
        <x:v>0</x:v>
      </x:c>
      <x:c r="N49" s="652">
        <x:f t="shared" si="1"/>
        <x:v>0</x:v>
      </x:c>
      <x:c r="O49" s="652">
        <x:f t="shared" si="1"/>
        <x:v>0</x:v>
      </x:c>
      <x:c r="P49" s="652">
        <x:f t="shared" si="1"/>
        <x:v>0</x:v>
      </x:c>
      <x:c r="Q49" s="652">
        <x:f t="shared" si="1"/>
        <x:v>0</x:v>
      </x:c>
      <x:c r="R49" s="652">
        <x:f t="shared" si="1"/>
        <x:v>0</x:v>
      </x:c>
      <x:c r="S49" s="652">
        <x:f t="shared" si="1"/>
        <x:v>0</x:v>
      </x:c>
      <x:c r="Z49" s="624"/>
    </x:row>
    <x:row r="50" spans="1:26" x14ac:dyDescent="0.25">
      <x:c r="B50" s="773"/>
      <x:c r="C50" s="770"/>
      <x:c r="D50" s="651" t="s">
        <x:v>73</x:v>
      </x:c>
      <x:c r="E50" s="652">
        <x:f>E20</x:f>
        <x:v>0</x:v>
      </x:c>
      <x:c r="F50" s="627"/>
      <x:c r="G50" s="627"/>
      <x:c r="H50" s="627"/>
      <x:c r="I50" s="627"/>
      <x:c r="J50" s="627"/>
      <x:c r="K50" s="627"/>
      <x:c r="L50" s="627"/>
      <x:c r="M50" s="627"/>
      <x:c r="N50" s="627"/>
      <x:c r="O50" s="627"/>
      <x:c r="P50" s="627"/>
      <x:c r="Q50" s="627"/>
      <x:c r="R50" s="627"/>
      <x:c r="S50" s="627"/>
      <x:c r="Z50" s="624"/>
    </x:row>
    <x:row r="51" spans="1:26" x14ac:dyDescent="0.25">
      <x:c r="A51" s="625"/>
      <x:c r="B51" s="50"/>
      <x:c r="E51" s="627"/>
      <x:c r="F51" s="627"/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Z51" s="624"/>
    </x:row>
    <x:row r="52" spans="1:26" x14ac:dyDescent="0.25">
      <x:c r="B52" s="771" t="s">
        <x:v>326</x:v>
      </x:c>
      <x:c r="C52" s="770" t="s">
        <x:v>132</x:v>
      </x:c>
      <x:c r="D52" s="654" t="s">
        <x:v>70</x:v>
      </x:c>
      <x:c r="E52" s="655">
        <x:v>0</x:v>
      </x:c>
      <x:c r="F52" s="655">
        <x:v>0</x:v>
      </x:c>
      <x:c r="G52" s="655">
        <x:v>0</x:v>
      </x:c>
      <x:c r="H52" s="655">
        <x:v>0</x:v>
      </x:c>
      <x:c r="I52" s="655">
        <x:v>0</x:v>
      </x:c>
      <x:c r="J52" s="655">
        <x:v>0</x:v>
      </x:c>
      <x:c r="K52" s="655">
        <x:v>0</x:v>
      </x:c>
      <x:c r="L52" s="655">
        <x:v>0</x:v>
      </x:c>
      <x:c r="M52" s="655">
        <x:v>0</x:v>
      </x:c>
      <x:c r="N52" s="655">
        <x:v>0</x:v>
      </x:c>
      <x:c r="O52" s="655">
        <x:v>0</x:v>
      </x:c>
      <x:c r="P52" s="655">
        <x:v>0</x:v>
      </x:c>
      <x:c r="Q52" s="655">
        <x:v>0</x:v>
      </x:c>
      <x:c r="R52" s="655">
        <x:v>0</x:v>
      </x:c>
      <x:c r="Z52" s="624"/>
    </x:row>
    <x:row r="53" spans="1:26" x14ac:dyDescent="0.25">
      <x:c r="B53" s="771"/>
      <x:c r="C53" s="770"/>
      <x:c r="D53" s="654" t="s">
        <x:v>73</x:v>
      </x:c>
      <x:c r="E53" s="655">
        <x:v>0</x:v>
      </x:c>
      <x:c r="F53" s="627"/>
      <x:c r="G53" s="627"/>
      <x:c r="H53" s="627"/>
      <x:c r="I53" s="627"/>
      <x:c r="J53" s="627"/>
      <x:c r="K53" s="627"/>
      <x:c r="L53" s="627"/>
      <x:c r="M53" s="627"/>
      <x:c r="N53" s="627"/>
      <x:c r="O53" s="627"/>
      <x:c r="P53" s="627"/>
      <x:c r="Q53" s="627"/>
      <x:c r="R53" s="627"/>
      <x:c r="Z53" s="624"/>
    </x:row>
    <x:row r="54" spans="1:26" x14ac:dyDescent="0.25">
      <x:c r="A54" s="625"/>
      <x:c r="B54" s="50"/>
      <x:c r="E54" s="627"/>
      <x:c r="F54" s="627"/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Z54" s="624"/>
    </x:row>
    <x:row r="55" spans="1:26" x14ac:dyDescent="0.25">
      <x:c r="B55" s="773" t="s">
        <x:v>119</x:v>
      </x:c>
      <x:c r="C55" s="770" t="s">
        <x:v>132</x:v>
      </x:c>
      <x:c r="D55" s="632" t="s">
        <x:v>70</x:v>
      </x:c>
      <x:c r="E55" s="633">
        <x:f>E16+E27-K16</x:f>
        <x:v>0</x:v>
      </x:c>
      <x:c r="F55" s="633">
        <x:f>F16</x:f>
        <x:v>0</x:v>
      </x:c>
      <x:c r="G55" s="633">
        <x:f t="shared" ref="G55:S55" si="2">G16</x:f>
        <x:v>0</x:v>
      </x:c>
      <x:c r="H55" s="633">
        <x:f t="shared" si="2"/>
        <x:v>0</x:v>
      </x:c>
      <x:c r="I55" s="633">
        <x:f t="shared" si="2"/>
        <x:v>0</x:v>
      </x:c>
      <x:c r="J55" s="633">
        <x:f t="shared" si="2"/>
        <x:v>0</x:v>
      </x:c>
      <x:c r="K55" s="633">
        <x:f t="shared" si="2"/>
        <x:v>0</x:v>
      </x:c>
      <x:c r="L55" s="633">
        <x:f t="shared" si="2"/>
        <x:v>0</x:v>
      </x:c>
      <x:c r="M55" s="633">
        <x:f t="shared" si="2"/>
        <x:v>0</x:v>
      </x:c>
      <x:c r="N55" s="633">
        <x:f t="shared" si="2"/>
        <x:v>0</x:v>
      </x:c>
      <x:c r="O55" s="633">
        <x:f t="shared" si="2"/>
        <x:v>0</x:v>
      </x:c>
      <x:c r="P55" s="633">
        <x:f t="shared" si="2"/>
        <x:v>0</x:v>
      </x:c>
      <x:c r="Q55" s="633">
        <x:f t="shared" si="2"/>
        <x:v>0</x:v>
      </x:c>
      <x:c r="R55" s="633">
        <x:f t="shared" si="2"/>
        <x:v>0</x:v>
      </x:c>
      <x:c r="S55" s="633">
        <x:f t="shared" si="2"/>
        <x:v>0</x:v>
      </x:c>
      <x:c r="Z55" s="624"/>
    </x:row>
    <x:row r="56" spans="1:26" x14ac:dyDescent="0.25">
      <x:c r="B56" s="773"/>
      <x:c r="C56" s="770"/>
      <x:c r="D56" s="632" t="s">
        <x:v>73</x:v>
      </x:c>
      <x:c r="E56" s="633">
        <x:f>E27</x:f>
        <x:v>0</x:v>
      </x:c>
      <x:c r="F56" s="627"/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S56" s="627"/>
      <x:c r="Z56" s="624"/>
    </x:row>
    <x:row r="57" spans="1:26" x14ac:dyDescent="0.25">
      <x:c r="A57" s="625"/>
      <x:c r="B57" s="50"/>
      <x:c r="E57" s="627"/>
      <x:c r="F57" s="627"/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Z57" s="624"/>
    </x:row>
    <x:row r="58" spans="1:26" x14ac:dyDescent="0.25">
      <x:c r="B58" s="772" t="s">
        <x:v>161</x:v>
      </x:c>
      <x:c r="C58" s="770" t="s">
        <x:v>132</x:v>
      </x:c>
      <x:c r="D58" s="661" t="s">
        <x:v>70</x:v>
      </x:c>
      <x:c r="E58" s="662">
        <x:v>0</x:v>
      </x:c>
      <x:c r="F58" s="662">
        <x:v>0</x:v>
      </x:c>
      <x:c r="G58" s="662">
        <x:v>0</x:v>
      </x:c>
      <x:c r="H58" s="662">
        <x:v>0</x:v>
      </x:c>
      <x:c r="I58" s="662">
        <x:v>0</x:v>
      </x:c>
      <x:c r="J58" s="662">
        <x:v>0</x:v>
      </x:c>
      <x:c r="K58" s="662">
        <x:v>0</x:v>
      </x:c>
      <x:c r="L58" s="662">
        <x:v>0</x:v>
      </x:c>
      <x:c r="M58" s="662">
        <x:v>0</x:v>
      </x:c>
      <x:c r="N58" s="662">
        <x:v>0</x:v>
      </x:c>
      <x:c r="O58" s="662">
        <x:v>0</x:v>
      </x:c>
      <x:c r="P58" s="662">
        <x:v>0</x:v>
      </x:c>
      <x:c r="Q58" s="662">
        <x:v>0</x:v>
      </x:c>
      <x:c r="R58" s="662">
        <x:v>0</x:v>
      </x:c>
      <x:c r="S58" s="662">
        <x:v>0</x:v>
      </x:c>
      <x:c r="Z58" s="624"/>
    </x:row>
    <x:row r="59" spans="1:26" x14ac:dyDescent="0.25">
      <x:c r="B59" s="772"/>
      <x:c r="C59" s="770"/>
      <x:c r="D59" s="661" t="s">
        <x:v>73</x:v>
      </x:c>
      <x:c r="E59" s="662">
        <x:v>0</x:v>
      </x:c>
      <x:c r="F59" s="627"/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Z59" s="624"/>
    </x:row>
    <x:row r="60" spans="1:26" x14ac:dyDescent="0.25">
      <x:c r="A60" s="624"/>
      <x:c r="B60" s="624"/>
      <x:c r="C60" s="624"/>
      <x:c r="D60" s="624"/>
      <x:c r="E60" s="624"/>
      <x:c r="F60" s="624"/>
      <x:c r="G60" s="624"/>
      <x:c r="H60" s="624"/>
      <x:c r="I60" s="624"/>
      <x:c r="J60" s="624"/>
      <x:c r="K60" s="624"/>
      <x:c r="L60" s="624"/>
      <x:c r="M60" s="624"/>
      <x:c r="N60" s="624"/>
      <x:c r="O60" s="624"/>
      <x:c r="P60" s="624"/>
      <x:c r="Q60" s="624"/>
      <x:c r="R60" s="624"/>
      <x:c r="S60" s="624"/>
      <x:c r="T60" s="624"/>
      <x:c r="U60" s="624"/>
      <x:c r="V60" s="624"/>
      <x:c r="W60" s="624"/>
      <x:c r="X60" s="624"/>
      <x:c r="Y60" s="624"/>
      <x:c r="Z60" s="624"/>
    </x:row>
    <x:row r="61" spans="1:26" x14ac:dyDescent="0.25">
      <x:c r="B61" s="676" t="s">
        <x:v>75</x:v>
      </x:c>
      <x:c r="Z61" s="624"/>
    </x:row>
    <x:row r="62" spans="1:26" s="50" customFormat="1" x14ac:dyDescent="0.25">
      <x:c r="E62" s="669" t="s">
        <x:v>70</x:v>
      </x:c>
      <x:c r="F62" s="669" t="s">
        <x:v>64</x:v>
      </x:c>
      <x:c r="G62" s="669" t="s">
        <x:v>65</x:v>
      </x:c>
      <x:c r="H62" s="674" t="s">
        <x:v>164</x:v>
      </x:c>
      <x:c r="I62" s="669" t="s">
        <x:v>69</x:v>
      </x:c>
      <x:c r="J62" s="669" t="s">
        <x:v>68</x:v>
      </x:c>
      <x:c r="K62" s="669" t="s">
        <x:v>83</x:v>
      </x:c>
      <x:c r="L62" s="669" t="s">
        <x:v>66</x:v>
      </x:c>
      <x:c r="M62" s="669" t="s">
        <x:v>63</x:v>
      </x:c>
      <x:c r="N62" s="669" t="s">
        <x:v>61</x:v>
      </x:c>
      <x:c r="O62" s="669" t="s">
        <x:v>62</x:v>
      </x:c>
      <x:c r="P62" s="669" t="s">
        <x:v>67</x:v>
      </x:c>
      <x:c r="Q62" s="669" t="s">
        <x:v>84</x:v>
      </x:c>
      <x:c r="R62" s="669" t="s">
        <x:v>226</x:v>
      </x:c>
      <x:c r="Z62" s="618"/>
    </x:row>
    <x:row r="63" spans="1:26" x14ac:dyDescent="0.25">
      <x:c r="D63" s="625" t="s">
        <x:v>72</x:v>
      </x:c>
      <x:c r="E63" s="627">
        <x:v>0</x:v>
      </x:c>
      <x:c r="F63" s="627">
        <x:v>0</x:v>
      </x:c>
      <x:c r="G63" s="627">
        <x:v>0</x:v>
      </x:c>
      <x:c r="H63" s="627">
        <x:v>0</x:v>
      </x:c>
      <x:c r="I63" s="627">
        <x:v>0</x:v>
      </x:c>
      <x:c r="J63" s="627">
        <x:v>0</x:v>
      </x:c>
      <x:c r="K63" s="627">
        <x:v>0</x:v>
      </x:c>
      <x:c r="L63" s="627">
        <x:v>0</x:v>
      </x:c>
      <x:c r="M63" s="627">
        <x:v>0</x:v>
      </x:c>
      <x:c r="N63" s="627">
        <x:v>0</x:v>
      </x:c>
      <x:c r="O63" s="627">
        <x:v>0</x:v>
      </x:c>
      <x:c r="P63" s="627">
        <x:v>0</x:v>
      </x:c>
      <x:c r="Q63" s="627">
        <x:v>0</x:v>
      </x:c>
      <x:c r="R63" s="653">
        <x:v>0</x:v>
      </x:c>
      <x:c r="Z63" s="624"/>
    </x:row>
    <x:row r="64" spans="1:26" x14ac:dyDescent="0.25">
      <x:c r="D64" s="625" t="s">
        <x:v>81</x:v>
      </x:c>
      <x:c r="E64" s="627" t="n">
        <x:v>50317715.3</x:v>
      </x:c>
      <x:c r="F64" s="627">
        <x:v>0</x:v>
      </x:c>
      <x:c r="G64" s="627">
        <x:v>0</x:v>
      </x:c>
      <x:c r="H64" s="627">
        <x:v>0</x:v>
      </x:c>
      <x:c r="I64" s="627">
        <x:v>0</x:v>
      </x:c>
      <x:c r="J64" s="627">
        <x:v>0</x:v>
      </x:c>
      <x:c r="K64" s="627" t="n">
        <x:v>0</x:v>
      </x:c>
      <x:c r="L64" s="627">
        <x:v>0</x:v>
      </x:c>
      <x:c r="M64" s="627">
        <x:v>0</x:v>
      </x:c>
      <x:c r="N64" s="627">
        <x:v>0</x:v>
      </x:c>
      <x:c r="O64" s="627">
        <x:v>0</x:v>
      </x:c>
      <x:c r="P64" s="627">
        <x:v>0</x:v>
      </x:c>
      <x:c r="Q64" s="627">
        <x:v>0</x:v>
      </x:c>
      <x:c r="R64" s="653">
        <x:v>0</x:v>
      </x:c>
      <x:c r="Z64" s="624"/>
    </x:row>
    <x:row r="65" spans="1:26" x14ac:dyDescent="0.25">
      <x:c r="C65" s="25" t="s">
        <x:v>156</x:v>
      </x:c>
      <x:c r="D65" s="625" t="s">
        <x:v>70</x:v>
      </x:c>
      <x:c r="E65" s="627">
        <x:v>0</x:v>
      </x:c>
      <x:c r="F65" s="627">
        <x:v>0</x:v>
      </x:c>
      <x:c r="G65" s="627">
        <x:v>0</x:v>
      </x:c>
      <x:c r="H65" s="627">
        <x:v>0</x:v>
      </x:c>
      <x:c r="I65" s="627">
        <x:v>0</x:v>
      </x:c>
      <x:c r="J65" s="627">
        <x:v>0</x:v>
      </x:c>
      <x:c r="K65" s="627">
        <x:v>0</x:v>
      </x:c>
      <x:c r="L65" s="627">
        <x:v>0</x:v>
      </x:c>
      <x:c r="M65" s="627">
        <x:v>0</x:v>
      </x:c>
      <x:c r="N65" s="627">
        <x:v>0</x:v>
      </x:c>
      <x:c r="O65" s="627">
        <x:v>0</x:v>
      </x:c>
      <x:c r="P65" s="627">
        <x:v>0</x:v>
      </x:c>
      <x:c r="Q65" s="627">
        <x:v>0</x:v>
      </x:c>
      <x:c r="R65" s="653">
        <x:v>0</x:v>
      </x:c>
      <x:c r="Z65" s="624"/>
    </x:row>
    <x:row r="66" spans="1:26" x14ac:dyDescent="0.25">
      <x:c r="A66" s="628"/>
      <x:c r="B66" s="628" t="s">
        <x:v>155</x:v>
      </x:c>
      <x:c r="C66" s="628" t="s">
        <x:v>70</x:v>
      </x:c>
      <x:c r="D66" s="628"/>
      <x:c r="E66" s="677">
        <x:v>0</x:v>
      </x:c>
      <x:c r="F66" s="677">
        <x:v>0</x:v>
      </x:c>
      <x:c r="G66" s="677">
        <x:v>0</x:v>
      </x:c>
      <x:c r="H66" s="677">
        <x:v>0</x:v>
      </x:c>
      <x:c r="I66" s="677">
        <x:v>0</x:v>
      </x:c>
      <x:c r="J66" s="677">
        <x:v>0</x:v>
      </x:c>
      <x:c r="K66" s="677">
        <x:v>0</x:v>
      </x:c>
      <x:c r="L66" s="677">
        <x:v>0</x:v>
      </x:c>
      <x:c r="M66" s="677">
        <x:v>0</x:v>
      </x:c>
      <x:c r="N66" s="677">
        <x:v>0</x:v>
      </x:c>
      <x:c r="O66" s="677">
        <x:v>0</x:v>
      </x:c>
      <x:c r="P66" s="677">
        <x:v>0</x:v>
      </x:c>
      <x:c r="Q66" s="677">
        <x:v>0</x:v>
      </x:c>
      <x:c r="R66" s="677">
        <x:v>0</x:v>
      </x:c>
      <x:c r="S66" s="628"/>
      <x:c r="T66" s="628"/>
      <x:c r="U66" s="628"/>
      <x:c r="V66" s="628"/>
      <x:c r="W66" s="628"/>
      <x:c r="X66" s="628"/>
      <x:c r="Y66" s="628"/>
      <x:c r="Z66" s="624"/>
    </x:row>
    <x:row r="67" spans="1:26" x14ac:dyDescent="0.25">
      <x:c r="D67" s="625" t="s">
        <x:v>72</x:v>
      </x:c>
      <x:c r="E67" s="627">
        <x:v>0</x:v>
      </x:c>
      <x:c r="F67" s="627">
        <x:v>0</x:v>
      </x:c>
      <x:c r="G67" s="627">
        <x:v>0</x:v>
      </x:c>
      <x:c r="H67" s="627">
        <x:v>0</x:v>
      </x:c>
      <x:c r="I67" s="627">
        <x:v>0</x:v>
      </x:c>
      <x:c r="J67" s="627">
        <x:v>0</x:v>
      </x:c>
      <x:c r="K67" s="627">
        <x:v>0</x:v>
      </x:c>
      <x:c r="L67" s="627">
        <x:v>0</x:v>
      </x:c>
      <x:c r="M67" s="627">
        <x:v>0</x:v>
      </x:c>
      <x:c r="N67" s="627">
        <x:v>0</x:v>
      </x:c>
      <x:c r="O67" s="627">
        <x:v>0</x:v>
      </x:c>
      <x:c r="P67" s="627">
        <x:v>0</x:v>
      </x:c>
      <x:c r="Q67" s="627">
        <x:v>0</x:v>
      </x:c>
      <x:c r="R67" s="653">
        <x:v>0</x:v>
      </x:c>
      <x:c r="Z67" s="624"/>
    </x:row>
    <x:row r="68" spans="1:26" x14ac:dyDescent="0.25">
      <x:c r="D68" s="625" t="s">
        <x:v>81</x:v>
      </x:c>
      <x:c r="E68" s="627">
        <x:v>0</x:v>
      </x:c>
      <x:c r="F68" s="627">
        <x:v>0</x:v>
      </x:c>
      <x:c r="G68" s="627">
        <x:v>0</x:v>
      </x:c>
      <x:c r="H68" s="627">
        <x:v>0</x:v>
      </x:c>
      <x:c r="I68" s="627">
        <x:v>0</x:v>
      </x:c>
      <x:c r="J68" s="627">
        <x:v>0</x:v>
      </x:c>
      <x:c r="K68" s="627">
        <x:v>0</x:v>
      </x:c>
      <x:c r="L68" s="627">
        <x:v>0</x:v>
      </x:c>
      <x:c r="M68" s="627">
        <x:v>0</x:v>
      </x:c>
      <x:c r="N68" s="627">
        <x:v>0</x:v>
      </x:c>
      <x:c r="O68" s="627">
        <x:v>0</x:v>
      </x:c>
      <x:c r="P68" s="627">
        <x:v>0</x:v>
      </x:c>
      <x:c r="Q68" s="627">
        <x:v>0</x:v>
      </x:c>
      <x:c r="R68" s="653">
        <x:v>0</x:v>
      </x:c>
      <x:c r="Z68" s="624"/>
    </x:row>
    <x:row r="69" spans="1:26" x14ac:dyDescent="0.25">
      <x:c r="C69" s="25" t="s">
        <x:v>115</x:v>
      </x:c>
      <x:c r="D69" s="625" t="s">
        <x:v>70</x:v>
      </x:c>
      <x:c r="E69" s="627">
        <x:v>0</x:v>
      </x:c>
      <x:c r="F69" s="627">
        <x:v>0</x:v>
      </x:c>
      <x:c r="G69" s="627">
        <x:v>0</x:v>
      </x:c>
      <x:c r="H69" s="627">
        <x:v>0</x:v>
      </x:c>
      <x:c r="I69" s="627">
        <x:v>0</x:v>
      </x:c>
      <x:c r="J69" s="627">
        <x:v>0</x:v>
      </x:c>
      <x:c r="K69" s="627">
        <x:v>0</x:v>
      </x:c>
      <x:c r="L69" s="627">
        <x:v>0</x:v>
      </x:c>
      <x:c r="M69" s="627">
        <x:v>0</x:v>
      </x:c>
      <x:c r="N69" s="627">
        <x:v>0</x:v>
      </x:c>
      <x:c r="O69" s="627">
        <x:v>0</x:v>
      </x:c>
      <x:c r="P69" s="627">
        <x:v>0</x:v>
      </x:c>
      <x:c r="Q69" s="627">
        <x:v>0</x:v>
      </x:c>
      <x:c r="R69" s="653">
        <x:v>0</x:v>
      </x:c>
      <x:c r="Z69" s="624"/>
    </x:row>
    <x:row r="70" spans="1:26" x14ac:dyDescent="0.25">
      <x:c r="D70" s="625" t="s">
        <x:v>72</x:v>
      </x:c>
      <x:c r="E70" s="627">
        <x:v>0</x:v>
      </x:c>
      <x:c r="F70" s="627">
        <x:v>0</x:v>
      </x:c>
      <x:c r="G70" s="627">
        <x:v>0</x:v>
      </x:c>
      <x:c r="H70" s="627">
        <x:v>0</x:v>
      </x:c>
      <x:c r="I70" s="627">
        <x:v>0</x:v>
      </x:c>
      <x:c r="J70" s="627">
        <x:v>0</x:v>
      </x:c>
      <x:c r="K70" s="627">
        <x:v>0</x:v>
      </x:c>
      <x:c r="L70" s="627">
        <x:v>0</x:v>
      </x:c>
      <x:c r="M70" s="627">
        <x:v>0</x:v>
      </x:c>
      <x:c r="N70" s="627">
        <x:v>0</x:v>
      </x:c>
      <x:c r="O70" s="627">
        <x:v>0</x:v>
      </x:c>
      <x:c r="P70" s="627">
        <x:v>0</x:v>
      </x:c>
      <x:c r="Q70" s="627">
        <x:v>0</x:v>
      </x:c>
      <x:c r="R70" s="653">
        <x:v>0</x:v>
      </x:c>
      <x:c r="Z70" s="624"/>
    </x:row>
    <x:row r="71" spans="1:26" x14ac:dyDescent="0.25">
      <x:c r="C71" s="625"/>
      <x:c r="D71" s="625" t="s">
        <x:v>81</x:v>
      </x:c>
      <x:c r="E71" s="627">
        <x:v>0</x:v>
      </x:c>
      <x:c r="F71" s="627">
        <x:v>0</x:v>
      </x:c>
      <x:c r="G71" s="627">
        <x:v>0</x:v>
      </x:c>
      <x:c r="H71" s="627">
        <x:v>0</x:v>
      </x:c>
      <x:c r="I71" s="627">
        <x:v>0</x:v>
      </x:c>
      <x:c r="J71" s="627">
        <x:v>0</x:v>
      </x:c>
      <x:c r="K71" s="627">
        <x:v>0</x:v>
      </x:c>
      <x:c r="L71" s="627">
        <x:v>0</x:v>
      </x:c>
      <x:c r="M71" s="627">
        <x:v>0</x:v>
      </x:c>
      <x:c r="N71" s="627">
        <x:v>0</x:v>
      </x:c>
      <x:c r="O71" s="627">
        <x:v>0</x:v>
      </x:c>
      <x:c r="P71" s="627">
        <x:v>0</x:v>
      </x:c>
      <x:c r="Q71" s="627">
        <x:v>0</x:v>
      </x:c>
      <x:c r="R71" s="653">
        <x:v>0</x:v>
      </x:c>
      <x:c r="Z71" s="624"/>
    </x:row>
    <x:row r="72" spans="1:26" x14ac:dyDescent="0.25">
      <x:c r="C72" s="625" t="s">
        <x:v>116</x:v>
      </x:c>
      <x:c r="D72" s="625" t="s">
        <x:v>70</x:v>
      </x:c>
      <x:c r="E72" s="627">
        <x:v>0</x:v>
      </x:c>
      <x:c r="F72" s="627">
        <x:v>0</x:v>
      </x:c>
      <x:c r="G72" s="627">
        <x:v>0</x:v>
      </x:c>
      <x:c r="H72" s="627">
        <x:v>0</x:v>
      </x:c>
      <x:c r="I72" s="627">
        <x:v>0</x:v>
      </x:c>
      <x:c r="J72" s="627">
        <x:v>0</x:v>
      </x:c>
      <x:c r="K72" s="627">
        <x:v>0</x:v>
      </x:c>
      <x:c r="L72" s="627">
        <x:v>0</x:v>
      </x:c>
      <x:c r="M72" s="627">
        <x:v>0</x:v>
      </x:c>
      <x:c r="N72" s="627">
        <x:v>0</x:v>
      </x:c>
      <x:c r="O72" s="627">
        <x:v>0</x:v>
      </x:c>
      <x:c r="P72" s="627">
        <x:v>0</x:v>
      </x:c>
      <x:c r="Q72" s="627">
        <x:v>0</x:v>
      </x:c>
      <x:c r="R72" s="653">
        <x:v>0</x:v>
      </x:c>
      <x:c r="Z72" s="624"/>
    </x:row>
    <x:row r="73" spans="1:26" x14ac:dyDescent="0.25">
      <x:c r="C73" s="625"/>
      <x:c r="D73" s="625" t="s">
        <x:v>72</x:v>
      </x:c>
      <x:c r="E73" s="627">
        <x:v>0</x:v>
      </x:c>
      <x:c r="F73" s="627">
        <x:v>0</x:v>
      </x:c>
      <x:c r="G73" s="627">
        <x:v>0</x:v>
      </x:c>
      <x:c r="H73" s="627">
        <x:v>0</x:v>
      </x:c>
      <x:c r="I73" s="627">
        <x:v>0</x:v>
      </x:c>
      <x:c r="J73" s="627">
        <x:v>0</x:v>
      </x:c>
      <x:c r="K73" s="627">
        <x:v>0</x:v>
      </x:c>
      <x:c r="L73" s="627">
        <x:v>0</x:v>
      </x:c>
      <x:c r="M73" s="627">
        <x:v>0</x:v>
      </x:c>
      <x:c r="N73" s="627">
        <x:v>0</x:v>
      </x:c>
      <x:c r="O73" s="627">
        <x:v>0</x:v>
      </x:c>
      <x:c r="P73" s="627">
        <x:v>0</x:v>
      </x:c>
      <x:c r="Q73" s="627">
        <x:v>0</x:v>
      </x:c>
      <x:c r="R73" s="653">
        <x:v>0</x:v>
      </x:c>
      <x:c r="Z73" s="624"/>
    </x:row>
    <x:row r="74" spans="1:26" x14ac:dyDescent="0.25">
      <x:c r="C74" s="625"/>
      <x:c r="D74" s="625" t="s">
        <x:v>81</x:v>
      </x:c>
      <x:c r="E74" s="627" t="n">
        <x:v>48761492.65</x:v>
      </x:c>
      <x:c r="F74" s="627">
        <x:v>0</x:v>
      </x:c>
      <x:c r="G74" s="627">
        <x:v>0</x:v>
      </x:c>
      <x:c r="H74" s="627">
        <x:v>0</x:v>
      </x:c>
      <x:c r="I74" s="627">
        <x:v>0</x:v>
      </x:c>
      <x:c r="J74" s="627">
        <x:v>0</x:v>
      </x:c>
      <x:c r="K74" s="627" t="n">
        <x:v>0</x:v>
      </x:c>
      <x:c r="L74" s="627">
        <x:v>0</x:v>
      </x:c>
      <x:c r="M74" s="627">
        <x:v>0</x:v>
      </x:c>
      <x:c r="N74" s="627">
        <x:v>0</x:v>
      </x:c>
      <x:c r="O74" s="627">
        <x:v>0</x:v>
      </x:c>
      <x:c r="P74" s="627">
        <x:v>0</x:v>
      </x:c>
      <x:c r="Q74" s="627">
        <x:v>0</x:v>
      </x:c>
      <x:c r="R74" s="653">
        <x:v>0</x:v>
      </x:c>
      <x:c r="Z74" s="624"/>
    </x:row>
    <x:row r="75" spans="1:26" x14ac:dyDescent="0.25">
      <x:c r="C75" s="625" t="s">
        <x:v>118</x:v>
      </x:c>
      <x:c r="D75" s="625" t="s">
        <x:v>70</x:v>
      </x:c>
      <x:c r="E75" s="627">
        <x:v>0</x:v>
      </x:c>
      <x:c r="F75" s="627">
        <x:v>0</x:v>
      </x:c>
      <x:c r="G75" s="627">
        <x:v>0</x:v>
      </x:c>
      <x:c r="H75" s="627">
        <x:v>0</x:v>
      </x:c>
      <x:c r="I75" s="627">
        <x:v>0</x:v>
      </x:c>
      <x:c r="J75" s="627">
        <x:v>0</x:v>
      </x:c>
      <x:c r="K75" s="627">
        <x:v>0</x:v>
      </x:c>
      <x:c r="L75" s="627">
        <x:v>0</x:v>
      </x:c>
      <x:c r="M75" s="627">
        <x:v>0</x:v>
      </x:c>
      <x:c r="N75" s="627">
        <x:v>0</x:v>
      </x:c>
      <x:c r="O75" s="627">
        <x:v>0</x:v>
      </x:c>
      <x:c r="P75" s="627">
        <x:v>0</x:v>
      </x:c>
      <x:c r="Q75" s="627">
        <x:v>0</x:v>
      </x:c>
      <x:c r="R75" s="653">
        <x:v>0</x:v>
      </x:c>
      <x:c r="Z75" s="624"/>
    </x:row>
    <x:row r="76" spans="1:26" x14ac:dyDescent="0.25">
      <x:c r="C76" s="625"/>
      <x:c r="D76" s="625" t="s">
        <x:v>72</x:v>
      </x:c>
      <x:c r="E76" s="627">
        <x:v>0</x:v>
      </x:c>
      <x:c r="F76" s="627">
        <x:v>0</x:v>
      </x:c>
      <x:c r="G76" s="627">
        <x:v>0</x:v>
      </x:c>
      <x:c r="H76" s="627">
        <x:v>0</x:v>
      </x:c>
      <x:c r="I76" s="627">
        <x:v>0</x:v>
      </x:c>
      <x:c r="J76" s="627">
        <x:v>0</x:v>
      </x:c>
      <x:c r="K76" s="627">
        <x:v>0</x:v>
      </x:c>
      <x:c r="L76" s="627">
        <x:v>0</x:v>
      </x:c>
      <x:c r="M76" s="627">
        <x:v>0</x:v>
      </x:c>
      <x:c r="N76" s="627">
        <x:v>0</x:v>
      </x:c>
      <x:c r="O76" s="627">
        <x:v>0</x:v>
      </x:c>
      <x:c r="P76" s="627">
        <x:v>0</x:v>
      </x:c>
      <x:c r="Q76" s="627">
        <x:v>0</x:v>
      </x:c>
      <x:c r="R76" s="653">
        <x:v>0</x:v>
      </x:c>
      <x:c r="Z76" s="624"/>
    </x:row>
    <x:row r="77" spans="1:26" x14ac:dyDescent="0.25">
      <x:c r="C77" s="625" t="s">
        <x:v>332</x:v>
      </x:c>
      <x:c r="D77" s="625" t="s">
        <x:v>70</x:v>
      </x:c>
      <x:c r="E77" s="627">
        <x:v>0</x:v>
      </x:c>
      <x:c r="F77" s="627">
        <x:v>0</x:v>
      </x:c>
      <x:c r="G77" s="627">
        <x:v>0</x:v>
      </x:c>
      <x:c r="H77" s="627">
        <x:v>0</x:v>
      </x:c>
      <x:c r="I77" s="627">
        <x:v>0</x:v>
      </x:c>
      <x:c r="J77" s="627">
        <x:v>0</x:v>
      </x:c>
      <x:c r="K77" s="627">
        <x:v>0</x:v>
      </x:c>
      <x:c r="L77" s="627">
        <x:v>0</x:v>
      </x:c>
      <x:c r="M77" s="627">
        <x:v>0</x:v>
      </x:c>
      <x:c r="N77" s="627">
        <x:v>0</x:v>
      </x:c>
      <x:c r="O77" s="627">
        <x:v>0</x:v>
      </x:c>
      <x:c r="P77" s="627">
        <x:v>0</x:v>
      </x:c>
      <x:c r="Q77" s="627">
        <x:v>0</x:v>
      </x:c>
      <x:c r="R77" s="653">
        <x:v>0</x:v>
      </x:c>
      <x:c r="Z77" s="624"/>
    </x:row>
    <x:row r="78" spans="1:26" x14ac:dyDescent="0.25">
      <x:c r="A78" s="667"/>
      <x:c r="B78" s="667" t="s">
        <x:v>120</x:v>
      </x:c>
      <x:c r="C78" s="667" t="s">
        <x:v>70</x:v>
      </x:c>
      <x:c r="D78" s="667"/>
      <x:c r="E78" s="672">
        <x:v>0</x:v>
      </x:c>
      <x:c r="F78" s="672">
        <x:v>0</x:v>
      </x:c>
      <x:c r="G78" s="672">
        <x:v>0</x:v>
      </x:c>
      <x:c r="H78" s="672">
        <x:v>0</x:v>
      </x:c>
      <x:c r="I78" s="672">
        <x:v>0</x:v>
      </x:c>
      <x:c r="J78" s="672">
        <x:v>0</x:v>
      </x:c>
      <x:c r="K78" s="672">
        <x:v>0</x:v>
      </x:c>
      <x:c r="L78" s="672">
        <x:v>0</x:v>
      </x:c>
      <x:c r="M78" s="672">
        <x:v>0</x:v>
      </x:c>
      <x:c r="N78" s="672">
        <x:v>0</x:v>
      </x:c>
      <x:c r="O78" s="672">
        <x:v>0</x:v>
      </x:c>
      <x:c r="P78" s="672">
        <x:v>0</x:v>
      </x:c>
      <x:c r="Q78" s="672">
        <x:v>0</x:v>
      </x:c>
      <x:c r="R78" s="672">
        <x:v>0</x:v>
      </x:c>
      <x:c r="S78" s="667"/>
      <x:c r="T78" s="667"/>
      <x:c r="U78" s="667"/>
      <x:c r="V78" s="667"/>
      <x:c r="W78" s="667"/>
      <x:c r="X78" s="667"/>
      <x:c r="Y78" s="667"/>
      <x:c r="Z78" s="624"/>
    </x:row>
    <x:row r="79" spans="1:26" x14ac:dyDescent="0.25">
      <x:c r="D79" s="25" t="s">
        <x:v>72</x:v>
      </x:c>
      <x:c r="E79" s="653">
        <x:v>0</x:v>
      </x:c>
      <x:c r="F79" s="653">
        <x:v>0</x:v>
      </x:c>
      <x:c r="G79" s="653">
        <x:v>0</x:v>
      </x:c>
      <x:c r="H79" s="653">
        <x:v>0</x:v>
      </x:c>
      <x:c r="I79" s="653">
        <x:v>0</x:v>
      </x:c>
      <x:c r="J79" s="653">
        <x:v>0</x:v>
      </x:c>
      <x:c r="K79" s="653">
        <x:v>0</x:v>
      </x:c>
      <x:c r="L79" s="653">
        <x:v>0</x:v>
      </x:c>
      <x:c r="M79" s="653">
        <x:v>0</x:v>
      </x:c>
      <x:c r="N79" s="653">
        <x:v>0</x:v>
      </x:c>
      <x:c r="O79" s="653">
        <x:v>0</x:v>
      </x:c>
      <x:c r="P79" s="653">
        <x:v>0</x:v>
      </x:c>
      <x:c r="Q79" s="653">
        <x:v>0</x:v>
      </x:c>
      <x:c r="R79" s="653">
        <x:v>0</x:v>
      </x:c>
      <x:c r="Z79" s="624"/>
    </x:row>
    <x:row r="80" spans="1:26" x14ac:dyDescent="0.25">
      <x:c r="D80" s="25" t="s">
        <x:v>81</x:v>
      </x:c>
      <x:c r="E80" s="653">
        <x:v>0</x:v>
      </x:c>
      <x:c r="F80" s="653">
        <x:v>0</x:v>
      </x:c>
      <x:c r="G80" s="653">
        <x:v>0</x:v>
      </x:c>
      <x:c r="H80" s="653">
        <x:v>0</x:v>
      </x:c>
      <x:c r="I80" s="653">
        <x:v>0</x:v>
      </x:c>
      <x:c r="J80" s="653">
        <x:v>0</x:v>
      </x:c>
      <x:c r="K80" s="653">
        <x:v>0</x:v>
      </x:c>
      <x:c r="L80" s="653">
        <x:v>0</x:v>
      </x:c>
      <x:c r="M80" s="653">
        <x:v>0</x:v>
      </x:c>
      <x:c r="N80" s="653">
        <x:v>0</x:v>
      </x:c>
      <x:c r="O80" s="653">
        <x:v>0</x:v>
      </x:c>
      <x:c r="P80" s="653">
        <x:v>0</x:v>
      </x:c>
      <x:c r="Q80" s="653">
        <x:v>0</x:v>
      </x:c>
      <x:c r="R80" s="653">
        <x:v>0</x:v>
      </x:c>
      <x:c r="Z80" s="624"/>
    </x:row>
    <x:row r="81" spans="1:26" x14ac:dyDescent="0.25">
      <x:c r="C81" s="25" t="s">
        <x:v>82</x:v>
      </x:c>
      <x:c r="D81" s="25" t="s">
        <x:v>70</x:v>
      </x:c>
      <x:c r="E81" s="653">
        <x:v>0</x:v>
      </x:c>
      <x:c r="F81" s="653">
        <x:v>0</x:v>
      </x:c>
      <x:c r="G81" s="653">
        <x:v>0</x:v>
      </x:c>
      <x:c r="H81" s="653">
        <x:v>0</x:v>
      </x:c>
      <x:c r="I81" s="653">
        <x:v>0</x:v>
      </x:c>
      <x:c r="J81" s="653">
        <x:v>0</x:v>
      </x:c>
      <x:c r="K81" s="653">
        <x:v>0</x:v>
      </x:c>
      <x:c r="L81" s="653">
        <x:v>0</x:v>
      </x:c>
      <x:c r="M81" s="653">
        <x:v>0</x:v>
      </x:c>
      <x:c r="N81" s="653">
        <x:v>0</x:v>
      </x:c>
      <x:c r="O81" s="653">
        <x:v>0</x:v>
      </x:c>
      <x:c r="P81" s="653">
        <x:v>0</x:v>
      </x:c>
      <x:c r="Q81" s="653">
        <x:v>0</x:v>
      </x:c>
      <x:c r="R81" s="653">
        <x:v>0</x:v>
      </x:c>
      <x:c r="Z81" s="624"/>
    </x:row>
    <x:row r="82" spans="1:26" x14ac:dyDescent="0.25">
      <x:c r="D82" s="25" t="s">
        <x:v>72</x:v>
      </x:c>
      <x:c r="E82" s="653">
        <x:v>0</x:v>
      </x:c>
      <x:c r="F82" s="653">
        <x:v>0</x:v>
      </x:c>
      <x:c r="G82" s="653">
        <x:v>0</x:v>
      </x:c>
      <x:c r="H82" s="653">
        <x:v>0</x:v>
      </x:c>
      <x:c r="I82" s="653">
        <x:v>0</x:v>
      </x:c>
      <x:c r="J82" s="653">
        <x:v>0</x:v>
      </x:c>
      <x:c r="K82" s="653">
        <x:v>0</x:v>
      </x:c>
      <x:c r="L82" s="653">
        <x:v>0</x:v>
      </x:c>
      <x:c r="M82" s="653">
        <x:v>0</x:v>
      </x:c>
      <x:c r="N82" s="653">
        <x:v>0</x:v>
      </x:c>
      <x:c r="O82" s="653">
        <x:v>0</x:v>
      </x:c>
      <x:c r="P82" s="653">
        <x:v>0</x:v>
      </x:c>
      <x:c r="Q82" s="653">
        <x:v>0</x:v>
      </x:c>
      <x:c r="R82" s="653">
        <x:v>0</x:v>
      </x:c>
      <x:c r="Z82" s="624"/>
    </x:row>
    <x:row r="83" spans="1:26" x14ac:dyDescent="0.25">
      <x:c r="D83" s="25" t="s">
        <x:v>81</x:v>
      </x:c>
      <x:c r="E83" s="653">
        <x:v>0</x:v>
      </x:c>
      <x:c r="F83" s="653">
        <x:v>0</x:v>
      </x:c>
      <x:c r="G83" s="653">
        <x:v>0</x:v>
      </x:c>
      <x:c r="H83" s="653">
        <x:v>0</x:v>
      </x:c>
      <x:c r="I83" s="653">
        <x:v>0</x:v>
      </x:c>
      <x:c r="J83" s="653">
        <x:v>0</x:v>
      </x:c>
      <x:c r="K83" s="653">
        <x:v>0</x:v>
      </x:c>
      <x:c r="L83" s="653">
        <x:v>0</x:v>
      </x:c>
      <x:c r="M83" s="653">
        <x:v>0</x:v>
      </x:c>
      <x:c r="N83" s="653">
        <x:v>0</x:v>
      </x:c>
      <x:c r="O83" s="653">
        <x:v>0</x:v>
      </x:c>
      <x:c r="P83" s="653">
        <x:v>0</x:v>
      </x:c>
      <x:c r="Q83" s="653">
        <x:v>0</x:v>
      </x:c>
      <x:c r="R83" s="653">
        <x:v>0</x:v>
      </x:c>
      <x:c r="Z83" s="624"/>
    </x:row>
    <x:row r="84" spans="1:26" x14ac:dyDescent="0.25">
      <x:c r="C84" s="25" t="s">
        <x:v>86</x:v>
      </x:c>
      <x:c r="D84" s="25" t="s">
        <x:v>70</x:v>
      </x:c>
      <x:c r="E84" s="653" t="n">
        <x:v>13654169.6</x:v>
      </x:c>
      <x:c r="F84" s="653">
        <x:v>0</x:v>
      </x:c>
      <x:c r="G84" s="653">
        <x:v>0</x:v>
      </x:c>
      <x:c r="H84" s="653">
        <x:v>0</x:v>
      </x:c>
      <x:c r="I84" s="653">
        <x:v>0</x:v>
      </x:c>
      <x:c r="J84" s="653">
        <x:v>0</x:v>
      </x:c>
      <x:c r="K84" s="653" t="n">
        <x:v>0</x:v>
      </x:c>
      <x:c r="L84" s="653">
        <x:v>0</x:v>
      </x:c>
      <x:c r="M84" s="653">
        <x:v>0</x:v>
      </x:c>
      <x:c r="N84" s="653">
        <x:v>0</x:v>
      </x:c>
      <x:c r="O84" s="653">
        <x:v>0</x:v>
      </x:c>
      <x:c r="P84" s="653">
        <x:v>0</x:v>
      </x:c>
      <x:c r="Q84" s="653">
        <x:v>0</x:v>
      </x:c>
      <x:c r="R84" s="653">
        <x:v>0</x:v>
      </x:c>
      <x:c r="Z84" s="624"/>
    </x:row>
    <x:row r="85" spans="1:26" x14ac:dyDescent="0.25">
      <x:c r="D85" s="25" t="s">
        <x:v>72</x:v>
      </x:c>
      <x:c r="E85" s="653" t="n">
        <x:v>112733377.55</x:v>
      </x:c>
      <x:c r="F85" s="653">
        <x:v>0</x:v>
      </x:c>
      <x:c r="G85" s="653">
        <x:v>0</x:v>
      </x:c>
      <x:c r="H85" s="653">
        <x:v>0</x:v>
      </x:c>
      <x:c r="I85" s="653">
        <x:v>0</x:v>
      </x:c>
      <x:c r="J85" s="653">
        <x:v>0</x:v>
      </x:c>
      <x:c r="K85" s="653" t="n">
        <x:v>0</x:v>
      </x:c>
      <x:c r="L85" s="653">
        <x:v>0</x:v>
      </x:c>
      <x:c r="M85" s="653">
        <x:v>0</x:v>
      </x:c>
      <x:c r="N85" s="653">
        <x:v>0</x:v>
      </x:c>
      <x:c r="O85" s="653">
        <x:v>0</x:v>
      </x:c>
      <x:c r="P85" s="653">
        <x:v>0</x:v>
      </x:c>
      <x:c r="Q85" s="653">
        <x:v>0</x:v>
      </x:c>
      <x:c r="R85" s="653">
        <x:v>0</x:v>
      </x:c>
      <x:c r="Z85" s="624"/>
    </x:row>
    <x:row r="86" spans="1:26" x14ac:dyDescent="0.25">
      <x:c r="D86" s="25" t="s">
        <x:v>81</x:v>
      </x:c>
      <x:c r="E86" s="653">
        <x:v>0</x:v>
      </x:c>
      <x:c r="F86" s="653">
        <x:v>0</x:v>
      </x:c>
      <x:c r="G86" s="653">
        <x:v>0</x:v>
      </x:c>
      <x:c r="H86" s="653">
        <x:v>0</x:v>
      </x:c>
      <x:c r="I86" s="653">
        <x:v>0</x:v>
      </x:c>
      <x:c r="J86" s="653">
        <x:v>0</x:v>
      </x:c>
      <x:c r="K86" s="653">
        <x:v>0</x:v>
      </x:c>
      <x:c r="L86" s="653">
        <x:v>0</x:v>
      </x:c>
      <x:c r="M86" s="653">
        <x:v>0</x:v>
      </x:c>
      <x:c r="N86" s="653">
        <x:v>0</x:v>
      </x:c>
      <x:c r="O86" s="653">
        <x:v>0</x:v>
      </x:c>
      <x:c r="P86" s="653">
        <x:v>0</x:v>
      </x:c>
      <x:c r="Q86" s="653">
        <x:v>0</x:v>
      </x:c>
      <x:c r="R86" s="653">
        <x:v>0</x:v>
      </x:c>
      <x:c r="Z86" s="624"/>
    </x:row>
    <x:row r="87" spans="1:26" x14ac:dyDescent="0.25">
      <x:c r="C87" s="625" t="s">
        <x:v>87</x:v>
      </x:c>
      <x:c r="D87" s="625" t="s">
        <x:v>70</x:v>
      </x:c>
      <x:c r="E87" s="627">
        <x:v>0</x:v>
      </x:c>
      <x:c r="F87" s="627">
        <x:v>0</x:v>
      </x:c>
      <x:c r="G87" s="627">
        <x:v>0</x:v>
      </x:c>
      <x:c r="H87" s="627">
        <x:v>0</x:v>
      </x:c>
      <x:c r="I87" s="627">
        <x:v>0</x:v>
      </x:c>
      <x:c r="J87" s="627">
        <x:v>0</x:v>
      </x:c>
      <x:c r="K87" s="627">
        <x:v>0</x:v>
      </x:c>
      <x:c r="L87" s="627">
        <x:v>0</x:v>
      </x:c>
      <x:c r="M87" s="627">
        <x:v>0</x:v>
      </x:c>
      <x:c r="N87" s="627">
        <x:v>0</x:v>
      </x:c>
      <x:c r="O87" s="627">
        <x:v>0</x:v>
      </x:c>
      <x:c r="P87" s="627">
        <x:v>0</x:v>
      </x:c>
      <x:c r="Q87" s="627">
        <x:v>0</x:v>
      </x:c>
      <x:c r="R87" s="653">
        <x:v>0</x:v>
      </x:c>
      <x:c r="Z87" s="624"/>
    </x:row>
    <x:row r="88" spans="1:26" x14ac:dyDescent="0.25">
      <x:c r="A88" s="631"/>
      <x:c r="B88" s="632" t="s">
        <x:v>119</x:v>
      </x:c>
      <x:c r="C88" s="632" t="s">
        <x:v>70</x:v>
      </x:c>
      <x:c r="D88" s="631"/>
      <x:c r="E88" s="633" t="n">
        <x:v>-16181131.14</x:v>
      </x:c>
      <x:c r="F88" s="633">
        <x:v>0</x:v>
      </x:c>
      <x:c r="G88" s="633">
        <x:v>0</x:v>
      </x:c>
      <x:c r="H88" s="633">
        <x:v>0</x:v>
      </x:c>
      <x:c r="I88" s="633">
        <x:v>0</x:v>
      </x:c>
      <x:c r="J88" s="633">
        <x:v>0</x:v>
      </x:c>
      <x:c r="K88" s="633">
        <x:v>0</x:v>
      </x:c>
      <x:c r="L88" s="633">
        <x:v>0</x:v>
      </x:c>
      <x:c r="M88" s="633">
        <x:v>0</x:v>
      </x:c>
      <x:c r="N88" s="633">
        <x:v>0</x:v>
      </x:c>
      <x:c r="O88" s="633">
        <x:v>0</x:v>
      </x:c>
      <x:c r="P88" s="633">
        <x:v>0</x:v>
      </x:c>
      <x:c r="Q88" s="633">
        <x:v>0</x:v>
      </x:c>
      <x:c r="R88" s="678">
        <x:v>0</x:v>
      </x:c>
      <x:c r="S88" s="631"/>
      <x:c r="T88" s="631"/>
      <x:c r="U88" s="631"/>
      <x:c r="V88" s="631"/>
      <x:c r="W88" s="631"/>
      <x:c r="X88" s="631"/>
      <x:c r="Y88" s="631"/>
      <x:c r="Z88" s="624"/>
    </x:row>
    <x:row r="89" spans="1:26" x14ac:dyDescent="0.25">
      <x:c r="A89" s="639" t="s">
        <x:v>78</x:v>
      </x:c>
      <x:c r="B89" s="639" t="s">
        <x:v>70</x:v>
      </x:c>
      <x:c r="C89" s="638"/>
      <x:c r="D89" s="638"/>
      <x:c r="E89" s="640">
        <x:v>0</x:v>
      </x:c>
      <x:c r="F89" s="640">
        <x:v>0</x:v>
      </x:c>
      <x:c r="G89" s="640">
        <x:v>0</x:v>
      </x:c>
      <x:c r="H89" s="640">
        <x:v>0</x:v>
      </x:c>
      <x:c r="I89" s="640">
        <x:v>0</x:v>
      </x:c>
      <x:c r="J89" s="640">
        <x:v>0</x:v>
      </x:c>
      <x:c r="K89" s="640">
        <x:v>0</x:v>
      </x:c>
      <x:c r="L89" s="640">
        <x:v>0</x:v>
      </x:c>
      <x:c r="M89" s="640">
        <x:v>0</x:v>
      </x:c>
      <x:c r="N89" s="640">
        <x:v>0</x:v>
      </x:c>
      <x:c r="O89" s="640">
        <x:v>0</x:v>
      </x:c>
      <x:c r="P89" s="640">
        <x:v>0</x:v>
      </x:c>
      <x:c r="Q89" s="640">
        <x:v>0</x:v>
      </x:c>
      <x:c r="R89" s="679">
        <x:v>0</x:v>
      </x:c>
      <x:c r="S89" s="638"/>
      <x:c r="T89" s="638"/>
      <x:c r="U89" s="638"/>
      <x:c r="V89" s="638"/>
      <x:c r="W89" s="638"/>
      <x:c r="X89" s="638"/>
      <x:c r="Y89" s="638"/>
      <x:c r="Z89" s="624"/>
    </x:row>
    <x:row r="90" spans="1:26" x14ac:dyDescent="0.25">
      <x:c r="C90" s="625"/>
      <x:c r="D90" s="625" t="s">
        <x:v>73</x:v>
      </x:c>
      <x:c r="E90" s="627">
        <x:v>0</x:v>
      </x:c>
      <x:c r="F90" s="627">
        <x:v>0</x:v>
      </x:c>
      <x:c r="G90" s="627">
        <x:v>0</x:v>
      </x:c>
      <x:c r="H90" s="627">
        <x:v>0</x:v>
      </x:c>
      <x:c r="I90" s="627">
        <x:v>0</x:v>
      </x:c>
      <x:c r="J90" s="627">
        <x:v>0</x:v>
      </x:c>
      <x:c r="K90" s="627">
        <x:v>0</x:v>
      </x:c>
      <x:c r="L90" s="627">
        <x:v>0</x:v>
      </x:c>
      <x:c r="M90" s="627">
        <x:v>0</x:v>
      </x:c>
      <x:c r="N90" s="627">
        <x:v>0</x:v>
      </x:c>
      <x:c r="O90" s="627">
        <x:v>0</x:v>
      </x:c>
      <x:c r="P90" s="627">
        <x:v>0</x:v>
      </x:c>
      <x:c r="Q90" s="627">
        <x:v>0</x:v>
      </x:c>
      <x:c r="R90" s="653">
        <x:v>0</x:v>
      </x:c>
      <x:c r="Z90" s="624"/>
    </x:row>
    <x:row r="91" spans="1:26" x14ac:dyDescent="0.25">
      <x:c r="C91" s="625" t="s">
        <x:v>156</x:v>
      </x:c>
      <x:c r="D91" s="625" t="s">
        <x:v>70</x:v>
      </x:c>
      <x:c r="E91" s="627">
        <x:v>0</x:v>
      </x:c>
      <x:c r="F91" s="627">
        <x:v>0</x:v>
      </x:c>
      <x:c r="G91" s="627">
        <x:v>0</x:v>
      </x:c>
      <x:c r="H91" s="627">
        <x:v>0</x:v>
      </x:c>
      <x:c r="I91" s="627">
        <x:v>0</x:v>
      </x:c>
      <x:c r="J91" s="627">
        <x:v>0</x:v>
      </x:c>
      <x:c r="K91" s="627">
        <x:v>0</x:v>
      </x:c>
      <x:c r="L91" s="627">
        <x:v>0</x:v>
      </x:c>
      <x:c r="M91" s="627">
        <x:v>0</x:v>
      </x:c>
      <x:c r="N91" s="627">
        <x:v>0</x:v>
      </x:c>
      <x:c r="O91" s="627">
        <x:v>0</x:v>
      </x:c>
      <x:c r="P91" s="627">
        <x:v>0</x:v>
      </x:c>
      <x:c r="Q91" s="627">
        <x:v>0</x:v>
      </x:c>
      <x:c r="R91" s="653">
        <x:v>0</x:v>
      </x:c>
      <x:c r="Z91" s="624"/>
    </x:row>
    <x:row r="92" spans="1:26" x14ac:dyDescent="0.25">
      <x:c r="A92" s="628"/>
      <x:c r="B92" s="628" t="s">
        <x:v>155</x:v>
      </x:c>
      <x:c r="C92" s="628" t="s">
        <x:v>70</x:v>
      </x:c>
      <x:c r="D92" s="628"/>
      <x:c r="E92" s="677">
        <x:v>0</x:v>
      </x:c>
      <x:c r="F92" s="677">
        <x:v>0</x:v>
      </x:c>
      <x:c r="G92" s="677">
        <x:v>0</x:v>
      </x:c>
      <x:c r="H92" s="677">
        <x:v>0</x:v>
      </x:c>
      <x:c r="I92" s="677">
        <x:v>0</x:v>
      </x:c>
      <x:c r="J92" s="677">
        <x:v>0</x:v>
      </x:c>
      <x:c r="K92" s="677">
        <x:v>0</x:v>
      </x:c>
      <x:c r="L92" s="677">
        <x:v>0</x:v>
      </x:c>
      <x:c r="M92" s="677">
        <x:v>0</x:v>
      </x:c>
      <x:c r="N92" s="677">
        <x:v>0</x:v>
      </x:c>
      <x:c r="O92" s="677">
        <x:v>0</x:v>
      </x:c>
      <x:c r="P92" s="677">
        <x:v>0</x:v>
      </x:c>
      <x:c r="Q92" s="677">
        <x:v>0</x:v>
      </x:c>
      <x:c r="R92" s="677">
        <x:v>0</x:v>
      </x:c>
      <x:c r="S92" s="628"/>
      <x:c r="T92" s="628"/>
      <x:c r="U92" s="628"/>
      <x:c r="V92" s="628"/>
      <x:c r="W92" s="628"/>
      <x:c r="X92" s="628"/>
      <x:c r="Y92" s="628"/>
      <x:c r="Z92" s="624"/>
    </x:row>
    <x:row r="93" spans="1:26" x14ac:dyDescent="0.25">
      <x:c r="C93" s="625"/>
      <x:c r="D93" s="625" t="s">
        <x:v>73</x:v>
      </x:c>
      <x:c r="E93" s="627">
        <x:v>0</x:v>
      </x:c>
      <x:c r="F93" s="627">
        <x:v>0</x:v>
      </x:c>
      <x:c r="G93" s="627">
        <x:v>0</x:v>
      </x:c>
      <x:c r="H93" s="627">
        <x:v>0</x:v>
      </x:c>
      <x:c r="I93" s="627">
        <x:v>0</x:v>
      </x:c>
      <x:c r="J93" s="627">
        <x:v>0</x:v>
      </x:c>
      <x:c r="K93" s="627">
        <x:v>0</x:v>
      </x:c>
      <x:c r="L93" s="627">
        <x:v>0</x:v>
      </x:c>
      <x:c r="M93" s="627">
        <x:v>0</x:v>
      </x:c>
      <x:c r="N93" s="627">
        <x:v>0</x:v>
      </x:c>
      <x:c r="O93" s="627">
        <x:v>0</x:v>
      </x:c>
      <x:c r="P93" s="627">
        <x:v>0</x:v>
      </x:c>
      <x:c r="Q93" s="627">
        <x:v>0</x:v>
      </x:c>
      <x:c r="R93" s="653">
        <x:v>0</x:v>
      </x:c>
      <x:c r="Z93" s="624"/>
    </x:row>
    <x:row r="94" spans="1:26" x14ac:dyDescent="0.25">
      <x:c r="C94" s="625" t="s">
        <x:v>115</x:v>
      </x:c>
      <x:c r="D94" s="625" t="s">
        <x:v>70</x:v>
      </x:c>
      <x:c r="E94" s="627">
        <x:v>0</x:v>
      </x:c>
      <x:c r="F94" s="627">
        <x:v>0</x:v>
      </x:c>
      <x:c r="G94" s="627">
        <x:v>0</x:v>
      </x:c>
      <x:c r="H94" s="627">
        <x:v>0</x:v>
      </x:c>
      <x:c r="I94" s="627">
        <x:v>0</x:v>
      </x:c>
      <x:c r="J94" s="627">
        <x:v>0</x:v>
      </x:c>
      <x:c r="K94" s="627">
        <x:v>0</x:v>
      </x:c>
      <x:c r="L94" s="627">
        <x:v>0</x:v>
      </x:c>
      <x:c r="M94" s="627">
        <x:v>0</x:v>
      </x:c>
      <x:c r="N94" s="627">
        <x:v>0</x:v>
      </x:c>
      <x:c r="O94" s="627">
        <x:v>0</x:v>
      </x:c>
      <x:c r="P94" s="627">
        <x:v>0</x:v>
      </x:c>
      <x:c r="Q94" s="627">
        <x:v>0</x:v>
      </x:c>
      <x:c r="R94" s="653">
        <x:v>0</x:v>
      </x:c>
      <x:c r="Z94" s="624"/>
    </x:row>
    <x:row r="95" spans="1:26" x14ac:dyDescent="0.25">
      <x:c r="C95" s="625"/>
      <x:c r="D95" s="625" t="s">
        <x:v>73</x:v>
      </x:c>
      <x:c r="E95" s="627" t="n">
        <x:v>-15938647.3</x:v>
      </x:c>
      <x:c r="F95" s="627">
        <x:v>0</x:v>
      </x:c>
      <x:c r="G95" s="627">
        <x:v>0</x:v>
      </x:c>
      <x:c r="H95" s="627">
        <x:v>0</x:v>
      </x:c>
      <x:c r="I95" s="627">
        <x:v>0</x:v>
      </x:c>
      <x:c r="J95" s="627">
        <x:v>0</x:v>
      </x:c>
      <x:c r="K95" s="627">
        <x:v>0</x:v>
      </x:c>
      <x:c r="L95" s="627">
        <x:v>0</x:v>
      </x:c>
      <x:c r="M95" s="627">
        <x:v>0</x:v>
      </x:c>
      <x:c r="N95" s="627">
        <x:v>0</x:v>
      </x:c>
      <x:c r="O95" s="627">
        <x:v>0</x:v>
      </x:c>
      <x:c r="P95" s="627">
        <x:v>0</x:v>
      </x:c>
      <x:c r="Q95" s="627">
        <x:v>0</x:v>
      </x:c>
      <x:c r="R95" s="653">
        <x:v>0</x:v>
      </x:c>
      <x:c r="Z95" s="624"/>
    </x:row>
    <x:row r="96" spans="1:26" x14ac:dyDescent="0.25">
      <x:c r="C96" s="625" t="s">
        <x:v>116</x:v>
      </x:c>
      <x:c r="D96" s="625" t="s">
        <x:v>70</x:v>
      </x:c>
      <x:c r="E96" s="627">
        <x:v>0</x:v>
      </x:c>
      <x:c r="F96" s="627">
        <x:v>0</x:v>
      </x:c>
      <x:c r="G96" s="627">
        <x:v>0</x:v>
      </x:c>
      <x:c r="H96" s="627">
        <x:v>0</x:v>
      </x:c>
      <x:c r="I96" s="627">
        <x:v>0</x:v>
      </x:c>
      <x:c r="J96" s="627">
        <x:v>0</x:v>
      </x:c>
      <x:c r="K96" s="627">
        <x:v>0</x:v>
      </x:c>
      <x:c r="L96" s="627">
        <x:v>0</x:v>
      </x:c>
      <x:c r="M96" s="627">
        <x:v>0</x:v>
      </x:c>
      <x:c r="N96" s="627">
        <x:v>0</x:v>
      </x:c>
      <x:c r="O96" s="627">
        <x:v>0</x:v>
      </x:c>
      <x:c r="P96" s="627">
        <x:v>0</x:v>
      </x:c>
      <x:c r="Q96" s="627">
        <x:v>0</x:v>
      </x:c>
      <x:c r="R96" s="653">
        <x:v>0</x:v>
      </x:c>
      <x:c r="Z96" s="624"/>
    </x:row>
    <x:row r="97" spans="1:26" x14ac:dyDescent="0.25">
      <x:c r="C97" s="625"/>
      <x:c r="D97" s="625" t="s">
        <x:v>73</x:v>
      </x:c>
      <x:c r="E97" s="627">
        <x:v>0</x:v>
      </x:c>
      <x:c r="F97" s="627">
        <x:v>0</x:v>
      </x:c>
      <x:c r="G97" s="627">
        <x:v>0</x:v>
      </x:c>
      <x:c r="H97" s="627">
        <x:v>0</x:v>
      </x:c>
      <x:c r="I97" s="627">
        <x:v>0</x:v>
      </x:c>
      <x:c r="J97" s="627">
        <x:v>0</x:v>
      </x:c>
      <x:c r="K97" s="627">
        <x:v>0</x:v>
      </x:c>
      <x:c r="L97" s="627">
        <x:v>0</x:v>
      </x:c>
      <x:c r="M97" s="627">
        <x:v>0</x:v>
      </x:c>
      <x:c r="N97" s="627">
        <x:v>0</x:v>
      </x:c>
      <x:c r="O97" s="627">
        <x:v>0</x:v>
      </x:c>
      <x:c r="P97" s="627">
        <x:v>0</x:v>
      </x:c>
      <x:c r="Q97" s="627">
        <x:v>0</x:v>
      </x:c>
      <x:c r="R97" s="653">
        <x:v>0</x:v>
      </x:c>
      <x:c r="Z97" s="624"/>
    </x:row>
    <x:row r="98" spans="1:26" x14ac:dyDescent="0.25">
      <x:c r="C98" s="625" t="s">
        <x:v>118</x:v>
      </x:c>
      <x:c r="D98" s="625" t="s">
        <x:v>70</x:v>
      </x:c>
      <x:c r="E98" s="627">
        <x:v>0</x:v>
      </x:c>
      <x:c r="F98" s="627">
        <x:v>0</x:v>
      </x:c>
      <x:c r="G98" s="627">
        <x:v>0</x:v>
      </x:c>
      <x:c r="H98" s="627">
        <x:v>0</x:v>
      </x:c>
      <x:c r="I98" s="627">
        <x:v>0</x:v>
      </x:c>
      <x:c r="J98" s="627">
        <x:v>0</x:v>
      </x:c>
      <x:c r="K98" s="627">
        <x:v>0</x:v>
      </x:c>
      <x:c r="L98" s="627">
        <x:v>0</x:v>
      </x:c>
      <x:c r="M98" s="627">
        <x:v>0</x:v>
      </x:c>
      <x:c r="N98" s="627">
        <x:v>0</x:v>
      </x:c>
      <x:c r="O98" s="627">
        <x:v>0</x:v>
      </x:c>
      <x:c r="P98" s="627">
        <x:v>0</x:v>
      </x:c>
      <x:c r="Q98" s="627">
        <x:v>0</x:v>
      </x:c>
      <x:c r="R98" s="653">
        <x:v>0</x:v>
      </x:c>
      <x:c r="Z98" s="624"/>
    </x:row>
    <x:row r="99" spans="1:26" x14ac:dyDescent="0.25">
      <x:c r="A99" s="667"/>
      <x:c r="B99" s="667" t="s">
        <x:v>120</x:v>
      </x:c>
      <x:c r="C99" s="667" t="s">
        <x:v>70</x:v>
      </x:c>
      <x:c r="D99" s="667"/>
      <x:c r="E99" s="672">
        <x:v>0</x:v>
      </x:c>
      <x:c r="F99" s="672">
        <x:v>0</x:v>
      </x:c>
      <x:c r="G99" s="672">
        <x:v>0</x:v>
      </x:c>
      <x:c r="H99" s="672">
        <x:v>0</x:v>
      </x:c>
      <x:c r="I99" s="672">
        <x:v>0</x:v>
      </x:c>
      <x:c r="J99" s="672">
        <x:v>0</x:v>
      </x:c>
      <x:c r="K99" s="672">
        <x:v>0</x:v>
      </x:c>
      <x:c r="L99" s="672">
        <x:v>0</x:v>
      </x:c>
      <x:c r="M99" s="672">
        <x:v>0</x:v>
      </x:c>
      <x:c r="N99" s="672">
        <x:v>0</x:v>
      </x:c>
      <x:c r="O99" s="672">
        <x:v>0</x:v>
      </x:c>
      <x:c r="P99" s="672">
        <x:v>0</x:v>
      </x:c>
      <x:c r="Q99" s="672">
        <x:v>0</x:v>
      </x:c>
      <x:c r="R99" s="672">
        <x:v>0</x:v>
      </x:c>
      <x:c r="S99" s="667"/>
      <x:c r="T99" s="667"/>
      <x:c r="U99" s="667"/>
      <x:c r="V99" s="667"/>
      <x:c r="W99" s="667"/>
      <x:c r="X99" s="667"/>
      <x:c r="Y99" s="667"/>
      <x:c r="Z99" s="624"/>
    </x:row>
    <x:row r="100" spans="1:26" x14ac:dyDescent="0.25">
      <x:c r="D100" s="625" t="s">
        <x:v>73</x:v>
      </x:c>
      <x:c r="E100" s="627">
        <x:v>0</x:v>
      </x:c>
      <x:c r="F100" s="627">
        <x:v>0</x:v>
      </x:c>
      <x:c r="G100" s="627">
        <x:v>0</x:v>
      </x:c>
      <x:c r="H100" s="627">
        <x:v>0</x:v>
      </x:c>
      <x:c r="I100" s="627">
        <x:v>0</x:v>
      </x:c>
      <x:c r="J100" s="627">
        <x:v>0</x:v>
      </x:c>
      <x:c r="K100" s="627">
        <x:v>0</x:v>
      </x:c>
      <x:c r="L100" s="627">
        <x:v>0</x:v>
      </x:c>
      <x:c r="M100" s="627">
        <x:v>0</x:v>
      </x:c>
      <x:c r="N100" s="627">
        <x:v>0</x:v>
      </x:c>
      <x:c r="O100" s="627">
        <x:v>0</x:v>
      </x:c>
      <x:c r="P100" s="627">
        <x:v>0</x:v>
      </x:c>
      <x:c r="Q100" s="627">
        <x:v>0</x:v>
      </x:c>
      <x:c r="R100" s="653">
        <x:v>0</x:v>
      </x:c>
      <x:c r="Z100" s="624"/>
    </x:row>
    <x:row r="101" spans="1:26" x14ac:dyDescent="0.25">
      <x:c r="C101" s="25" t="s">
        <x:v>82</x:v>
      </x:c>
      <x:c r="D101" s="625" t="s">
        <x:v>70</x:v>
      </x:c>
      <x:c r="E101" s="627">
        <x:v>0</x:v>
      </x:c>
      <x:c r="F101" s="627">
        <x:v>0</x:v>
      </x:c>
      <x:c r="G101" s="627">
        <x:v>0</x:v>
      </x:c>
      <x:c r="H101" s="627">
        <x:v>0</x:v>
      </x:c>
      <x:c r="I101" s="627">
        <x:v>0</x:v>
      </x:c>
      <x:c r="J101" s="627">
        <x:v>0</x:v>
      </x:c>
      <x:c r="K101" s="627">
        <x:v>0</x:v>
      </x:c>
      <x:c r="L101" s="627">
        <x:v>0</x:v>
      </x:c>
      <x:c r="M101" s="627">
        <x:v>0</x:v>
      </x:c>
      <x:c r="N101" s="627">
        <x:v>0</x:v>
      </x:c>
      <x:c r="O101" s="627">
        <x:v>0</x:v>
      </x:c>
      <x:c r="P101" s="627">
        <x:v>0</x:v>
      </x:c>
      <x:c r="Q101" s="627">
        <x:v>0</x:v>
      </x:c>
      <x:c r="R101" s="653">
        <x:v>0</x:v>
      </x:c>
      <x:c r="Z101" s="624"/>
    </x:row>
    <x:row r="102" spans="1:26" x14ac:dyDescent="0.25">
      <x:c r="D102" s="625" t="s">
        <x:v>73</x:v>
      </x:c>
      <x:c r="E102" s="627" t="n">
        <x:v>-1212797.85</x:v>
      </x:c>
      <x:c r="F102" s="627">
        <x:v>0</x:v>
      </x:c>
      <x:c r="G102" s="627">
        <x:v>0</x:v>
      </x:c>
      <x:c r="H102" s="627">
        <x:v>0</x:v>
      </x:c>
      <x:c r="I102" s="627">
        <x:v>0</x:v>
      </x:c>
      <x:c r="J102" s="627">
        <x:v>0</x:v>
      </x:c>
      <x:c r="K102" s="627">
        <x:v>0</x:v>
      </x:c>
      <x:c r="L102" s="627">
        <x:v>0</x:v>
      </x:c>
      <x:c r="M102" s="627">
        <x:v>0</x:v>
      </x:c>
      <x:c r="N102" s="627">
        <x:v>0</x:v>
      </x:c>
      <x:c r="O102" s="627">
        <x:v>0</x:v>
      </x:c>
      <x:c r="P102" s="627">
        <x:v>0</x:v>
      </x:c>
      <x:c r="Q102" s="627">
        <x:v>0</x:v>
      </x:c>
      <x:c r="R102" s="653">
        <x:v>0</x:v>
      </x:c>
      <x:c r="Z102" s="624"/>
    </x:row>
    <x:row r="103" spans="1:26" x14ac:dyDescent="0.25">
      <x:c r="C103" s="25" t="s">
        <x:v>86</x:v>
      </x:c>
      <x:c r="D103" s="625" t="s">
        <x:v>70</x:v>
      </x:c>
      <x:c r="E103" s="627" t="n">
        <x:v>-33332576.29</x:v>
      </x:c>
      <x:c r="F103" s="627">
        <x:v>0</x:v>
      </x:c>
      <x:c r="G103" s="627">
        <x:v>0</x:v>
      </x:c>
      <x:c r="H103" s="627">
        <x:v>0</x:v>
      </x:c>
      <x:c r="I103" s="627">
        <x:v>0</x:v>
      </x:c>
      <x:c r="J103" s="627">
        <x:v>0</x:v>
      </x:c>
      <x:c r="K103" s="627">
        <x:v>0</x:v>
      </x:c>
      <x:c r="L103" s="627">
        <x:v>0</x:v>
      </x:c>
      <x:c r="M103" s="627">
        <x:v>0</x:v>
      </x:c>
      <x:c r="N103" s="627">
        <x:v>0</x:v>
      </x:c>
      <x:c r="O103" s="627">
        <x:v>0</x:v>
      </x:c>
      <x:c r="P103" s="627">
        <x:v>0</x:v>
      </x:c>
      <x:c r="Q103" s="627">
        <x:v>0</x:v>
      </x:c>
      <x:c r="R103" s="653">
        <x:v>0</x:v>
      </x:c>
      <x:c r="Z103" s="624"/>
    </x:row>
    <x:row r="104" spans="1:26" x14ac:dyDescent="0.25">
      <x:c r="D104" s="625" t="s">
        <x:v>73</x:v>
      </x:c>
      <x:c r="E104" s="627">
        <x:v>0</x:v>
      </x:c>
      <x:c r="F104" s="627">
        <x:v>0</x:v>
      </x:c>
      <x:c r="G104" s="627">
        <x:v>0</x:v>
      </x:c>
      <x:c r="H104" s="627">
        <x:v>0</x:v>
      </x:c>
      <x:c r="I104" s="627">
        <x:v>0</x:v>
      </x:c>
      <x:c r="J104" s="627">
        <x:v>0</x:v>
      </x:c>
      <x:c r="K104" s="627">
        <x:v>0</x:v>
      </x:c>
      <x:c r="L104" s="627">
        <x:v>0</x:v>
      </x:c>
      <x:c r="M104" s="627">
        <x:v>0</x:v>
      </x:c>
      <x:c r="N104" s="627">
        <x:v>0</x:v>
      </x:c>
      <x:c r="O104" s="627">
        <x:v>0</x:v>
      </x:c>
      <x:c r="P104" s="627">
        <x:v>0</x:v>
      </x:c>
      <x:c r="Q104" s="627">
        <x:v>0</x:v>
      </x:c>
      <x:c r="R104" s="653">
        <x:v>0</x:v>
      </x:c>
      <x:c r="Z104" s="624"/>
    </x:row>
    <x:row r="105" spans="1:26" x14ac:dyDescent="0.25">
      <x:c r="C105" s="25" t="s">
        <x:v>87</x:v>
      </x:c>
      <x:c r="D105" s="625" t="s">
        <x:v>70</x:v>
      </x:c>
      <x:c r="E105" s="627">
        <x:v>0</x:v>
      </x:c>
      <x:c r="F105" s="627">
        <x:v>0</x:v>
      </x:c>
      <x:c r="G105" s="627">
        <x:v>0</x:v>
      </x:c>
      <x:c r="H105" s="627">
        <x:v>0</x:v>
      </x:c>
      <x:c r="I105" s="627">
        <x:v>0</x:v>
      </x:c>
      <x:c r="J105" s="627">
        <x:v>0</x:v>
      </x:c>
      <x:c r="K105" s="627">
        <x:v>0</x:v>
      </x:c>
      <x:c r="L105" s="627">
        <x:v>0</x:v>
      </x:c>
      <x:c r="M105" s="627">
        <x:v>0</x:v>
      </x:c>
      <x:c r="N105" s="627">
        <x:v>0</x:v>
      </x:c>
      <x:c r="O105" s="627">
        <x:v>0</x:v>
      </x:c>
      <x:c r="P105" s="627">
        <x:v>0</x:v>
      </x:c>
      <x:c r="Q105" s="627">
        <x:v>0</x:v>
      </x:c>
      <x:c r="R105" s="653">
        <x:v>0</x:v>
      </x:c>
      <x:c r="Z105" s="624"/>
    </x:row>
    <x:row r="106" spans="1:26" x14ac:dyDescent="0.25">
      <x:c r="A106" s="631"/>
      <x:c r="B106" s="632" t="s">
        <x:v>119</x:v>
      </x:c>
      <x:c r="C106" s="632" t="s">
        <x:v>70</x:v>
      </x:c>
      <x:c r="D106" s="631"/>
      <x:c r="E106" s="633">
        <x:v>0</x:v>
      </x:c>
      <x:c r="F106" s="633">
        <x:v>0</x:v>
      </x:c>
      <x:c r="G106" s="633">
        <x:v>0</x:v>
      </x:c>
      <x:c r="H106" s="633">
        <x:v>0</x:v>
      </x:c>
      <x:c r="I106" s="633">
        <x:v>0</x:v>
      </x:c>
      <x:c r="J106" s="633">
        <x:v>0</x:v>
      </x:c>
      <x:c r="K106" s="633">
        <x:v>0</x:v>
      </x:c>
      <x:c r="L106" s="633">
        <x:v>0</x:v>
      </x:c>
      <x:c r="M106" s="633">
        <x:v>0</x:v>
      </x:c>
      <x:c r="N106" s="633">
        <x:v>0</x:v>
      </x:c>
      <x:c r="O106" s="633">
        <x:v>0</x:v>
      </x:c>
      <x:c r="P106" s="633">
        <x:v>0</x:v>
      </x:c>
      <x:c r="Q106" s="633">
        <x:v>0</x:v>
      </x:c>
      <x:c r="R106" s="678">
        <x:v>0</x:v>
      </x:c>
      <x:c r="S106" s="631"/>
      <x:c r="T106" s="631"/>
      <x:c r="U106" s="631"/>
      <x:c r="V106" s="631"/>
      <x:c r="W106" s="631"/>
      <x:c r="X106" s="631"/>
      <x:c r="Y106" s="631"/>
      <x:c r="Z106" s="624"/>
    </x:row>
    <x:row r="107" spans="1:26" x14ac:dyDescent="0.25">
      <x:c r="A107" s="639" t="s">
        <x:v>79</x:v>
      </x:c>
      <x:c r="B107" s="639" t="s">
        <x:v>70</x:v>
      </x:c>
      <x:c r="C107" s="638"/>
      <x:c r="D107" s="638"/>
      <x:c r="E107" s="640">
        <x:v>0</x:v>
      </x:c>
      <x:c r="F107" s="640">
        <x:v>0</x:v>
      </x:c>
      <x:c r="G107" s="640">
        <x:v>0</x:v>
      </x:c>
      <x:c r="H107" s="640">
        <x:v>0</x:v>
      </x:c>
      <x:c r="I107" s="640">
        <x:v>0</x:v>
      </x:c>
      <x:c r="J107" s="640">
        <x:v>0</x:v>
      </x:c>
      <x:c r="K107" s="640">
        <x:v>0</x:v>
      </x:c>
      <x:c r="L107" s="640">
        <x:v>0</x:v>
      </x:c>
      <x:c r="M107" s="640">
        <x:v>0</x:v>
      </x:c>
      <x:c r="N107" s="640">
        <x:v>0</x:v>
      </x:c>
      <x:c r="O107" s="640">
        <x:v>0</x:v>
      </x:c>
      <x:c r="P107" s="640">
        <x:v>0</x:v>
      </x:c>
      <x:c r="Q107" s="640">
        <x:v>0</x:v>
      </x:c>
      <x:c r="R107" s="679">
        <x:v>0</x:v>
      </x:c>
      <x:c r="S107" s="638"/>
      <x:c r="T107" s="638"/>
      <x:c r="U107" s="638"/>
      <x:c r="V107" s="638"/>
      <x:c r="W107" s="638"/>
      <x:c r="X107" s="638"/>
      <x:c r="Y107" s="638"/>
      <x:c r="Z107" s="624"/>
    </x:row>
    <x:row r="108" spans="1:26" x14ac:dyDescent="0.25">
      <x:c r="A108" s="625" t="s">
        <x:v>70</x:v>
      </x:c>
      <x:c r="E108" s="627">
        <x:v>0</x:v>
      </x:c>
      <x:c r="F108" s="627">
        <x:v>0</x:v>
      </x:c>
      <x:c r="G108" s="627">
        <x:v>0</x:v>
      </x:c>
      <x:c r="H108" s="627">
        <x:v>0</x:v>
      </x:c>
      <x:c r="I108" s="627">
        <x:v>0</x:v>
      </x:c>
      <x:c r="J108" s="627">
        <x:v>0</x:v>
      </x:c>
      <x:c r="K108" s="627">
        <x:v>0</x:v>
      </x:c>
      <x:c r="L108" s="627">
        <x:v>0</x:v>
      </x:c>
      <x:c r="M108" s="627">
        <x:v>0</x:v>
      </x:c>
      <x:c r="N108" s="627">
        <x:v>0</x:v>
      </x:c>
      <x:c r="O108" s="627">
        <x:v>0</x:v>
      </x:c>
      <x:c r="P108" s="627">
        <x:v>0</x:v>
      </x:c>
      <x:c r="Q108" s="627">
        <x:v>0</x:v>
      </x:c>
      <x:c r="R108" s="653">
        <x:v>0</x:v>
      </x:c>
      <x:c r="Z108" s="624"/>
    </x:row>
    <x:row r="109" spans="1:26" x14ac:dyDescent="0.25">
      <x:c r="A109" s="625"/>
      <x:c r="E109" s="627"/>
      <x:c r="F109" s="627"/>
      <x:c r="G109" s="627"/>
      <x:c r="H109" s="627"/>
      <x:c r="I109" s="627"/>
      <x:c r="J109" s="627"/>
      <x:c r="K109" s="627"/>
      <x:c r="L109" s="627"/>
      <x:c r="M109" s="627"/>
      <x:c r="N109" s="627"/>
      <x:c r="O109" s="627"/>
      <x:c r="P109" s="627"/>
      <x:c r="Q109" s="627"/>
      <x:c r="R109" s="627"/>
      <x:c r="S109" s="627"/>
      <x:c r="Z109" s="624"/>
    </x:row>
    <x:row r="110" spans="1:26" x14ac:dyDescent="0.25">
      <x:c r="A110" s="625"/>
      <x:c r="E110" s="627"/>
      <x:c r="F110" s="627"/>
      <x:c r="G110" s="627"/>
      <x:c r="H110" s="627"/>
      <x:c r="I110" s="627"/>
      <x:c r="J110" s="627"/>
      <x:c r="K110" s="627"/>
      <x:c r="L110" s="627"/>
      <x:c r="M110" s="627"/>
      <x:c r="N110" s="627"/>
      <x:c r="O110" s="627"/>
      <x:c r="P110" s="627"/>
      <x:c r="Q110" s="627"/>
      <x:c r="R110" s="627"/>
      <x:c r="S110" s="627"/>
      <x:c r="Z110" s="624"/>
    </x:row>
    <x:row r="111" spans="1:26" x14ac:dyDescent="0.25">
      <x:c r="A111" s="625"/>
      <x:c r="E111" s="627"/>
      <x:c r="F111" s="627"/>
      <x:c r="G111" s="627"/>
      <x:c r="H111" s="627"/>
      <x:c r="I111" s="627"/>
      <x:c r="J111" s="627"/>
      <x:c r="K111" s="627"/>
      <x:c r="L111" s="627"/>
      <x:c r="M111" s="627"/>
      <x:c r="N111" s="627"/>
      <x:c r="O111" s="627"/>
      <x:c r="P111" s="627"/>
      <x:c r="Q111" s="627"/>
      <x:c r="R111" s="627"/>
      <x:c r="S111" s="627"/>
      <x:c r="Z111" s="624"/>
    </x:row>
    <x:row r="112" spans="1:26" x14ac:dyDescent="0.25">
      <x:c r="A112" s="625"/>
      <x:c r="E112" s="627"/>
      <x:c r="F112" s="627"/>
      <x:c r="G112" s="627"/>
      <x:c r="H112" s="627"/>
      <x:c r="I112" s="627"/>
      <x:c r="J112" s="627"/>
      <x:c r="K112" s="627"/>
      <x:c r="L112" s="627"/>
      <x:c r="M112" s="627"/>
      <x:c r="N112" s="627"/>
      <x:c r="O112" s="627"/>
      <x:c r="P112" s="627"/>
      <x:c r="Q112" s="627"/>
      <x:c r="R112" s="627"/>
      <x:c r="S112" s="627"/>
      <x:c r="Z112" s="624"/>
    </x:row>
    <x:row r="113" spans="1:26" x14ac:dyDescent="0.25">
      <x:c r="A113" s="625"/>
      <x:c r="E113" s="627"/>
      <x:c r="F113" s="627"/>
      <x:c r="G113" s="627"/>
      <x:c r="H113" s="627"/>
      <x:c r="I113" s="627"/>
      <x:c r="J113" s="627"/>
      <x:c r="K113" s="627"/>
      <x:c r="L113" s="627"/>
      <x:c r="M113" s="627"/>
      <x:c r="N113" s="627"/>
      <x:c r="O113" s="627"/>
      <x:c r="P113" s="627"/>
      <x:c r="Q113" s="627"/>
      <x:c r="R113" s="627"/>
      <x:c r="S113" s="627"/>
      <x:c r="Z113" s="624"/>
    </x:row>
    <x:row r="114" spans="1:26" x14ac:dyDescent="0.25">
      <x:c r="A114" s="625"/>
      <x:c r="E114" s="627"/>
      <x:c r="F114" s="627"/>
      <x:c r="G114" s="627"/>
      <x:c r="H114" s="627"/>
      <x:c r="I114" s="627"/>
      <x:c r="J114" s="627"/>
      <x:c r="K114" s="627"/>
      <x:c r="L114" s="627"/>
      <x:c r="M114" s="627"/>
      <x:c r="N114" s="627"/>
      <x:c r="O114" s="627"/>
      <x:c r="P114" s="627"/>
      <x:c r="Q114" s="627"/>
      <x:c r="R114" s="627"/>
      <x:c r="S114" s="627"/>
      <x:c r="Z114" s="624"/>
    </x:row>
    <x:row r="115" spans="1:26" x14ac:dyDescent="0.25">
      <x:c r="A115" s="625"/>
      <x:c r="E115" s="627"/>
      <x:c r="F115" s="627"/>
      <x:c r="G115" s="627"/>
      <x:c r="H115" s="627"/>
      <x:c r="I115" s="627"/>
      <x:c r="J115" s="627"/>
      <x:c r="K115" s="627"/>
      <x:c r="L115" s="627"/>
      <x:c r="M115" s="627"/>
      <x:c r="N115" s="627"/>
      <x:c r="O115" s="627"/>
      <x:c r="P115" s="627"/>
      <x:c r="Q115" s="627"/>
      <x:c r="R115" s="627"/>
      <x:c r="S115" s="627"/>
      <x:c r="Z115" s="624"/>
    </x:row>
    <x:row r="116" spans="1:26" x14ac:dyDescent="0.25">
      <x:c r="A116" s="625"/>
      <x:c r="E116" s="627"/>
      <x:c r="F116" s="627"/>
      <x:c r="G116" s="627"/>
      <x:c r="H116" s="627"/>
      <x:c r="I116" s="627"/>
      <x:c r="J116" s="627"/>
      <x:c r="K116" s="627"/>
      <x:c r="L116" s="627"/>
      <x:c r="M116" s="627"/>
      <x:c r="N116" s="627"/>
      <x:c r="O116" s="627"/>
      <x:c r="P116" s="627"/>
      <x:c r="Q116" s="627"/>
      <x:c r="R116" s="627"/>
      <x:c r="S116" s="627"/>
      <x:c r="Z116" s="624"/>
    </x:row>
    <x:row r="117" spans="1:26" x14ac:dyDescent="0.25">
      <x:c r="A117" s="625"/>
      <x:c r="E117" s="627"/>
      <x:c r="F117" s="627"/>
      <x:c r="G117" s="627"/>
      <x:c r="H117" s="627"/>
      <x:c r="I117" s="627"/>
      <x:c r="J117" s="627"/>
      <x:c r="K117" s="627"/>
      <x:c r="L117" s="627"/>
      <x:c r="M117" s="627"/>
      <x:c r="N117" s="627"/>
      <x:c r="O117" s="627"/>
      <x:c r="P117" s="627"/>
      <x:c r="Q117" s="627"/>
      <x:c r="R117" s="627"/>
      <x:c r="S117" s="627"/>
      <x:c r="Z117" s="624"/>
    </x:row>
    <x:row r="118" spans="1:26" x14ac:dyDescent="0.25">
      <x:c r="A118" s="625"/>
      <x:c r="E118" s="627"/>
      <x:c r="F118" s="627"/>
      <x:c r="G118" s="627"/>
      <x:c r="H118" s="627"/>
      <x:c r="I118" s="627"/>
      <x:c r="J118" s="627"/>
      <x:c r="K118" s="627"/>
      <x:c r="L118" s="627"/>
      <x:c r="M118" s="627"/>
      <x:c r="N118" s="627"/>
      <x:c r="O118" s="627"/>
      <x:c r="P118" s="627"/>
      <x:c r="Q118" s="627"/>
      <x:c r="R118" s="627"/>
      <x:c r="S118" s="627"/>
      <x:c r="Z118" s="624"/>
    </x:row>
    <x:row r="119" spans="1:26" x14ac:dyDescent="0.25">
      <x:c r="A119" s="625"/>
      <x:c r="E119" s="627"/>
      <x:c r="F119" s="627"/>
      <x:c r="G119" s="627"/>
      <x:c r="H119" s="627"/>
      <x:c r="I119" s="627"/>
      <x:c r="J119" s="627"/>
      <x:c r="K119" s="627"/>
      <x:c r="L119" s="627"/>
      <x:c r="M119" s="627"/>
      <x:c r="N119" s="627"/>
      <x:c r="O119" s="627"/>
      <x:c r="P119" s="627"/>
      <x:c r="Q119" s="627"/>
      <x:c r="R119" s="627"/>
      <x:c r="S119" s="627"/>
      <x:c r="Z119" s="624"/>
    </x:row>
    <x:row r="120" spans="1:26" x14ac:dyDescent="0.25">
      <x:c r="A120" s="625"/>
      <x:c r="E120" s="627"/>
      <x:c r="F120" s="627"/>
      <x:c r="G120" s="627"/>
      <x:c r="H120" s="627"/>
      <x:c r="I120" s="627"/>
      <x:c r="J120" s="627"/>
      <x:c r="K120" s="627"/>
      <x:c r="L120" s="627"/>
      <x:c r="M120" s="627"/>
      <x:c r="N120" s="627"/>
      <x:c r="O120" s="627"/>
      <x:c r="P120" s="627"/>
      <x:c r="Q120" s="627"/>
      <x:c r="R120" s="627"/>
      <x:c r="S120" s="627"/>
      <x:c r="Z120" s="624"/>
    </x:row>
    <x:row r="121" spans="1:26" x14ac:dyDescent="0.25">
      <x:c r="A121" s="625"/>
      <x:c r="E121" s="627"/>
      <x:c r="F121" s="627"/>
      <x:c r="G121" s="627"/>
      <x:c r="H121" s="627"/>
      <x:c r="I121" s="627"/>
      <x:c r="J121" s="627"/>
      <x:c r="K121" s="627"/>
      <x:c r="L121" s="627"/>
      <x:c r="M121" s="627"/>
      <x:c r="N121" s="627"/>
      <x:c r="O121" s="627"/>
      <x:c r="P121" s="627"/>
      <x:c r="Q121" s="627"/>
      <x:c r="R121" s="627"/>
      <x:c r="S121" s="627"/>
      <x:c r="Z121" s="624"/>
    </x:row>
    <x:row r="122" spans="1:26" x14ac:dyDescent="0.25">
      <x:c r="A122" s="625"/>
      <x:c r="E122" s="627"/>
      <x:c r="F122" s="627"/>
      <x:c r="G122" s="627"/>
      <x:c r="H122" s="627"/>
      <x:c r="I122" s="627"/>
      <x:c r="J122" s="627"/>
      <x:c r="K122" s="627"/>
      <x:c r="L122" s="627"/>
      <x:c r="M122" s="627"/>
      <x:c r="N122" s="627"/>
      <x:c r="O122" s="627"/>
      <x:c r="P122" s="627"/>
      <x:c r="Q122" s="627"/>
      <x:c r="R122" s="627"/>
      <x:c r="S122" s="627"/>
      <x:c r="Z122" s="624"/>
    </x:row>
    <x:row r="123" spans="1:26" x14ac:dyDescent="0.25">
      <x:c r="A123" s="625"/>
      <x:c r="E123" s="627"/>
      <x:c r="F123" s="627"/>
      <x:c r="G123" s="627"/>
      <x:c r="H123" s="627"/>
      <x:c r="I123" s="627"/>
      <x:c r="J123" s="627"/>
      <x:c r="K123" s="627"/>
      <x:c r="L123" s="627"/>
      <x:c r="M123" s="627"/>
      <x:c r="N123" s="627"/>
      <x:c r="O123" s="627"/>
      <x:c r="P123" s="627"/>
      <x:c r="Q123" s="627"/>
      <x:c r="R123" s="627"/>
      <x:c r="S123" s="627"/>
      <x:c r="Z123" s="624"/>
    </x:row>
    <x:row r="124" spans="1:26" x14ac:dyDescent="0.25">
      <x:c r="A124" s="625"/>
      <x:c r="E124" s="627"/>
      <x:c r="F124" s="627"/>
      <x:c r="G124" s="627"/>
      <x:c r="H124" s="627"/>
      <x:c r="I124" s="627"/>
      <x:c r="J124" s="627"/>
      <x:c r="K124" s="627"/>
      <x:c r="L124" s="627"/>
      <x:c r="M124" s="627"/>
      <x:c r="N124" s="627"/>
      <x:c r="O124" s="627"/>
      <x:c r="P124" s="627"/>
      <x:c r="Q124" s="627"/>
      <x:c r="R124" s="627"/>
      <x:c r="S124" s="627"/>
      <x:c r="Z124" s="624"/>
    </x:row>
    <x:row r="125" spans="1:26" x14ac:dyDescent="0.25">
      <x:c r="A125" s="625"/>
      <x:c r="E125" s="627"/>
      <x:c r="F125" s="627"/>
      <x:c r="G125" s="627"/>
      <x:c r="H125" s="627"/>
      <x:c r="I125" s="627"/>
      <x:c r="J125" s="627"/>
      <x:c r="K125" s="627"/>
      <x:c r="L125" s="627"/>
      <x:c r="M125" s="627"/>
      <x:c r="N125" s="627"/>
      <x:c r="O125" s="627"/>
      <x:c r="P125" s="627"/>
      <x:c r="Q125" s="627"/>
      <x:c r="R125" s="627"/>
      <x:c r="S125" s="627"/>
      <x:c r="Z125" s="624"/>
    </x:row>
    <x:row r="126" spans="1:26" x14ac:dyDescent="0.25">
      <x:c r="A126" s="625"/>
      <x:c r="E126" s="627"/>
      <x:c r="F126" s="627"/>
      <x:c r="G126" s="627"/>
      <x:c r="H126" s="627"/>
      <x:c r="I126" s="627"/>
      <x:c r="J126" s="627"/>
      <x:c r="K126" s="627"/>
      <x:c r="L126" s="627"/>
      <x:c r="M126" s="627"/>
      <x:c r="N126" s="627"/>
      <x:c r="O126" s="627"/>
      <x:c r="P126" s="627"/>
      <x:c r="Q126" s="627"/>
      <x:c r="R126" s="627"/>
      <x:c r="S126" s="627"/>
      <x:c r="Z126" s="624"/>
    </x:row>
    <x:row r="127" spans="1:26" x14ac:dyDescent="0.25">
      <x:c r="A127" s="625"/>
      <x:c r="E127" s="627"/>
      <x:c r="F127" s="627"/>
      <x:c r="G127" s="627"/>
      <x:c r="H127" s="627"/>
      <x:c r="I127" s="627"/>
      <x:c r="J127" s="627"/>
      <x:c r="K127" s="627"/>
      <x:c r="L127" s="627"/>
      <x:c r="M127" s="627"/>
      <x:c r="N127" s="627"/>
      <x:c r="O127" s="627"/>
      <x:c r="P127" s="627"/>
      <x:c r="Q127" s="627"/>
      <x:c r="R127" s="627"/>
      <x:c r="S127" s="627"/>
      <x:c r="Z127" s="624"/>
    </x:row>
    <x:row r="128" spans="1:26" x14ac:dyDescent="0.25">
      <x:c r="A128" s="625"/>
      <x:c r="E128" s="627"/>
      <x:c r="F128" s="627"/>
      <x:c r="G128" s="627"/>
      <x:c r="H128" s="627"/>
      <x:c r="I128" s="627"/>
      <x:c r="J128" s="627"/>
      <x:c r="K128" s="627"/>
      <x:c r="L128" s="627"/>
      <x:c r="M128" s="627"/>
      <x:c r="N128" s="627"/>
      <x:c r="O128" s="627"/>
      <x:c r="P128" s="627"/>
      <x:c r="Q128" s="627"/>
      <x:c r="R128" s="627"/>
      <x:c r="S128" s="627"/>
      <x:c r="Z128" s="624"/>
    </x:row>
    <x:row r="129" spans="1:26" x14ac:dyDescent="0.25">
      <x:c r="A129" s="625"/>
      <x:c r="E129" s="627"/>
      <x:c r="F129" s="627"/>
      <x:c r="G129" s="627"/>
      <x:c r="H129" s="627"/>
      <x:c r="I129" s="627"/>
      <x:c r="J129" s="627"/>
      <x:c r="K129" s="627"/>
      <x:c r="L129" s="627"/>
      <x:c r="M129" s="627"/>
      <x:c r="N129" s="627"/>
      <x:c r="O129" s="627"/>
      <x:c r="P129" s="627"/>
      <x:c r="Q129" s="627"/>
      <x:c r="R129" s="627"/>
      <x:c r="S129" s="627"/>
      <x:c r="Z129" s="624"/>
    </x:row>
    <x:row r="130" spans="1:26" x14ac:dyDescent="0.25">
      <x:c r="A130" s="625"/>
      <x:c r="E130" s="627"/>
      <x:c r="F130" s="627"/>
      <x:c r="G130" s="627"/>
      <x:c r="H130" s="627"/>
      <x:c r="I130" s="627"/>
      <x:c r="J130" s="627"/>
      <x:c r="K130" s="627"/>
      <x:c r="L130" s="627"/>
      <x:c r="M130" s="627"/>
      <x:c r="N130" s="627"/>
      <x:c r="O130" s="627"/>
      <x:c r="P130" s="627"/>
      <x:c r="Q130" s="627"/>
      <x:c r="R130" s="627"/>
      <x:c r="S130" s="627"/>
      <x:c r="Z130" s="624"/>
    </x:row>
    <x:row r="131" spans="1:26" x14ac:dyDescent="0.25">
      <x:c r="A131" s="625"/>
      <x:c r="E131" s="627"/>
      <x:c r="F131" s="627"/>
      <x:c r="G131" s="627"/>
      <x:c r="H131" s="627"/>
      <x:c r="I131" s="627"/>
      <x:c r="J131" s="627"/>
      <x:c r="K131" s="627"/>
      <x:c r="L131" s="627"/>
      <x:c r="M131" s="627"/>
      <x:c r="N131" s="627"/>
      <x:c r="O131" s="627"/>
      <x:c r="P131" s="627"/>
      <x:c r="Q131" s="627"/>
      <x:c r="R131" s="627"/>
      <x:c r="S131" s="627"/>
      <x:c r="Z131" s="624"/>
    </x:row>
    <x:row r="132" spans="1:26" x14ac:dyDescent="0.25">
      <x:c r="A132" s="625"/>
      <x:c r="E132" s="627"/>
      <x:c r="F132" s="627"/>
      <x:c r="G132" s="627"/>
      <x:c r="H132" s="627"/>
      <x:c r="I132" s="627"/>
      <x:c r="J132" s="627"/>
      <x:c r="K132" s="627"/>
      <x:c r="L132" s="627"/>
      <x:c r="M132" s="627"/>
      <x:c r="N132" s="627"/>
      <x:c r="O132" s="627"/>
      <x:c r="P132" s="627"/>
      <x:c r="Q132" s="627"/>
      <x:c r="R132" s="627"/>
      <x:c r="S132" s="627"/>
      <x:c r="Z132" s="624"/>
    </x:row>
    <x:row r="133" spans="1:26" x14ac:dyDescent="0.25">
      <x:c r="A133" s="625"/>
      <x:c r="E133" s="627"/>
      <x:c r="F133" s="627"/>
      <x:c r="G133" s="627"/>
      <x:c r="H133" s="627"/>
      <x:c r="I133" s="627"/>
      <x:c r="J133" s="627"/>
      <x:c r="K133" s="627"/>
      <x:c r="L133" s="627"/>
      <x:c r="M133" s="627"/>
      <x:c r="N133" s="627"/>
      <x:c r="O133" s="627"/>
      <x:c r="P133" s="627"/>
      <x:c r="Q133" s="627"/>
      <x:c r="R133" s="627"/>
      <x:c r="S133" s="627"/>
      <x:c r="Z133" s="624"/>
    </x:row>
    <x:row r="134" spans="1:26" x14ac:dyDescent="0.25">
      <x:c r="A134" s="625"/>
      <x:c r="E134" s="627"/>
      <x:c r="F134" s="627"/>
      <x:c r="G134" s="627"/>
      <x:c r="H134" s="627"/>
      <x:c r="I134" s="627"/>
      <x:c r="J134" s="627"/>
      <x:c r="K134" s="627"/>
      <x:c r="L134" s="627"/>
      <x:c r="M134" s="627"/>
      <x:c r="N134" s="627"/>
      <x:c r="O134" s="627"/>
      <x:c r="P134" s="627"/>
      <x:c r="Q134" s="627"/>
      <x:c r="R134" s="627"/>
      <x:c r="S134" s="627"/>
      <x:c r="Z134" s="624"/>
    </x:row>
    <x:row r="135" spans="1:26" x14ac:dyDescent="0.25">
      <x:c r="A135" s="625"/>
      <x:c r="E135" s="627"/>
      <x:c r="F135" s="627"/>
      <x:c r="G135" s="627"/>
      <x:c r="H135" s="627"/>
      <x:c r="I135" s="627"/>
      <x:c r="J135" s="627"/>
      <x:c r="K135" s="627"/>
      <x:c r="L135" s="627"/>
      <x:c r="M135" s="627"/>
      <x:c r="N135" s="627"/>
      <x:c r="O135" s="627"/>
      <x:c r="P135" s="627"/>
      <x:c r="Q135" s="627"/>
      <x:c r="R135" s="627"/>
      <x:c r="S135" s="627"/>
      <x:c r="Z135" s="624"/>
    </x:row>
    <x:row r="136" spans="1:26" x14ac:dyDescent="0.25">
      <x:c r="A136" s="625"/>
      <x:c r="E136" s="627"/>
      <x:c r="F136" s="627"/>
      <x:c r="G136" s="627"/>
      <x:c r="H136" s="627"/>
      <x:c r="I136" s="627"/>
      <x:c r="J136" s="627"/>
      <x:c r="K136" s="627"/>
      <x:c r="L136" s="627"/>
      <x:c r="M136" s="627"/>
      <x:c r="N136" s="627"/>
      <x:c r="O136" s="627"/>
      <x:c r="P136" s="627"/>
      <x:c r="Q136" s="627"/>
      <x:c r="R136" s="627"/>
      <x:c r="S136" s="627"/>
      <x:c r="Z136" s="624"/>
    </x:row>
    <x:row r="137" spans="1:26" x14ac:dyDescent="0.25">
      <x:c r="A137" s="625"/>
      <x:c r="E137" s="627"/>
      <x:c r="F137" s="627"/>
      <x:c r="G137" s="627"/>
      <x:c r="H137" s="627"/>
      <x:c r="I137" s="627"/>
      <x:c r="J137" s="627"/>
      <x:c r="K137" s="627"/>
      <x:c r="L137" s="627"/>
      <x:c r="M137" s="627"/>
      <x:c r="N137" s="627"/>
      <x:c r="O137" s="627"/>
      <x:c r="P137" s="627"/>
      <x:c r="Q137" s="627"/>
      <x:c r="R137" s="627"/>
      <x:c r="S137" s="627"/>
      <x:c r="Z137" s="624"/>
    </x:row>
    <x:row r="138" spans="1:26" x14ac:dyDescent="0.25">
      <x:c r="A138" s="625"/>
      <x:c r="E138" s="627"/>
      <x:c r="F138" s="627"/>
      <x:c r="G138" s="627"/>
      <x:c r="H138" s="627"/>
      <x:c r="I138" s="627"/>
      <x:c r="J138" s="627"/>
      <x:c r="K138" s="627"/>
      <x:c r="L138" s="627"/>
      <x:c r="M138" s="627"/>
      <x:c r="N138" s="627"/>
      <x:c r="O138" s="627"/>
      <x:c r="P138" s="627"/>
      <x:c r="Q138" s="627"/>
      <x:c r="R138" s="627"/>
      <x:c r="S138" s="627"/>
      <x:c r="Z138" s="624"/>
    </x:row>
    <x:row r="139" spans="1:26" x14ac:dyDescent="0.25">
      <x:c r="B139" s="773" t="s">
        <x:v>2</x:v>
      </x:c>
      <x:c r="C139" s="770" t="s">
        <x:v>132</x:v>
      </x:c>
      <x:c r="D139" s="639" t="s">
        <x:v>70</x:v>
      </x:c>
      <x:c r="E139" s="640">
        <x:f>E89+E107-K89</x:f>
        <x:v>0</x:v>
      </x:c>
      <x:c r="F139" s="640">
        <x:f t="shared" ref="F139:R139" si="3">F89</x:f>
        <x:v>0</x:v>
      </x:c>
      <x:c r="G139" s="640">
        <x:f t="shared" si="3"/>
        <x:v>0</x:v>
      </x:c>
      <x:c r="H139" s="640">
        <x:f t="shared" si="3"/>
        <x:v>0</x:v>
      </x:c>
      <x:c r="I139" s="640">
        <x:f t="shared" si="3"/>
        <x:v>0</x:v>
      </x:c>
      <x:c r="J139" s="640">
        <x:f t="shared" si="3"/>
        <x:v>0</x:v>
      </x:c>
      <x:c r="K139" s="640">
        <x:f t="shared" si="3"/>
        <x:v>0</x:v>
      </x:c>
      <x:c r="L139" s="640">
        <x:f t="shared" si="3"/>
        <x:v>0</x:v>
      </x:c>
      <x:c r="M139" s="640">
        <x:f t="shared" si="3"/>
        <x:v>0</x:v>
      </x:c>
      <x:c r="N139" s="640">
        <x:f t="shared" si="3"/>
        <x:v>0</x:v>
      </x:c>
      <x:c r="O139" s="640">
        <x:f t="shared" si="3"/>
        <x:v>0</x:v>
      </x:c>
      <x:c r="P139" s="640">
        <x:f t="shared" si="3"/>
        <x:v>0</x:v>
      </x:c>
      <x:c r="Q139" s="640">
        <x:f t="shared" si="3"/>
        <x:v>0</x:v>
      </x:c>
      <x:c r="R139" s="640">
        <x:f t="shared" si="3"/>
        <x:v>0</x:v>
      </x:c>
      <x:c r="Z139" s="624"/>
    </x:row>
    <x:row r="140" spans="1:26" x14ac:dyDescent="0.25">
      <x:c r="B140" s="773"/>
      <x:c r="C140" s="770"/>
      <x:c r="D140" s="639" t="s">
        <x:v>73</x:v>
      </x:c>
      <x:c r="E140" s="640">
        <x:f>E107</x:f>
        <x:v>0</x:v>
      </x:c>
      <x:c r="F140" s="627"/>
      <x:c r="G140" s="627"/>
      <x:c r="H140" s="627"/>
      <x:c r="I140" s="627"/>
      <x:c r="J140" s="627"/>
      <x:c r="K140" s="627"/>
      <x:c r="L140" s="627"/>
      <x:c r="M140" s="627"/>
      <x:c r="N140" s="627"/>
      <x:c r="O140" s="627"/>
      <x:c r="P140" s="627"/>
      <x:c r="Q140" s="627"/>
      <x:c r="R140" s="627"/>
      <x:c r="Z140" s="624"/>
    </x:row>
    <x:row r="141" spans="1:26" x14ac:dyDescent="0.25">
      <x:c r="A141" s="625"/>
      <x:c r="B141" s="50"/>
      <x:c r="E141" s="627"/>
      <x:c r="F141" s="627"/>
      <x:c r="G141" s="627"/>
      <x:c r="H141" s="627"/>
      <x:c r="I141" s="627"/>
      <x:c r="J141" s="627"/>
      <x:c r="K141" s="627"/>
      <x:c r="L141" s="627"/>
      <x:c r="M141" s="627"/>
      <x:c r="N141" s="627"/>
      <x:c r="O141" s="627"/>
      <x:c r="P141" s="627"/>
      <x:c r="Q141" s="627"/>
      <x:c r="R141" s="627"/>
      <x:c r="Z141" s="624"/>
    </x:row>
    <x:row r="142" spans="1:26" x14ac:dyDescent="0.25">
      <x:c r="B142" s="773" t="s">
        <x:v>160</x:v>
      </x:c>
      <x:c r="C142" s="770" t="s">
        <x:v>132</x:v>
      </x:c>
      <x:c r="D142" s="647" t="s">
        <x:v>70</x:v>
      </x:c>
      <x:c r="E142" s="648">
        <x:f>E99+E78-K78</x:f>
        <x:v>0</x:v>
      </x:c>
      <x:c r="F142" s="648">
        <x:f t="shared" ref="F142:R142" si="4">F78</x:f>
        <x:v>0</x:v>
      </x:c>
      <x:c r="G142" s="648">
        <x:f t="shared" si="4"/>
        <x:v>0</x:v>
      </x:c>
      <x:c r="H142" s="648">
        <x:f t="shared" si="4"/>
        <x:v>0</x:v>
      </x:c>
      <x:c r="I142" s="648">
        <x:f t="shared" si="4"/>
        <x:v>0</x:v>
      </x:c>
      <x:c r="J142" s="648">
        <x:f t="shared" si="4"/>
        <x:v>0</x:v>
      </x:c>
      <x:c r="K142" s="648">
        <x:f t="shared" si="4"/>
        <x:v>0</x:v>
      </x:c>
      <x:c r="L142" s="648">
        <x:f t="shared" si="4"/>
        <x:v>0</x:v>
      </x:c>
      <x:c r="M142" s="648">
        <x:f t="shared" si="4"/>
        <x:v>0</x:v>
      </x:c>
      <x:c r="N142" s="648">
        <x:f t="shared" si="4"/>
        <x:v>0</x:v>
      </x:c>
      <x:c r="O142" s="648">
        <x:f t="shared" si="4"/>
        <x:v>0</x:v>
      </x:c>
      <x:c r="P142" s="648">
        <x:f t="shared" si="4"/>
        <x:v>0</x:v>
      </x:c>
      <x:c r="Q142" s="648">
        <x:f t="shared" si="4"/>
        <x:v>0</x:v>
      </x:c>
      <x:c r="R142" s="648">
        <x:f t="shared" si="4"/>
        <x:v>0</x:v>
      </x:c>
      <x:c r="Z142" s="624"/>
    </x:row>
    <x:row r="143" spans="1:26" x14ac:dyDescent="0.25">
      <x:c r="B143" s="773"/>
      <x:c r="C143" s="770"/>
      <x:c r="D143" s="647" t="s">
        <x:v>73</x:v>
      </x:c>
      <x:c r="E143" s="648">
        <x:f>E99</x:f>
        <x:v>0</x:v>
      </x:c>
      <x:c r="F143" s="627"/>
      <x:c r="G143" s="627"/>
      <x:c r="H143" s="627"/>
      <x:c r="I143" s="627"/>
      <x:c r="J143" s="627"/>
      <x:c r="K143" s="627"/>
      <x:c r="L143" s="627"/>
      <x:c r="M143" s="627"/>
      <x:c r="N143" s="627"/>
      <x:c r="O143" s="627"/>
      <x:c r="P143" s="627"/>
      <x:c r="Q143" s="627"/>
      <x:c r="R143" s="627"/>
      <x:c r="Z143" s="624"/>
    </x:row>
    <x:row r="144" spans="1:26" x14ac:dyDescent="0.25">
      <x:c r="A144" s="625"/>
      <x:c r="B144" s="50"/>
      <x:c r="E144" s="627"/>
      <x:c r="F144" s="627"/>
      <x:c r="G144" s="627"/>
      <x:c r="H144" s="627"/>
      <x:c r="I144" s="627"/>
      <x:c r="J144" s="627"/>
      <x:c r="K144" s="627"/>
      <x:c r="L144" s="627"/>
      <x:c r="M144" s="627"/>
      <x:c r="N144" s="627"/>
      <x:c r="O144" s="627"/>
      <x:c r="P144" s="627"/>
      <x:c r="Q144" s="627"/>
      <x:c r="R144" s="627"/>
      <x:c r="Z144" s="624"/>
    </x:row>
    <x:row r="145" spans="1:26" x14ac:dyDescent="0.25">
      <x:c r="B145" s="773" t="s">
        <x:v>155</x:v>
      </x:c>
      <x:c r="C145" s="770" t="s">
        <x:v>132</x:v>
      </x:c>
      <x:c r="D145" s="651" t="s">
        <x:v>70</x:v>
      </x:c>
      <x:c r="E145" s="652">
        <x:f>E92+E66-K66</x:f>
        <x:v>0</x:v>
      </x:c>
      <x:c r="F145" s="652">
        <x:f t="shared" ref="F145:R145" si="5">F66</x:f>
        <x:v>0</x:v>
      </x:c>
      <x:c r="G145" s="652">
        <x:f t="shared" si="5"/>
        <x:v>0</x:v>
      </x:c>
      <x:c r="H145" s="652">
        <x:f t="shared" si="5"/>
        <x:v>0</x:v>
      </x:c>
      <x:c r="I145" s="652">
        <x:f t="shared" si="5"/>
        <x:v>0</x:v>
      </x:c>
      <x:c r="J145" s="652">
        <x:f t="shared" si="5"/>
        <x:v>0</x:v>
      </x:c>
      <x:c r="K145" s="652">
        <x:f t="shared" si="5"/>
        <x:v>0</x:v>
      </x:c>
      <x:c r="L145" s="652">
        <x:f t="shared" si="5"/>
        <x:v>0</x:v>
      </x:c>
      <x:c r="M145" s="652">
        <x:f t="shared" si="5"/>
        <x:v>0</x:v>
      </x:c>
      <x:c r="N145" s="652">
        <x:f t="shared" si="5"/>
        <x:v>0</x:v>
      </x:c>
      <x:c r="O145" s="652">
        <x:f t="shared" si="5"/>
        <x:v>0</x:v>
      </x:c>
      <x:c r="P145" s="652">
        <x:f t="shared" si="5"/>
        <x:v>0</x:v>
      </x:c>
      <x:c r="Q145" s="652">
        <x:f t="shared" si="5"/>
        <x:v>0</x:v>
      </x:c>
      <x:c r="R145" s="652">
        <x:f t="shared" si="5"/>
        <x:v>0</x:v>
      </x:c>
      <x:c r="Z145" s="624"/>
    </x:row>
    <x:row r="146" spans="1:26" x14ac:dyDescent="0.25">
      <x:c r="B146" s="773"/>
      <x:c r="C146" s="770"/>
      <x:c r="D146" s="651" t="s">
        <x:v>73</x:v>
      </x:c>
      <x:c r="E146" s="652">
        <x:f>E92</x:f>
        <x:v>0</x:v>
      </x:c>
      <x:c r="F146" s="627"/>
      <x:c r="G146" s="627"/>
      <x:c r="H146" s="627"/>
      <x:c r="I146" s="627"/>
      <x:c r="J146" s="627"/>
      <x:c r="K146" s="627"/>
      <x:c r="L146" s="627"/>
      <x:c r="M146" s="627"/>
      <x:c r="N146" s="627"/>
      <x:c r="O146" s="627"/>
      <x:c r="P146" s="627"/>
      <x:c r="Q146" s="627"/>
      <x:c r="R146" s="627"/>
      <x:c r="Z146" s="624"/>
    </x:row>
    <x:row r="147" spans="1:26" x14ac:dyDescent="0.25">
      <x:c r="A147" s="625"/>
      <x:c r="B147" s="50"/>
      <x:c r="E147" s="627"/>
      <x:c r="F147" s="627"/>
      <x:c r="G147" s="627"/>
      <x:c r="H147" s="627"/>
      <x:c r="I147" s="627"/>
      <x:c r="J147" s="627"/>
      <x:c r="K147" s="627"/>
      <x:c r="L147" s="627"/>
      <x:c r="M147" s="627"/>
      <x:c r="N147" s="627"/>
      <x:c r="O147" s="627"/>
      <x:c r="P147" s="627"/>
      <x:c r="Q147" s="627"/>
      <x:c r="R147" s="627"/>
      <x:c r="Z147" s="624"/>
    </x:row>
    <x:row r="148" spans="1:26" x14ac:dyDescent="0.25">
      <x:c r="B148" s="771" t="s">
        <x:v>326</x:v>
      </x:c>
      <x:c r="C148" s="770" t="s">
        <x:v>132</x:v>
      </x:c>
      <x:c r="D148" s="654" t="s">
        <x:v>70</x:v>
      </x:c>
      <x:c r="E148" s="655">
        <x:v>0</x:v>
      </x:c>
      <x:c r="F148" s="655">
        <x:v>0</x:v>
      </x:c>
      <x:c r="G148" s="655">
        <x:v>0</x:v>
      </x:c>
      <x:c r="H148" s="655">
        <x:v>0</x:v>
      </x:c>
      <x:c r="I148" s="655">
        <x:v>0</x:v>
      </x:c>
      <x:c r="J148" s="655">
        <x:v>0</x:v>
      </x:c>
      <x:c r="K148" s="655">
        <x:v>0</x:v>
      </x:c>
      <x:c r="L148" s="655">
        <x:v>0</x:v>
      </x:c>
      <x:c r="M148" s="655">
        <x:v>0</x:v>
      </x:c>
      <x:c r="N148" s="655">
        <x:v>0</x:v>
      </x:c>
      <x:c r="O148" s="655">
        <x:v>0</x:v>
      </x:c>
      <x:c r="P148" s="655">
        <x:v>0</x:v>
      </x:c>
      <x:c r="Q148" s="655">
        <x:v>0</x:v>
      </x:c>
      <x:c r="R148" s="655">
        <x:v>0</x:v>
      </x:c>
      <x:c r="Z148" s="624"/>
    </x:row>
    <x:row r="149" spans="1:26" x14ac:dyDescent="0.25">
      <x:c r="B149" s="771"/>
      <x:c r="C149" s="770"/>
      <x:c r="D149" s="654" t="s">
        <x:v>73</x:v>
      </x:c>
      <x:c r="E149" s="655">
        <x:v>0</x:v>
      </x:c>
      <x:c r="F149" s="627"/>
      <x:c r="G149" s="627"/>
      <x:c r="H149" s="627"/>
      <x:c r="I149" s="627"/>
      <x:c r="J149" s="627"/>
      <x:c r="K149" s="627"/>
      <x:c r="L149" s="627"/>
      <x:c r="M149" s="627"/>
      <x:c r="N149" s="627"/>
      <x:c r="O149" s="627"/>
      <x:c r="P149" s="627"/>
      <x:c r="Q149" s="627"/>
      <x:c r="R149" s="627"/>
      <x:c r="Z149" s="624"/>
    </x:row>
    <x:row r="150" spans="1:26" x14ac:dyDescent="0.25">
      <x:c r="A150" s="625"/>
      <x:c r="B150" s="50"/>
      <x:c r="E150" s="627"/>
      <x:c r="F150" s="627"/>
      <x:c r="G150" s="627"/>
      <x:c r="H150" s="627"/>
      <x:c r="I150" s="627"/>
      <x:c r="J150" s="627"/>
      <x:c r="K150" s="627"/>
      <x:c r="L150" s="627"/>
      <x:c r="M150" s="627"/>
      <x:c r="N150" s="627"/>
      <x:c r="O150" s="627"/>
      <x:c r="P150" s="627"/>
      <x:c r="Q150" s="627"/>
      <x:c r="R150" s="627"/>
      <x:c r="Z150" s="624"/>
    </x:row>
    <x:row r="151" spans="1:26" x14ac:dyDescent="0.25">
      <x:c r="B151" s="773" t="s">
        <x:v>119</x:v>
      </x:c>
      <x:c r="C151" s="770" t="s">
        <x:v>132</x:v>
      </x:c>
      <x:c r="D151" s="632" t="s">
        <x:v>70</x:v>
      </x:c>
      <x:c r="E151" s="633">
        <x:f>E88+E106-K88</x:f>
        <x:v>0</x:v>
      </x:c>
      <x:c r="F151" s="633">
        <x:f t="shared" ref="F151:R151" si="6">F88</x:f>
        <x:v>0</x:v>
      </x:c>
      <x:c r="G151" s="633">
        <x:f t="shared" si="6"/>
        <x:v>0</x:v>
      </x:c>
      <x:c r="H151" s="633">
        <x:f t="shared" si="6"/>
        <x:v>0</x:v>
      </x:c>
      <x:c r="I151" s="633">
        <x:f t="shared" si="6"/>
        <x:v>0</x:v>
      </x:c>
      <x:c r="J151" s="633">
        <x:f t="shared" si="6"/>
        <x:v>0</x:v>
      </x:c>
      <x:c r="K151" s="633">
        <x:f t="shared" si="6"/>
        <x:v>0</x:v>
      </x:c>
      <x:c r="L151" s="633">
        <x:f t="shared" si="6"/>
        <x:v>0</x:v>
      </x:c>
      <x:c r="M151" s="633">
        <x:f t="shared" si="6"/>
        <x:v>0</x:v>
      </x:c>
      <x:c r="N151" s="633">
        <x:f t="shared" si="6"/>
        <x:v>0</x:v>
      </x:c>
      <x:c r="O151" s="633">
        <x:f t="shared" si="6"/>
        <x:v>0</x:v>
      </x:c>
      <x:c r="P151" s="633">
        <x:f t="shared" si="6"/>
        <x:v>0</x:v>
      </x:c>
      <x:c r="Q151" s="633">
        <x:f t="shared" si="6"/>
        <x:v>0</x:v>
      </x:c>
      <x:c r="R151" s="633">
        <x:f t="shared" si="6"/>
        <x:v>0</x:v>
      </x:c>
      <x:c r="Z151" s="624"/>
    </x:row>
    <x:row r="152" spans="1:26" x14ac:dyDescent="0.25">
      <x:c r="B152" s="773"/>
      <x:c r="C152" s="770"/>
      <x:c r="D152" s="632" t="s">
        <x:v>73</x:v>
      </x:c>
      <x:c r="E152" s="633">
        <x:f>E106</x:f>
        <x:v>0</x:v>
      </x:c>
      <x:c r="F152" s="627"/>
      <x:c r="G152" s="627"/>
      <x:c r="H152" s="627"/>
      <x:c r="I152" s="627"/>
      <x:c r="J152" s="627"/>
      <x:c r="K152" s="627"/>
      <x:c r="L152" s="627"/>
      <x:c r="M152" s="627"/>
      <x:c r="N152" s="627"/>
      <x:c r="O152" s="627"/>
      <x:c r="P152" s="627"/>
      <x:c r="Q152" s="627"/>
      <x:c r="R152" s="627"/>
      <x:c r="Z152" s="624"/>
    </x:row>
    <x:row r="153" spans="1:26" x14ac:dyDescent="0.25">
      <x:c r="A153" s="625"/>
      <x:c r="B153" s="50"/>
      <x:c r="E153" s="627"/>
      <x:c r="F153" s="627"/>
      <x:c r="G153" s="627"/>
      <x:c r="H153" s="627"/>
      <x:c r="I153" s="627"/>
      <x:c r="J153" s="627"/>
      <x:c r="K153" s="627"/>
      <x:c r="L153" s="627"/>
      <x:c r="M153" s="627"/>
      <x:c r="N153" s="627"/>
      <x:c r="O153" s="627"/>
      <x:c r="P153" s="627"/>
      <x:c r="Q153" s="627"/>
      <x:c r="R153" s="627"/>
      <x:c r="Z153" s="624"/>
    </x:row>
    <x:row r="154" spans="1:26" x14ac:dyDescent="0.25">
      <x:c r="B154" s="772" t="s">
        <x:v>161</x:v>
      </x:c>
      <x:c r="C154" s="770" t="s">
        <x:v>132</x:v>
      </x:c>
      <x:c r="D154" s="661" t="s">
        <x:v>70</x:v>
      </x:c>
      <x:c r="E154" s="662">
        <x:v>0</x:v>
      </x:c>
      <x:c r="F154" s="662">
        <x:v>0</x:v>
      </x:c>
      <x:c r="G154" s="662">
        <x:v>0</x:v>
      </x:c>
      <x:c r="H154" s="662">
        <x:v>0</x:v>
      </x:c>
      <x:c r="I154" s="662">
        <x:v>0</x:v>
      </x:c>
      <x:c r="J154" s="662">
        <x:v>0</x:v>
      </x:c>
      <x:c r="K154" s="662">
        <x:v>0</x:v>
      </x:c>
      <x:c r="L154" s="662">
        <x:v>0</x:v>
      </x:c>
      <x:c r="M154" s="662">
        <x:v>0</x:v>
      </x:c>
      <x:c r="N154" s="662">
        <x:v>0</x:v>
      </x:c>
      <x:c r="O154" s="662">
        <x:v>0</x:v>
      </x:c>
      <x:c r="P154" s="662">
        <x:v>0</x:v>
      </x:c>
      <x:c r="Q154" s="662">
        <x:v>0</x:v>
      </x:c>
      <x:c r="R154" s="662">
        <x:v>0</x:v>
      </x:c>
      <x:c r="Z154" s="624"/>
    </x:row>
    <x:row r="155" spans="1:26" x14ac:dyDescent="0.25">
      <x:c r="B155" s="772"/>
      <x:c r="C155" s="770"/>
      <x:c r="D155" s="661" t="s">
        <x:v>73</x:v>
      </x:c>
      <x:c r="E155" s="662">
        <x:v>0</x:v>
      </x:c>
      <x:c r="F155" s="627"/>
      <x:c r="G155" s="627"/>
      <x:c r="H155" s="627"/>
      <x:c r="I155" s="627"/>
      <x:c r="J155" s="627"/>
      <x:c r="K155" s="627"/>
      <x:c r="L155" s="627"/>
      <x:c r="M155" s="627"/>
      <x:c r="N155" s="627"/>
      <x:c r="O155" s="627"/>
      <x:c r="P155" s="627"/>
      <x:c r="Q155" s="627"/>
      <x:c r="R155" s="627"/>
      <x:c r="Z155" s="624"/>
    </x:row>
    <x:row r="156" spans="1:26" x14ac:dyDescent="0.25">
      <x:c r="A156" s="624"/>
      <x:c r="B156" s="624"/>
      <x:c r="C156" s="624"/>
      <x:c r="D156" s="624"/>
      <x:c r="E156" s="624"/>
      <x:c r="F156" s="624"/>
      <x:c r="G156" s="624"/>
      <x:c r="H156" s="624"/>
      <x:c r="I156" s="624"/>
      <x:c r="J156" s="624"/>
      <x:c r="K156" s="624"/>
      <x:c r="L156" s="624"/>
      <x:c r="M156" s="624"/>
      <x:c r="N156" s="624"/>
      <x:c r="O156" s="624"/>
      <x:c r="P156" s="624"/>
      <x:c r="Q156" s="624"/>
      <x:c r="R156" s="624"/>
      <x:c r="S156" s="624"/>
      <x:c r="T156" s="624"/>
      <x:c r="U156" s="624"/>
      <x:c r="V156" s="624"/>
      <x:c r="W156" s="624"/>
      <x:c r="X156" s="624"/>
      <x:c r="Y156" s="624"/>
      <x:c r="Z156" s="624"/>
    </x:row>
    <x:row r="157" spans="1:26" x14ac:dyDescent="0.25">
      <x:c r="B157" s="676" t="s">
        <x:v>76</x:v>
      </x:c>
      <x:c r="Z157" s="624"/>
    </x:row>
    <x:row r="158" spans="1:26" s="50" customFormat="1" x14ac:dyDescent="0.25">
      <x:c r="E158" s="669" t="n">
        <x:v>31116559.27</x:v>
      </x:c>
      <x:c r="F158" s="669" t="s">
        <x:v>64</x:v>
      </x:c>
      <x:c r="G158" s="669" t="s">
        <x:v>65</x:v>
      </x:c>
      <x:c r="H158" s="674" t="s">
        <x:v>164</x:v>
      </x:c>
      <x:c r="I158" s="669" t="s">
        <x:v>69</x:v>
      </x:c>
      <x:c r="J158" s="669" t="s">
        <x:v>68</x:v>
      </x:c>
      <x:c r="K158" s="669" t="n">
        <x:v>0</x:v>
      </x:c>
      <x:c r="L158" s="669" t="s">
        <x:v>66</x:v>
      </x:c>
      <x:c r="M158" s="669" t="s">
        <x:v>63</x:v>
      </x:c>
      <x:c r="N158" s="669" t="s">
        <x:v>61</x:v>
      </x:c>
      <x:c r="O158" s="669" t="s">
        <x:v>62</x:v>
      </x:c>
      <x:c r="P158" s="669" t="s">
        <x:v>67</x:v>
      </x:c>
      <x:c r="Q158" s="669" t="s">
        <x:v>84</x:v>
      </x:c>
      <x:c r="R158" s="669" t="s">
        <x:v>226</x:v>
      </x:c>
      <x:c r="Z158" s="618"/>
    </x:row>
    <x:row r="159" spans="1:26" x14ac:dyDescent="0.25">
      <x:c r="D159" s="625" t="s">
        <x:v>72</x:v>
      </x:c>
      <x:c r="E159" s="627">
        <x:v>0</x:v>
      </x:c>
      <x:c r="F159" s="627">
        <x:v>0</x:v>
      </x:c>
      <x:c r="G159" s="627">
        <x:v>0</x:v>
      </x:c>
      <x:c r="H159" s="627">
        <x:v>0</x:v>
      </x:c>
      <x:c r="I159" s="627">
        <x:v>0</x:v>
      </x:c>
      <x:c r="J159" s="627">
        <x:v>0</x:v>
      </x:c>
      <x:c r="K159" s="627">
        <x:v>0</x:v>
      </x:c>
      <x:c r="L159" s="627">
        <x:v>0</x:v>
      </x:c>
      <x:c r="M159" s="627">
        <x:v>0</x:v>
      </x:c>
      <x:c r="N159" s="627">
        <x:v>0</x:v>
      </x:c>
      <x:c r="O159" s="627">
        <x:v>0</x:v>
      </x:c>
      <x:c r="P159" s="627">
        <x:v>0</x:v>
      </x:c>
      <x:c r="Q159" s="627">
        <x:v>0</x:v>
      </x:c>
      <x:c r="R159" s="653">
        <x:v>0</x:v>
      </x:c>
      <x:c r="Z159" s="624"/>
    </x:row>
    <x:row r="160" spans="1:26" x14ac:dyDescent="0.25">
      <x:c r="C160" s="25" t="s">
        <x:v>333</x:v>
      </x:c>
      <x:c r="D160" s="625" t="s">
        <x:v>70</x:v>
      </x:c>
      <x:c r="E160" s="627">
        <x:v>0</x:v>
      </x:c>
      <x:c r="F160" s="627">
        <x:v>0</x:v>
      </x:c>
      <x:c r="G160" s="627">
        <x:v>0</x:v>
      </x:c>
      <x:c r="H160" s="627">
        <x:v>0</x:v>
      </x:c>
      <x:c r="I160" s="627">
        <x:v>0</x:v>
      </x:c>
      <x:c r="J160" s="627">
        <x:v>0</x:v>
      </x:c>
      <x:c r="K160" s="627">
        <x:v>0</x:v>
      </x:c>
      <x:c r="L160" s="627">
        <x:v>0</x:v>
      </x:c>
      <x:c r="M160" s="627">
        <x:v>0</x:v>
      </x:c>
      <x:c r="N160" s="627">
        <x:v>0</x:v>
      </x:c>
      <x:c r="O160" s="627">
        <x:v>0</x:v>
      </x:c>
      <x:c r="P160" s="627">
        <x:v>0</x:v>
      </x:c>
      <x:c r="Q160" s="627">
        <x:v>0</x:v>
      </x:c>
      <x:c r="R160" s="653">
        <x:v>0</x:v>
      </x:c>
      <x:c r="Z160" s="624"/>
    </x:row>
    <x:row r="161" spans="1:26" x14ac:dyDescent="0.25">
      <x:c r="A161" s="668"/>
      <x:c r="B161" s="668" t="s">
        <x:v>85</x:v>
      </x:c>
      <x:c r="C161" s="668" t="s">
        <x:v>70</x:v>
      </x:c>
      <x:c r="D161" s="661"/>
      <x:c r="E161" s="662">
        <x:v>0</x:v>
      </x:c>
      <x:c r="F161" s="662">
        <x:v>0</x:v>
      </x:c>
      <x:c r="G161" s="662">
        <x:v>0</x:v>
      </x:c>
      <x:c r="H161" s="662">
        <x:v>0</x:v>
      </x:c>
      <x:c r="I161" s="662">
        <x:v>0</x:v>
      </x:c>
      <x:c r="J161" s="662">
        <x:v>0</x:v>
      </x:c>
      <x:c r="K161" s="662">
        <x:v>0</x:v>
      </x:c>
      <x:c r="L161" s="662">
        <x:v>0</x:v>
      </x:c>
      <x:c r="M161" s="662">
        <x:v>0</x:v>
      </x:c>
      <x:c r="N161" s="662">
        <x:v>0</x:v>
      </x:c>
      <x:c r="O161" s="662">
        <x:v>0</x:v>
      </x:c>
      <x:c r="P161" s="662">
        <x:v>0</x:v>
      </x:c>
      <x:c r="Q161" s="662">
        <x:v>0</x:v>
      </x:c>
      <x:c r="R161" s="673">
        <x:v>0</x:v>
      </x:c>
      <x:c r="S161" s="668"/>
      <x:c r="T161" s="668"/>
      <x:c r="U161" s="668"/>
      <x:c r="V161" s="668"/>
      <x:c r="W161" s="668"/>
      <x:c r="X161" s="668"/>
      <x:c r="Y161" s="668"/>
      <x:c r="Z161" s="624"/>
    </x:row>
    <x:row r="162" spans="1:26" x14ac:dyDescent="0.25">
      <x:c r="D162" s="25" t="s">
        <x:v>72</x:v>
      </x:c>
      <x:c r="E162" s="653">
        <x:v>0</x:v>
      </x:c>
      <x:c r="F162" s="653">
        <x:v>0</x:v>
      </x:c>
      <x:c r="G162" s="653">
        <x:v>0</x:v>
      </x:c>
      <x:c r="H162" s="653">
        <x:v>0</x:v>
      </x:c>
      <x:c r="I162" s="653">
        <x:v>0</x:v>
      </x:c>
      <x:c r="J162" s="653">
        <x:v>0</x:v>
      </x:c>
      <x:c r="K162" s="653">
        <x:v>0</x:v>
      </x:c>
      <x:c r="L162" s="653">
        <x:v>0</x:v>
      </x:c>
      <x:c r="M162" s="653">
        <x:v>0</x:v>
      </x:c>
      <x:c r="N162" s="653">
        <x:v>0</x:v>
      </x:c>
      <x:c r="O162" s="653">
        <x:v>0</x:v>
      </x:c>
      <x:c r="P162" s="653">
        <x:v>0</x:v>
      </x:c>
      <x:c r="Q162" s="653">
        <x:v>0</x:v>
      </x:c>
      <x:c r="R162" s="653">
        <x:v>0</x:v>
      </x:c>
      <x:c r="Z162" s="624"/>
    </x:row>
    <x:row r="163" spans="1:26" x14ac:dyDescent="0.25">
      <x:c r="D163" s="25" t="s">
        <x:v>81</x:v>
      </x:c>
      <x:c r="E163" s="653">
        <x:v>0</x:v>
      </x:c>
      <x:c r="F163" s="653">
        <x:v>0</x:v>
      </x:c>
      <x:c r="G163" s="653">
        <x:v>0</x:v>
      </x:c>
      <x:c r="H163" s="653">
        <x:v>0</x:v>
      </x:c>
      <x:c r="I163" s="653">
        <x:v>0</x:v>
      </x:c>
      <x:c r="J163" s="653">
        <x:v>0</x:v>
      </x:c>
      <x:c r="K163" s="653">
        <x:v>0</x:v>
      </x:c>
      <x:c r="L163" s="653">
        <x:v>0</x:v>
      </x:c>
      <x:c r="M163" s="653">
        <x:v>0</x:v>
      </x:c>
      <x:c r="N163" s="653">
        <x:v>0</x:v>
      </x:c>
      <x:c r="O163" s="653">
        <x:v>0</x:v>
      </x:c>
      <x:c r="P163" s="653">
        <x:v>0</x:v>
      </x:c>
      <x:c r="Q163" s="653">
        <x:v>0</x:v>
      </x:c>
      <x:c r="R163" s="653">
        <x:v>0</x:v>
      </x:c>
      <x:c r="Z163" s="624"/>
    </x:row>
    <x:row r="164" spans="1:26" x14ac:dyDescent="0.25">
      <x:c r="C164" s="25" t="s">
        <x:v>156</x:v>
      </x:c>
      <x:c r="D164" s="625" t="s">
        <x:v>70</x:v>
      </x:c>
      <x:c r="E164" s="627">
        <x:v>0</x:v>
      </x:c>
      <x:c r="F164" s="627">
        <x:v>0</x:v>
      </x:c>
      <x:c r="G164" s="627">
        <x:v>0</x:v>
      </x:c>
      <x:c r="H164" s="627">
        <x:v>0</x:v>
      </x:c>
      <x:c r="I164" s="627">
        <x:v>0</x:v>
      </x:c>
      <x:c r="J164" s="627">
        <x:v>0</x:v>
      </x:c>
      <x:c r="K164" s="627">
        <x:v>0</x:v>
      </x:c>
      <x:c r="L164" s="627">
        <x:v>0</x:v>
      </x:c>
      <x:c r="M164" s="627">
        <x:v>0</x:v>
      </x:c>
      <x:c r="N164" s="627">
        <x:v>0</x:v>
      </x:c>
      <x:c r="O164" s="627">
        <x:v>0</x:v>
      </x:c>
      <x:c r="P164" s="627">
        <x:v>0</x:v>
      </x:c>
      <x:c r="Q164" s="627">
        <x:v>0</x:v>
      </x:c>
      <x:c r="R164" s="653">
        <x:v>0</x:v>
      </x:c>
      <x:c r="Z164" s="624"/>
    </x:row>
    <x:row r="165" spans="1:26" x14ac:dyDescent="0.25">
      <x:c r="A165" s="628"/>
      <x:c r="B165" s="628" t="s">
        <x:v>155</x:v>
      </x:c>
      <x:c r="C165" s="628" t="s">
        <x:v>70</x:v>
      </x:c>
      <x:c r="D165" s="628"/>
      <x:c r="E165" s="677">
        <x:v>0</x:v>
      </x:c>
      <x:c r="F165" s="677">
        <x:v>0</x:v>
      </x:c>
      <x:c r="G165" s="677">
        <x:v>0</x:v>
      </x:c>
      <x:c r="H165" s="677">
        <x:v>0</x:v>
      </x:c>
      <x:c r="I165" s="677">
        <x:v>0</x:v>
      </x:c>
      <x:c r="J165" s="677">
        <x:v>0</x:v>
      </x:c>
      <x:c r="K165" s="677">
        <x:v>0</x:v>
      </x:c>
      <x:c r="L165" s="677">
        <x:v>0</x:v>
      </x:c>
      <x:c r="M165" s="677">
        <x:v>0</x:v>
      </x:c>
      <x:c r="N165" s="677">
        <x:v>0</x:v>
      </x:c>
      <x:c r="O165" s="677">
        <x:v>0</x:v>
      </x:c>
      <x:c r="P165" s="677">
        <x:v>0</x:v>
      </x:c>
      <x:c r="Q165" s="677">
        <x:v>0</x:v>
      </x:c>
      <x:c r="R165" s="677">
        <x:v>0</x:v>
      </x:c>
      <x:c r="S165" s="628"/>
      <x:c r="T165" s="628"/>
      <x:c r="U165" s="628"/>
      <x:c r="V165" s="628"/>
      <x:c r="W165" s="628"/>
      <x:c r="X165" s="628"/>
      <x:c r="Y165" s="628"/>
      <x:c r="Z165" s="624"/>
    </x:row>
    <x:row r="166" spans="1:26" x14ac:dyDescent="0.25">
      <x:c r="D166" s="25" t="s">
        <x:v>72</x:v>
      </x:c>
      <x:c r="E166" s="653" t="n">
        <x:v>711524.12</x:v>
      </x:c>
      <x:c r="F166" s="653">
        <x:v>0</x:v>
      </x:c>
      <x:c r="G166" s="653">
        <x:v>0</x:v>
      </x:c>
      <x:c r="H166" s="653">
        <x:v>0</x:v>
      </x:c>
      <x:c r="I166" s="653">
        <x:v>0</x:v>
      </x:c>
      <x:c r="J166" s="653">
        <x:v>0</x:v>
      </x:c>
      <x:c r="K166" s="653" t="n">
        <x:v>0</x:v>
      </x:c>
      <x:c r="L166" s="653">
        <x:v>0</x:v>
      </x:c>
      <x:c r="M166" s="653">
        <x:v>0</x:v>
      </x:c>
      <x:c r="N166" s="653">
        <x:v>0</x:v>
      </x:c>
      <x:c r="O166" s="653">
        <x:v>0</x:v>
      </x:c>
      <x:c r="P166" s="653">
        <x:v>0</x:v>
      </x:c>
      <x:c r="Q166" s="653">
        <x:v>0</x:v>
      </x:c>
      <x:c r="R166" s="653">
        <x:v>0</x:v>
      </x:c>
      <x:c r="Z166" s="624"/>
    </x:row>
    <x:row r="167" spans="1:26" x14ac:dyDescent="0.25">
      <x:c r="D167" s="25" t="s">
        <x:v>81</x:v>
      </x:c>
      <x:c r="E167" s="653" t="n">
        <x:v>31828083.39</x:v>
      </x:c>
      <x:c r="F167" s="653">
        <x:v>0</x:v>
      </x:c>
      <x:c r="G167" s="653">
        <x:v>0</x:v>
      </x:c>
      <x:c r="H167" s="653">
        <x:v>0</x:v>
      </x:c>
      <x:c r="I167" s="653">
        <x:v>0</x:v>
      </x:c>
      <x:c r="J167" s="653">
        <x:v>0</x:v>
      </x:c>
      <x:c r="K167" s="653" t="n">
        <x:v>0</x:v>
      </x:c>
      <x:c r="L167" s="653">
        <x:v>0</x:v>
      </x:c>
      <x:c r="M167" s="653">
        <x:v>0</x:v>
      </x:c>
      <x:c r="N167" s="653">
        <x:v>0</x:v>
      </x:c>
      <x:c r="O167" s="653">
        <x:v>0</x:v>
      </x:c>
      <x:c r="P167" s="653">
        <x:v>0</x:v>
      </x:c>
      <x:c r="Q167" s="653">
        <x:v>0</x:v>
      </x:c>
      <x:c r="R167" s="653">
        <x:v>0</x:v>
      </x:c>
      <x:c r="Z167" s="624"/>
    </x:row>
    <x:row r="168" spans="1:26" x14ac:dyDescent="0.25">
      <x:c r="C168" s="25" t="s">
        <x:v>82</x:v>
      </x:c>
      <x:c r="D168" s="25" t="s">
        <x:v>70</x:v>
      </x:c>
      <x:c r="E168" s="653">
        <x:v>0</x:v>
      </x:c>
      <x:c r="F168" s="653">
        <x:v>0</x:v>
      </x:c>
      <x:c r="G168" s="653">
        <x:v>0</x:v>
      </x:c>
      <x:c r="H168" s="653">
        <x:v>0</x:v>
      </x:c>
      <x:c r="I168" s="653">
        <x:v>0</x:v>
      </x:c>
      <x:c r="J168" s="653">
        <x:v>0</x:v>
      </x:c>
      <x:c r="K168" s="653">
        <x:v>0</x:v>
      </x:c>
      <x:c r="L168" s="653">
        <x:v>0</x:v>
      </x:c>
      <x:c r="M168" s="653">
        <x:v>0</x:v>
      </x:c>
      <x:c r="N168" s="653">
        <x:v>0</x:v>
      </x:c>
      <x:c r="O168" s="653">
        <x:v>0</x:v>
      </x:c>
      <x:c r="P168" s="653">
        <x:v>0</x:v>
      </x:c>
      <x:c r="Q168" s="653">
        <x:v>0</x:v>
      </x:c>
      <x:c r="R168" s="653">
        <x:v>0</x:v>
      </x:c>
      <x:c r="Z168" s="624"/>
    </x:row>
    <x:row r="169" spans="1:26" x14ac:dyDescent="0.25">
      <x:c r="D169" s="25" t="s">
        <x:v>72</x:v>
      </x:c>
      <x:c r="E169" s="653">
        <x:v>0</x:v>
      </x:c>
      <x:c r="F169" s="653">
        <x:v>0</x:v>
      </x:c>
      <x:c r="G169" s="653">
        <x:v>0</x:v>
      </x:c>
      <x:c r="H169" s="653">
        <x:v>0</x:v>
      </x:c>
      <x:c r="I169" s="653">
        <x:v>0</x:v>
      </x:c>
      <x:c r="J169" s="653">
        <x:v>0</x:v>
      </x:c>
      <x:c r="K169" s="653">
        <x:v>0</x:v>
      </x:c>
      <x:c r="L169" s="653">
        <x:v>0</x:v>
      </x:c>
      <x:c r="M169" s="653">
        <x:v>0</x:v>
      </x:c>
      <x:c r="N169" s="653">
        <x:v>0</x:v>
      </x:c>
      <x:c r="O169" s="653">
        <x:v>0</x:v>
      </x:c>
      <x:c r="P169" s="653">
        <x:v>0</x:v>
      </x:c>
      <x:c r="Q169" s="653">
        <x:v>0</x:v>
      </x:c>
      <x:c r="R169" s="653">
        <x:v>0</x:v>
      </x:c>
      <x:c r="Z169" s="624"/>
    </x:row>
    <x:row r="170" spans="1:26" x14ac:dyDescent="0.25">
      <x:c r="D170" s="25" t="s">
        <x:v>81</x:v>
      </x:c>
      <x:c r="E170" s="653" t="n">
        <x:v>-681815.97</x:v>
      </x:c>
      <x:c r="F170" s="653">
        <x:v>0</x:v>
      </x:c>
      <x:c r="G170" s="653">
        <x:v>0</x:v>
      </x:c>
      <x:c r="H170" s="653">
        <x:v>0</x:v>
      </x:c>
      <x:c r="I170" s="653">
        <x:v>0</x:v>
      </x:c>
      <x:c r="J170" s="653">
        <x:v>0</x:v>
      </x:c>
      <x:c r="K170" s="653">
        <x:v>0</x:v>
      </x:c>
      <x:c r="L170" s="653">
        <x:v>0</x:v>
      </x:c>
      <x:c r="M170" s="653">
        <x:v>0</x:v>
      </x:c>
      <x:c r="N170" s="653">
        <x:v>0</x:v>
      </x:c>
      <x:c r="O170" s="653">
        <x:v>0</x:v>
      </x:c>
      <x:c r="P170" s="653">
        <x:v>0</x:v>
      </x:c>
      <x:c r="Q170" s="653">
        <x:v>0</x:v>
      </x:c>
      <x:c r="R170" s="653">
        <x:v>0</x:v>
      </x:c>
      <x:c r="Z170" s="624"/>
    </x:row>
    <x:row r="171" spans="1:26" x14ac:dyDescent="0.25">
      <x:c r="C171" s="25" t="s">
        <x:v>86</x:v>
      </x:c>
      <x:c r="D171" s="25" t="s">
        <x:v>70</x:v>
      </x:c>
      <x:c r="E171" s="653">
        <x:v>0</x:v>
      </x:c>
      <x:c r="F171" s="653">
        <x:v>0</x:v>
      </x:c>
      <x:c r="G171" s="653">
        <x:v>0</x:v>
      </x:c>
      <x:c r="H171" s="653">
        <x:v>0</x:v>
      </x:c>
      <x:c r="I171" s="653">
        <x:v>0</x:v>
      </x:c>
      <x:c r="J171" s="653">
        <x:v>0</x:v>
      </x:c>
      <x:c r="K171" s="653">
        <x:v>0</x:v>
      </x:c>
      <x:c r="L171" s="653">
        <x:v>0</x:v>
      </x:c>
      <x:c r="M171" s="653">
        <x:v>0</x:v>
      </x:c>
      <x:c r="N171" s="653">
        <x:v>0</x:v>
      </x:c>
      <x:c r="O171" s="653">
        <x:v>0</x:v>
      </x:c>
      <x:c r="P171" s="653">
        <x:v>0</x:v>
      </x:c>
      <x:c r="Q171" s="653">
        <x:v>0</x:v>
      </x:c>
      <x:c r="R171" s="653">
        <x:v>0</x:v>
      </x:c>
      <x:c r="Z171" s="624"/>
    </x:row>
    <x:row r="172" spans="1:26" x14ac:dyDescent="0.25">
      <x:c r="D172" s="25" t="s">
        <x:v>72</x:v>
      </x:c>
      <x:c r="E172" s="653">
        <x:v>0</x:v>
      </x:c>
      <x:c r="F172" s="653">
        <x:v>0</x:v>
      </x:c>
      <x:c r="G172" s="653">
        <x:v>0</x:v>
      </x:c>
      <x:c r="H172" s="653">
        <x:v>0</x:v>
      </x:c>
      <x:c r="I172" s="653">
        <x:v>0</x:v>
      </x:c>
      <x:c r="J172" s="653">
        <x:v>0</x:v>
      </x:c>
      <x:c r="K172" s="653">
        <x:v>0</x:v>
      </x:c>
      <x:c r="L172" s="653">
        <x:v>0</x:v>
      </x:c>
      <x:c r="M172" s="653">
        <x:v>0</x:v>
      </x:c>
      <x:c r="N172" s="653">
        <x:v>0</x:v>
      </x:c>
      <x:c r="O172" s="653">
        <x:v>0</x:v>
      </x:c>
      <x:c r="P172" s="653">
        <x:v>0</x:v>
      </x:c>
      <x:c r="Q172" s="653">
        <x:v>0</x:v>
      </x:c>
      <x:c r="R172" s="653">
        <x:v>0</x:v>
      </x:c>
      <x:c r="Z172" s="624"/>
    </x:row>
    <x:row r="173" spans="1:26" x14ac:dyDescent="0.25">
      <x:c r="D173" s="25" t="s">
        <x:v>81</x:v>
      </x:c>
      <x:c r="E173" s="653">
        <x:v>0</x:v>
      </x:c>
      <x:c r="F173" s="653">
        <x:v>0</x:v>
      </x:c>
      <x:c r="G173" s="653">
        <x:v>0</x:v>
      </x:c>
      <x:c r="H173" s="653">
        <x:v>0</x:v>
      </x:c>
      <x:c r="I173" s="653">
        <x:v>0</x:v>
      </x:c>
      <x:c r="J173" s="653">
        <x:v>0</x:v>
      </x:c>
      <x:c r="K173" s="653">
        <x:v>0</x:v>
      </x:c>
      <x:c r="L173" s="653">
        <x:v>0</x:v>
      </x:c>
      <x:c r="M173" s="653">
        <x:v>0</x:v>
      </x:c>
      <x:c r="N173" s="653">
        <x:v>0</x:v>
      </x:c>
      <x:c r="O173" s="653">
        <x:v>0</x:v>
      </x:c>
      <x:c r="P173" s="653">
        <x:v>0</x:v>
      </x:c>
      <x:c r="Q173" s="653">
        <x:v>0</x:v>
      </x:c>
      <x:c r="R173" s="653">
        <x:v>0</x:v>
      </x:c>
      <x:c r="Z173" s="624"/>
    </x:row>
    <x:row r="174" spans="1:26" x14ac:dyDescent="0.25">
      <x:c r="A174" s="625"/>
      <x:c r="B174" s="625"/>
      <x:c r="C174" s="25" t="s">
        <x:v>87</x:v>
      </x:c>
      <x:c r="D174" s="25" t="s">
        <x:v>70</x:v>
      </x:c>
      <x:c r="E174" s="627">
        <x:v>0</x:v>
      </x:c>
      <x:c r="F174" s="627">
        <x:v>0</x:v>
      </x:c>
      <x:c r="G174" s="627">
        <x:v>0</x:v>
      </x:c>
      <x:c r="H174" s="627">
        <x:v>0</x:v>
      </x:c>
      <x:c r="I174" s="627">
        <x:v>0</x:v>
      </x:c>
      <x:c r="J174" s="627">
        <x:v>0</x:v>
      </x:c>
      <x:c r="K174" s="627">
        <x:v>0</x:v>
      </x:c>
      <x:c r="L174" s="627">
        <x:v>0</x:v>
      </x:c>
      <x:c r="M174" s="627">
        <x:v>0</x:v>
      </x:c>
      <x:c r="N174" s="627">
        <x:v>0</x:v>
      </x:c>
      <x:c r="O174" s="627">
        <x:v>0</x:v>
      </x:c>
      <x:c r="P174" s="627">
        <x:v>0</x:v>
      </x:c>
      <x:c r="Q174" s="627">
        <x:v>0</x:v>
      </x:c>
      <x:c r="R174" s="653">
        <x:v>0</x:v>
      </x:c>
      <x:c r="Z174" s="624"/>
    </x:row>
    <x:row r="175" spans="1:26" x14ac:dyDescent="0.25">
      <x:c r="A175" s="631"/>
      <x:c r="B175" s="632" t="s">
        <x:v>119</x:v>
      </x:c>
      <x:c r="C175" s="632" t="s">
        <x:v>70</x:v>
      </x:c>
      <x:c r="D175" s="631"/>
      <x:c r="E175" s="633">
        <x:v>0</x:v>
      </x:c>
      <x:c r="F175" s="633">
        <x:v>0</x:v>
      </x:c>
      <x:c r="G175" s="633">
        <x:v>0</x:v>
      </x:c>
      <x:c r="H175" s="633">
        <x:v>0</x:v>
      </x:c>
      <x:c r="I175" s="633">
        <x:v>0</x:v>
      </x:c>
      <x:c r="J175" s="633">
        <x:v>0</x:v>
      </x:c>
      <x:c r="K175" s="633">
        <x:v>0</x:v>
      </x:c>
      <x:c r="L175" s="633">
        <x:v>0</x:v>
      </x:c>
      <x:c r="M175" s="633">
        <x:v>0</x:v>
      </x:c>
      <x:c r="N175" s="633">
        <x:v>0</x:v>
      </x:c>
      <x:c r="O175" s="633">
        <x:v>0</x:v>
      </x:c>
      <x:c r="P175" s="633">
        <x:v>0</x:v>
      </x:c>
      <x:c r="Q175" s="633">
        <x:v>0</x:v>
      </x:c>
      <x:c r="R175" s="678">
        <x:v>0</x:v>
      </x:c>
      <x:c r="S175" s="631"/>
      <x:c r="T175" s="631"/>
      <x:c r="U175" s="631"/>
      <x:c r="V175" s="631"/>
      <x:c r="W175" s="631"/>
      <x:c r="X175" s="631"/>
      <x:c r="Y175" s="631"/>
      <x:c r="Z175" s="624"/>
    </x:row>
    <x:row r="176" spans="1:26" x14ac:dyDescent="0.25">
      <x:c r="A176" s="639" t="s">
        <x:v>78</x:v>
      </x:c>
      <x:c r="B176" s="639" t="s">
        <x:v>70</x:v>
      </x:c>
      <x:c r="C176" s="638"/>
      <x:c r="D176" s="638"/>
      <x:c r="E176" s="640">
        <x:v>0</x:v>
      </x:c>
      <x:c r="F176" s="640">
        <x:v>0</x:v>
      </x:c>
      <x:c r="G176" s="640">
        <x:v>0</x:v>
      </x:c>
      <x:c r="H176" s="640">
        <x:v>0</x:v>
      </x:c>
      <x:c r="I176" s="640">
        <x:v>0</x:v>
      </x:c>
      <x:c r="J176" s="640">
        <x:v>0</x:v>
      </x:c>
      <x:c r="K176" s="640">
        <x:v>0</x:v>
      </x:c>
      <x:c r="L176" s="640">
        <x:v>0</x:v>
      </x:c>
      <x:c r="M176" s="640">
        <x:v>0</x:v>
      </x:c>
      <x:c r="N176" s="640">
        <x:v>0</x:v>
      </x:c>
      <x:c r="O176" s="640">
        <x:v>0</x:v>
      </x:c>
      <x:c r="P176" s="640">
        <x:v>0</x:v>
      </x:c>
      <x:c r="Q176" s="640">
        <x:v>0</x:v>
      </x:c>
      <x:c r="R176" s="679">
        <x:v>0</x:v>
      </x:c>
      <x:c r="S176" s="638"/>
      <x:c r="T176" s="638"/>
      <x:c r="U176" s="638"/>
      <x:c r="V176" s="638"/>
      <x:c r="W176" s="638"/>
      <x:c r="X176" s="638"/>
      <x:c r="Y176" s="638"/>
      <x:c r="Z176" s="624"/>
    </x:row>
    <x:row r="177" spans="1:26" x14ac:dyDescent="0.25">
      <x:c r="C177" s="625"/>
      <x:c r="D177" s="625" t="s">
        <x:v>73</x:v>
      </x:c>
      <x:c r="E177" s="627" t="n">
        <x:v>-34463.67</x:v>
      </x:c>
      <x:c r="F177" s="627">
        <x:v>0</x:v>
      </x:c>
      <x:c r="G177" s="627">
        <x:v>0</x:v>
      </x:c>
      <x:c r="H177" s="627">
        <x:v>0</x:v>
      </x:c>
      <x:c r="I177" s="627">
        <x:v>0</x:v>
      </x:c>
      <x:c r="J177" s="627">
        <x:v>0</x:v>
      </x:c>
      <x:c r="K177" s="627">
        <x:v>0</x:v>
      </x:c>
      <x:c r="L177" s="627">
        <x:v>0</x:v>
      </x:c>
      <x:c r="M177" s="627">
        <x:v>0</x:v>
      </x:c>
      <x:c r="N177" s="627">
        <x:v>0</x:v>
      </x:c>
      <x:c r="O177" s="627">
        <x:v>0</x:v>
      </x:c>
      <x:c r="P177" s="627">
        <x:v>0</x:v>
      </x:c>
      <x:c r="Q177" s="627">
        <x:v>0</x:v>
      </x:c>
      <x:c r="R177" s="653">
        <x:v>0</x:v>
      </x:c>
      <x:c r="Z177" s="624"/>
    </x:row>
    <x:row r="178" spans="1:26" x14ac:dyDescent="0.25">
      <x:c r="C178" s="625" t="s">
        <x:v>156</x:v>
      </x:c>
      <x:c r="D178" s="625" t="s">
        <x:v>70</x:v>
      </x:c>
      <x:c r="E178" s="627" t="n">
        <x:v>-716279.64</x:v>
      </x:c>
      <x:c r="F178" s="627">
        <x:v>0</x:v>
      </x:c>
      <x:c r="G178" s="627">
        <x:v>0</x:v>
      </x:c>
      <x:c r="H178" s="627">
        <x:v>0</x:v>
      </x:c>
      <x:c r="I178" s="627">
        <x:v>0</x:v>
      </x:c>
      <x:c r="J178" s="627">
        <x:v>0</x:v>
      </x:c>
      <x:c r="K178" s="627">
        <x:v>0</x:v>
      </x:c>
      <x:c r="L178" s="627">
        <x:v>0</x:v>
      </x:c>
      <x:c r="M178" s="627">
        <x:v>0</x:v>
      </x:c>
      <x:c r="N178" s="627">
        <x:v>0</x:v>
      </x:c>
      <x:c r="O178" s="627">
        <x:v>0</x:v>
      </x:c>
      <x:c r="P178" s="627">
        <x:v>0</x:v>
      </x:c>
      <x:c r="Q178" s="627">
        <x:v>0</x:v>
      </x:c>
      <x:c r="R178" s="653">
        <x:v>0</x:v>
      </x:c>
      <x:c r="Z178" s="624"/>
    </x:row>
    <x:row r="179" spans="1:26" x14ac:dyDescent="0.25">
      <x:c r="A179" s="628"/>
      <x:c r="B179" s="628" t="s">
        <x:v>155</x:v>
      </x:c>
      <x:c r="C179" s="628" t="s">
        <x:v>70</x:v>
      </x:c>
      <x:c r="D179" s="628"/>
      <x:c r="E179" s="677">
        <x:v>0</x:v>
      </x:c>
      <x:c r="F179" s="677">
        <x:v>0</x:v>
      </x:c>
      <x:c r="G179" s="677">
        <x:v>0</x:v>
      </x:c>
      <x:c r="H179" s="677">
        <x:v>0</x:v>
      </x:c>
      <x:c r="I179" s="677">
        <x:v>0</x:v>
      </x:c>
      <x:c r="J179" s="677">
        <x:v>0</x:v>
      </x:c>
      <x:c r="K179" s="677">
        <x:v>0</x:v>
      </x:c>
      <x:c r="L179" s="677">
        <x:v>0</x:v>
      </x:c>
      <x:c r="M179" s="677">
        <x:v>0</x:v>
      </x:c>
      <x:c r="N179" s="677">
        <x:v>0</x:v>
      </x:c>
      <x:c r="O179" s="677">
        <x:v>0</x:v>
      </x:c>
      <x:c r="P179" s="677">
        <x:v>0</x:v>
      </x:c>
      <x:c r="Q179" s="677">
        <x:v>0</x:v>
      </x:c>
      <x:c r="R179" s="677">
        <x:v>0</x:v>
      </x:c>
      <x:c r="S179" s="628"/>
      <x:c r="T179" s="628"/>
      <x:c r="U179" s="628"/>
      <x:c r="V179" s="628"/>
      <x:c r="W179" s="628"/>
      <x:c r="X179" s="628"/>
      <x:c r="Y179" s="628"/>
      <x:c r="Z179" s="624"/>
    </x:row>
    <x:row r="180" spans="1:26" x14ac:dyDescent="0.25">
      <x:c r="C180" s="625"/>
      <x:c r="D180" s="625" t="s">
        <x:v>73</x:v>
      </x:c>
      <x:c r="E180" s="627">
        <x:v>0</x:v>
      </x:c>
      <x:c r="F180" s="627">
        <x:v>0</x:v>
      </x:c>
      <x:c r="G180" s="627">
        <x:v>0</x:v>
      </x:c>
      <x:c r="H180" s="627">
        <x:v>0</x:v>
      </x:c>
      <x:c r="I180" s="627">
        <x:v>0</x:v>
      </x:c>
      <x:c r="J180" s="627">
        <x:v>0</x:v>
      </x:c>
      <x:c r="K180" s="627">
        <x:v>0</x:v>
      </x:c>
      <x:c r="L180" s="627">
        <x:v>0</x:v>
      </x:c>
      <x:c r="M180" s="627">
        <x:v>0</x:v>
      </x:c>
      <x:c r="N180" s="627">
        <x:v>0</x:v>
      </x:c>
      <x:c r="O180" s="627">
        <x:v>0</x:v>
      </x:c>
      <x:c r="P180" s="627">
        <x:v>0</x:v>
      </x:c>
      <x:c r="Q180" s="627">
        <x:v>0</x:v>
      </x:c>
      <x:c r="R180" s="653">
        <x:v>0</x:v>
      </x:c>
      <x:c r="Z180" s="624"/>
    </x:row>
    <x:row r="181" spans="1:26" x14ac:dyDescent="0.25">
      <x:c r="C181" s="25" t="s">
        <x:v>82</x:v>
      </x:c>
      <x:c r="D181" s="25" t="s">
        <x:v>70</x:v>
      </x:c>
      <x:c r="E181" s="653">
        <x:v>0</x:v>
      </x:c>
      <x:c r="F181" s="653">
        <x:v>0</x:v>
      </x:c>
      <x:c r="G181" s="653">
        <x:v>0</x:v>
      </x:c>
      <x:c r="H181" s="653">
        <x:v>0</x:v>
      </x:c>
      <x:c r="I181" s="653">
        <x:v>0</x:v>
      </x:c>
      <x:c r="J181" s="653">
        <x:v>0</x:v>
      </x:c>
      <x:c r="K181" s="653">
        <x:v>0</x:v>
      </x:c>
      <x:c r="L181" s="653">
        <x:v>0</x:v>
      </x:c>
      <x:c r="M181" s="653">
        <x:v>0</x:v>
      </x:c>
      <x:c r="N181" s="653">
        <x:v>0</x:v>
      </x:c>
      <x:c r="O181" s="653">
        <x:v>0</x:v>
      </x:c>
      <x:c r="P181" s="653">
        <x:v>0</x:v>
      </x:c>
      <x:c r="Q181" s="653">
        <x:v>0</x:v>
      </x:c>
      <x:c r="R181" s="653">
        <x:v>0</x:v>
      </x:c>
      <x:c r="Z181" s="624"/>
    </x:row>
    <x:row r="182" spans="1:26" x14ac:dyDescent="0.25">
      <x:c r="D182" s="25" t="s">
        <x:v>73</x:v>
      </x:c>
      <x:c r="E182" s="653">
        <x:v>0</x:v>
      </x:c>
      <x:c r="F182" s="653">
        <x:v>0</x:v>
      </x:c>
      <x:c r="G182" s="653">
        <x:v>0</x:v>
      </x:c>
      <x:c r="H182" s="653">
        <x:v>0</x:v>
      </x:c>
      <x:c r="I182" s="653">
        <x:v>0</x:v>
      </x:c>
      <x:c r="J182" s="653">
        <x:v>0</x:v>
      </x:c>
      <x:c r="K182" s="653">
        <x:v>0</x:v>
      </x:c>
      <x:c r="L182" s="653">
        <x:v>0</x:v>
      </x:c>
      <x:c r="M182" s="653">
        <x:v>0</x:v>
      </x:c>
      <x:c r="N182" s="653">
        <x:v>0</x:v>
      </x:c>
      <x:c r="O182" s="653">
        <x:v>0</x:v>
      </x:c>
      <x:c r="P182" s="653">
        <x:v>0</x:v>
      </x:c>
      <x:c r="Q182" s="653">
        <x:v>0</x:v>
      </x:c>
      <x:c r="R182" s="653">
        <x:v>0</x:v>
      </x:c>
      <x:c r="Z182" s="624"/>
    </x:row>
    <x:row r="183" spans="1:26" x14ac:dyDescent="0.25">
      <x:c r="C183" s="25" t="s">
        <x:v>86</x:v>
      </x:c>
      <x:c r="D183" s="25" t="s">
        <x:v>70</x:v>
      </x:c>
      <x:c r="E183" s="653">
        <x:v>0</x:v>
      </x:c>
      <x:c r="F183" s="653">
        <x:v>0</x:v>
      </x:c>
      <x:c r="G183" s="653">
        <x:v>0</x:v>
      </x:c>
      <x:c r="H183" s="653">
        <x:v>0</x:v>
      </x:c>
      <x:c r="I183" s="653">
        <x:v>0</x:v>
      </x:c>
      <x:c r="J183" s="653">
        <x:v>0</x:v>
      </x:c>
      <x:c r="K183" s="653">
        <x:v>0</x:v>
      </x:c>
      <x:c r="L183" s="653">
        <x:v>0</x:v>
      </x:c>
      <x:c r="M183" s="653">
        <x:v>0</x:v>
      </x:c>
      <x:c r="N183" s="653">
        <x:v>0</x:v>
      </x:c>
      <x:c r="O183" s="653">
        <x:v>0</x:v>
      </x:c>
      <x:c r="P183" s="653">
        <x:v>0</x:v>
      </x:c>
      <x:c r="Q183" s="653">
        <x:v>0</x:v>
      </x:c>
      <x:c r="R183" s="653">
        <x:v>0</x:v>
      </x:c>
      <x:c r="Z183" s="624"/>
    </x:row>
    <x:row r="184" spans="1:26" x14ac:dyDescent="0.25">
      <x:c r="D184" s="625" t="s">
        <x:v>73</x:v>
      </x:c>
      <x:c r="E184" s="627">
        <x:v>0</x:v>
      </x:c>
      <x:c r="F184" s="627">
        <x:v>0</x:v>
      </x:c>
      <x:c r="G184" s="627">
        <x:v>0</x:v>
      </x:c>
      <x:c r="H184" s="627">
        <x:v>0</x:v>
      </x:c>
      <x:c r="I184" s="627">
        <x:v>0</x:v>
      </x:c>
      <x:c r="J184" s="627">
        <x:v>0</x:v>
      </x:c>
      <x:c r="K184" s="627">
        <x:v>0</x:v>
      </x:c>
      <x:c r="L184" s="627">
        <x:v>0</x:v>
      </x:c>
      <x:c r="M184" s="627">
        <x:v>0</x:v>
      </x:c>
      <x:c r="N184" s="627">
        <x:v>0</x:v>
      </x:c>
      <x:c r="O184" s="627">
        <x:v>0</x:v>
      </x:c>
      <x:c r="P184" s="627">
        <x:v>0</x:v>
      </x:c>
      <x:c r="Q184" s="627">
        <x:v>0</x:v>
      </x:c>
      <x:c r="R184" s="653">
        <x:v>0</x:v>
      </x:c>
      <x:c r="Z184" s="624"/>
    </x:row>
    <x:row r="185" spans="1:26" x14ac:dyDescent="0.25">
      <x:c r="C185" s="25" t="s">
        <x:v>87</x:v>
      </x:c>
      <x:c r="D185" s="625" t="s">
        <x:v>70</x:v>
      </x:c>
      <x:c r="E185" s="627">
        <x:v>0</x:v>
      </x:c>
      <x:c r="F185" s="627">
        <x:v>0</x:v>
      </x:c>
      <x:c r="G185" s="627">
        <x:v>0</x:v>
      </x:c>
      <x:c r="H185" s="627">
        <x:v>0</x:v>
      </x:c>
      <x:c r="I185" s="627">
        <x:v>0</x:v>
      </x:c>
      <x:c r="J185" s="627">
        <x:v>0</x:v>
      </x:c>
      <x:c r="K185" s="627">
        <x:v>0</x:v>
      </x:c>
      <x:c r="L185" s="627">
        <x:v>0</x:v>
      </x:c>
      <x:c r="M185" s="627">
        <x:v>0</x:v>
      </x:c>
      <x:c r="N185" s="627">
        <x:v>0</x:v>
      </x:c>
      <x:c r="O185" s="627">
        <x:v>0</x:v>
      </x:c>
      <x:c r="P185" s="627">
        <x:v>0</x:v>
      </x:c>
      <x:c r="Q185" s="627">
        <x:v>0</x:v>
      </x:c>
      <x:c r="R185" s="653">
        <x:v>0</x:v>
      </x:c>
      <x:c r="Z185" s="624"/>
    </x:row>
    <x:row r="186" spans="1:26" x14ac:dyDescent="0.25">
      <x:c r="A186" s="631"/>
      <x:c r="B186" s="632" t="s">
        <x:v>119</x:v>
      </x:c>
      <x:c r="C186" s="632" t="s">
        <x:v>70</x:v>
      </x:c>
      <x:c r="D186" s="631"/>
      <x:c r="E186" s="633">
        <x:v>0</x:v>
      </x:c>
      <x:c r="F186" s="633">
        <x:v>0</x:v>
      </x:c>
      <x:c r="G186" s="633">
        <x:v>0</x:v>
      </x:c>
      <x:c r="H186" s="633">
        <x:v>0</x:v>
      </x:c>
      <x:c r="I186" s="633">
        <x:v>0</x:v>
      </x:c>
      <x:c r="J186" s="633">
        <x:v>0</x:v>
      </x:c>
      <x:c r="K186" s="633">
        <x:v>0</x:v>
      </x:c>
      <x:c r="L186" s="633">
        <x:v>0</x:v>
      </x:c>
      <x:c r="M186" s="633">
        <x:v>0</x:v>
      </x:c>
      <x:c r="N186" s="633">
        <x:v>0</x:v>
      </x:c>
      <x:c r="O186" s="633">
        <x:v>0</x:v>
      </x:c>
      <x:c r="P186" s="633">
        <x:v>0</x:v>
      </x:c>
      <x:c r="Q186" s="633">
        <x:v>0</x:v>
      </x:c>
      <x:c r="R186" s="678">
        <x:v>0</x:v>
      </x:c>
      <x:c r="S186" s="631"/>
      <x:c r="T186" s="631"/>
      <x:c r="U186" s="631"/>
      <x:c r="V186" s="631"/>
      <x:c r="W186" s="631"/>
      <x:c r="X186" s="631"/>
      <x:c r="Y186" s="631"/>
      <x:c r="Z186" s="624"/>
    </x:row>
    <x:row r="187" spans="1:26" x14ac:dyDescent="0.25">
      <x:c r="A187" s="639" t="s">
        <x:v>79</x:v>
      </x:c>
      <x:c r="B187" s="639" t="s">
        <x:v>70</x:v>
      </x:c>
      <x:c r="C187" s="638"/>
      <x:c r="D187" s="638"/>
      <x:c r="E187" s="640">
        <x:v>0</x:v>
      </x:c>
      <x:c r="F187" s="640">
        <x:v>0</x:v>
      </x:c>
      <x:c r="G187" s="640">
        <x:v>0</x:v>
      </x:c>
      <x:c r="H187" s="640">
        <x:v>0</x:v>
      </x:c>
      <x:c r="I187" s="640">
        <x:v>0</x:v>
      </x:c>
      <x:c r="J187" s="640">
        <x:v>0</x:v>
      </x:c>
      <x:c r="K187" s="640">
        <x:v>0</x:v>
      </x:c>
      <x:c r="L187" s="640">
        <x:v>0</x:v>
      </x:c>
      <x:c r="M187" s="640">
        <x:v>0</x:v>
      </x:c>
      <x:c r="N187" s="640">
        <x:v>0</x:v>
      </x:c>
      <x:c r="O187" s="640">
        <x:v>0</x:v>
      </x:c>
      <x:c r="P187" s="640">
        <x:v>0</x:v>
      </x:c>
      <x:c r="Q187" s="640">
        <x:v>0</x:v>
      </x:c>
      <x:c r="R187" s="679">
        <x:v>0</x:v>
      </x:c>
      <x:c r="S187" s="638"/>
      <x:c r="T187" s="638"/>
      <x:c r="U187" s="638"/>
      <x:c r="V187" s="638"/>
      <x:c r="W187" s="638"/>
      <x:c r="X187" s="638"/>
      <x:c r="Y187" s="638"/>
      <x:c r="Z187" s="624"/>
    </x:row>
    <x:row r="188" spans="1:26" x14ac:dyDescent="0.25">
      <x:c r="A188" s="625" t="s">
        <x:v>70</x:v>
      </x:c>
      <x:c r="E188" s="627">
        <x:v>0</x:v>
      </x:c>
      <x:c r="F188" s="627">
        <x:v>0</x:v>
      </x:c>
      <x:c r="G188" s="627">
        <x:v>0</x:v>
      </x:c>
      <x:c r="H188" s="627">
        <x:v>0</x:v>
      </x:c>
      <x:c r="I188" s="627">
        <x:v>0</x:v>
      </x:c>
      <x:c r="J188" s="627">
        <x:v>0</x:v>
      </x:c>
      <x:c r="K188" s="627">
        <x:v>0</x:v>
      </x:c>
      <x:c r="L188" s="627">
        <x:v>0</x:v>
      </x:c>
      <x:c r="M188" s="627">
        <x:v>0</x:v>
      </x:c>
      <x:c r="N188" s="627">
        <x:v>0</x:v>
      </x:c>
      <x:c r="O188" s="627">
        <x:v>0</x:v>
      </x:c>
      <x:c r="P188" s="627">
        <x:v>0</x:v>
      </x:c>
      <x:c r="Q188" s="627">
        <x:v>0</x:v>
      </x:c>
      <x:c r="R188" s="653">
        <x:v>0</x:v>
      </x:c>
      <x:c r="Z188" s="624"/>
    </x:row>
    <x:row r="189" spans="1:26" x14ac:dyDescent="0.25">
      <x:c r="A189" s="625"/>
      <x:c r="E189" s="627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Z189" s="624"/>
    </x:row>
    <x:row r="190" spans="1:26" x14ac:dyDescent="0.25">
      <x:c r="A190" s="625"/>
      <x:c r="E190" s="627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Z190" s="624"/>
    </x:row>
    <x:row r="191" spans="1:26" x14ac:dyDescent="0.25">
      <x:c r="A191" s="625"/>
      <x:c r="E191" s="627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Z191" s="624"/>
    </x:row>
    <x:row r="192" spans="1:26" x14ac:dyDescent="0.25">
      <x:c r="A192" s="625"/>
      <x:c r="E192" s="627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Z192" s="624"/>
    </x:row>
    <x:row r="193" spans="1:26" x14ac:dyDescent="0.25">
      <x:c r="A193" s="625"/>
      <x:c r="E193" s="627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Z193" s="624"/>
    </x:row>
    <x:row r="194" spans="1:26" x14ac:dyDescent="0.25">
      <x:c r="A194" s="625"/>
      <x:c r="E194" s="627"/>
      <x:c r="F194" s="627"/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Z194" s="624"/>
    </x:row>
    <x:row r="195" spans="1:26" x14ac:dyDescent="0.25">
      <x:c r="A195" s="625"/>
      <x:c r="E195" s="627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Z195" s="624"/>
    </x:row>
    <x:row r="196" spans="1:26" x14ac:dyDescent="0.25">
      <x:c r="A196" s="625"/>
      <x:c r="E196" s="627"/>
      <x:c r="F196" s="627"/>
      <x:c r="G196" s="627"/>
      <x:c r="H196" s="627"/>
      <x:c r="I196" s="627"/>
      <x:c r="J196" s="627"/>
      <x:c r="K196" s="627"/>
      <x:c r="L196" s="627"/>
      <x:c r="M196" s="627"/>
      <x:c r="N196" s="627"/>
      <x:c r="O196" s="627"/>
      <x:c r="P196" s="627"/>
      <x:c r="Q196" s="627"/>
      <x:c r="Z196" s="624"/>
    </x:row>
    <x:row r="197" spans="1:26" x14ac:dyDescent="0.25">
      <x:c r="A197" s="625"/>
      <x:c r="E197" s="627"/>
      <x:c r="F197" s="627"/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Z197" s="624"/>
    </x:row>
    <x:row r="198" spans="1:26" x14ac:dyDescent="0.25">
      <x:c r="A198" s="625"/>
      <x:c r="E198" s="627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Z198" s="624"/>
    </x:row>
    <x:row r="199" spans="1:26" x14ac:dyDescent="0.25">
      <x:c r="A199" s="625"/>
      <x:c r="E199" s="627"/>
      <x:c r="F199" s="627"/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Z199" s="624"/>
    </x:row>
    <x:row r="200" spans="1:26" x14ac:dyDescent="0.25">
      <x:c r="A200" s="625"/>
      <x:c r="E200" s="627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Z200" s="624"/>
    </x:row>
    <x:row r="201" spans="1:26" x14ac:dyDescent="0.25">
      <x:c r="A201" s="625"/>
      <x:c r="E201" s="627"/>
      <x:c r="F201" s="627"/>
      <x:c r="G201" s="627"/>
      <x:c r="H201" s="627"/>
      <x:c r="I201" s="627"/>
      <x:c r="J201" s="627"/>
      <x:c r="K201" s="627"/>
      <x:c r="L201" s="627"/>
      <x:c r="M201" s="627"/>
      <x:c r="N201" s="627"/>
      <x:c r="O201" s="627"/>
      <x:c r="P201" s="627"/>
      <x:c r="Q201" s="627"/>
      <x:c r="Z201" s="624"/>
    </x:row>
    <x:row r="202" spans="1:26" x14ac:dyDescent="0.25">
      <x:c r="A202" s="625"/>
      <x:c r="E202" s="627"/>
      <x:c r="F202" s="627"/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Z202" s="624"/>
    </x:row>
    <x:row r="203" spans="1:26" x14ac:dyDescent="0.25">
      <x:c r="A203" s="625"/>
      <x:c r="E203" s="627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Z203" s="624"/>
    </x:row>
    <x:row r="204" spans="1:26" x14ac:dyDescent="0.25">
      <x:c r="A204" s="625"/>
      <x:c r="E204" s="627"/>
      <x:c r="F204" s="627"/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Z204" s="624"/>
    </x:row>
    <x:row r="205" spans="1:26" x14ac:dyDescent="0.25">
      <x:c r="A205" s="625"/>
      <x:c r="E205" s="627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Z205" s="624"/>
    </x:row>
    <x:row r="206" spans="1:26" x14ac:dyDescent="0.25">
      <x:c r="A206" s="625"/>
      <x:c r="E206" s="627"/>
      <x:c r="F206" s="627"/>
      <x:c r="G206" s="627"/>
      <x:c r="H206" s="627"/>
      <x:c r="I206" s="627"/>
      <x:c r="J206" s="627"/>
      <x:c r="K206" s="627"/>
      <x:c r="L206" s="627"/>
      <x:c r="M206" s="627"/>
      <x:c r="N206" s="627"/>
      <x:c r="O206" s="627"/>
      <x:c r="P206" s="627"/>
      <x:c r="Q206" s="627"/>
      <x:c r="Z206" s="624"/>
    </x:row>
    <x:row r="207" spans="1:26" x14ac:dyDescent="0.25">
      <x:c r="A207" s="625"/>
      <x:c r="E207" s="627"/>
      <x:c r="F207" s="627"/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Z207" s="624"/>
    </x:row>
    <x:row r="208" spans="1:26" x14ac:dyDescent="0.25">
      <x:c r="A208" s="625"/>
      <x:c r="E208" s="627"/>
      <x:c r="F208" s="627"/>
      <x:c r="G208" s="627"/>
      <x:c r="H208" s="627"/>
      <x:c r="I208" s="627"/>
      <x:c r="J208" s="627"/>
      <x:c r="K208" s="627"/>
      <x:c r="L208" s="627"/>
      <x:c r="M208" s="627"/>
      <x:c r="N208" s="627"/>
      <x:c r="O208" s="627"/>
      <x:c r="P208" s="627"/>
      <x:c r="Q208" s="627"/>
      <x:c r="Z208" s="624"/>
    </x:row>
    <x:row r="209" spans="1:26" x14ac:dyDescent="0.25">
      <x:c r="A209" s="625"/>
      <x:c r="E209" s="627"/>
      <x:c r="F209" s="627"/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Z209" s="624"/>
    </x:row>
    <x:row r="210" spans="1:26" x14ac:dyDescent="0.25">
      <x:c r="A210" s="625"/>
      <x:c r="E210" s="627"/>
      <x:c r="F210" s="627"/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Z210" s="624"/>
    </x:row>
    <x:row r="211" spans="1:26" x14ac:dyDescent="0.25">
      <x:c r="A211" s="625"/>
      <x:c r="E211" s="627"/>
      <x:c r="F211" s="627"/>
      <x:c r="G211" s="627"/>
      <x:c r="H211" s="627"/>
      <x:c r="I211" s="627"/>
      <x:c r="J211" s="627"/>
      <x:c r="K211" s="627"/>
      <x:c r="L211" s="627"/>
      <x:c r="M211" s="627"/>
      <x:c r="N211" s="627"/>
      <x:c r="O211" s="627"/>
      <x:c r="P211" s="627"/>
      <x:c r="Q211" s="627"/>
      <x:c r="Z211" s="624"/>
    </x:row>
    <x:row r="212" spans="1:26" x14ac:dyDescent="0.25">
      <x:c r="A212" s="625"/>
      <x:c r="E212" s="627"/>
      <x:c r="F212" s="627"/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Z212" s="624"/>
    </x:row>
    <x:row r="213" spans="1:26" x14ac:dyDescent="0.25">
      <x:c r="A213" s="625"/>
      <x:c r="E213" s="627"/>
      <x:c r="F213" s="627"/>
      <x:c r="G213" s="627"/>
      <x:c r="H213" s="627"/>
      <x:c r="I213" s="627"/>
      <x:c r="J213" s="627"/>
      <x:c r="K213" s="627"/>
      <x:c r="L213" s="627"/>
      <x:c r="M213" s="627"/>
      <x:c r="N213" s="627"/>
      <x:c r="O213" s="627"/>
      <x:c r="P213" s="627"/>
      <x:c r="Q213" s="627"/>
      <x:c r="Z213" s="624"/>
    </x:row>
    <x:row r="214" spans="1:26" x14ac:dyDescent="0.25">
      <x:c r="A214" s="625"/>
      <x:c r="E214" s="627"/>
      <x:c r="F214" s="627"/>
      <x:c r="G214" s="627"/>
      <x:c r="H214" s="627"/>
      <x:c r="I214" s="627"/>
      <x:c r="J214" s="627"/>
      <x:c r="K214" s="627"/>
      <x:c r="L214" s="627"/>
      <x:c r="M214" s="627"/>
      <x:c r="N214" s="627"/>
      <x:c r="O214" s="627"/>
      <x:c r="P214" s="627"/>
      <x:c r="Q214" s="627"/>
      <x:c r="Z214" s="624"/>
    </x:row>
    <x:row r="215" spans="1:26" x14ac:dyDescent="0.25">
      <x:c r="A215" s="625"/>
      <x:c r="E215" s="627"/>
      <x:c r="F215" s="627"/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Z215" s="624"/>
    </x:row>
    <x:row r="216" spans="1:26" x14ac:dyDescent="0.25">
      <x:c r="A216" s="625"/>
      <x:c r="E216" s="627"/>
      <x:c r="F216" s="627"/>
      <x:c r="G216" s="627"/>
      <x:c r="H216" s="627"/>
      <x:c r="I216" s="627"/>
      <x:c r="J216" s="627"/>
      <x:c r="K216" s="627"/>
      <x:c r="L216" s="627"/>
      <x:c r="M216" s="627"/>
      <x:c r="N216" s="627"/>
      <x:c r="O216" s="627"/>
      <x:c r="P216" s="627"/>
      <x:c r="Q216" s="627"/>
      <x:c r="Z216" s="624"/>
    </x:row>
    <x:row r="217" spans="1:26" x14ac:dyDescent="0.25">
      <x:c r="A217" s="625"/>
      <x:c r="E217" s="627"/>
      <x:c r="F217" s="627"/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Z217" s="624"/>
    </x:row>
    <x:row r="218" spans="1:26" x14ac:dyDescent="0.25">
      <x:c r="A218" s="625"/>
      <x:c r="E218" s="627"/>
      <x:c r="F218" s="627"/>
      <x:c r="G218" s="627"/>
      <x:c r="H218" s="627"/>
      <x:c r="I218" s="627"/>
      <x:c r="J218" s="627"/>
      <x:c r="K218" s="627"/>
      <x:c r="L218" s="627"/>
      <x:c r="M218" s="627"/>
      <x:c r="N218" s="627"/>
      <x:c r="O218" s="627"/>
      <x:c r="P218" s="627"/>
      <x:c r="Q218" s="627"/>
      <x:c r="Z218" s="624"/>
    </x:row>
    <x:row r="219" spans="1:26" x14ac:dyDescent="0.25">
      <x:c r="A219" s="625"/>
      <x:c r="E219" s="627"/>
      <x:c r="F219" s="627"/>
      <x:c r="G219" s="627"/>
      <x:c r="H219" s="627"/>
      <x:c r="I219" s="627"/>
      <x:c r="J219" s="627"/>
      <x:c r="K219" s="627"/>
      <x:c r="L219" s="627"/>
      <x:c r="M219" s="627"/>
      <x:c r="N219" s="627"/>
      <x:c r="O219" s="627"/>
      <x:c r="P219" s="627"/>
      <x:c r="Q219" s="627"/>
      <x:c r="Z219" s="624"/>
    </x:row>
    <x:row r="220" spans="1:26" x14ac:dyDescent="0.25">
      <x:c r="C220" s="625"/>
      <x:c r="D220" s="625"/>
      <x:c r="E220" s="627"/>
      <x:c r="F220" s="627"/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Z220" s="624"/>
    </x:row>
    <x:row r="221" spans="1:26" x14ac:dyDescent="0.25">
      <x:c r="D221" s="625"/>
      <x:c r="E221" s="627"/>
      <x:c r="F221" s="627"/>
      <x:c r="G221" s="627"/>
      <x:c r="H221" s="627"/>
      <x:c r="I221" s="627"/>
      <x:c r="J221" s="627"/>
      <x:c r="K221" s="627"/>
      <x:c r="L221" s="627"/>
      <x:c r="M221" s="627"/>
      <x:c r="N221" s="627"/>
      <x:c r="O221" s="627"/>
      <x:c r="P221" s="627"/>
      <x:c r="Q221" s="627"/>
      <x:c r="R221" s="627"/>
      <x:c r="Z221" s="624"/>
    </x:row>
    <x:row r="222" spans="1:26" x14ac:dyDescent="0.25">
      <x:c r="C222" s="625"/>
      <x:c r="D222" s="625"/>
      <x:c r="E222" s="627"/>
      <x:c r="F222" s="627"/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Z222" s="624"/>
    </x:row>
    <x:row r="223" spans="1:26" x14ac:dyDescent="0.25">
      <x:c r="D223" s="625"/>
      <x:c r="E223" s="627"/>
      <x:c r="F223" s="627"/>
      <x:c r="G223" s="627"/>
      <x:c r="H223" s="627"/>
      <x:c r="I223" s="627"/>
      <x:c r="J223" s="627"/>
      <x:c r="K223" s="627"/>
      <x:c r="L223" s="627"/>
      <x:c r="M223" s="627"/>
      <x:c r="N223" s="627"/>
      <x:c r="O223" s="627"/>
      <x:c r="P223" s="627"/>
      <x:c r="Q223" s="627"/>
      <x:c r="R223" s="627"/>
      <x:c r="Z223" s="624"/>
    </x:row>
    <x:row r="224" spans="1:26" x14ac:dyDescent="0.25">
      <x:c r="C224" s="625"/>
      <x:c r="D224" s="625"/>
      <x:c r="E224" s="627"/>
      <x:c r="F224" s="627"/>
      <x:c r="G224" s="627"/>
      <x:c r="H224" s="627"/>
      <x:c r="I224" s="627"/>
      <x:c r="J224" s="627"/>
      <x:c r="K224" s="627"/>
      <x:c r="L224" s="627"/>
      <x:c r="M224" s="627"/>
      <x:c r="N224" s="627"/>
      <x:c r="O224" s="627"/>
      <x:c r="P224" s="627"/>
      <x:c r="Q224" s="627"/>
      <x:c r="R224" s="627"/>
      <x:c r="Z224" s="624"/>
    </x:row>
    <x:row r="225" spans="1:26" x14ac:dyDescent="0.25">
      <x:c r="B225" s="625"/>
      <x:c r="C225" s="625"/>
      <x:c r="E225" s="627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Z225" s="624"/>
    </x:row>
    <x:row r="226" spans="1:26" x14ac:dyDescent="0.25">
      <x:c r="A226" s="625"/>
      <x:c r="B226" s="625"/>
      <x:c r="E226" s="627"/>
      <x:c r="F226" s="627"/>
      <x:c r="G226" s="627"/>
      <x:c r="H226" s="627"/>
      <x:c r="I226" s="627"/>
      <x:c r="J226" s="627"/>
      <x:c r="K226" s="627"/>
      <x:c r="L226" s="627"/>
      <x:c r="M226" s="627"/>
      <x:c r="N226" s="627"/>
      <x:c r="O226" s="627"/>
      <x:c r="P226" s="627"/>
      <x:c r="Q226" s="627"/>
      <x:c r="R226" s="627"/>
      <x:c r="Z226" s="624"/>
    </x:row>
    <x:row r="227" spans="1:26" x14ac:dyDescent="0.25">
      <x:c r="A227" s="625"/>
      <x:c r="E227" s="627"/>
      <x:c r="F227" s="627"/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R227" s="627"/>
      <x:c r="Z227" s="624"/>
    </x:row>
    <x:row r="228" spans="1:26" x14ac:dyDescent="0.25">
      <x:c r="A228" s="625"/>
      <x:c r="E228" s="627"/>
      <x:c r="F228" s="627"/>
      <x:c r="G228" s="627"/>
      <x:c r="H228" s="627"/>
      <x:c r="I228" s="627"/>
      <x:c r="J228" s="627"/>
      <x:c r="K228" s="627"/>
      <x:c r="L228" s="627"/>
      <x:c r="M228" s="627"/>
      <x:c r="N228" s="627"/>
      <x:c r="O228" s="627"/>
      <x:c r="P228" s="627"/>
      <x:c r="Q228" s="627"/>
      <x:c r="Z228" s="624"/>
    </x:row>
    <x:row r="229" spans="1:26" x14ac:dyDescent="0.25">
      <x:c r="A229" s="625"/>
      <x:c r="E229" s="627"/>
      <x:c r="F229" s="627"/>
      <x:c r="G229" s="627"/>
      <x:c r="H229" s="627"/>
      <x:c r="I229" s="627"/>
      <x:c r="J229" s="627"/>
      <x:c r="K229" s="627"/>
      <x:c r="L229" s="627"/>
      <x:c r="M229" s="627"/>
      <x:c r="N229" s="627"/>
      <x:c r="O229" s="627"/>
      <x:c r="P229" s="627"/>
      <x:c r="Q229" s="627"/>
      <x:c r="Z229" s="624"/>
    </x:row>
    <x:row r="230" spans="1:26" x14ac:dyDescent="0.25">
      <x:c r="A230" s="625"/>
      <x:c r="E230" s="627"/>
      <x:c r="F230" s="627"/>
      <x:c r="G230" s="627"/>
      <x:c r="H230" s="627"/>
      <x:c r="I230" s="627"/>
      <x:c r="J230" s="627"/>
      <x:c r="K230" s="627"/>
      <x:c r="L230" s="627"/>
      <x:c r="M230" s="627"/>
      <x:c r="N230" s="627"/>
      <x:c r="O230" s="627"/>
      <x:c r="P230" s="627"/>
      <x:c r="Q230" s="627"/>
      <x:c r="Z230" s="624"/>
    </x:row>
    <x:row r="231" spans="1:26" x14ac:dyDescent="0.25">
      <x:c r="A231" s="625"/>
      <x:c r="E231" s="627"/>
      <x:c r="F231" s="627"/>
      <x:c r="G231" s="627"/>
      <x:c r="H231" s="627"/>
      <x:c r="I231" s="627"/>
      <x:c r="J231" s="627"/>
      <x:c r="K231" s="627"/>
      <x:c r="L231" s="627"/>
      <x:c r="M231" s="627"/>
      <x:c r="N231" s="627"/>
      <x:c r="O231" s="627"/>
      <x:c r="P231" s="627"/>
      <x:c r="Q231" s="627"/>
      <x:c r="Z231" s="624"/>
    </x:row>
    <x:row r="232" spans="1:26" x14ac:dyDescent="0.25">
      <x:c r="A232" s="625"/>
      <x:c r="E232" s="627"/>
      <x:c r="F232" s="627"/>
      <x:c r="G232" s="627"/>
      <x:c r="H232" s="627"/>
      <x:c r="I232" s="627"/>
      <x:c r="J232" s="627"/>
      <x:c r="K232" s="627"/>
      <x:c r="L232" s="627"/>
      <x:c r="M232" s="627"/>
      <x:c r="N232" s="627"/>
      <x:c r="O232" s="627"/>
      <x:c r="P232" s="627"/>
      <x:c r="Q232" s="627"/>
      <x:c r="Z232" s="624"/>
    </x:row>
    <x:row r="233" spans="1:26" x14ac:dyDescent="0.25">
      <x:c r="A233" s="625"/>
      <x:c r="E233" s="627"/>
      <x:c r="F233" s="627"/>
      <x:c r="G233" s="627"/>
      <x:c r="H233" s="627"/>
      <x:c r="I233" s="627"/>
      <x:c r="J233" s="627"/>
      <x:c r="K233" s="627"/>
      <x:c r="L233" s="627"/>
      <x:c r="M233" s="627"/>
      <x:c r="N233" s="627"/>
      <x:c r="O233" s="627"/>
      <x:c r="P233" s="627"/>
      <x:c r="Q233" s="627"/>
      <x:c r="Z233" s="624"/>
    </x:row>
    <x:row r="234" spans="1:26" x14ac:dyDescent="0.25">
      <x:c r="A234" s="625"/>
      <x:c r="E234" s="627"/>
      <x:c r="F234" s="627"/>
      <x:c r="G234" s="627"/>
      <x:c r="H234" s="627"/>
      <x:c r="I234" s="627"/>
      <x:c r="J234" s="627"/>
      <x:c r="K234" s="627"/>
      <x:c r="L234" s="627"/>
      <x:c r="M234" s="627"/>
      <x:c r="N234" s="627"/>
      <x:c r="O234" s="627"/>
      <x:c r="P234" s="627"/>
      <x:c r="Q234" s="627"/>
      <x:c r="Z234" s="624"/>
    </x:row>
    <x:row r="235" spans="1:26" x14ac:dyDescent="0.25">
      <x:c r="A235" s="625"/>
      <x:c r="E235" s="627"/>
      <x:c r="F235" s="627"/>
      <x:c r="G235" s="627"/>
      <x:c r="H235" s="627"/>
      <x:c r="I235" s="627"/>
      <x:c r="J235" s="627"/>
      <x:c r="K235" s="627"/>
      <x:c r="L235" s="627"/>
      <x:c r="M235" s="627"/>
      <x:c r="N235" s="627"/>
      <x:c r="O235" s="627"/>
      <x:c r="P235" s="627"/>
      <x:c r="Q235" s="627"/>
      <x:c r="Z235" s="624"/>
    </x:row>
    <x:row r="236" spans="1:26" x14ac:dyDescent="0.25">
      <x:c r="A236" s="625"/>
      <x:c r="E236" s="627"/>
      <x:c r="F236" s="627"/>
      <x:c r="G236" s="627"/>
      <x:c r="H236" s="627"/>
      <x:c r="I236" s="627"/>
      <x:c r="J236" s="627"/>
      <x:c r="K236" s="627"/>
      <x:c r="L236" s="627"/>
      <x:c r="M236" s="627"/>
      <x:c r="N236" s="627"/>
      <x:c r="O236" s="627"/>
      <x:c r="P236" s="627"/>
      <x:c r="Q236" s="627"/>
      <x:c r="Z236" s="624"/>
    </x:row>
    <x:row r="237" spans="1:26" x14ac:dyDescent="0.25">
      <x:c r="A237" s="625"/>
      <x:c r="E237" s="627"/>
      <x:c r="F237" s="627"/>
      <x:c r="G237" s="627"/>
      <x:c r="H237" s="627"/>
      <x:c r="I237" s="627"/>
      <x:c r="J237" s="627"/>
      <x:c r="K237" s="627"/>
      <x:c r="L237" s="627"/>
      <x:c r="M237" s="627"/>
      <x:c r="N237" s="627"/>
      <x:c r="O237" s="627"/>
      <x:c r="P237" s="627"/>
      <x:c r="Q237" s="627"/>
      <x:c r="Z237" s="624"/>
    </x:row>
    <x:row r="238" spans="1:26" x14ac:dyDescent="0.25">
      <x:c r="A238" s="625"/>
      <x:c r="E238" s="627"/>
      <x:c r="F238" s="627"/>
      <x:c r="G238" s="627"/>
      <x:c r="H238" s="627"/>
      <x:c r="I238" s="627"/>
      <x:c r="J238" s="627"/>
      <x:c r="K238" s="627"/>
      <x:c r="L238" s="627"/>
      <x:c r="M238" s="627"/>
      <x:c r="N238" s="627"/>
      <x:c r="O238" s="627"/>
      <x:c r="P238" s="627"/>
      <x:c r="Q238" s="627"/>
      <x:c r="Z238" s="624"/>
    </x:row>
    <x:row r="239" spans="1:26" x14ac:dyDescent="0.25">
      <x:c r="A239" s="625"/>
      <x:c r="E239" s="627"/>
      <x:c r="F239" s="627"/>
      <x:c r="G239" s="627"/>
      <x:c r="H239" s="627"/>
      <x:c r="I239" s="627"/>
      <x:c r="J239" s="627"/>
      <x:c r="K239" s="627"/>
      <x:c r="L239" s="627"/>
      <x:c r="M239" s="627"/>
      <x:c r="N239" s="627"/>
      <x:c r="O239" s="627"/>
      <x:c r="P239" s="627"/>
      <x:c r="Q239" s="627"/>
      <x:c r="Z239" s="624"/>
    </x:row>
    <x:row r="240" spans="1:26" x14ac:dyDescent="0.25">
      <x:c r="A240" s="625"/>
      <x:c r="E240" s="627"/>
      <x:c r="F240" s="627"/>
      <x:c r="G240" s="627"/>
      <x:c r="H240" s="627"/>
      <x:c r="I240" s="627"/>
      <x:c r="J240" s="627"/>
      <x:c r="K240" s="627"/>
      <x:c r="L240" s="627"/>
      <x:c r="M240" s="627"/>
      <x:c r="N240" s="627"/>
      <x:c r="O240" s="627"/>
      <x:c r="P240" s="627"/>
      <x:c r="Q240" s="627"/>
      <x:c r="Z240" s="624"/>
    </x:row>
    <x:row r="241" spans="1:26" x14ac:dyDescent="0.25">
      <x:c r="A241" s="625"/>
      <x:c r="E241" s="627"/>
      <x:c r="F241" s="627"/>
      <x:c r="G241" s="627"/>
      <x:c r="H241" s="627"/>
      <x:c r="I241" s="627"/>
      <x:c r="J241" s="627"/>
      <x:c r="K241" s="627"/>
      <x:c r="L241" s="627"/>
      <x:c r="M241" s="627"/>
      <x:c r="N241" s="627"/>
      <x:c r="O241" s="627"/>
      <x:c r="P241" s="627"/>
      <x:c r="Q241" s="627"/>
      <x:c r="Z241" s="624"/>
    </x:row>
    <x:row r="242" spans="1:26" x14ac:dyDescent="0.25">
      <x:c r="A242" s="625"/>
      <x:c r="E242" s="627"/>
      <x:c r="F242" s="627"/>
      <x:c r="G242" s="627"/>
      <x:c r="H242" s="627"/>
      <x:c r="I242" s="627"/>
      <x:c r="J242" s="627"/>
      <x:c r="K242" s="627"/>
      <x:c r="L242" s="627"/>
      <x:c r="M242" s="627"/>
      <x:c r="N242" s="627"/>
      <x:c r="O242" s="627"/>
      <x:c r="P242" s="627"/>
      <x:c r="Q242" s="627"/>
      <x:c r="Z242" s="624"/>
    </x:row>
    <x:row r="243" spans="1:26" x14ac:dyDescent="0.25">
      <x:c r="A243" s="625"/>
      <x:c r="E243" s="627"/>
      <x:c r="F243" s="627"/>
      <x:c r="G243" s="627"/>
      <x:c r="H243" s="627"/>
      <x:c r="I243" s="627"/>
      <x:c r="J243" s="627"/>
      <x:c r="K243" s="627"/>
      <x:c r="L243" s="627"/>
      <x:c r="M243" s="627"/>
      <x:c r="N243" s="627"/>
      <x:c r="O243" s="627"/>
      <x:c r="P243" s="627"/>
      <x:c r="Q243" s="627"/>
      <x:c r="Z243" s="624"/>
    </x:row>
    <x:row r="244" spans="1:26" x14ac:dyDescent="0.25">
      <x:c r="A244" s="625"/>
      <x:c r="E244" s="627"/>
      <x:c r="F244" s="627"/>
      <x:c r="G244" s="627"/>
      <x:c r="H244" s="627"/>
      <x:c r="I244" s="627"/>
      <x:c r="J244" s="627"/>
      <x:c r="K244" s="627"/>
      <x:c r="L244" s="627"/>
      <x:c r="M244" s="627"/>
      <x:c r="N244" s="627"/>
      <x:c r="O244" s="627"/>
      <x:c r="P244" s="627"/>
      <x:c r="Q244" s="627"/>
      <x:c r="Z244" s="624"/>
    </x:row>
    <x:row r="245" spans="1:26" x14ac:dyDescent="0.25">
      <x:c r="A245" s="625"/>
      <x:c r="E245" s="627"/>
      <x:c r="F245" s="627"/>
      <x:c r="G245" s="627"/>
      <x:c r="H245" s="627"/>
      <x:c r="I245" s="627"/>
      <x:c r="J245" s="627"/>
      <x:c r="K245" s="627"/>
      <x:c r="L245" s="627"/>
      <x:c r="M245" s="627"/>
      <x:c r="N245" s="627"/>
      <x:c r="O245" s="627"/>
      <x:c r="P245" s="627"/>
      <x:c r="Q245" s="627"/>
      <x:c r="Z245" s="624"/>
    </x:row>
    <x:row r="246" spans="1:26" x14ac:dyDescent="0.25">
      <x:c r="A246" s="625"/>
      <x:c r="E246" s="627"/>
      <x:c r="F246" s="627"/>
      <x:c r="G246" s="627"/>
      <x:c r="H246" s="627"/>
      <x:c r="I246" s="627"/>
      <x:c r="J246" s="627"/>
      <x:c r="K246" s="627"/>
      <x:c r="L246" s="627"/>
      <x:c r="M246" s="627"/>
      <x:c r="N246" s="627"/>
      <x:c r="O246" s="627"/>
      <x:c r="P246" s="627"/>
      <x:c r="Q246" s="627"/>
      <x:c r="Z246" s="624"/>
    </x:row>
    <x:row r="247" spans="1:26" x14ac:dyDescent="0.25">
      <x:c r="A247" s="625"/>
      <x:c r="E247" s="627"/>
      <x:c r="F247" s="627"/>
      <x:c r="G247" s="627"/>
      <x:c r="H247" s="627"/>
      <x:c r="I247" s="627"/>
      <x:c r="J247" s="627"/>
      <x:c r="K247" s="627"/>
      <x:c r="L247" s="627"/>
      <x:c r="M247" s="627"/>
      <x:c r="N247" s="627"/>
      <x:c r="O247" s="627"/>
      <x:c r="P247" s="627"/>
      <x:c r="Q247" s="627"/>
      <x:c r="Z247" s="624"/>
    </x:row>
    <x:row r="248" spans="1:26" x14ac:dyDescent="0.25">
      <x:c r="A248" s="625"/>
      <x:c r="E248" s="627"/>
      <x:c r="F248" s="627"/>
      <x:c r="G248" s="627"/>
      <x:c r="H248" s="627"/>
      <x:c r="I248" s="627"/>
      <x:c r="J248" s="627"/>
      <x:c r="K248" s="627"/>
      <x:c r="L248" s="627"/>
      <x:c r="M248" s="627"/>
      <x:c r="N248" s="627"/>
      <x:c r="O248" s="627"/>
      <x:c r="P248" s="627"/>
      <x:c r="Q248" s="627"/>
      <x:c r="Z248" s="624"/>
    </x:row>
    <x:row r="249" spans="1:26" x14ac:dyDescent="0.25">
      <x:c r="A249" s="625"/>
      <x:c r="E249" s="627"/>
      <x:c r="F249" s="627"/>
      <x:c r="G249" s="627"/>
      <x:c r="H249" s="627"/>
      <x:c r="I249" s="627"/>
      <x:c r="J249" s="627"/>
      <x:c r="K249" s="627"/>
      <x:c r="L249" s="627"/>
      <x:c r="M249" s="627"/>
      <x:c r="N249" s="627"/>
      <x:c r="O249" s="627"/>
      <x:c r="P249" s="627"/>
      <x:c r="Q249" s="627"/>
      <x:c r="Z249" s="624"/>
    </x:row>
    <x:row r="250" spans="1:26" x14ac:dyDescent="0.25">
      <x:c r="A250" s="625"/>
      <x:c r="E250" s="627"/>
      <x:c r="F250" s="627"/>
      <x:c r="G250" s="627"/>
      <x:c r="H250" s="627"/>
      <x:c r="I250" s="627"/>
      <x:c r="J250" s="627"/>
      <x:c r="K250" s="627"/>
      <x:c r="L250" s="627"/>
      <x:c r="M250" s="627"/>
      <x:c r="N250" s="627"/>
      <x:c r="O250" s="627"/>
      <x:c r="P250" s="627"/>
      <x:c r="Q250" s="627"/>
      <x:c r="Z250" s="624"/>
    </x:row>
    <x:row r="251" spans="1:26" x14ac:dyDescent="0.25">
      <x:c r="A251" s="625"/>
      <x:c r="E251" s="627"/>
      <x:c r="F251" s="627"/>
      <x:c r="G251" s="627"/>
      <x:c r="H251" s="627"/>
      <x:c r="I251" s="627"/>
      <x:c r="J251" s="627"/>
      <x:c r="K251" s="627"/>
      <x:c r="L251" s="627"/>
      <x:c r="M251" s="627"/>
      <x:c r="N251" s="627"/>
      <x:c r="O251" s="627"/>
      <x:c r="P251" s="627"/>
      <x:c r="Q251" s="627"/>
      <x:c r="Z251" s="624"/>
    </x:row>
    <x:row r="252" spans="1:26" x14ac:dyDescent="0.25">
      <x:c r="A252" s="625"/>
      <x:c r="E252" s="627"/>
      <x:c r="F252" s="627"/>
      <x:c r="G252" s="627"/>
      <x:c r="H252" s="627"/>
      <x:c r="I252" s="627"/>
      <x:c r="J252" s="627"/>
      <x:c r="K252" s="627"/>
      <x:c r="L252" s="627"/>
      <x:c r="M252" s="627"/>
      <x:c r="N252" s="627"/>
      <x:c r="O252" s="627"/>
      <x:c r="P252" s="627"/>
      <x:c r="Q252" s="627"/>
      <x:c r="Z252" s="624"/>
    </x:row>
    <x:row r="253" spans="1:26" x14ac:dyDescent="0.25">
      <x:c r="A253" s="625"/>
      <x:c r="E253" s="627"/>
      <x:c r="F253" s="627"/>
      <x:c r="G253" s="627"/>
      <x:c r="H253" s="627"/>
      <x:c r="I253" s="627"/>
      <x:c r="J253" s="627"/>
      <x:c r="K253" s="627"/>
      <x:c r="L253" s="627"/>
      <x:c r="M253" s="627"/>
      <x:c r="N253" s="627"/>
      <x:c r="O253" s="627"/>
      <x:c r="P253" s="627"/>
      <x:c r="Q253" s="627"/>
      <x:c r="Z253" s="624"/>
    </x:row>
    <x:row r="254" spans="1:26" x14ac:dyDescent="0.25">
      <x:c r="A254" s="625"/>
      <x:c r="E254" s="627"/>
      <x:c r="F254" s="627"/>
      <x:c r="G254" s="627"/>
      <x:c r="H254" s="627"/>
      <x:c r="I254" s="627"/>
      <x:c r="J254" s="627"/>
      <x:c r="K254" s="627"/>
      <x:c r="L254" s="627"/>
      <x:c r="M254" s="627"/>
      <x:c r="N254" s="627"/>
      <x:c r="O254" s="627"/>
      <x:c r="P254" s="627"/>
      <x:c r="Q254" s="627"/>
      <x:c r="Z254" s="624"/>
    </x:row>
    <x:row r="255" spans="1:26" x14ac:dyDescent="0.25">
      <x:c r="A255" s="625"/>
      <x:c r="E255" s="627"/>
      <x:c r="F255" s="627"/>
      <x:c r="G255" s="627"/>
      <x:c r="H255" s="627"/>
      <x:c r="I255" s="627"/>
      <x:c r="J255" s="627"/>
      <x:c r="K255" s="627"/>
      <x:c r="L255" s="627"/>
      <x:c r="M255" s="627"/>
      <x:c r="N255" s="627"/>
      <x:c r="O255" s="627"/>
      <x:c r="P255" s="627"/>
      <x:c r="Q255" s="627"/>
      <x:c r="Z255" s="624"/>
    </x:row>
    <x:row r="256" spans="1:26" x14ac:dyDescent="0.25">
      <x:c r="B256" s="773" t="s">
        <x:v>2</x:v>
      </x:c>
      <x:c r="C256" s="770" t="s">
        <x:v>132</x:v>
      </x:c>
      <x:c r="D256" s="639" t="s">
        <x:v>70</x:v>
      </x:c>
      <x:c r="E256" s="640">
        <x:f>E176+E187-K176</x:f>
        <x:v>0</x:v>
      </x:c>
      <x:c r="F256" s="640">
        <x:f>F176</x:f>
        <x:v>0</x:v>
      </x:c>
      <x:c r="G256" s="640">
        <x:f t="shared" ref="G256:R256" si="7">G176</x:f>
        <x:v>0</x:v>
      </x:c>
      <x:c r="H256" s="640">
        <x:f t="shared" si="7"/>
        <x:v>0</x:v>
      </x:c>
      <x:c r="I256" s="640">
        <x:f t="shared" si="7"/>
        <x:v>0</x:v>
      </x:c>
      <x:c r="J256" s="640">
        <x:f t="shared" si="7"/>
        <x:v>0</x:v>
      </x:c>
      <x:c r="K256" s="640">
        <x:f t="shared" si="7"/>
        <x:v>0</x:v>
      </x:c>
      <x:c r="L256" s="640">
        <x:f t="shared" si="7"/>
        <x:v>0</x:v>
      </x:c>
      <x:c r="M256" s="640">
        <x:f t="shared" si="7"/>
        <x:v>0</x:v>
      </x:c>
      <x:c r="N256" s="640">
        <x:f t="shared" si="7"/>
        <x:v>0</x:v>
      </x:c>
      <x:c r="O256" s="640">
        <x:f t="shared" si="7"/>
        <x:v>0</x:v>
      </x:c>
      <x:c r="P256" s="640">
        <x:f t="shared" si="7"/>
        <x:v>0</x:v>
      </x:c>
      <x:c r="Q256" s="640">
        <x:f t="shared" si="7"/>
        <x:v>0</x:v>
      </x:c>
      <x:c r="R256" s="640">
        <x:f t="shared" si="7"/>
        <x:v>0</x:v>
      </x:c>
      <x:c r="Z256" s="624"/>
    </x:row>
    <x:row r="257" spans="1:26" x14ac:dyDescent="0.25">
      <x:c r="B257" s="773"/>
      <x:c r="C257" s="770"/>
      <x:c r="D257" s="639" t="s">
        <x:v>73</x:v>
      </x:c>
      <x:c r="E257" s="640">
        <x:f>E187</x:f>
        <x:v>0</x:v>
      </x:c>
      <x:c r="F257" s="627"/>
      <x:c r="G257" s="627"/>
      <x:c r="H257" s="627"/>
      <x:c r="I257" s="627"/>
      <x:c r="J257" s="627"/>
      <x:c r="K257" s="627"/>
      <x:c r="L257" s="627"/>
      <x:c r="M257" s="627"/>
      <x:c r="N257" s="627"/>
      <x:c r="O257" s="627"/>
      <x:c r="P257" s="627"/>
      <x:c r="Q257" s="627"/>
      <x:c r="R257" s="627"/>
      <x:c r="Z257" s="624"/>
    </x:row>
    <x:row r="258" spans="1:26" x14ac:dyDescent="0.25">
      <x:c r="A258" s="625"/>
      <x:c r="B258" s="50"/>
      <x:c r="E258" s="627"/>
      <x:c r="F258" s="627"/>
      <x:c r="G258" s="627"/>
      <x:c r="H258" s="627"/>
      <x:c r="I258" s="627"/>
      <x:c r="J258" s="627"/>
      <x:c r="K258" s="627"/>
      <x:c r="L258" s="627"/>
      <x:c r="M258" s="627"/>
      <x:c r="N258" s="627"/>
      <x:c r="O258" s="627"/>
      <x:c r="P258" s="627"/>
      <x:c r="Q258" s="627"/>
      <x:c r="R258" s="627"/>
      <x:c r="Z258" s="624"/>
    </x:row>
    <x:row r="259" spans="1:26" x14ac:dyDescent="0.25">
      <x:c r="B259" s="773" t="s">
        <x:v>160</x:v>
      </x:c>
      <x:c r="C259" s="770" t="s">
        <x:v>132</x:v>
      </x:c>
      <x:c r="D259" s="647" t="s">
        <x:v>70</x:v>
      </x:c>
      <x:c r="E259" s="648">
        <x:v>0</x:v>
      </x:c>
      <x:c r="F259" s="648">
        <x:v>0</x:v>
      </x:c>
      <x:c r="G259" s="648">
        <x:v>0</x:v>
      </x:c>
      <x:c r="H259" s="648">
        <x:v>0</x:v>
      </x:c>
      <x:c r="I259" s="648">
        <x:v>0</x:v>
      </x:c>
      <x:c r="J259" s="648">
        <x:v>0</x:v>
      </x:c>
      <x:c r="K259" s="648">
        <x:v>0</x:v>
      </x:c>
      <x:c r="L259" s="648">
        <x:v>0</x:v>
      </x:c>
      <x:c r="M259" s="648">
        <x:v>0</x:v>
      </x:c>
      <x:c r="N259" s="648">
        <x:v>0</x:v>
      </x:c>
      <x:c r="O259" s="648">
        <x:v>0</x:v>
      </x:c>
      <x:c r="P259" s="648">
        <x:v>0</x:v>
      </x:c>
      <x:c r="Q259" s="648">
        <x:v>0</x:v>
      </x:c>
      <x:c r="R259" s="648">
        <x:v>0</x:v>
      </x:c>
      <x:c r="Z259" s="624"/>
    </x:row>
    <x:row r="260" spans="1:26" x14ac:dyDescent="0.25">
      <x:c r="B260" s="773"/>
      <x:c r="C260" s="770"/>
      <x:c r="D260" s="647" t="s">
        <x:v>73</x:v>
      </x:c>
      <x:c r="E260" s="648">
        <x:v>0</x:v>
      </x:c>
      <x:c r="F260" s="627"/>
      <x:c r="G260" s="627"/>
      <x:c r="H260" s="627"/>
      <x:c r="I260" s="627"/>
      <x:c r="J260" s="627"/>
      <x:c r="K260" s="627"/>
      <x:c r="L260" s="627"/>
      <x:c r="M260" s="627"/>
      <x:c r="N260" s="627"/>
      <x:c r="O260" s="627"/>
      <x:c r="P260" s="627"/>
      <x:c r="Q260" s="627"/>
      <x:c r="R260" s="627"/>
      <x:c r="Z260" s="624"/>
    </x:row>
    <x:row r="261" spans="1:26" x14ac:dyDescent="0.25">
      <x:c r="A261" s="625"/>
      <x:c r="B261" s="50"/>
      <x:c r="E261" s="627"/>
      <x:c r="F261" s="627"/>
      <x:c r="G261" s="627"/>
      <x:c r="H261" s="627"/>
      <x:c r="I261" s="627"/>
      <x:c r="J261" s="627"/>
      <x:c r="K261" s="627"/>
      <x:c r="L261" s="627"/>
      <x:c r="M261" s="627"/>
      <x:c r="N261" s="627"/>
      <x:c r="O261" s="627"/>
      <x:c r="P261" s="627"/>
      <x:c r="Q261" s="627"/>
      <x:c r="R261" s="627"/>
      <x:c r="Z261" s="624"/>
    </x:row>
    <x:row r="262" spans="1:26" x14ac:dyDescent="0.25">
      <x:c r="B262" s="773" t="s">
        <x:v>155</x:v>
      </x:c>
      <x:c r="C262" s="770" t="s">
        <x:v>132</x:v>
      </x:c>
      <x:c r="D262" s="651" t="s">
        <x:v>70</x:v>
      </x:c>
      <x:c r="E262" s="652">
        <x:f>E179+E165+E161-K165-K161</x:f>
        <x:v>0</x:v>
      </x:c>
      <x:c r="F262" s="652">
        <x:f>F161+F165</x:f>
        <x:v>0</x:v>
      </x:c>
      <x:c r="G262" s="652">
        <x:f t="shared" ref="G262:R262" si="8">G161+G165</x:f>
        <x:v>0</x:v>
      </x:c>
      <x:c r="H262" s="652">
        <x:f t="shared" si="8"/>
        <x:v>0</x:v>
      </x:c>
      <x:c r="I262" s="652">
        <x:f t="shared" si="8"/>
        <x:v>0</x:v>
      </x:c>
      <x:c r="J262" s="652">
        <x:f t="shared" si="8"/>
        <x:v>0</x:v>
      </x:c>
      <x:c r="K262" s="652">
        <x:f t="shared" si="8"/>
        <x:v>0</x:v>
      </x:c>
      <x:c r="L262" s="652">
        <x:f t="shared" si="8"/>
        <x:v>0</x:v>
      </x:c>
      <x:c r="M262" s="652">
        <x:f t="shared" si="8"/>
        <x:v>0</x:v>
      </x:c>
      <x:c r="N262" s="652">
        <x:f t="shared" si="8"/>
        <x:v>0</x:v>
      </x:c>
      <x:c r="O262" s="652">
        <x:f t="shared" si="8"/>
        <x:v>0</x:v>
      </x:c>
      <x:c r="P262" s="652">
        <x:f t="shared" si="8"/>
        <x:v>0</x:v>
      </x:c>
      <x:c r="Q262" s="652">
        <x:f t="shared" si="8"/>
        <x:v>0</x:v>
      </x:c>
      <x:c r="R262" s="652">
        <x:f t="shared" si="8"/>
        <x:v>0</x:v>
      </x:c>
      <x:c r="Z262" s="624"/>
    </x:row>
    <x:row r="263" spans="1:26" x14ac:dyDescent="0.25">
      <x:c r="B263" s="773"/>
      <x:c r="C263" s="770"/>
      <x:c r="D263" s="651" t="s">
        <x:v>73</x:v>
      </x:c>
      <x:c r="E263" s="652">
        <x:f>E179</x:f>
        <x:v>0</x:v>
      </x:c>
      <x:c r="F263" s="627"/>
      <x:c r="G263" s="627"/>
      <x:c r="H263" s="627"/>
      <x:c r="I263" s="627"/>
      <x:c r="J263" s="627"/>
      <x:c r="K263" s="627"/>
      <x:c r="L263" s="627"/>
      <x:c r="M263" s="627"/>
      <x:c r="N263" s="627"/>
      <x:c r="O263" s="627"/>
      <x:c r="P263" s="627"/>
      <x:c r="Q263" s="627"/>
      <x:c r="R263" s="627"/>
      <x:c r="Z263" s="624"/>
    </x:row>
    <x:row r="264" spans="1:26" x14ac:dyDescent="0.25">
      <x:c r="B264" s="643"/>
      <x:c r="C264" s="644"/>
      <x:c r="D264" s="625"/>
      <x:c r="E264" s="627"/>
      <x:c r="F264" s="627"/>
      <x:c r="G264" s="627"/>
      <x:c r="H264" s="627"/>
      <x:c r="I264" s="627"/>
      <x:c r="J264" s="627"/>
      <x:c r="K264" s="627"/>
      <x:c r="L264" s="627"/>
      <x:c r="M264" s="627"/>
      <x:c r="N264" s="627"/>
      <x:c r="O264" s="627"/>
      <x:c r="P264" s="627"/>
      <x:c r="Q264" s="627"/>
      <x:c r="R264" s="627"/>
      <x:c r="Z264" s="624"/>
    </x:row>
    <x:row r="265" spans="1:26" x14ac:dyDescent="0.25">
      <x:c r="B265" s="771" t="s">
        <x:v>326</x:v>
      </x:c>
      <x:c r="C265" s="770" t="s">
        <x:v>132</x:v>
      </x:c>
      <x:c r="D265" s="654" t="s">
        <x:v>70</x:v>
      </x:c>
      <x:c r="E265" s="655">
        <x:v>0</x:v>
      </x:c>
      <x:c r="F265" s="655">
        <x:v>0</x:v>
      </x:c>
      <x:c r="G265" s="655">
        <x:v>0</x:v>
      </x:c>
      <x:c r="H265" s="655">
        <x:v>0</x:v>
      </x:c>
      <x:c r="I265" s="655">
        <x:v>0</x:v>
      </x:c>
      <x:c r="J265" s="655">
        <x:v>0</x:v>
      </x:c>
      <x:c r="K265" s="655">
        <x:v>0</x:v>
      </x:c>
      <x:c r="L265" s="655">
        <x:v>0</x:v>
      </x:c>
      <x:c r="M265" s="655">
        <x:v>0</x:v>
      </x:c>
      <x:c r="N265" s="655">
        <x:v>0</x:v>
      </x:c>
      <x:c r="O265" s="655">
        <x:v>0</x:v>
      </x:c>
      <x:c r="P265" s="655">
        <x:v>0</x:v>
      </x:c>
      <x:c r="Q265" s="655">
        <x:v>0</x:v>
      </x:c>
      <x:c r="R265" s="655">
        <x:v>0</x:v>
      </x:c>
      <x:c r="Z265" s="624"/>
    </x:row>
    <x:row r="266" spans="1:26" x14ac:dyDescent="0.25">
      <x:c r="B266" s="771"/>
      <x:c r="C266" s="770"/>
      <x:c r="D266" s="654" t="s">
        <x:v>73</x:v>
      </x:c>
      <x:c r="E266" s="655">
        <x:v>0</x:v>
      </x:c>
      <x:c r="F266" s="627"/>
      <x:c r="G266" s="627"/>
      <x:c r="H266" s="627"/>
      <x:c r="I266" s="627"/>
      <x:c r="J266" s="627"/>
      <x:c r="K266" s="627"/>
      <x:c r="L266" s="627"/>
      <x:c r="M266" s="627"/>
      <x:c r="N266" s="627"/>
      <x:c r="O266" s="627"/>
      <x:c r="P266" s="627"/>
      <x:c r="Q266" s="627"/>
      <x:c r="R266" s="627"/>
      <x:c r="Z266" s="624"/>
    </x:row>
    <x:row r="267" spans="1:26" x14ac:dyDescent="0.25">
      <x:c r="B267" s="643"/>
      <x:c r="C267" s="644"/>
      <x:c r="D267" s="625"/>
      <x:c r="E267" s="627"/>
      <x:c r="F267" s="627"/>
      <x:c r="G267" s="627"/>
      <x:c r="H267" s="627"/>
      <x:c r="I267" s="627"/>
      <x:c r="J267" s="627"/>
      <x:c r="K267" s="627"/>
      <x:c r="L267" s="627"/>
      <x:c r="M267" s="627"/>
      <x:c r="N267" s="627"/>
      <x:c r="O267" s="627"/>
      <x:c r="P267" s="627"/>
      <x:c r="Q267" s="627"/>
      <x:c r="R267" s="627"/>
      <x:c r="Z267" s="624"/>
    </x:row>
    <x:row r="268" spans="1:26" x14ac:dyDescent="0.25">
      <x:c r="B268" s="773" t="s">
        <x:v>119</x:v>
      </x:c>
      <x:c r="C268" s="770" t="s">
        <x:v>132</x:v>
      </x:c>
      <x:c r="D268" s="632" t="s">
        <x:v>70</x:v>
      </x:c>
      <x:c r="E268" s="633">
        <x:f>E175+E186-K175</x:f>
        <x:v>0</x:v>
      </x:c>
      <x:c r="F268" s="633">
        <x:f>F175</x:f>
        <x:v>0</x:v>
      </x:c>
      <x:c r="G268" s="633">
        <x:f t="shared" ref="G268:R268" si="9">G175</x:f>
        <x:v>0</x:v>
      </x:c>
      <x:c r="H268" s="633">
        <x:f t="shared" si="9"/>
        <x:v>0</x:v>
      </x:c>
      <x:c r="I268" s="633">
        <x:f t="shared" si="9"/>
        <x:v>0</x:v>
      </x:c>
      <x:c r="J268" s="633">
        <x:f t="shared" si="9"/>
        <x:v>0</x:v>
      </x:c>
      <x:c r="K268" s="633">
        <x:f t="shared" si="9"/>
        <x:v>0</x:v>
      </x:c>
      <x:c r="L268" s="633">
        <x:f t="shared" si="9"/>
        <x:v>0</x:v>
      </x:c>
      <x:c r="M268" s="633">
        <x:f t="shared" si="9"/>
        <x:v>0</x:v>
      </x:c>
      <x:c r="N268" s="633">
        <x:f t="shared" si="9"/>
        <x:v>0</x:v>
      </x:c>
      <x:c r="O268" s="633">
        <x:f t="shared" si="9"/>
        <x:v>0</x:v>
      </x:c>
      <x:c r="P268" s="633">
        <x:f t="shared" si="9"/>
        <x:v>0</x:v>
      </x:c>
      <x:c r="Q268" s="633">
        <x:f t="shared" si="9"/>
        <x:v>0</x:v>
      </x:c>
      <x:c r="R268" s="633">
        <x:f t="shared" si="9"/>
        <x:v>0</x:v>
      </x:c>
      <x:c r="Z268" s="624"/>
    </x:row>
    <x:row r="269" spans="1:26" x14ac:dyDescent="0.25">
      <x:c r="B269" s="773"/>
      <x:c r="C269" s="770"/>
      <x:c r="D269" s="632" t="s">
        <x:v>73</x:v>
      </x:c>
      <x:c r="E269" s="633">
        <x:f>E186</x:f>
        <x:v>0</x:v>
      </x:c>
      <x:c r="F269" s="627"/>
      <x:c r="G269" s="627"/>
      <x:c r="H269" s="627"/>
      <x:c r="I269" s="627"/>
      <x:c r="J269" s="627"/>
      <x:c r="K269" s="627"/>
      <x:c r="L269" s="627"/>
      <x:c r="M269" s="627"/>
      <x:c r="N269" s="627"/>
      <x:c r="O269" s="627"/>
      <x:c r="P269" s="627"/>
      <x:c r="Q269" s="627"/>
      <x:c r="R269" s="627"/>
      <x:c r="Z269" s="624"/>
    </x:row>
    <x:row r="270" spans="1:26" x14ac:dyDescent="0.25">
      <x:c r="A270" s="625"/>
      <x:c r="B270" s="50"/>
      <x:c r="E270" s="627" t="n">
        <x:v>10689989.44</x:v>
      </x:c>
      <x:c r="F270" s="627"/>
      <x:c r="G270" s="627"/>
      <x:c r="H270" s="627"/>
      <x:c r="I270" s="627"/>
      <x:c r="J270" s="627"/>
      <x:c r="K270" s="627" t="n">
        <x:v>0</x:v>
      </x:c>
      <x:c r="L270" s="627"/>
      <x:c r="M270" s="627"/>
      <x:c r="N270" s="627"/>
      <x:c r="O270" s="627"/>
      <x:c r="P270" s="627"/>
      <x:c r="Q270" s="627"/>
      <x:c r="R270" s="627"/>
      <x:c r="Z270" s="624"/>
    </x:row>
    <x:row r="271" spans="1:26" x14ac:dyDescent="0.25">
      <x:c r="B271" s="772" t="s">
        <x:v>161</x:v>
      </x:c>
      <x:c r="C271" s="770" t="s">
        <x:v>132</x:v>
      </x:c>
      <x:c r="D271" s="661" t="s">
        <x:v>70</x:v>
      </x:c>
      <x:c r="E271" s="662">
        <x:v>0</x:v>
      </x:c>
      <x:c r="F271" s="662">
        <x:v>0</x:v>
      </x:c>
      <x:c r="G271" s="662">
        <x:v>0</x:v>
      </x:c>
      <x:c r="H271" s="662">
        <x:v>0</x:v>
      </x:c>
      <x:c r="I271" s="662">
        <x:v>0</x:v>
      </x:c>
      <x:c r="J271" s="662">
        <x:v>0</x:v>
      </x:c>
      <x:c r="K271" s="662">
        <x:v>0</x:v>
      </x:c>
      <x:c r="L271" s="662">
        <x:v>0</x:v>
      </x:c>
      <x:c r="M271" s="662">
        <x:v>0</x:v>
      </x:c>
      <x:c r="N271" s="662">
        <x:v>0</x:v>
      </x:c>
      <x:c r="O271" s="662">
        <x:v>0</x:v>
      </x:c>
      <x:c r="P271" s="662">
        <x:v>0</x:v>
      </x:c>
      <x:c r="Q271" s="662">
        <x:v>0</x:v>
      </x:c>
      <x:c r="R271" s="662">
        <x:v>0</x:v>
      </x:c>
      <x:c r="Z271" s="624"/>
    </x:row>
    <x:row r="272" spans="1:26" x14ac:dyDescent="0.25">
      <x:c r="B272" s="772"/>
      <x:c r="C272" s="770"/>
      <x:c r="D272" s="661" t="s">
        <x:v>73</x:v>
      </x:c>
      <x:c r="E272" s="662">
        <x:v>0</x:v>
      </x:c>
      <x:c r="F272" s="627"/>
      <x:c r="G272" s="627"/>
      <x:c r="H272" s="627"/>
      <x:c r="I272" s="627"/>
      <x:c r="J272" s="627"/>
      <x:c r="K272" s="627"/>
      <x:c r="L272" s="627"/>
      <x:c r="M272" s="627"/>
      <x:c r="N272" s="627"/>
      <x:c r="O272" s="627"/>
      <x:c r="P272" s="627"/>
      <x:c r="Q272" s="627"/>
      <x:c r="R272" s="627"/>
      <x:c r="Z272" s="624"/>
    </x:row>
    <x:row r="273" spans="1:26" x14ac:dyDescent="0.25">
      <x:c r="A273" s="624"/>
      <x:c r="B273" s="624"/>
      <x:c r="C273" s="624"/>
      <x:c r="D273" s="624"/>
      <x:c r="E273" s="624"/>
      <x:c r="F273" s="624"/>
      <x:c r="G273" s="624"/>
      <x:c r="H273" s="624"/>
      <x:c r="I273" s="624"/>
      <x:c r="J273" s="624"/>
      <x:c r="K273" s="624"/>
      <x:c r="L273" s="624"/>
      <x:c r="M273" s="624"/>
      <x:c r="N273" s="624"/>
      <x:c r="O273" s="624"/>
      <x:c r="P273" s="624"/>
      <x:c r="Q273" s="624"/>
      <x:c r="R273" s="624"/>
      <x:c r="S273" s="624"/>
      <x:c r="T273" s="624"/>
      <x:c r="U273" s="624"/>
      <x:c r="V273" s="624"/>
      <x:c r="W273" s="624"/>
      <x:c r="X273" s="624"/>
      <x:c r="Y273" s="624"/>
      <x:c r="Z273" s="624"/>
    </x:row>
    <x:row r="274" spans="1:26" x14ac:dyDescent="0.25">
      <x:c r="B274" s="676" t="s">
        <x:v>88</x:v>
      </x:c>
      <x:c r="Z274" s="624"/>
    </x:row>
    <x:row r="275" spans="1:26" s="50" customFormat="1" x14ac:dyDescent="0.25">
      <x:c r="E275" s="669" t="s">
        <x:v>70</x:v>
      </x:c>
      <x:c r="F275" s="669" t="s">
        <x:v>64</x:v>
      </x:c>
      <x:c r="G275" s="669" t="s">
        <x:v>65</x:v>
      </x:c>
      <x:c r="H275" s="674" t="s">
        <x:v>164</x:v>
      </x:c>
      <x:c r="I275" s="669" t="s">
        <x:v>69</x:v>
      </x:c>
      <x:c r="J275" s="669" t="s">
        <x:v>68</x:v>
      </x:c>
      <x:c r="K275" s="669" t="s">
        <x:v>83</x:v>
      </x:c>
      <x:c r="L275" s="669" t="s">
        <x:v>66</x:v>
      </x:c>
      <x:c r="M275" s="669" t="s">
        <x:v>63</x:v>
      </x:c>
      <x:c r="N275" s="669" t="s">
        <x:v>61</x:v>
      </x:c>
      <x:c r="O275" s="669" t="s">
        <x:v>62</x:v>
      </x:c>
      <x:c r="P275" s="669" t="s">
        <x:v>67</x:v>
      </x:c>
      <x:c r="Q275" s="669" t="s">
        <x:v>84</x:v>
      </x:c>
      <x:c r="R275" s="669" t="s">
        <x:v>226</x:v>
      </x:c>
      <x:c r="Z275" s="618"/>
    </x:row>
    <x:row r="276" spans="1:26" x14ac:dyDescent="0.25">
      <x:c r="D276" s="25" t="s">
        <x:v>72</x:v>
      </x:c>
      <x:c r="E276" s="627">
        <x:v>0</x:v>
      </x:c>
      <x:c r="F276" s="627">
        <x:v>0</x:v>
      </x:c>
      <x:c r="G276" s="627">
        <x:v>0</x:v>
      </x:c>
      <x:c r="H276" s="627">
        <x:v>0</x:v>
      </x:c>
      <x:c r="I276" s="627">
        <x:v>0</x:v>
      </x:c>
      <x:c r="J276" s="627">
        <x:v>0</x:v>
      </x:c>
      <x:c r="K276" s="627">
        <x:v>0</x:v>
      </x:c>
      <x:c r="L276" s="627">
        <x:v>0</x:v>
      </x:c>
      <x:c r="M276" s="627">
        <x:v>0</x:v>
      </x:c>
      <x:c r="N276" s="627">
        <x:v>0</x:v>
      </x:c>
      <x:c r="O276" s="627">
        <x:v>0</x:v>
      </x:c>
      <x:c r="P276" s="627">
        <x:v>0</x:v>
      </x:c>
      <x:c r="Q276" s="627">
        <x:v>0</x:v>
      </x:c>
      <x:c r="R276" s="627">
        <x:v>0</x:v>
      </x:c>
      <x:c r="Z276" s="624"/>
    </x:row>
    <x:row r="277" spans="1:26" x14ac:dyDescent="0.25">
      <x:c r="D277" s="25" t="s">
        <x:v>81</x:v>
      </x:c>
      <x:c r="E277" s="627">
        <x:v>0</x:v>
      </x:c>
      <x:c r="F277" s="627">
        <x:v>0</x:v>
      </x:c>
      <x:c r="G277" s="627">
        <x:v>0</x:v>
      </x:c>
      <x:c r="H277" s="627">
        <x:v>0</x:v>
      </x:c>
      <x:c r="I277" s="627">
        <x:v>0</x:v>
      </x:c>
      <x:c r="J277" s="627">
        <x:v>0</x:v>
      </x:c>
      <x:c r="K277" s="627">
        <x:v>0</x:v>
      </x:c>
      <x:c r="L277" s="627">
        <x:v>0</x:v>
      </x:c>
      <x:c r="M277" s="627">
        <x:v>0</x:v>
      </x:c>
      <x:c r="N277" s="627">
        <x:v>0</x:v>
      </x:c>
      <x:c r="O277" s="627">
        <x:v>0</x:v>
      </x:c>
      <x:c r="P277" s="627">
        <x:v>0</x:v>
      </x:c>
      <x:c r="Q277" s="627">
        <x:v>0</x:v>
      </x:c>
      <x:c r="R277" s="627">
        <x:v>0</x:v>
      </x:c>
      <x:c r="Z277" s="624"/>
    </x:row>
    <x:row r="278" spans="1:26" x14ac:dyDescent="0.25">
      <x:c r="C278" s="25" t="s">
        <x:v>156</x:v>
      </x:c>
      <x:c r="D278" s="25" t="s">
        <x:v>70</x:v>
      </x:c>
      <x:c r="E278" s="627">
        <x:v>0</x:v>
      </x:c>
      <x:c r="F278" s="627">
        <x:v>0</x:v>
      </x:c>
      <x:c r="G278" s="627">
        <x:v>0</x:v>
      </x:c>
      <x:c r="H278" s="627">
        <x:v>0</x:v>
      </x:c>
      <x:c r="I278" s="627">
        <x:v>0</x:v>
      </x:c>
      <x:c r="J278" s="627">
        <x:v>0</x:v>
      </x:c>
      <x:c r="K278" s="627">
        <x:v>0</x:v>
      </x:c>
      <x:c r="L278" s="627">
        <x:v>0</x:v>
      </x:c>
      <x:c r="M278" s="627">
        <x:v>0</x:v>
      </x:c>
      <x:c r="N278" s="627">
        <x:v>0</x:v>
      </x:c>
      <x:c r="O278" s="627">
        <x:v>0</x:v>
      </x:c>
      <x:c r="P278" s="627">
        <x:v>0</x:v>
      </x:c>
      <x:c r="Q278" s="627">
        <x:v>0</x:v>
      </x:c>
      <x:c r="R278" s="653">
        <x:v>0</x:v>
      </x:c>
      <x:c r="Z278" s="624"/>
    </x:row>
    <x:row r="279" spans="1:26" x14ac:dyDescent="0.25">
      <x:c r="A279" s="628"/>
      <x:c r="B279" s="628" t="s">
        <x:v>155</x:v>
      </x:c>
      <x:c r="C279" s="628" t="s">
        <x:v>70</x:v>
      </x:c>
      <x:c r="D279" s="628"/>
      <x:c r="E279" s="677" t="n">
        <x:v>4937352.07</x:v>
      </x:c>
      <x:c r="F279" s="677">
        <x:v>0</x:v>
      </x:c>
      <x:c r="G279" s="677">
        <x:v>0</x:v>
      </x:c>
      <x:c r="H279" s="677">
        <x:v>0</x:v>
      </x:c>
      <x:c r="I279" s="677">
        <x:v>0</x:v>
      </x:c>
      <x:c r="J279" s="677">
        <x:v>0</x:v>
      </x:c>
      <x:c r="K279" s="677" t="n">
        <x:v>0</x:v>
      </x:c>
      <x:c r="L279" s="677">
        <x:v>0</x:v>
      </x:c>
      <x:c r="M279" s="677">
        <x:v>0</x:v>
      </x:c>
      <x:c r="N279" s="677">
        <x:v>0</x:v>
      </x:c>
      <x:c r="O279" s="677">
        <x:v>0</x:v>
      </x:c>
      <x:c r="P279" s="677">
        <x:v>0</x:v>
      </x:c>
      <x:c r="Q279" s="677">
        <x:v>0</x:v>
      </x:c>
      <x:c r="R279" s="677">
        <x:v>0</x:v>
      </x:c>
      <x:c r="S279" s="628"/>
      <x:c r="T279" s="628"/>
      <x:c r="U279" s="628"/>
      <x:c r="V279" s="628"/>
      <x:c r="W279" s="628"/>
      <x:c r="X279" s="628"/>
      <x:c r="Y279" s="628"/>
      <x:c r="Z279" s="624"/>
    </x:row>
    <x:row r="280" spans="1:26" x14ac:dyDescent="0.25">
      <x:c r="D280" s="25" t="s">
        <x:v>72</x:v>
      </x:c>
      <x:c r="E280" s="627">
        <x:v>0</x:v>
      </x:c>
      <x:c r="F280" s="627">
        <x:v>0</x:v>
      </x:c>
      <x:c r="G280" s="627">
        <x:v>0</x:v>
      </x:c>
      <x:c r="H280" s="627">
        <x:v>0</x:v>
      </x:c>
      <x:c r="I280" s="627">
        <x:v>0</x:v>
      </x:c>
      <x:c r="J280" s="627">
        <x:v>0</x:v>
      </x:c>
      <x:c r="K280" s="627">
        <x:v>0</x:v>
      </x:c>
      <x:c r="L280" s="627">
        <x:v>0</x:v>
      </x:c>
      <x:c r="M280" s="627">
        <x:v>0</x:v>
      </x:c>
      <x:c r="N280" s="627">
        <x:v>0</x:v>
      </x:c>
      <x:c r="O280" s="627">
        <x:v>0</x:v>
      </x:c>
      <x:c r="P280" s="627">
        <x:v>0</x:v>
      </x:c>
      <x:c r="Q280" s="627">
        <x:v>0</x:v>
      </x:c>
      <x:c r="R280" s="653">
        <x:v>0</x:v>
      </x:c>
      <x:c r="Z280" s="624"/>
    </x:row>
    <x:row r="281" spans="1:26" x14ac:dyDescent="0.25">
      <x:c r="D281" s="25" t="s">
        <x:v>81</x:v>
      </x:c>
      <x:c r="E281" s="627">
        <x:v>0</x:v>
      </x:c>
      <x:c r="F281" s="627">
        <x:v>0</x:v>
      </x:c>
      <x:c r="G281" s="627">
        <x:v>0</x:v>
      </x:c>
      <x:c r="H281" s="627">
        <x:v>0</x:v>
      </x:c>
      <x:c r="I281" s="627">
        <x:v>0</x:v>
      </x:c>
      <x:c r="J281" s="627">
        <x:v>0</x:v>
      </x:c>
      <x:c r="K281" s="627">
        <x:v>0</x:v>
      </x:c>
      <x:c r="L281" s="627">
        <x:v>0</x:v>
      </x:c>
      <x:c r="M281" s="627">
        <x:v>0</x:v>
      </x:c>
      <x:c r="N281" s="627">
        <x:v>0</x:v>
      </x:c>
      <x:c r="O281" s="627">
        <x:v>0</x:v>
      </x:c>
      <x:c r="P281" s="627">
        <x:v>0</x:v>
      </x:c>
      <x:c r="Q281" s="627">
        <x:v>0</x:v>
      </x:c>
      <x:c r="R281" s="653">
        <x:v>0</x:v>
      </x:c>
      <x:c r="Z281" s="624"/>
    </x:row>
    <x:row r="282" spans="1:26" x14ac:dyDescent="0.25">
      <x:c r="C282" s="25" t="s">
        <x:v>115</x:v>
      </x:c>
      <x:c r="D282" s="25" t="s">
        <x:v>70</x:v>
      </x:c>
      <x:c r="E282" s="627">
        <x:v>0</x:v>
      </x:c>
      <x:c r="F282" s="627">
        <x:v>0</x:v>
      </x:c>
      <x:c r="G282" s="627">
        <x:v>0</x:v>
      </x:c>
      <x:c r="H282" s="627">
        <x:v>0</x:v>
      </x:c>
      <x:c r="I282" s="627">
        <x:v>0</x:v>
      </x:c>
      <x:c r="J282" s="627">
        <x:v>0</x:v>
      </x:c>
      <x:c r="K282" s="627">
        <x:v>0</x:v>
      </x:c>
      <x:c r="L282" s="627">
        <x:v>0</x:v>
      </x:c>
      <x:c r="M282" s="627">
        <x:v>0</x:v>
      </x:c>
      <x:c r="N282" s="627">
        <x:v>0</x:v>
      </x:c>
      <x:c r="O282" s="627">
        <x:v>0</x:v>
      </x:c>
      <x:c r="P282" s="627">
        <x:v>0</x:v>
      </x:c>
      <x:c r="Q282" s="627">
        <x:v>0</x:v>
      </x:c>
      <x:c r="R282" s="653">
        <x:v>0</x:v>
      </x:c>
      <x:c r="Z282" s="624"/>
    </x:row>
    <x:row r="283" spans="1:26" x14ac:dyDescent="0.25">
      <x:c r="D283" s="25" t="s">
        <x:v>72</x:v>
      </x:c>
      <x:c r="E283" s="627">
        <x:v>0</x:v>
      </x:c>
      <x:c r="F283" s="627">
        <x:v>0</x:v>
      </x:c>
      <x:c r="G283" s="627">
        <x:v>0</x:v>
      </x:c>
      <x:c r="H283" s="627">
        <x:v>0</x:v>
      </x:c>
      <x:c r="I283" s="627">
        <x:v>0</x:v>
      </x:c>
      <x:c r="J283" s="627">
        <x:v>0</x:v>
      </x:c>
      <x:c r="K283" s="627">
        <x:v>0</x:v>
      </x:c>
      <x:c r="L283" s="627">
        <x:v>0</x:v>
      </x:c>
      <x:c r="M283" s="627">
        <x:v>0</x:v>
      </x:c>
      <x:c r="N283" s="627">
        <x:v>0</x:v>
      </x:c>
      <x:c r="O283" s="627">
        <x:v>0</x:v>
      </x:c>
      <x:c r="P283" s="627">
        <x:v>0</x:v>
      </x:c>
      <x:c r="Q283" s="627">
        <x:v>0</x:v>
      </x:c>
      <x:c r="R283" s="653">
        <x:v>0</x:v>
      </x:c>
      <x:c r="Z283" s="624"/>
    </x:row>
    <x:row r="284" spans="1:26" x14ac:dyDescent="0.25">
      <x:c r="D284" s="25" t="s">
        <x:v>81</x:v>
      </x:c>
      <x:c r="E284" s="627">
        <x:v>0</x:v>
      </x:c>
      <x:c r="F284" s="627">
        <x:v>0</x:v>
      </x:c>
      <x:c r="G284" s="627">
        <x:v>0</x:v>
      </x:c>
      <x:c r="H284" s="627">
        <x:v>0</x:v>
      </x:c>
      <x:c r="I284" s="627">
        <x:v>0</x:v>
      </x:c>
      <x:c r="J284" s="627">
        <x:v>0</x:v>
      </x:c>
      <x:c r="K284" s="627">
        <x:v>0</x:v>
      </x:c>
      <x:c r="L284" s="627">
        <x:v>0</x:v>
      </x:c>
      <x:c r="M284" s="627">
        <x:v>0</x:v>
      </x:c>
      <x:c r="N284" s="627">
        <x:v>0</x:v>
      </x:c>
      <x:c r="O284" s="627">
        <x:v>0</x:v>
      </x:c>
      <x:c r="P284" s="627">
        <x:v>0</x:v>
      </x:c>
      <x:c r="Q284" s="627">
        <x:v>0</x:v>
      </x:c>
      <x:c r="R284" s="653">
        <x:v>0</x:v>
      </x:c>
      <x:c r="Z284" s="624"/>
    </x:row>
    <x:row r="285" spans="1:26" x14ac:dyDescent="0.25">
      <x:c r="C285" s="25" t="s">
        <x:v>116</x:v>
      </x:c>
      <x:c r="D285" s="25" t="s">
        <x:v>70</x:v>
      </x:c>
      <x:c r="E285" s="627">
        <x:v>0</x:v>
      </x:c>
      <x:c r="F285" s="627">
        <x:v>0</x:v>
      </x:c>
      <x:c r="G285" s="627">
        <x:v>0</x:v>
      </x:c>
      <x:c r="H285" s="627">
        <x:v>0</x:v>
      </x:c>
      <x:c r="I285" s="627">
        <x:v>0</x:v>
      </x:c>
      <x:c r="J285" s="627">
        <x:v>0</x:v>
      </x:c>
      <x:c r="K285" s="627">
        <x:v>0</x:v>
      </x:c>
      <x:c r="L285" s="627">
        <x:v>0</x:v>
      </x:c>
      <x:c r="M285" s="627">
        <x:v>0</x:v>
      </x:c>
      <x:c r="N285" s="627">
        <x:v>0</x:v>
      </x:c>
      <x:c r="O285" s="627">
        <x:v>0</x:v>
      </x:c>
      <x:c r="P285" s="627">
        <x:v>0</x:v>
      </x:c>
      <x:c r="Q285" s="627">
        <x:v>0</x:v>
      </x:c>
      <x:c r="R285" s="653">
        <x:v>0</x:v>
      </x:c>
      <x:c r="Z285" s="624"/>
    </x:row>
    <x:row r="286" spans="1:26" x14ac:dyDescent="0.25">
      <x:c r="D286" s="25" t="s">
        <x:v>72</x:v>
      </x:c>
      <x:c r="E286" s="627">
        <x:v>0</x:v>
      </x:c>
      <x:c r="F286" s="627">
        <x:v>0</x:v>
      </x:c>
      <x:c r="G286" s="627">
        <x:v>0</x:v>
      </x:c>
      <x:c r="H286" s="627">
        <x:v>0</x:v>
      </x:c>
      <x:c r="I286" s="627">
        <x:v>0</x:v>
      </x:c>
      <x:c r="J286" s="627">
        <x:v>0</x:v>
      </x:c>
      <x:c r="K286" s="627">
        <x:v>0</x:v>
      </x:c>
      <x:c r="L286" s="627">
        <x:v>0</x:v>
      </x:c>
      <x:c r="M286" s="627">
        <x:v>0</x:v>
      </x:c>
      <x:c r="N286" s="627">
        <x:v>0</x:v>
      </x:c>
      <x:c r="O286" s="627">
        <x:v>0</x:v>
      </x:c>
      <x:c r="P286" s="627">
        <x:v>0</x:v>
      </x:c>
      <x:c r="Q286" s="627">
        <x:v>0</x:v>
      </x:c>
      <x:c r="R286" s="653">
        <x:v>0</x:v>
      </x:c>
      <x:c r="Z286" s="624"/>
    </x:row>
    <x:row r="287" spans="1:26" x14ac:dyDescent="0.25">
      <x:c r="D287" s="25" t="s">
        <x:v>81</x:v>
      </x:c>
      <x:c r="E287" s="627">
        <x:v>0</x:v>
      </x:c>
      <x:c r="F287" s="627">
        <x:v>0</x:v>
      </x:c>
      <x:c r="G287" s="627">
        <x:v>0</x:v>
      </x:c>
      <x:c r="H287" s="627">
        <x:v>0</x:v>
      </x:c>
      <x:c r="I287" s="627">
        <x:v>0</x:v>
      </x:c>
      <x:c r="J287" s="627">
        <x:v>0</x:v>
      </x:c>
      <x:c r="K287" s="627">
        <x:v>0</x:v>
      </x:c>
      <x:c r="L287" s="627">
        <x:v>0</x:v>
      </x:c>
      <x:c r="M287" s="627">
        <x:v>0</x:v>
      </x:c>
      <x:c r="N287" s="627">
        <x:v>0</x:v>
      </x:c>
      <x:c r="O287" s="627">
        <x:v>0</x:v>
      </x:c>
      <x:c r="P287" s="627">
        <x:v>0</x:v>
      </x:c>
      <x:c r="Q287" s="627">
        <x:v>0</x:v>
      </x:c>
      <x:c r="R287" s="653">
        <x:v>0</x:v>
      </x:c>
      <x:c r="Z287" s="624"/>
    </x:row>
    <x:row r="288" spans="1:26" x14ac:dyDescent="0.25">
      <x:c r="B288" s="625"/>
      <x:c r="C288" s="625" t="s">
        <x:v>118</x:v>
      </x:c>
      <x:c r="D288" s="25" t="s">
        <x:v>70</x:v>
      </x:c>
      <x:c r="E288" s="627">
        <x:v>0</x:v>
      </x:c>
      <x:c r="F288" s="627">
        <x:v>0</x:v>
      </x:c>
      <x:c r="G288" s="627">
        <x:v>0</x:v>
      </x:c>
      <x:c r="H288" s="627">
        <x:v>0</x:v>
      </x:c>
      <x:c r="I288" s="627">
        <x:v>0</x:v>
      </x:c>
      <x:c r="J288" s="627">
        <x:v>0</x:v>
      </x:c>
      <x:c r="K288" s="627">
        <x:v>0</x:v>
      </x:c>
      <x:c r="L288" s="627">
        <x:v>0</x:v>
      </x:c>
      <x:c r="M288" s="627">
        <x:v>0</x:v>
      </x:c>
      <x:c r="N288" s="627">
        <x:v>0</x:v>
      </x:c>
      <x:c r="O288" s="627">
        <x:v>0</x:v>
      </x:c>
      <x:c r="P288" s="627">
        <x:v>0</x:v>
      </x:c>
      <x:c r="Q288" s="627">
        <x:v>0</x:v>
      </x:c>
      <x:c r="R288" s="653">
        <x:v>0</x:v>
      </x:c>
      <x:c r="Z288" s="624"/>
    </x:row>
    <x:row r="289" spans="1:26" x14ac:dyDescent="0.25">
      <x:c r="B289" s="625"/>
      <x:c r="C289" s="625"/>
      <x:c r="D289" s="25" t="s">
        <x:v>72</x:v>
      </x:c>
      <x:c r="E289" s="627" t="n">
        <x:v>2043750.56</x:v>
      </x:c>
      <x:c r="F289" s="627">
        <x:v>0</x:v>
      </x:c>
      <x:c r="G289" s="627">
        <x:v>0</x:v>
      </x:c>
      <x:c r="H289" s="627">
        <x:v>0</x:v>
      </x:c>
      <x:c r="I289" s="627">
        <x:v>0</x:v>
      </x:c>
      <x:c r="J289" s="627">
        <x:v>0</x:v>
      </x:c>
      <x:c r="K289" s="627" t="n">
        <x:v>0</x:v>
      </x:c>
      <x:c r="L289" s="627">
        <x:v>0</x:v>
      </x:c>
      <x:c r="M289" s="627">
        <x:v>0</x:v>
      </x:c>
      <x:c r="N289" s="627">
        <x:v>0</x:v>
      </x:c>
      <x:c r="O289" s="627">
        <x:v>0</x:v>
      </x:c>
      <x:c r="P289" s="627">
        <x:v>0</x:v>
      </x:c>
      <x:c r="Q289" s="627">
        <x:v>0</x:v>
      </x:c>
      <x:c r="R289" s="653">
        <x:v>0</x:v>
      </x:c>
      <x:c r="Z289" s="624"/>
    </x:row>
    <x:row r="290" spans="1:26" x14ac:dyDescent="0.25">
      <x:c r="B290" s="625"/>
      <x:c r="C290" s="625"/>
      <x:c r="D290" s="25" t="s">
        <x:v>81</x:v>
      </x:c>
      <x:c r="E290" s="627" t="n">
        <x:v>17671092.07</x:v>
      </x:c>
      <x:c r="F290" s="627">
        <x:v>0</x:v>
      </x:c>
      <x:c r="G290" s="627">
        <x:v>0</x:v>
      </x:c>
      <x:c r="H290" s="627">
        <x:v>0</x:v>
      </x:c>
      <x:c r="I290" s="627">
        <x:v>0</x:v>
      </x:c>
      <x:c r="J290" s="627">
        <x:v>0</x:v>
      </x:c>
      <x:c r="K290" s="627" t="n">
        <x:v>0</x:v>
      </x:c>
      <x:c r="L290" s="627">
        <x:v>0</x:v>
      </x:c>
      <x:c r="M290" s="627">
        <x:v>0</x:v>
      </x:c>
      <x:c r="N290" s="627">
        <x:v>0</x:v>
      </x:c>
      <x:c r="O290" s="627">
        <x:v>0</x:v>
      </x:c>
      <x:c r="P290" s="627">
        <x:v>0</x:v>
      </x:c>
      <x:c r="Q290" s="627">
        <x:v>0</x:v>
      </x:c>
      <x:c r="R290" s="653">
        <x:v>0</x:v>
      </x:c>
      <x:c r="Z290" s="624"/>
    </x:row>
    <x:row r="291" spans="1:26" x14ac:dyDescent="0.25">
      <x:c r="B291" s="625"/>
      <x:c r="C291" s="625" t="s">
        <x:v>332</x:v>
      </x:c>
      <x:c r="D291" s="25" t="s">
        <x:v>70</x:v>
      </x:c>
      <x:c r="E291" s="627">
        <x:v>0</x:v>
      </x:c>
      <x:c r="F291" s="627">
        <x:v>0</x:v>
      </x:c>
      <x:c r="G291" s="627">
        <x:v>0</x:v>
      </x:c>
      <x:c r="H291" s="627">
        <x:v>0</x:v>
      </x:c>
      <x:c r="I291" s="627">
        <x:v>0</x:v>
      </x:c>
      <x:c r="J291" s="627">
        <x:v>0</x:v>
      </x:c>
      <x:c r="K291" s="627">
        <x:v>0</x:v>
      </x:c>
      <x:c r="L291" s="627">
        <x:v>0</x:v>
      </x:c>
      <x:c r="M291" s="627">
        <x:v>0</x:v>
      </x:c>
      <x:c r="N291" s="627">
        <x:v>0</x:v>
      </x:c>
      <x:c r="O291" s="627">
        <x:v>0</x:v>
      </x:c>
      <x:c r="P291" s="627">
        <x:v>0</x:v>
      </x:c>
      <x:c r="Q291" s="627">
        <x:v>0</x:v>
      </x:c>
      <x:c r="R291" s="653">
        <x:v>0</x:v>
      </x:c>
      <x:c r="Z291" s="624"/>
    </x:row>
    <x:row r="292" spans="1:26" x14ac:dyDescent="0.25">
      <x:c r="A292" s="667"/>
      <x:c r="B292" s="667" t="s">
        <x:v>120</x:v>
      </x:c>
      <x:c r="C292" s="667" t="s">
        <x:v>70</x:v>
      </x:c>
      <x:c r="D292" s="667"/>
      <x:c r="E292" s="672">
        <x:v>0</x:v>
      </x:c>
      <x:c r="F292" s="672">
        <x:v>0</x:v>
      </x:c>
      <x:c r="G292" s="672">
        <x:v>0</x:v>
      </x:c>
      <x:c r="H292" s="672">
        <x:v>0</x:v>
      </x:c>
      <x:c r="I292" s="672">
        <x:v>0</x:v>
      </x:c>
      <x:c r="J292" s="672">
        <x:v>0</x:v>
      </x:c>
      <x:c r="K292" s="672">
        <x:v>0</x:v>
      </x:c>
      <x:c r="L292" s="672">
        <x:v>0</x:v>
      </x:c>
      <x:c r="M292" s="672">
        <x:v>0</x:v>
      </x:c>
      <x:c r="N292" s="672">
        <x:v>0</x:v>
      </x:c>
      <x:c r="O292" s="672">
        <x:v>0</x:v>
      </x:c>
      <x:c r="P292" s="672">
        <x:v>0</x:v>
      </x:c>
      <x:c r="Q292" s="672">
        <x:v>0</x:v>
      </x:c>
      <x:c r="R292" s="672">
        <x:v>0</x:v>
      </x:c>
      <x:c r="S292" s="667"/>
      <x:c r="T292" s="667"/>
      <x:c r="U292" s="667"/>
      <x:c r="V292" s="667"/>
      <x:c r="W292" s="667"/>
      <x:c r="X292" s="667"/>
      <x:c r="Y292" s="667"/>
      <x:c r="Z292" s="624"/>
    </x:row>
    <x:row r="293" spans="1:26" x14ac:dyDescent="0.25">
      <x:c r="C293" s="625"/>
      <x:c r="D293" s="625" t="s">
        <x:v>72</x:v>
      </x:c>
      <x:c r="E293" s="627" t="n">
        <x:v>-260134.03</x:v>
      </x:c>
      <x:c r="F293" s="627">
        <x:v>0</x:v>
      </x:c>
      <x:c r="G293" s="627">
        <x:v>0</x:v>
      </x:c>
      <x:c r="H293" s="627">
        <x:v>0</x:v>
      </x:c>
      <x:c r="I293" s="627">
        <x:v>0</x:v>
      </x:c>
      <x:c r="J293" s="627">
        <x:v>0</x:v>
      </x:c>
      <x:c r="K293" s="627">
        <x:v>0</x:v>
      </x:c>
      <x:c r="L293" s="627">
        <x:v>0</x:v>
      </x:c>
      <x:c r="M293" s="627">
        <x:v>0</x:v>
      </x:c>
      <x:c r="N293" s="627">
        <x:v>0</x:v>
      </x:c>
      <x:c r="O293" s="627">
        <x:v>0</x:v>
      </x:c>
      <x:c r="P293" s="627">
        <x:v>0</x:v>
      </x:c>
      <x:c r="Q293" s="627">
        <x:v>0</x:v>
      </x:c>
      <x:c r="R293" s="653">
        <x:v>0</x:v>
      </x:c>
      <x:c r="Z293" s="624"/>
    </x:row>
    <x:row r="294" spans="1:26" x14ac:dyDescent="0.25">
      <x:c r="C294" s="625"/>
      <x:c r="D294" s="625" t="s">
        <x:v>81</x:v>
      </x:c>
      <x:c r="E294" s="627">
        <x:v>0</x:v>
      </x:c>
      <x:c r="F294" s="627">
        <x:v>0</x:v>
      </x:c>
      <x:c r="G294" s="627">
        <x:v>0</x:v>
      </x:c>
      <x:c r="H294" s="627">
        <x:v>0</x:v>
      </x:c>
      <x:c r="I294" s="627">
        <x:v>0</x:v>
      </x:c>
      <x:c r="J294" s="627">
        <x:v>0</x:v>
      </x:c>
      <x:c r="K294" s="627">
        <x:v>0</x:v>
      </x:c>
      <x:c r="L294" s="627">
        <x:v>0</x:v>
      </x:c>
      <x:c r="M294" s="627">
        <x:v>0</x:v>
      </x:c>
      <x:c r="N294" s="627">
        <x:v>0</x:v>
      </x:c>
      <x:c r="O294" s="627">
        <x:v>0</x:v>
      </x:c>
      <x:c r="P294" s="627">
        <x:v>0</x:v>
      </x:c>
      <x:c r="Q294" s="627">
        <x:v>0</x:v>
      </x:c>
      <x:c r="R294" s="653">
        <x:v>0</x:v>
      </x:c>
      <x:c r="Z294" s="624"/>
    </x:row>
    <x:row r="295" spans="1:26" x14ac:dyDescent="0.25">
      <x:c r="C295" s="625" t="s">
        <x:v>82</x:v>
      </x:c>
      <x:c r="D295" s="625" t="s">
        <x:v>70</x:v>
      </x:c>
      <x:c r="E295" s="627">
        <x:v>0</x:v>
      </x:c>
      <x:c r="F295" s="627">
        <x:v>0</x:v>
      </x:c>
      <x:c r="G295" s="627">
        <x:v>0</x:v>
      </x:c>
      <x:c r="H295" s="627">
        <x:v>0</x:v>
      </x:c>
      <x:c r="I295" s="627">
        <x:v>0</x:v>
      </x:c>
      <x:c r="J295" s="627">
        <x:v>0</x:v>
      </x:c>
      <x:c r="K295" s="627">
        <x:v>0</x:v>
      </x:c>
      <x:c r="L295" s="627">
        <x:v>0</x:v>
      </x:c>
      <x:c r="M295" s="627">
        <x:v>0</x:v>
      </x:c>
      <x:c r="N295" s="627">
        <x:v>0</x:v>
      </x:c>
      <x:c r="O295" s="627">
        <x:v>0</x:v>
      </x:c>
      <x:c r="P295" s="627">
        <x:v>0</x:v>
      </x:c>
      <x:c r="Q295" s="627">
        <x:v>0</x:v>
      </x:c>
      <x:c r="R295" s="653">
        <x:v>0</x:v>
      </x:c>
      <x:c r="Z295" s="624"/>
    </x:row>
    <x:row r="296" spans="1:26" x14ac:dyDescent="0.25">
      <x:c r="C296" s="625"/>
      <x:c r="D296" s="625" t="s">
        <x:v>72</x:v>
      </x:c>
      <x:c r="E296" s="627">
        <x:v>0</x:v>
      </x:c>
      <x:c r="F296" s="627">
        <x:v>0</x:v>
      </x:c>
      <x:c r="G296" s="627">
        <x:v>0</x:v>
      </x:c>
      <x:c r="H296" s="627">
        <x:v>0</x:v>
      </x:c>
      <x:c r="I296" s="627">
        <x:v>0</x:v>
      </x:c>
      <x:c r="J296" s="627">
        <x:v>0</x:v>
      </x:c>
      <x:c r="K296" s="627">
        <x:v>0</x:v>
      </x:c>
      <x:c r="L296" s="627">
        <x:v>0</x:v>
      </x:c>
      <x:c r="M296" s="627">
        <x:v>0</x:v>
      </x:c>
      <x:c r="N296" s="627">
        <x:v>0</x:v>
      </x:c>
      <x:c r="O296" s="627">
        <x:v>0</x:v>
      </x:c>
      <x:c r="P296" s="627">
        <x:v>0</x:v>
      </x:c>
      <x:c r="Q296" s="627">
        <x:v>0</x:v>
      </x:c>
      <x:c r="R296" s="653">
        <x:v>0</x:v>
      </x:c>
      <x:c r="Z296" s="624"/>
    </x:row>
    <x:row r="297" spans="1:26" x14ac:dyDescent="0.25">
      <x:c r="C297" s="625"/>
      <x:c r="D297" s="625" t="s">
        <x:v>81</x:v>
      </x:c>
      <x:c r="E297" s="627">
        <x:v>0</x:v>
      </x:c>
      <x:c r="F297" s="627">
        <x:v>0</x:v>
      </x:c>
      <x:c r="G297" s="627">
        <x:v>0</x:v>
      </x:c>
      <x:c r="H297" s="627">
        <x:v>0</x:v>
      </x:c>
      <x:c r="I297" s="627">
        <x:v>0</x:v>
      </x:c>
      <x:c r="J297" s="627">
        <x:v>0</x:v>
      </x:c>
      <x:c r="K297" s="627">
        <x:v>0</x:v>
      </x:c>
      <x:c r="L297" s="627">
        <x:v>0</x:v>
      </x:c>
      <x:c r="M297" s="627">
        <x:v>0</x:v>
      </x:c>
      <x:c r="N297" s="627">
        <x:v>0</x:v>
      </x:c>
      <x:c r="O297" s="627">
        <x:v>0</x:v>
      </x:c>
      <x:c r="P297" s="627">
        <x:v>0</x:v>
      </x:c>
      <x:c r="Q297" s="627">
        <x:v>0</x:v>
      </x:c>
      <x:c r="R297" s="653">
        <x:v>0</x:v>
      </x:c>
      <x:c r="Z297" s="624"/>
    </x:row>
    <x:row r="298" spans="1:26" x14ac:dyDescent="0.25">
      <x:c r="C298" s="625" t="s">
        <x:v>86</x:v>
      </x:c>
      <x:c r="D298" s="625" t="s">
        <x:v>70</x:v>
      </x:c>
      <x:c r="E298" s="627">
        <x:v>0</x:v>
      </x:c>
      <x:c r="F298" s="627">
        <x:v>0</x:v>
      </x:c>
      <x:c r="G298" s="627">
        <x:v>0</x:v>
      </x:c>
      <x:c r="H298" s="627">
        <x:v>0</x:v>
      </x:c>
      <x:c r="I298" s="627">
        <x:v>0</x:v>
      </x:c>
      <x:c r="J298" s="627">
        <x:v>0</x:v>
      </x:c>
      <x:c r="K298" s="627">
        <x:v>0</x:v>
      </x:c>
      <x:c r="L298" s="627">
        <x:v>0</x:v>
      </x:c>
      <x:c r="M298" s="627">
        <x:v>0</x:v>
      </x:c>
      <x:c r="N298" s="627">
        <x:v>0</x:v>
      </x:c>
      <x:c r="O298" s="627">
        <x:v>0</x:v>
      </x:c>
      <x:c r="P298" s="627">
        <x:v>0</x:v>
      </x:c>
      <x:c r="Q298" s="627">
        <x:v>0</x:v>
      </x:c>
      <x:c r="R298" s="653">
        <x:v>0</x:v>
      </x:c>
      <x:c r="Z298" s="624"/>
    </x:row>
    <x:row r="299" spans="1:26" x14ac:dyDescent="0.25">
      <x:c r="C299" s="625"/>
      <x:c r="D299" s="625" t="s">
        <x:v>72</x:v>
      </x:c>
      <x:c r="E299" s="627">
        <x:v>0</x:v>
      </x:c>
      <x:c r="F299" s="627">
        <x:v>0</x:v>
      </x:c>
      <x:c r="G299" s="627">
        <x:v>0</x:v>
      </x:c>
      <x:c r="H299" s="627">
        <x:v>0</x:v>
      </x:c>
      <x:c r="I299" s="627">
        <x:v>0</x:v>
      </x:c>
      <x:c r="J299" s="627">
        <x:v>0</x:v>
      </x:c>
      <x:c r="K299" s="627">
        <x:v>0</x:v>
      </x:c>
      <x:c r="L299" s="627">
        <x:v>0</x:v>
      </x:c>
      <x:c r="M299" s="627">
        <x:v>0</x:v>
      </x:c>
      <x:c r="N299" s="627">
        <x:v>0</x:v>
      </x:c>
      <x:c r="O299" s="627">
        <x:v>0</x:v>
      </x:c>
      <x:c r="P299" s="627">
        <x:v>0</x:v>
      </x:c>
      <x:c r="Q299" s="627">
        <x:v>0</x:v>
      </x:c>
      <x:c r="R299" s="653">
        <x:v>0</x:v>
      </x:c>
      <x:c r="Z299" s="624"/>
    </x:row>
    <x:row r="300" spans="1:26" x14ac:dyDescent="0.25">
      <x:c r="C300" s="625"/>
      <x:c r="D300" s="625" t="s">
        <x:v>81</x:v>
      </x:c>
      <x:c r="E300" s="627" t="n">
        <x:v>-132523.81</x:v>
      </x:c>
      <x:c r="F300" s="627">
        <x:v>0</x:v>
      </x:c>
      <x:c r="G300" s="627">
        <x:v>0</x:v>
      </x:c>
      <x:c r="H300" s="627">
        <x:v>0</x:v>
      </x:c>
      <x:c r="I300" s="627">
        <x:v>0</x:v>
      </x:c>
      <x:c r="J300" s="627">
        <x:v>0</x:v>
      </x:c>
      <x:c r="K300" s="627">
        <x:v>0</x:v>
      </x:c>
      <x:c r="L300" s="627">
        <x:v>0</x:v>
      </x:c>
      <x:c r="M300" s="627">
        <x:v>0</x:v>
      </x:c>
      <x:c r="N300" s="627">
        <x:v>0</x:v>
      </x:c>
      <x:c r="O300" s="627">
        <x:v>0</x:v>
      </x:c>
      <x:c r="P300" s="627">
        <x:v>0</x:v>
      </x:c>
      <x:c r="Q300" s="627">
        <x:v>0</x:v>
      </x:c>
      <x:c r="R300" s="653">
        <x:v>0</x:v>
      </x:c>
      <x:c r="Z300" s="624"/>
    </x:row>
    <x:row r="301" spans="1:26" x14ac:dyDescent="0.25">
      <x:c r="A301" s="625"/>
      <x:c r="B301" s="625"/>
      <x:c r="C301" s="25" t="s">
        <x:v>87</x:v>
      </x:c>
      <x:c r="D301" s="25" t="s">
        <x:v>70</x:v>
      </x:c>
      <x:c r="E301" s="627">
        <x:v>0</x:v>
      </x:c>
      <x:c r="F301" s="627">
        <x:v>0</x:v>
      </x:c>
      <x:c r="G301" s="627">
        <x:v>0</x:v>
      </x:c>
      <x:c r="H301" s="627">
        <x:v>0</x:v>
      </x:c>
      <x:c r="I301" s="627">
        <x:v>0</x:v>
      </x:c>
      <x:c r="J301" s="627">
        <x:v>0</x:v>
      </x:c>
      <x:c r="K301" s="627">
        <x:v>0</x:v>
      </x:c>
      <x:c r="L301" s="627">
        <x:v>0</x:v>
      </x:c>
      <x:c r="M301" s="627">
        <x:v>0</x:v>
      </x:c>
      <x:c r="N301" s="627">
        <x:v>0</x:v>
      </x:c>
      <x:c r="O301" s="627">
        <x:v>0</x:v>
      </x:c>
      <x:c r="P301" s="627">
        <x:v>0</x:v>
      </x:c>
      <x:c r="Q301" s="627">
        <x:v>0</x:v>
      </x:c>
      <x:c r="R301" s="653">
        <x:v>0</x:v>
      </x:c>
      <x:c r="Z301" s="624"/>
    </x:row>
    <x:row r="302" spans="1:26" x14ac:dyDescent="0.25">
      <x:c r="A302" s="631"/>
      <x:c r="B302" s="632" t="s">
        <x:v>119</x:v>
      </x:c>
      <x:c r="C302" s="632" t="s">
        <x:v>70</x:v>
      </x:c>
      <x:c r="D302" s="631"/>
      <x:c r="E302" s="633">
        <x:v>0</x:v>
      </x:c>
      <x:c r="F302" s="633">
        <x:v>0</x:v>
      </x:c>
      <x:c r="G302" s="633">
        <x:v>0</x:v>
      </x:c>
      <x:c r="H302" s="633">
        <x:v>0</x:v>
      </x:c>
      <x:c r="I302" s="633">
        <x:v>0</x:v>
      </x:c>
      <x:c r="J302" s="633">
        <x:v>0</x:v>
      </x:c>
      <x:c r="K302" s="633">
        <x:v>0</x:v>
      </x:c>
      <x:c r="L302" s="633">
        <x:v>0</x:v>
      </x:c>
      <x:c r="M302" s="633">
        <x:v>0</x:v>
      </x:c>
      <x:c r="N302" s="633">
        <x:v>0</x:v>
      </x:c>
      <x:c r="O302" s="633">
        <x:v>0</x:v>
      </x:c>
      <x:c r="P302" s="633">
        <x:v>0</x:v>
      </x:c>
      <x:c r="Q302" s="633">
        <x:v>0</x:v>
      </x:c>
      <x:c r="R302" s="678">
        <x:v>0</x:v>
      </x:c>
      <x:c r="S302" s="631"/>
      <x:c r="T302" s="631"/>
      <x:c r="U302" s="631"/>
      <x:c r="V302" s="631"/>
      <x:c r="W302" s="631"/>
      <x:c r="X302" s="631"/>
      <x:c r="Y302" s="631"/>
      <x:c r="Z302" s="624"/>
    </x:row>
    <x:row r="303" spans="1:26" x14ac:dyDescent="0.25">
      <x:c r="A303" s="639" t="s">
        <x:v>78</x:v>
      </x:c>
      <x:c r="B303" s="639" t="s">
        <x:v>70</x:v>
      </x:c>
      <x:c r="C303" s="638"/>
      <x:c r="D303" s="638"/>
      <x:c r="E303" s="640">
        <x:v>0</x:v>
      </x:c>
      <x:c r="F303" s="640">
        <x:v>0</x:v>
      </x:c>
      <x:c r="G303" s="640">
        <x:v>0</x:v>
      </x:c>
      <x:c r="H303" s="640">
        <x:v>0</x:v>
      </x:c>
      <x:c r="I303" s="640">
        <x:v>0</x:v>
      </x:c>
      <x:c r="J303" s="640">
        <x:v>0</x:v>
      </x:c>
      <x:c r="K303" s="640">
        <x:v>0</x:v>
      </x:c>
      <x:c r="L303" s="640">
        <x:v>0</x:v>
      </x:c>
      <x:c r="M303" s="640">
        <x:v>0</x:v>
      </x:c>
      <x:c r="N303" s="640">
        <x:v>0</x:v>
      </x:c>
      <x:c r="O303" s="640">
        <x:v>0</x:v>
      </x:c>
      <x:c r="P303" s="640">
        <x:v>0</x:v>
      </x:c>
      <x:c r="Q303" s="640">
        <x:v>0</x:v>
      </x:c>
      <x:c r="R303" s="679">
        <x:v>0</x:v>
      </x:c>
      <x:c r="S303" s="638"/>
      <x:c r="T303" s="638"/>
      <x:c r="U303" s="638"/>
      <x:c r="V303" s="638"/>
      <x:c r="W303" s="638"/>
      <x:c r="X303" s="638"/>
      <x:c r="Y303" s="638"/>
      <x:c r="Z303" s="624"/>
    </x:row>
    <x:row r="304" spans="1:26" x14ac:dyDescent="0.25">
      <x:c r="B304" s="625"/>
      <x:c r="C304" s="625"/>
      <x:c r="D304" s="25" t="s">
        <x:v>73</x:v>
      </x:c>
      <x:c r="E304" s="627">
        <x:v>0</x:v>
      </x:c>
      <x:c r="F304" s="627">
        <x:v>0</x:v>
      </x:c>
      <x:c r="G304" s="627">
        <x:v>0</x:v>
      </x:c>
      <x:c r="H304" s="627">
        <x:v>0</x:v>
      </x:c>
      <x:c r="I304" s="627">
        <x:v>0</x:v>
      </x:c>
      <x:c r="J304" s="627">
        <x:v>0</x:v>
      </x:c>
      <x:c r="K304" s="627">
        <x:v>0</x:v>
      </x:c>
      <x:c r="L304" s="627">
        <x:v>0</x:v>
      </x:c>
      <x:c r="M304" s="627">
        <x:v>0</x:v>
      </x:c>
      <x:c r="N304" s="627">
        <x:v>0</x:v>
      </x:c>
      <x:c r="O304" s="627">
        <x:v>0</x:v>
      </x:c>
      <x:c r="P304" s="627">
        <x:v>0</x:v>
      </x:c>
      <x:c r="Q304" s="627">
        <x:v>0</x:v>
      </x:c>
      <x:c r="R304" s="653">
        <x:v>0</x:v>
      </x:c>
      <x:c r="Z304" s="624"/>
    </x:row>
    <x:row r="305" spans="1:26" x14ac:dyDescent="0.25">
      <x:c r="B305" s="625"/>
      <x:c r="C305" s="625" t="s">
        <x:v>156</x:v>
      </x:c>
      <x:c r="D305" s="25" t="s">
        <x:v>70</x:v>
      </x:c>
      <x:c r="E305" s="627">
        <x:v>0</x:v>
      </x:c>
      <x:c r="F305" s="627">
        <x:v>0</x:v>
      </x:c>
      <x:c r="G305" s="627">
        <x:v>0</x:v>
      </x:c>
      <x:c r="H305" s="627">
        <x:v>0</x:v>
      </x:c>
      <x:c r="I305" s="627">
        <x:v>0</x:v>
      </x:c>
      <x:c r="J305" s="627">
        <x:v>0</x:v>
      </x:c>
      <x:c r="K305" s="627">
        <x:v>0</x:v>
      </x:c>
      <x:c r="L305" s="627">
        <x:v>0</x:v>
      </x:c>
      <x:c r="M305" s="627">
        <x:v>0</x:v>
      </x:c>
      <x:c r="N305" s="627">
        <x:v>0</x:v>
      </x:c>
      <x:c r="O305" s="627">
        <x:v>0</x:v>
      </x:c>
      <x:c r="P305" s="627">
        <x:v>0</x:v>
      </x:c>
      <x:c r="Q305" s="627">
        <x:v>0</x:v>
      </x:c>
      <x:c r="R305" s="653">
        <x:v>0</x:v>
      </x:c>
      <x:c r="Z305" s="624"/>
    </x:row>
    <x:row r="306" spans="1:26" x14ac:dyDescent="0.25">
      <x:c r="A306" s="628"/>
      <x:c r="B306" s="628" t="s">
        <x:v>155</x:v>
      </x:c>
      <x:c r="C306" s="628" t="s">
        <x:v>70</x:v>
      </x:c>
      <x:c r="D306" s="628"/>
      <x:c r="E306" s="677">
        <x:v>0</x:v>
      </x:c>
      <x:c r="F306" s="677">
        <x:v>0</x:v>
      </x:c>
      <x:c r="G306" s="677">
        <x:v>0</x:v>
      </x:c>
      <x:c r="H306" s="677">
        <x:v>0</x:v>
      </x:c>
      <x:c r="I306" s="677">
        <x:v>0</x:v>
      </x:c>
      <x:c r="J306" s="677">
        <x:v>0</x:v>
      </x:c>
      <x:c r="K306" s="677">
        <x:v>0</x:v>
      </x:c>
      <x:c r="L306" s="677">
        <x:v>0</x:v>
      </x:c>
      <x:c r="M306" s="677">
        <x:v>0</x:v>
      </x:c>
      <x:c r="N306" s="677">
        <x:v>0</x:v>
      </x:c>
      <x:c r="O306" s="677">
        <x:v>0</x:v>
      </x:c>
      <x:c r="P306" s="677">
        <x:v>0</x:v>
      </x:c>
      <x:c r="Q306" s="677">
        <x:v>0</x:v>
      </x:c>
      <x:c r="R306" s="677">
        <x:v>0</x:v>
      </x:c>
      <x:c r="S306" s="628"/>
      <x:c r="T306" s="628"/>
      <x:c r="U306" s="628"/>
      <x:c r="V306" s="628"/>
      <x:c r="W306" s="628"/>
      <x:c r="X306" s="628"/>
      <x:c r="Y306" s="628"/>
      <x:c r="Z306" s="624"/>
    </x:row>
    <x:row r="307" spans="1:26" x14ac:dyDescent="0.25">
      <x:c r="B307" s="625"/>
      <x:c r="C307" s="625"/>
      <x:c r="D307" s="25" t="s">
        <x:v>73</x:v>
      </x:c>
      <x:c r="E307" s="627" t="n">
        <x:v>-42433.9</x:v>
      </x:c>
      <x:c r="F307" s="627">
        <x:v>0</x:v>
      </x:c>
      <x:c r="G307" s="627">
        <x:v>0</x:v>
      </x:c>
      <x:c r="H307" s="627">
        <x:v>0</x:v>
      </x:c>
      <x:c r="I307" s="627">
        <x:v>0</x:v>
      </x:c>
      <x:c r="J307" s="627">
        <x:v>0</x:v>
      </x:c>
      <x:c r="K307" s="627">
        <x:v>0</x:v>
      </x:c>
      <x:c r="L307" s="627">
        <x:v>0</x:v>
      </x:c>
      <x:c r="M307" s="627">
        <x:v>0</x:v>
      </x:c>
      <x:c r="N307" s="627">
        <x:v>0</x:v>
      </x:c>
      <x:c r="O307" s="627">
        <x:v>0</x:v>
      </x:c>
      <x:c r="P307" s="627">
        <x:v>0</x:v>
      </x:c>
      <x:c r="Q307" s="627">
        <x:v>0</x:v>
      </x:c>
      <x:c r="R307" s="653">
        <x:v>0</x:v>
      </x:c>
      <x:c r="Z307" s="624"/>
    </x:row>
    <x:row r="308" spans="1:26" x14ac:dyDescent="0.25">
      <x:c r="B308" s="625"/>
      <x:c r="C308" s="625" t="s">
        <x:v>115</x:v>
      </x:c>
      <x:c r="D308" s="25" t="s">
        <x:v>70</x:v>
      </x:c>
      <x:c r="E308" s="627" t="n">
        <x:v>-435091.74</x:v>
      </x:c>
      <x:c r="F308" s="627">
        <x:v>0</x:v>
      </x:c>
      <x:c r="G308" s="627">
        <x:v>0</x:v>
      </x:c>
      <x:c r="H308" s="627">
        <x:v>0</x:v>
      </x:c>
      <x:c r="I308" s="627">
        <x:v>0</x:v>
      </x:c>
      <x:c r="J308" s="627">
        <x:v>0</x:v>
      </x:c>
      <x:c r="K308" s="627">
        <x:v>0</x:v>
      </x:c>
      <x:c r="L308" s="627">
        <x:v>0</x:v>
      </x:c>
      <x:c r="M308" s="627">
        <x:v>0</x:v>
      </x:c>
      <x:c r="N308" s="627">
        <x:v>0</x:v>
      </x:c>
      <x:c r="O308" s="627">
        <x:v>0</x:v>
      </x:c>
      <x:c r="P308" s="627">
        <x:v>0</x:v>
      </x:c>
      <x:c r="Q308" s="627">
        <x:v>0</x:v>
      </x:c>
      <x:c r="R308" s="653">
        <x:v>0</x:v>
      </x:c>
      <x:c r="Z308" s="624"/>
    </x:row>
    <x:row r="309" spans="1:26" x14ac:dyDescent="0.25">
      <x:c r="B309" s="625"/>
      <x:c r="C309" s="625"/>
      <x:c r="D309" s="25" t="s">
        <x:v>73</x:v>
      </x:c>
      <x:c r="E309" s="627">
        <x:v>0</x:v>
      </x:c>
      <x:c r="F309" s="627">
        <x:v>0</x:v>
      </x:c>
      <x:c r="G309" s="627">
        <x:v>0</x:v>
      </x:c>
      <x:c r="H309" s="627">
        <x:v>0</x:v>
      </x:c>
      <x:c r="I309" s="627">
        <x:v>0</x:v>
      </x:c>
      <x:c r="J309" s="627">
        <x:v>0</x:v>
      </x:c>
      <x:c r="K309" s="627">
        <x:v>0</x:v>
      </x:c>
      <x:c r="L309" s="627">
        <x:v>0</x:v>
      </x:c>
      <x:c r="M309" s="627">
        <x:v>0</x:v>
      </x:c>
      <x:c r="N309" s="627">
        <x:v>0</x:v>
      </x:c>
      <x:c r="O309" s="627">
        <x:v>0</x:v>
      </x:c>
      <x:c r="P309" s="627">
        <x:v>0</x:v>
      </x:c>
      <x:c r="Q309" s="627">
        <x:v>0</x:v>
      </x:c>
      <x:c r="R309" s="653">
        <x:v>0</x:v>
      </x:c>
      <x:c r="Z309" s="624"/>
    </x:row>
    <x:row r="310" spans="1:26" x14ac:dyDescent="0.25">
      <x:c r="B310" s="625"/>
      <x:c r="C310" s="625" t="s">
        <x:v>116</x:v>
      </x:c>
      <x:c r="D310" s="25" t="s">
        <x:v>70</x:v>
      </x:c>
      <x:c r="E310" s="627">
        <x:v>0</x:v>
      </x:c>
      <x:c r="F310" s="627">
        <x:v>0</x:v>
      </x:c>
      <x:c r="G310" s="627">
        <x:v>0</x:v>
      </x:c>
      <x:c r="H310" s="627">
        <x:v>0</x:v>
      </x:c>
      <x:c r="I310" s="627">
        <x:v>0</x:v>
      </x:c>
      <x:c r="J310" s="627">
        <x:v>0</x:v>
      </x:c>
      <x:c r="K310" s="627">
        <x:v>0</x:v>
      </x:c>
      <x:c r="L310" s="627">
        <x:v>0</x:v>
      </x:c>
      <x:c r="M310" s="627">
        <x:v>0</x:v>
      </x:c>
      <x:c r="N310" s="627">
        <x:v>0</x:v>
      </x:c>
      <x:c r="O310" s="627">
        <x:v>0</x:v>
      </x:c>
      <x:c r="P310" s="627">
        <x:v>0</x:v>
      </x:c>
      <x:c r="Q310" s="627">
        <x:v>0</x:v>
      </x:c>
      <x:c r="R310" s="653">
        <x:v>0</x:v>
      </x:c>
      <x:c r="Z310" s="624"/>
    </x:row>
    <x:row r="311" spans="1:26" x14ac:dyDescent="0.25">
      <x:c r="B311" s="625"/>
      <x:c r="C311" s="625"/>
      <x:c r="D311" s="25" t="s">
        <x:v>73</x:v>
      </x:c>
      <x:c r="E311" s="627">
        <x:v>0</x:v>
      </x:c>
      <x:c r="F311" s="627">
        <x:v>0</x:v>
      </x:c>
      <x:c r="G311" s="627">
        <x:v>0</x:v>
      </x:c>
      <x:c r="H311" s="627">
        <x:v>0</x:v>
      </x:c>
      <x:c r="I311" s="627">
        <x:v>0</x:v>
      </x:c>
      <x:c r="J311" s="627">
        <x:v>0</x:v>
      </x:c>
      <x:c r="K311" s="627">
        <x:v>0</x:v>
      </x:c>
      <x:c r="L311" s="627">
        <x:v>0</x:v>
      </x:c>
      <x:c r="M311" s="627">
        <x:v>0</x:v>
      </x:c>
      <x:c r="N311" s="627">
        <x:v>0</x:v>
      </x:c>
      <x:c r="O311" s="627">
        <x:v>0</x:v>
      </x:c>
      <x:c r="P311" s="627">
        <x:v>0</x:v>
      </x:c>
      <x:c r="Q311" s="627">
        <x:v>0</x:v>
      </x:c>
      <x:c r="R311" s="653">
        <x:v>0</x:v>
      </x:c>
      <x:c r="Z311" s="624"/>
    </x:row>
    <x:row r="312" spans="1:26" x14ac:dyDescent="0.25">
      <x:c r="B312" s="625"/>
      <x:c r="C312" s="625" t="s">
        <x:v>118</x:v>
      </x:c>
      <x:c r="D312" s="25" t="s">
        <x:v>70</x:v>
      </x:c>
      <x:c r="E312" s="627">
        <x:v>0</x:v>
      </x:c>
      <x:c r="F312" s="627">
        <x:v>0</x:v>
      </x:c>
      <x:c r="G312" s="627">
        <x:v>0</x:v>
      </x:c>
      <x:c r="H312" s="627">
        <x:v>0</x:v>
      </x:c>
      <x:c r="I312" s="627">
        <x:v>0</x:v>
      </x:c>
      <x:c r="J312" s="627">
        <x:v>0</x:v>
      </x:c>
      <x:c r="K312" s="627">
        <x:v>0</x:v>
      </x:c>
      <x:c r="L312" s="627">
        <x:v>0</x:v>
      </x:c>
      <x:c r="M312" s="627">
        <x:v>0</x:v>
      </x:c>
      <x:c r="N312" s="627">
        <x:v>0</x:v>
      </x:c>
      <x:c r="O312" s="627">
        <x:v>0</x:v>
      </x:c>
      <x:c r="P312" s="627">
        <x:v>0</x:v>
      </x:c>
      <x:c r="Q312" s="627">
        <x:v>0</x:v>
      </x:c>
      <x:c r="R312" s="653">
        <x:v>0</x:v>
      </x:c>
      <x:c r="Z312" s="624"/>
    </x:row>
    <x:row r="313" spans="1:26" x14ac:dyDescent="0.25">
      <x:c r="B313" s="625"/>
      <x:c r="C313" s="625"/>
      <x:c r="D313" s="25" t="s">
        <x:v>73</x:v>
      </x:c>
      <x:c r="E313" s="627">
        <x:v>0</x:v>
      </x:c>
      <x:c r="F313" s="627">
        <x:v>0</x:v>
      </x:c>
      <x:c r="G313" s="627">
        <x:v>0</x:v>
      </x:c>
      <x:c r="H313" s="627">
        <x:v>0</x:v>
      </x:c>
      <x:c r="I313" s="627">
        <x:v>0</x:v>
      </x:c>
      <x:c r="J313" s="627">
        <x:v>0</x:v>
      </x:c>
      <x:c r="K313" s="627">
        <x:v>0</x:v>
      </x:c>
      <x:c r="L313" s="627">
        <x:v>0</x:v>
      </x:c>
      <x:c r="M313" s="627">
        <x:v>0</x:v>
      </x:c>
      <x:c r="N313" s="627">
        <x:v>0</x:v>
      </x:c>
      <x:c r="O313" s="627">
        <x:v>0</x:v>
      </x:c>
      <x:c r="P313" s="627">
        <x:v>0</x:v>
      </x:c>
      <x:c r="Q313" s="627">
        <x:v>0</x:v>
      </x:c>
      <x:c r="R313" s="653">
        <x:v>0</x:v>
      </x:c>
      <x:c r="Z313" s="624"/>
    </x:row>
    <x:row r="314" spans="1:26" x14ac:dyDescent="0.25">
      <x:c r="B314" s="625"/>
      <x:c r="C314" s="625" t="s">
        <x:v>332</x:v>
      </x:c>
      <x:c r="D314" s="25" t="s">
        <x:v>70</x:v>
      </x:c>
      <x:c r="E314" s="627">
        <x:v>0</x:v>
      </x:c>
      <x:c r="F314" s="627">
        <x:v>0</x:v>
      </x:c>
      <x:c r="G314" s="627">
        <x:v>0</x:v>
      </x:c>
      <x:c r="H314" s="627">
        <x:v>0</x:v>
      </x:c>
      <x:c r="I314" s="627">
        <x:v>0</x:v>
      </x:c>
      <x:c r="J314" s="627">
        <x:v>0</x:v>
      </x:c>
      <x:c r="K314" s="627">
        <x:v>0</x:v>
      </x:c>
      <x:c r="L314" s="627">
        <x:v>0</x:v>
      </x:c>
      <x:c r="M314" s="627">
        <x:v>0</x:v>
      </x:c>
      <x:c r="N314" s="627">
        <x:v>0</x:v>
      </x:c>
      <x:c r="O314" s="627">
        <x:v>0</x:v>
      </x:c>
      <x:c r="P314" s="627">
        <x:v>0</x:v>
      </x:c>
      <x:c r="Q314" s="627">
        <x:v>0</x:v>
      </x:c>
      <x:c r="R314" s="653">
        <x:v>0</x:v>
      </x:c>
      <x:c r="Z314" s="624"/>
    </x:row>
    <x:row r="315" spans="1:26" x14ac:dyDescent="0.25">
      <x:c r="A315" s="667"/>
      <x:c r="B315" s="667" t="s">
        <x:v>120</x:v>
      </x:c>
      <x:c r="C315" s="667" t="s">
        <x:v>70</x:v>
      </x:c>
      <x:c r="D315" s="667"/>
      <x:c r="E315" s="672">
        <x:v>0</x:v>
      </x:c>
      <x:c r="F315" s="672">
        <x:v>0</x:v>
      </x:c>
      <x:c r="G315" s="672">
        <x:v>0</x:v>
      </x:c>
      <x:c r="H315" s="672">
        <x:v>0</x:v>
      </x:c>
      <x:c r="I315" s="672">
        <x:v>0</x:v>
      </x:c>
      <x:c r="J315" s="672">
        <x:v>0</x:v>
      </x:c>
      <x:c r="K315" s="672">
        <x:v>0</x:v>
      </x:c>
      <x:c r="L315" s="672">
        <x:v>0</x:v>
      </x:c>
      <x:c r="M315" s="672">
        <x:v>0</x:v>
      </x:c>
      <x:c r="N315" s="672">
        <x:v>0</x:v>
      </x:c>
      <x:c r="O315" s="672">
        <x:v>0</x:v>
      </x:c>
      <x:c r="P315" s="672">
        <x:v>0</x:v>
      </x:c>
      <x:c r="Q315" s="672">
        <x:v>0</x:v>
      </x:c>
      <x:c r="R315" s="672">
        <x:v>0</x:v>
      </x:c>
      <x:c r="S315" s="667"/>
      <x:c r="T315" s="667"/>
      <x:c r="U315" s="667"/>
      <x:c r="V315" s="667"/>
      <x:c r="W315" s="667"/>
      <x:c r="X315" s="667"/>
      <x:c r="Y315" s="667"/>
      <x:c r="Z315" s="624"/>
    </x:row>
    <x:row r="316" spans="1:26" x14ac:dyDescent="0.25">
      <x:c r="D316" s="625" t="s">
        <x:v>73</x:v>
      </x:c>
      <x:c r="E316" s="627">
        <x:v>0</x:v>
      </x:c>
      <x:c r="F316" s="627">
        <x:v>0</x:v>
      </x:c>
      <x:c r="G316" s="627">
        <x:v>0</x:v>
      </x:c>
      <x:c r="H316" s="627">
        <x:v>0</x:v>
      </x:c>
      <x:c r="I316" s="627">
        <x:v>0</x:v>
      </x:c>
      <x:c r="J316" s="627">
        <x:v>0</x:v>
      </x:c>
      <x:c r="K316" s="627">
        <x:v>0</x:v>
      </x:c>
      <x:c r="L316" s="627">
        <x:v>0</x:v>
      </x:c>
      <x:c r="M316" s="627">
        <x:v>0</x:v>
      </x:c>
      <x:c r="N316" s="627">
        <x:v>0</x:v>
      </x:c>
      <x:c r="O316" s="627">
        <x:v>0</x:v>
      </x:c>
      <x:c r="P316" s="627">
        <x:v>0</x:v>
      </x:c>
      <x:c r="Q316" s="627">
        <x:v>0</x:v>
      </x:c>
      <x:c r="R316" s="653">
        <x:v>0</x:v>
      </x:c>
      <x:c r="Z316" s="624"/>
    </x:row>
    <x:row r="317" spans="1:26" x14ac:dyDescent="0.25">
      <x:c r="C317" s="25" t="s">
        <x:v>82</x:v>
      </x:c>
      <x:c r="D317" s="625" t="s">
        <x:v>70</x:v>
      </x:c>
      <x:c r="E317" s="627">
        <x:v>0</x:v>
      </x:c>
      <x:c r="F317" s="627">
        <x:v>0</x:v>
      </x:c>
      <x:c r="G317" s="627">
        <x:v>0</x:v>
      </x:c>
      <x:c r="H317" s="627">
        <x:v>0</x:v>
      </x:c>
      <x:c r="I317" s="627">
        <x:v>0</x:v>
      </x:c>
      <x:c r="J317" s="627">
        <x:v>0</x:v>
      </x:c>
      <x:c r="K317" s="627">
        <x:v>0</x:v>
      </x:c>
      <x:c r="L317" s="627">
        <x:v>0</x:v>
      </x:c>
      <x:c r="M317" s="627">
        <x:v>0</x:v>
      </x:c>
      <x:c r="N317" s="627">
        <x:v>0</x:v>
      </x:c>
      <x:c r="O317" s="627">
        <x:v>0</x:v>
      </x:c>
      <x:c r="P317" s="627">
        <x:v>0</x:v>
      </x:c>
      <x:c r="Q317" s="627">
        <x:v>0</x:v>
      </x:c>
      <x:c r="R317" s="653">
        <x:v>0</x:v>
      </x:c>
      <x:c r="Z317" s="624"/>
    </x:row>
    <x:row r="318" spans="1:26" x14ac:dyDescent="0.25">
      <x:c r="D318" s="625" t="s">
        <x:v>73</x:v>
      </x:c>
      <x:c r="E318" s="627">
        <x:v>0</x:v>
      </x:c>
      <x:c r="F318" s="627">
        <x:v>0</x:v>
      </x:c>
      <x:c r="G318" s="627">
        <x:v>0</x:v>
      </x:c>
      <x:c r="H318" s="627">
        <x:v>0</x:v>
      </x:c>
      <x:c r="I318" s="627">
        <x:v>0</x:v>
      </x:c>
      <x:c r="J318" s="627">
        <x:v>0</x:v>
      </x:c>
      <x:c r="K318" s="627">
        <x:v>0</x:v>
      </x:c>
      <x:c r="L318" s="627">
        <x:v>0</x:v>
      </x:c>
      <x:c r="M318" s="627">
        <x:v>0</x:v>
      </x:c>
      <x:c r="N318" s="627">
        <x:v>0</x:v>
      </x:c>
      <x:c r="O318" s="627">
        <x:v>0</x:v>
      </x:c>
      <x:c r="P318" s="627">
        <x:v>0</x:v>
      </x:c>
      <x:c r="Q318" s="627">
        <x:v>0</x:v>
      </x:c>
      <x:c r="R318" s="653">
        <x:v>0</x:v>
      </x:c>
      <x:c r="Z318" s="624"/>
    </x:row>
    <x:row r="319" spans="1:26" x14ac:dyDescent="0.25">
      <x:c r="C319" s="25" t="s">
        <x:v>86</x:v>
      </x:c>
      <x:c r="D319" s="625" t="s">
        <x:v>70</x:v>
      </x:c>
      <x:c r="E319" s="627">
        <x:v>0</x:v>
      </x:c>
      <x:c r="F319" s="627">
        <x:v>0</x:v>
      </x:c>
      <x:c r="G319" s="627">
        <x:v>0</x:v>
      </x:c>
      <x:c r="H319" s="627">
        <x:v>0</x:v>
      </x:c>
      <x:c r="I319" s="627">
        <x:v>0</x:v>
      </x:c>
      <x:c r="J319" s="627">
        <x:v>0</x:v>
      </x:c>
      <x:c r="K319" s="627">
        <x:v>0</x:v>
      </x:c>
      <x:c r="L319" s="627">
        <x:v>0</x:v>
      </x:c>
      <x:c r="M319" s="627">
        <x:v>0</x:v>
      </x:c>
      <x:c r="N319" s="627">
        <x:v>0</x:v>
      </x:c>
      <x:c r="O319" s="627">
        <x:v>0</x:v>
      </x:c>
      <x:c r="P319" s="627">
        <x:v>0</x:v>
      </x:c>
      <x:c r="Q319" s="627">
        <x:v>0</x:v>
      </x:c>
      <x:c r="R319" s="653">
        <x:v>0</x:v>
      </x:c>
      <x:c r="Z319" s="624"/>
    </x:row>
    <x:row r="320" spans="1:26" x14ac:dyDescent="0.25">
      <x:c r="C320" s="625"/>
      <x:c r="D320" s="625" t="s">
        <x:v>73</x:v>
      </x:c>
      <x:c r="E320" s="627">
        <x:v>0</x:v>
      </x:c>
      <x:c r="F320" s="627">
        <x:v>0</x:v>
      </x:c>
      <x:c r="G320" s="627">
        <x:v>0</x:v>
      </x:c>
      <x:c r="H320" s="627">
        <x:v>0</x:v>
      </x:c>
      <x:c r="I320" s="627">
        <x:v>0</x:v>
      </x:c>
      <x:c r="J320" s="627">
        <x:v>0</x:v>
      </x:c>
      <x:c r="K320" s="627">
        <x:v>0</x:v>
      </x:c>
      <x:c r="L320" s="627">
        <x:v>0</x:v>
      </x:c>
      <x:c r="M320" s="627">
        <x:v>0</x:v>
      </x:c>
      <x:c r="N320" s="627">
        <x:v>0</x:v>
      </x:c>
      <x:c r="O320" s="627">
        <x:v>0</x:v>
      </x:c>
      <x:c r="P320" s="627">
        <x:v>0</x:v>
      </x:c>
      <x:c r="Q320" s="627">
        <x:v>0</x:v>
      </x:c>
      <x:c r="R320" s="653">
        <x:v>0</x:v>
      </x:c>
      <x:c r="Z320" s="624"/>
    </x:row>
    <x:row r="321" spans="1:26" x14ac:dyDescent="0.25">
      <x:c r="B321" s="625"/>
      <x:c r="C321" s="625" t="s">
        <x:v>87</x:v>
      </x:c>
      <x:c r="D321" s="25" t="s">
        <x:v>70</x:v>
      </x:c>
      <x:c r="E321" s="627">
        <x:v>0</x:v>
      </x:c>
      <x:c r="F321" s="627">
        <x:v>0</x:v>
      </x:c>
      <x:c r="G321" s="627">
        <x:v>0</x:v>
      </x:c>
      <x:c r="H321" s="627">
        <x:v>0</x:v>
      </x:c>
      <x:c r="I321" s="627">
        <x:v>0</x:v>
      </x:c>
      <x:c r="J321" s="627">
        <x:v>0</x:v>
      </x:c>
      <x:c r="K321" s="627">
        <x:v>0</x:v>
      </x:c>
      <x:c r="L321" s="627">
        <x:v>0</x:v>
      </x:c>
      <x:c r="M321" s="627">
        <x:v>0</x:v>
      </x:c>
      <x:c r="N321" s="627">
        <x:v>0</x:v>
      </x:c>
      <x:c r="O321" s="627">
        <x:v>0</x:v>
      </x:c>
      <x:c r="P321" s="627">
        <x:v>0</x:v>
      </x:c>
      <x:c r="Q321" s="627">
        <x:v>0</x:v>
      </x:c>
      <x:c r="R321" s="653">
        <x:v>0</x:v>
      </x:c>
      <x:c r="Z321" s="624"/>
    </x:row>
    <x:row r="322" spans="1:26" x14ac:dyDescent="0.25">
      <x:c r="A322" s="631"/>
      <x:c r="B322" s="632" t="s">
        <x:v>119</x:v>
      </x:c>
      <x:c r="C322" s="632" t="s">
        <x:v>70</x:v>
      </x:c>
      <x:c r="D322" s="631"/>
      <x:c r="E322" s="633">
        <x:v>0</x:v>
      </x:c>
      <x:c r="F322" s="633">
        <x:v>0</x:v>
      </x:c>
      <x:c r="G322" s="633">
        <x:v>0</x:v>
      </x:c>
      <x:c r="H322" s="633">
        <x:v>0</x:v>
      </x:c>
      <x:c r="I322" s="633">
        <x:v>0</x:v>
      </x:c>
      <x:c r="J322" s="633">
        <x:v>0</x:v>
      </x:c>
      <x:c r="K322" s="633">
        <x:v>0</x:v>
      </x:c>
      <x:c r="L322" s="633">
        <x:v>0</x:v>
      </x:c>
      <x:c r="M322" s="633">
        <x:v>0</x:v>
      </x:c>
      <x:c r="N322" s="633">
        <x:v>0</x:v>
      </x:c>
      <x:c r="O322" s="633">
        <x:v>0</x:v>
      </x:c>
      <x:c r="P322" s="633">
        <x:v>0</x:v>
      </x:c>
      <x:c r="Q322" s="633">
        <x:v>0</x:v>
      </x:c>
      <x:c r="R322" s="678">
        <x:v>0</x:v>
      </x:c>
      <x:c r="S322" s="631"/>
      <x:c r="T322" s="631"/>
      <x:c r="U322" s="631"/>
      <x:c r="V322" s="631"/>
      <x:c r="W322" s="631"/>
      <x:c r="X322" s="631"/>
      <x:c r="Y322" s="631"/>
      <x:c r="Z322" s="624"/>
    </x:row>
    <x:row r="323" spans="1:26" x14ac:dyDescent="0.25">
      <x:c r="A323" s="639" t="s">
        <x:v>79</x:v>
      </x:c>
      <x:c r="B323" s="639" t="s">
        <x:v>70</x:v>
      </x:c>
      <x:c r="C323" s="638"/>
      <x:c r="D323" s="638"/>
      <x:c r="E323" s="640">
        <x:v>0</x:v>
      </x:c>
      <x:c r="F323" s="640">
        <x:v>0</x:v>
      </x:c>
      <x:c r="G323" s="640">
        <x:v>0</x:v>
      </x:c>
      <x:c r="H323" s="640">
        <x:v>0</x:v>
      </x:c>
      <x:c r="I323" s="640">
        <x:v>0</x:v>
      </x:c>
      <x:c r="J323" s="640">
        <x:v>0</x:v>
      </x:c>
      <x:c r="K323" s="640">
        <x:v>0</x:v>
      </x:c>
      <x:c r="L323" s="640">
        <x:v>0</x:v>
      </x:c>
      <x:c r="M323" s="640">
        <x:v>0</x:v>
      </x:c>
      <x:c r="N323" s="640">
        <x:v>0</x:v>
      </x:c>
      <x:c r="O323" s="640">
        <x:v>0</x:v>
      </x:c>
      <x:c r="P323" s="640">
        <x:v>0</x:v>
      </x:c>
      <x:c r="Q323" s="640">
        <x:v>0</x:v>
      </x:c>
      <x:c r="R323" s="679">
        <x:v>0</x:v>
      </x:c>
      <x:c r="S323" s="638"/>
      <x:c r="T323" s="638"/>
      <x:c r="U323" s="638"/>
      <x:c r="V323" s="638"/>
      <x:c r="W323" s="638"/>
      <x:c r="X323" s="638"/>
      <x:c r="Y323" s="638"/>
      <x:c r="Z323" s="624"/>
    </x:row>
    <x:row r="324" spans="1:26" x14ac:dyDescent="0.25">
      <x:c r="A324" s="625" t="s">
        <x:v>70</x:v>
      </x:c>
      <x:c r="E324" s="627">
        <x:v>0</x:v>
      </x:c>
      <x:c r="F324" s="627">
        <x:v>0</x:v>
      </x:c>
      <x:c r="G324" s="627">
        <x:v>0</x:v>
      </x:c>
      <x:c r="H324" s="627">
        <x:v>0</x:v>
      </x:c>
      <x:c r="I324" s="627">
        <x:v>0</x:v>
      </x:c>
      <x:c r="J324" s="627">
        <x:v>0</x:v>
      </x:c>
      <x:c r="K324" s="627">
        <x:v>0</x:v>
      </x:c>
      <x:c r="L324" s="627">
        <x:v>0</x:v>
      </x:c>
      <x:c r="M324" s="627">
        <x:v>0</x:v>
      </x:c>
      <x:c r="N324" s="627">
        <x:v>0</x:v>
      </x:c>
      <x:c r="O324" s="627">
        <x:v>0</x:v>
      </x:c>
      <x:c r="P324" s="627">
        <x:v>0</x:v>
      </x:c>
      <x:c r="Q324" s="627">
        <x:v>0</x:v>
      </x:c>
      <x:c r="R324" s="653">
        <x:v>0</x:v>
      </x:c>
      <x:c r="Z324" s="624"/>
    </x:row>
    <x:row r="325" spans="1:26" x14ac:dyDescent="0.25">
      <x:c r="C325" s="625"/>
      <x:c r="D325" s="625"/>
      <x:c r="E325" s="627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Z325" s="624"/>
    </x:row>
    <x:row r="326" spans="1:26" x14ac:dyDescent="0.25">
      <x:c r="C326" s="625"/>
      <x:c r="D326" s="625"/>
      <x:c r="E326" s="627"/>
      <x:c r="F326" s="627"/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Z326" s="624"/>
    </x:row>
    <x:row r="327" spans="1:26" x14ac:dyDescent="0.25">
      <x:c r="C327" s="625"/>
      <x:c r="D327" s="625"/>
      <x:c r="E327" s="627"/>
      <x:c r="F327" s="627"/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Z327" s="624"/>
    </x:row>
    <x:row r="328" spans="1:26" x14ac:dyDescent="0.25">
      <x:c r="C328" s="625"/>
      <x:c r="D328" s="625"/>
      <x:c r="E328" s="627"/>
      <x:c r="F328" s="627"/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Z328" s="624"/>
    </x:row>
    <x:row r="329" spans="1:26" x14ac:dyDescent="0.25">
      <x:c r="C329" s="625"/>
      <x:c r="D329" s="625"/>
      <x:c r="E329" s="627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Z329" s="624"/>
    </x:row>
    <x:row r="330" spans="1:26" x14ac:dyDescent="0.25">
      <x:c r="C330" s="625"/>
      <x:c r="D330" s="625"/>
      <x:c r="E330" s="627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Z330" s="624"/>
    </x:row>
    <x:row r="331" spans="1:26" x14ac:dyDescent="0.25">
      <x:c r="C331" s="625"/>
      <x:c r="D331" s="625"/>
      <x:c r="E331" s="627"/>
      <x:c r="F331" s="627"/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Z331" s="624"/>
    </x:row>
    <x:row r="332" spans="1:26" x14ac:dyDescent="0.25">
      <x:c r="C332" s="625"/>
      <x:c r="D332" s="625"/>
      <x:c r="E332" s="627"/>
      <x:c r="F332" s="627"/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Z332" s="624"/>
    </x:row>
    <x:row r="333" spans="1:26" x14ac:dyDescent="0.25">
      <x:c r="C333" s="625"/>
      <x:c r="D333" s="625"/>
      <x:c r="E333" s="627"/>
      <x:c r="F333" s="627"/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Z333" s="624"/>
    </x:row>
    <x:row r="334" spans="1:26" x14ac:dyDescent="0.25">
      <x:c r="C334" s="625"/>
      <x:c r="D334" s="625"/>
      <x:c r="E334" s="627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Z334" s="624"/>
    </x:row>
    <x:row r="335" spans="1:26" x14ac:dyDescent="0.25">
      <x:c r="C335" s="625"/>
      <x:c r="D335" s="625"/>
      <x:c r="E335" s="627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Z335" s="624"/>
    </x:row>
    <x:row r="336" spans="1:26" x14ac:dyDescent="0.25">
      <x:c r="C336" s="625"/>
      <x:c r="D336" s="625"/>
      <x:c r="E336" s="627"/>
      <x:c r="F336" s="627"/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Z336" s="624"/>
    </x:row>
    <x:row r="337" spans="3:26" x14ac:dyDescent="0.25">
      <x:c r="C337" s="625"/>
      <x:c r="D337" s="625"/>
      <x:c r="E337" s="627"/>
      <x:c r="F337" s="627"/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Z337" s="624"/>
    </x:row>
    <x:row r="338" spans="3:26" x14ac:dyDescent="0.25">
      <x:c r="C338" s="625"/>
      <x:c r="D338" s="625"/>
      <x:c r="E338" s="627"/>
      <x:c r="F338" s="627"/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Z338" s="624"/>
    </x:row>
    <x:row r="339" spans="3:26" x14ac:dyDescent="0.25">
      <x:c r="C339" s="625"/>
      <x:c r="D339" s="625"/>
      <x:c r="E339" s="627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Z339" s="624"/>
    </x:row>
    <x:row r="340" spans="3:26" x14ac:dyDescent="0.25">
      <x:c r="C340" s="625"/>
      <x:c r="D340" s="625"/>
      <x:c r="E340" s="627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Z340" s="624"/>
    </x:row>
    <x:row r="341" spans="3:26" x14ac:dyDescent="0.25">
      <x:c r="C341" s="625"/>
      <x:c r="D341" s="625"/>
      <x:c r="E341" s="627"/>
      <x:c r="F341" s="627"/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Z341" s="624"/>
    </x:row>
    <x:row r="342" spans="3:26" x14ac:dyDescent="0.25">
      <x:c r="C342" s="625"/>
      <x:c r="D342" s="625"/>
      <x:c r="E342" s="627"/>
      <x:c r="F342" s="627"/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Z342" s="624"/>
    </x:row>
    <x:row r="343" spans="3:26" x14ac:dyDescent="0.25">
      <x:c r="C343" s="625"/>
      <x:c r="D343" s="625"/>
      <x:c r="E343" s="627"/>
      <x:c r="F343" s="627"/>
      <x:c r="G343" s="627"/>
      <x:c r="H343" s="627"/>
      <x:c r="I343" s="627"/>
      <x:c r="J343" s="627"/>
      <x:c r="K343" s="627"/>
      <x:c r="L343" s="627"/>
      <x:c r="M343" s="627"/>
      <x:c r="N343" s="627"/>
      <x:c r="O343" s="627"/>
      <x:c r="P343" s="627"/>
      <x:c r="Q343" s="627"/>
      <x:c r="Z343" s="624"/>
    </x:row>
    <x:row r="344" spans="3:26" x14ac:dyDescent="0.25">
      <x:c r="C344" s="625"/>
      <x:c r="D344" s="625"/>
      <x:c r="E344" s="627"/>
      <x:c r="F344" s="627"/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Z344" s="624"/>
    </x:row>
    <x:row r="345" spans="3:26" x14ac:dyDescent="0.25">
      <x:c r="C345" s="625"/>
      <x:c r="D345" s="625"/>
      <x:c r="E345" s="627"/>
      <x:c r="F345" s="627"/>
      <x:c r="G345" s="627"/>
      <x:c r="H345" s="627"/>
      <x:c r="I345" s="627"/>
      <x:c r="J345" s="627"/>
      <x:c r="K345" s="627"/>
      <x:c r="L345" s="627"/>
      <x:c r="M345" s="627"/>
      <x:c r="N345" s="627"/>
      <x:c r="O345" s="627"/>
      <x:c r="P345" s="627"/>
      <x:c r="Q345" s="627"/>
      <x:c r="Z345" s="624"/>
    </x:row>
    <x:row r="346" spans="3:26" x14ac:dyDescent="0.25">
      <x:c r="C346" s="625"/>
      <x:c r="D346" s="625"/>
      <x:c r="E346" s="627"/>
      <x:c r="F346" s="627"/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Z346" s="624"/>
    </x:row>
    <x:row r="347" spans="3:26" x14ac:dyDescent="0.25">
      <x:c r="C347" s="625"/>
      <x:c r="D347" s="625"/>
      <x:c r="E347" s="627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Z347" s="624"/>
    </x:row>
    <x:row r="348" spans="3:26" x14ac:dyDescent="0.25">
      <x:c r="C348" s="625"/>
      <x:c r="D348" s="625"/>
      <x:c r="E348" s="627"/>
      <x:c r="F348" s="627"/>
      <x:c r="G348" s="627"/>
      <x:c r="H348" s="627"/>
      <x:c r="I348" s="627"/>
      <x:c r="J348" s="627"/>
      <x:c r="K348" s="627"/>
      <x:c r="L348" s="627"/>
      <x:c r="M348" s="627"/>
      <x:c r="N348" s="627"/>
      <x:c r="O348" s="627"/>
      <x:c r="P348" s="627"/>
      <x:c r="Q348" s="627"/>
      <x:c r="Z348" s="624"/>
    </x:row>
    <x:row r="349" spans="3:26" x14ac:dyDescent="0.25">
      <x:c r="C349" s="625"/>
      <x:c r="D349" s="625"/>
      <x:c r="E349" s="627"/>
      <x:c r="F349" s="627"/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Z349" s="624"/>
    </x:row>
    <x:row r="350" spans="3:26" x14ac:dyDescent="0.25">
      <x:c r="C350" s="625"/>
      <x:c r="D350" s="625"/>
      <x:c r="E350" s="627"/>
      <x:c r="F350" s="627"/>
      <x:c r="G350" s="627"/>
      <x:c r="H350" s="627"/>
      <x:c r="I350" s="627"/>
      <x:c r="J350" s="627"/>
      <x:c r="K350" s="627"/>
      <x:c r="L350" s="627"/>
      <x:c r="M350" s="627"/>
      <x:c r="N350" s="627"/>
      <x:c r="O350" s="627"/>
      <x:c r="P350" s="627"/>
      <x:c r="Q350" s="627"/>
      <x:c r="Z350" s="624"/>
    </x:row>
    <x:row r="351" spans="3:26" x14ac:dyDescent="0.25">
      <x:c r="C351" s="625"/>
      <x:c r="D351" s="625"/>
      <x:c r="E351" s="627"/>
      <x:c r="F351" s="627"/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Z351" s="624"/>
    </x:row>
    <x:row r="352" spans="3:26" x14ac:dyDescent="0.25">
      <x:c r="C352" s="625"/>
      <x:c r="D352" s="625"/>
      <x:c r="E352" s="627"/>
      <x:c r="F352" s="627"/>
      <x:c r="G352" s="627"/>
      <x:c r="H352" s="627"/>
      <x:c r="I352" s="627"/>
      <x:c r="J352" s="627"/>
      <x:c r="K352" s="627"/>
      <x:c r="L352" s="627"/>
      <x:c r="M352" s="627"/>
      <x:c r="N352" s="627"/>
      <x:c r="O352" s="627"/>
      <x:c r="P352" s="627"/>
      <x:c r="Q352" s="627"/>
      <x:c r="Z352" s="624"/>
    </x:row>
    <x:row r="353" spans="1:26" x14ac:dyDescent="0.25">
      <x:c r="C353" s="625"/>
      <x:c r="D353" s="625"/>
      <x:c r="E353" s="627"/>
      <x:c r="F353" s="627"/>
      <x:c r="G353" s="627"/>
      <x:c r="H353" s="627"/>
      <x:c r="I353" s="627"/>
      <x:c r="J353" s="627"/>
      <x:c r="K353" s="627"/>
      <x:c r="L353" s="627"/>
      <x:c r="M353" s="627"/>
      <x:c r="N353" s="627"/>
      <x:c r="O353" s="627"/>
      <x:c r="P353" s="627"/>
      <x:c r="Q353" s="627"/>
      <x:c r="Z353" s="624"/>
    </x:row>
    <x:row r="354" spans="1:26" x14ac:dyDescent="0.25">
      <x:c r="C354" s="625"/>
      <x:c r="D354" s="625"/>
      <x:c r="E354" s="627"/>
      <x:c r="F354" s="627"/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Z354" s="624"/>
    </x:row>
    <x:row r="355" spans="1:26" x14ac:dyDescent="0.25">
      <x:c r="C355" s="625"/>
      <x:c r="D355" s="625"/>
      <x:c r="E355" s="627"/>
      <x:c r="F355" s="627"/>
      <x:c r="G355" s="627"/>
      <x:c r="H355" s="627"/>
      <x:c r="I355" s="627"/>
      <x:c r="J355" s="627"/>
      <x:c r="K355" s="627"/>
      <x:c r="L355" s="627"/>
      <x:c r="M355" s="627"/>
      <x:c r="N355" s="627"/>
      <x:c r="O355" s="627"/>
      <x:c r="P355" s="627"/>
      <x:c r="Q355" s="627"/>
      <x:c r="Z355" s="624"/>
    </x:row>
    <x:row r="356" spans="1:26" x14ac:dyDescent="0.25">
      <x:c r="C356" s="625"/>
      <x:c r="D356" s="625"/>
      <x:c r="E356" s="627"/>
      <x:c r="F356" s="627"/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Z356" s="624"/>
    </x:row>
    <x:row r="357" spans="1:26" x14ac:dyDescent="0.25">
      <x:c r="C357" s="625"/>
      <x:c r="D357" s="625"/>
      <x:c r="E357" s="627"/>
      <x:c r="F357" s="627"/>
      <x:c r="G357" s="627"/>
      <x:c r="H357" s="627"/>
      <x:c r="I357" s="627"/>
      <x:c r="J357" s="627"/>
      <x:c r="K357" s="627"/>
      <x:c r="L357" s="627"/>
      <x:c r="M357" s="627"/>
      <x:c r="N357" s="627"/>
      <x:c r="O357" s="627"/>
      <x:c r="P357" s="627"/>
      <x:c r="Q357" s="627"/>
      <x:c r="Z357" s="624"/>
    </x:row>
    <x:row r="358" spans="1:26" x14ac:dyDescent="0.25">
      <x:c r="B358" s="773" t="s">
        <x:v>2</x:v>
      </x:c>
      <x:c r="C358" s="770" t="s">
        <x:v>132</x:v>
      </x:c>
      <x:c r="D358" s="639" t="s">
        <x:v>70</x:v>
      </x:c>
      <x:c r="E358" s="640">
        <x:f>E303+E323-K303</x:f>
        <x:v>0</x:v>
      </x:c>
      <x:c r="F358" s="640">
        <x:f>F303</x:f>
        <x:v>0</x:v>
      </x:c>
      <x:c r="G358" s="640">
        <x:f t="shared" ref="G358:R358" si="10">G303</x:f>
        <x:v>0</x:v>
      </x:c>
      <x:c r="H358" s="640">
        <x:f t="shared" si="10"/>
        <x:v>0</x:v>
      </x:c>
      <x:c r="I358" s="640">
        <x:f t="shared" si="10"/>
        <x:v>0</x:v>
      </x:c>
      <x:c r="J358" s="640">
        <x:f t="shared" si="10"/>
        <x:v>0</x:v>
      </x:c>
      <x:c r="K358" s="640">
        <x:f t="shared" si="10"/>
        <x:v>0</x:v>
      </x:c>
      <x:c r="L358" s="640">
        <x:f t="shared" si="10"/>
        <x:v>0</x:v>
      </x:c>
      <x:c r="M358" s="640">
        <x:f t="shared" si="10"/>
        <x:v>0</x:v>
      </x:c>
      <x:c r="N358" s="640">
        <x:f t="shared" si="10"/>
        <x:v>0</x:v>
      </x:c>
      <x:c r="O358" s="640">
        <x:f t="shared" si="10"/>
        <x:v>0</x:v>
      </x:c>
      <x:c r="P358" s="640">
        <x:f t="shared" si="10"/>
        <x:v>0</x:v>
      </x:c>
      <x:c r="Q358" s="640">
        <x:f t="shared" si="10"/>
        <x:v>0</x:v>
      </x:c>
      <x:c r="R358" s="640">
        <x:f t="shared" si="10"/>
        <x:v>0</x:v>
      </x:c>
      <x:c r="Z358" s="624"/>
    </x:row>
    <x:row r="359" spans="1:26" x14ac:dyDescent="0.25">
      <x:c r="B359" s="773"/>
      <x:c r="C359" s="770"/>
      <x:c r="D359" s="639" t="s">
        <x:v>73</x:v>
      </x:c>
      <x:c r="E359" s="640">
        <x:f>E323</x:f>
        <x:v>0</x:v>
      </x:c>
      <x:c r="F359" s="627"/>
      <x:c r="G359" s="627"/>
      <x:c r="H359" s="627"/>
      <x:c r="I359" s="627"/>
      <x:c r="J359" s="627"/>
      <x:c r="K359" s="627"/>
      <x:c r="L359" s="627"/>
      <x:c r="M359" s="627"/>
      <x:c r="N359" s="627"/>
      <x:c r="O359" s="627"/>
      <x:c r="P359" s="627"/>
      <x:c r="Q359" s="627"/>
      <x:c r="R359" s="627"/>
      <x:c r="Z359" s="624"/>
    </x:row>
    <x:row r="360" spans="1:26" x14ac:dyDescent="0.25">
      <x:c r="A360" s="625"/>
      <x:c r="B360" s="50"/>
      <x:c r="E360" s="627"/>
      <x:c r="F360" s="627"/>
      <x:c r="G360" s="627"/>
      <x:c r="H360" s="627"/>
      <x:c r="I360" s="627"/>
      <x:c r="J360" s="627"/>
      <x:c r="K360" s="627"/>
      <x:c r="L360" s="627"/>
      <x:c r="M360" s="627"/>
      <x:c r="N360" s="627"/>
      <x:c r="O360" s="627"/>
      <x:c r="P360" s="627"/>
      <x:c r="Q360" s="627"/>
      <x:c r="R360" s="627"/>
      <x:c r="Z360" s="624"/>
    </x:row>
    <x:row r="361" spans="1:26" x14ac:dyDescent="0.25">
      <x:c r="B361" s="773" t="s">
        <x:v>160</x:v>
      </x:c>
      <x:c r="C361" s="770" t="s">
        <x:v>132</x:v>
      </x:c>
      <x:c r="D361" s="647" t="s">
        <x:v>70</x:v>
      </x:c>
      <x:c r="E361" s="648">
        <x:f>E315+E292-K292</x:f>
        <x:v>0</x:v>
      </x:c>
      <x:c r="F361" s="648">
        <x:f>F292</x:f>
        <x:v>0</x:v>
      </x:c>
      <x:c r="G361" s="648">
        <x:f t="shared" ref="G361:R361" si="11">G292</x:f>
        <x:v>0</x:v>
      </x:c>
      <x:c r="H361" s="648">
        <x:f t="shared" si="11"/>
        <x:v>0</x:v>
      </x:c>
      <x:c r="I361" s="648">
        <x:f t="shared" si="11"/>
        <x:v>0</x:v>
      </x:c>
      <x:c r="J361" s="648">
        <x:f t="shared" si="11"/>
        <x:v>0</x:v>
      </x:c>
      <x:c r="K361" s="648">
        <x:f t="shared" si="11"/>
        <x:v>0</x:v>
      </x:c>
      <x:c r="L361" s="648">
        <x:f t="shared" si="11"/>
        <x:v>0</x:v>
      </x:c>
      <x:c r="M361" s="648">
        <x:f t="shared" si="11"/>
        <x:v>0</x:v>
      </x:c>
      <x:c r="N361" s="648">
        <x:f t="shared" si="11"/>
        <x:v>0</x:v>
      </x:c>
      <x:c r="O361" s="648">
        <x:f t="shared" si="11"/>
        <x:v>0</x:v>
      </x:c>
      <x:c r="P361" s="648">
        <x:f t="shared" si="11"/>
        <x:v>0</x:v>
      </x:c>
      <x:c r="Q361" s="648">
        <x:f t="shared" si="11"/>
        <x:v>0</x:v>
      </x:c>
      <x:c r="R361" s="648">
        <x:f t="shared" si="11"/>
        <x:v>0</x:v>
      </x:c>
      <x:c r="Z361" s="624"/>
    </x:row>
    <x:row r="362" spans="1:26" x14ac:dyDescent="0.25">
      <x:c r="B362" s="773"/>
      <x:c r="C362" s="770"/>
      <x:c r="D362" s="647" t="s">
        <x:v>73</x:v>
      </x:c>
      <x:c r="E362" s="648">
        <x:f>E315</x:f>
        <x:v>0</x:v>
      </x:c>
      <x:c r="F362" s="627"/>
      <x:c r="G362" s="627"/>
      <x:c r="H362" s="627"/>
      <x:c r="I362" s="627"/>
      <x:c r="J362" s="627"/>
      <x:c r="K362" s="627"/>
      <x:c r="L362" s="627"/>
      <x:c r="M362" s="627"/>
      <x:c r="N362" s="627"/>
      <x:c r="O362" s="627"/>
      <x:c r="P362" s="627"/>
      <x:c r="Q362" s="627"/>
      <x:c r="R362" s="627"/>
      <x:c r="Z362" s="624"/>
    </x:row>
    <x:row r="363" spans="1:26" x14ac:dyDescent="0.25">
      <x:c r="A363" s="625"/>
      <x:c r="B363" s="50"/>
      <x:c r="E363" s="627"/>
      <x:c r="F363" s="627"/>
      <x:c r="G363" s="627"/>
      <x:c r="H363" s="627"/>
      <x:c r="I363" s="627"/>
      <x:c r="J363" s="627"/>
      <x:c r="K363" s="627"/>
      <x:c r="L363" s="627"/>
      <x:c r="M363" s="627"/>
      <x:c r="N363" s="627"/>
      <x:c r="O363" s="627"/>
      <x:c r="P363" s="627"/>
      <x:c r="Q363" s="627"/>
      <x:c r="R363" s="627"/>
      <x:c r="Z363" s="624"/>
    </x:row>
    <x:row r="364" spans="1:26" x14ac:dyDescent="0.25">
      <x:c r="B364" s="773" t="s">
        <x:v>155</x:v>
      </x:c>
      <x:c r="C364" s="770" t="s">
        <x:v>132</x:v>
      </x:c>
      <x:c r="D364" s="651" t="s">
        <x:v>70</x:v>
      </x:c>
      <x:c r="E364" s="652">
        <x:f>E306+E279-K279</x:f>
        <x:v>0</x:v>
      </x:c>
      <x:c r="F364" s="652">
        <x:f t="shared" ref="F364:R364" si="12">F279</x:f>
        <x:v>0</x:v>
      </x:c>
      <x:c r="G364" s="652">
        <x:f t="shared" si="12"/>
        <x:v>0</x:v>
      </x:c>
      <x:c r="H364" s="652">
        <x:f t="shared" si="12"/>
        <x:v>0</x:v>
      </x:c>
      <x:c r="I364" s="652">
        <x:f t="shared" si="12"/>
        <x:v>0</x:v>
      </x:c>
      <x:c r="J364" s="652">
        <x:f t="shared" si="12"/>
        <x:v>0</x:v>
      </x:c>
      <x:c r="K364" s="652">
        <x:f t="shared" si="12"/>
        <x:v>0</x:v>
      </x:c>
      <x:c r="L364" s="652">
        <x:f t="shared" si="12"/>
        <x:v>0</x:v>
      </x:c>
      <x:c r="M364" s="652">
        <x:f t="shared" si="12"/>
        <x:v>0</x:v>
      </x:c>
      <x:c r="N364" s="652">
        <x:f t="shared" si="12"/>
        <x:v>0</x:v>
      </x:c>
      <x:c r="O364" s="652">
        <x:f t="shared" si="12"/>
        <x:v>0</x:v>
      </x:c>
      <x:c r="P364" s="652">
        <x:f t="shared" si="12"/>
        <x:v>0</x:v>
      </x:c>
      <x:c r="Q364" s="652">
        <x:f t="shared" si="12"/>
        <x:v>0</x:v>
      </x:c>
      <x:c r="R364" s="652">
        <x:f t="shared" si="12"/>
        <x:v>0</x:v>
      </x:c>
      <x:c r="Z364" s="624"/>
    </x:row>
    <x:row r="365" spans="1:26" x14ac:dyDescent="0.25">
      <x:c r="B365" s="773"/>
      <x:c r="C365" s="770"/>
      <x:c r="D365" s="651" t="s">
        <x:v>73</x:v>
      </x:c>
      <x:c r="E365" s="652">
        <x:f>E306</x:f>
        <x:v>0</x:v>
      </x:c>
      <x:c r="F365" s="627"/>
      <x:c r="G365" s="627"/>
      <x:c r="H365" s="627"/>
      <x:c r="I365" s="627"/>
      <x:c r="J365" s="627"/>
      <x:c r="K365" s="627"/>
      <x:c r="L365" s="627"/>
      <x:c r="M365" s="627"/>
      <x:c r="N365" s="627"/>
      <x:c r="O365" s="627"/>
      <x:c r="P365" s="627"/>
      <x:c r="Q365" s="627"/>
      <x:c r="R365" s="627"/>
      <x:c r="Z365" s="624"/>
    </x:row>
    <x:row r="366" spans="1:26" x14ac:dyDescent="0.25">
      <x:c r="A366" s="625"/>
      <x:c r="B366" s="50"/>
      <x:c r="E366" s="627" t="n">
        <x:v>33190234.53</x:v>
      </x:c>
      <x:c r="F366" s="627"/>
      <x:c r="G366" s="627"/>
      <x:c r="H366" s="627"/>
      <x:c r="I366" s="627"/>
      <x:c r="J366" s="627"/>
      <x:c r="K366" s="627" t="n">
        <x:v>308996.91</x:v>
      </x:c>
      <x:c r="L366" s="627"/>
      <x:c r="M366" s="627"/>
      <x:c r="N366" s="627"/>
      <x:c r="O366" s="627"/>
      <x:c r="P366" s="627"/>
      <x:c r="Q366" s="627"/>
      <x:c r="R366" s="627"/>
      <x:c r="Z366" s="624"/>
    </x:row>
    <x:row r="367" spans="1:26" x14ac:dyDescent="0.25">
      <x:c r="B367" s="771" t="s">
        <x:v>326</x:v>
      </x:c>
      <x:c r="C367" s="770" t="s">
        <x:v>132</x:v>
      </x:c>
      <x:c r="D367" s="654" t="s">
        <x:v>70</x:v>
      </x:c>
      <x:c r="E367" s="655">
        <x:v>0</x:v>
      </x:c>
      <x:c r="F367" s="655">
        <x:v>0</x:v>
      </x:c>
      <x:c r="G367" s="655">
        <x:v>0</x:v>
      </x:c>
      <x:c r="H367" s="655">
        <x:v>0</x:v>
      </x:c>
      <x:c r="I367" s="655">
        <x:v>0</x:v>
      </x:c>
      <x:c r="J367" s="655">
        <x:v>0</x:v>
      </x:c>
      <x:c r="K367" s="655">
        <x:v>0</x:v>
      </x:c>
      <x:c r="L367" s="655">
        <x:v>0</x:v>
      </x:c>
      <x:c r="M367" s="655">
        <x:v>0</x:v>
      </x:c>
      <x:c r="N367" s="655">
        <x:v>0</x:v>
      </x:c>
      <x:c r="O367" s="655">
        <x:v>0</x:v>
      </x:c>
      <x:c r="P367" s="655">
        <x:v>0</x:v>
      </x:c>
      <x:c r="Q367" s="655">
        <x:v>0</x:v>
      </x:c>
      <x:c r="R367" s="655">
        <x:v>0</x:v>
      </x:c>
      <x:c r="Z367" s="624"/>
    </x:row>
    <x:row r="368" spans="1:26" x14ac:dyDescent="0.25">
      <x:c r="B368" s="771"/>
      <x:c r="C368" s="770"/>
      <x:c r="D368" s="654" t="s">
        <x:v>73</x:v>
      </x:c>
      <x:c r="E368" s="655">
        <x:v>0</x:v>
      </x:c>
      <x:c r="F368" s="627"/>
      <x:c r="G368" s="627"/>
      <x:c r="H368" s="627"/>
      <x:c r="I368" s="627"/>
      <x:c r="J368" s="627"/>
      <x:c r="K368" s="627"/>
      <x:c r="L368" s="627"/>
      <x:c r="M368" s="627"/>
      <x:c r="N368" s="627"/>
      <x:c r="O368" s="627"/>
      <x:c r="P368" s="627"/>
      <x:c r="Q368" s="627"/>
      <x:c r="R368" s="627"/>
      <x:c r="Z368" s="624"/>
    </x:row>
    <x:row r="369" spans="1:26" x14ac:dyDescent="0.25">
      <x:c r="A369" s="625"/>
      <x:c r="B369" s="50"/>
      <x:c r="E369" s="627"/>
      <x:c r="F369" s="627"/>
      <x:c r="G369" s="627"/>
      <x:c r="H369" s="627"/>
      <x:c r="I369" s="627"/>
      <x:c r="J369" s="627"/>
      <x:c r="K369" s="627"/>
      <x:c r="L369" s="627"/>
      <x:c r="M369" s="627"/>
      <x:c r="N369" s="627"/>
      <x:c r="O369" s="627"/>
      <x:c r="P369" s="627"/>
      <x:c r="Q369" s="627"/>
      <x:c r="R369" s="627"/>
      <x:c r="Z369" s="624"/>
    </x:row>
    <x:row r="370" spans="1:26" x14ac:dyDescent="0.25">
      <x:c r="A370" s="25" t="s">
        <x:v>227</x:v>
      </x:c>
      <x:c r="B370" s="773" t="s">
        <x:v>119</x:v>
      </x:c>
      <x:c r="C370" s="770" t="s">
        <x:v>132</x:v>
      </x:c>
      <x:c r="D370" s="632" t="s">
        <x:v>70</x:v>
      </x:c>
      <x:c r="E370" s="633">
        <x:f>E302+E322-K302</x:f>
        <x:v>0</x:v>
      </x:c>
      <x:c r="F370" s="633">
        <x:f>F302</x:f>
        <x:v>0</x:v>
      </x:c>
      <x:c r="G370" s="633">
        <x:f t="shared" ref="G370:R370" si="13">G302</x:f>
        <x:v>0</x:v>
      </x:c>
      <x:c r="H370" s="633">
        <x:f t="shared" si="13"/>
        <x:v>0</x:v>
      </x:c>
      <x:c r="I370" s="633">
        <x:f t="shared" si="13"/>
        <x:v>0</x:v>
      </x:c>
      <x:c r="J370" s="633">
        <x:f t="shared" si="13"/>
        <x:v>0</x:v>
      </x:c>
      <x:c r="K370" s="633">
        <x:f t="shared" si="13"/>
        <x:v>0</x:v>
      </x:c>
      <x:c r="L370" s="633">
        <x:f t="shared" si="13"/>
        <x:v>0</x:v>
      </x:c>
      <x:c r="M370" s="633">
        <x:f t="shared" si="13"/>
        <x:v>0</x:v>
      </x:c>
      <x:c r="N370" s="633">
        <x:f t="shared" si="13"/>
        <x:v>0</x:v>
      </x:c>
      <x:c r="O370" s="633">
        <x:f t="shared" si="13"/>
        <x:v>0</x:v>
      </x:c>
      <x:c r="P370" s="633">
        <x:f t="shared" si="13"/>
        <x:v>0</x:v>
      </x:c>
      <x:c r="Q370" s="633">
        <x:f t="shared" si="13"/>
        <x:v>0</x:v>
      </x:c>
      <x:c r="R370" s="633">
        <x:f t="shared" si="13"/>
        <x:v>0</x:v>
      </x:c>
      <x:c r="Z370" s="624"/>
    </x:row>
    <x:row r="371" spans="1:26" x14ac:dyDescent="0.25">
      <x:c r="B371" s="773"/>
      <x:c r="C371" s="770"/>
      <x:c r="D371" s="632" t="s">
        <x:v>73</x:v>
      </x:c>
      <x:c r="E371" s="633">
        <x:f>E322</x:f>
        <x:v>0</x:v>
      </x:c>
      <x:c r="F371" s="627"/>
      <x:c r="G371" s="627"/>
      <x:c r="H371" s="627"/>
      <x:c r="I371" s="627"/>
      <x:c r="J371" s="627"/>
      <x:c r="K371" s="627"/>
      <x:c r="L371" s="627"/>
      <x:c r="M371" s="627"/>
      <x:c r="N371" s="627"/>
      <x:c r="O371" s="627"/>
      <x:c r="P371" s="627"/>
      <x:c r="Q371" s="627"/>
      <x:c r="R371" s="627"/>
      <x:c r="Z371" s="624"/>
    </x:row>
    <x:row r="372" spans="1:26" x14ac:dyDescent="0.25">
      <x:c r="A372" s="625"/>
      <x:c r="B372" s="50"/>
      <x:c r="E372" s="627"/>
      <x:c r="F372" s="627"/>
      <x:c r="G372" s="627"/>
      <x:c r="H372" s="627"/>
      <x:c r="I372" s="627"/>
      <x:c r="J372" s="627"/>
      <x:c r="K372" s="627"/>
      <x:c r="L372" s="627"/>
      <x:c r="M372" s="627"/>
      <x:c r="N372" s="627"/>
      <x:c r="O372" s="627"/>
      <x:c r="P372" s="627"/>
      <x:c r="Q372" s="627"/>
      <x:c r="R372" s="627"/>
      <x:c r="Z372" s="624"/>
    </x:row>
    <x:row r="373" spans="1:26" x14ac:dyDescent="0.25">
      <x:c r="B373" s="772" t="s">
        <x:v>161</x:v>
      </x:c>
      <x:c r="C373" s="770" t="s">
        <x:v>132</x:v>
      </x:c>
      <x:c r="D373" s="661" t="s">
        <x:v>70</x:v>
      </x:c>
      <x:c r="E373" s="662" t="n">
        <x:v>618369.86</x:v>
      </x:c>
      <x:c r="F373" s="662">
        <x:v>0</x:v>
      </x:c>
      <x:c r="G373" s="662">
        <x:v>0</x:v>
      </x:c>
      <x:c r="H373" s="662">
        <x:v>0</x:v>
      </x:c>
      <x:c r="I373" s="662">
        <x:v>0</x:v>
      </x:c>
      <x:c r="J373" s="662">
        <x:v>0</x:v>
      </x:c>
      <x:c r="K373" s="662" t="n">
        <x:v>0</x:v>
      </x:c>
      <x:c r="L373" s="662">
        <x:v>0</x:v>
      </x:c>
      <x:c r="M373" s="662">
        <x:v>0</x:v>
      </x:c>
      <x:c r="N373" s="662">
        <x:v>0</x:v>
      </x:c>
      <x:c r="O373" s="662">
        <x:v>0</x:v>
      </x:c>
      <x:c r="P373" s="662">
        <x:v>0</x:v>
      </x:c>
      <x:c r="Q373" s="662">
        <x:v>0</x:v>
      </x:c>
      <x:c r="R373" s="662">
        <x:v>0</x:v>
      </x:c>
      <x:c r="Z373" s="624"/>
    </x:row>
    <x:row r="374" spans="1:26" x14ac:dyDescent="0.25">
      <x:c r="B374" s="772"/>
      <x:c r="C374" s="770"/>
      <x:c r="D374" s="661" t="s">
        <x:v>73</x:v>
      </x:c>
      <x:c r="E374" s="662" t="n">
        <x:v>33808604.39</x:v>
      </x:c>
      <x:c r="F374" s="627"/>
      <x:c r="G374" s="627"/>
      <x:c r="H374" s="627"/>
      <x:c r="I374" s="627"/>
      <x:c r="J374" s="627"/>
      <x:c r="K374" s="627" t="n">
        <x:v>308996.91</x:v>
      </x:c>
      <x:c r="L374" s="627"/>
      <x:c r="M374" s="627"/>
      <x:c r="N374" s="627"/>
      <x:c r="O374" s="627"/>
      <x:c r="P374" s="627"/>
      <x:c r="Q374" s="627"/>
      <x:c r="R374" s="627"/>
      <x:c r="Z374" s="624"/>
    </x:row>
    <x:row r="375" spans="1:26" x14ac:dyDescent="0.25">
      <x:c r="A375" s="624"/>
      <x:c r="B375" s="624"/>
      <x:c r="C375" s="624"/>
      <x:c r="D375" s="624"/>
      <x:c r="E375" s="624"/>
      <x:c r="F375" s="624"/>
      <x:c r="G375" s="624"/>
      <x:c r="H375" s="624"/>
      <x:c r="I375" s="624"/>
      <x:c r="J375" s="624"/>
      <x:c r="K375" s="624"/>
      <x:c r="L375" s="624"/>
      <x:c r="M375" s="624"/>
      <x:c r="N375" s="624"/>
      <x:c r="O375" s="624"/>
      <x:c r="P375" s="624"/>
      <x:c r="Q375" s="624"/>
      <x:c r="R375" s="624"/>
      <x:c r="S375" s="624"/>
      <x:c r="T375" s="624"/>
      <x:c r="U375" s="624"/>
      <x:c r="V375" s="624"/>
      <x:c r="W375" s="624"/>
      <x:c r="X375" s="624"/>
      <x:c r="Y375" s="624"/>
      <x:c r="Z375" s="624"/>
    </x:row>
    <x:row r="376" spans="1:26" x14ac:dyDescent="0.25">
      <x:c r="B376" s="676" t="s">
        <x:v>93</x:v>
      </x:c>
      <x:c r="Z376" s="624"/>
    </x:row>
    <x:row r="377" spans="1:26" s="50" customFormat="1" x14ac:dyDescent="0.25">
      <x:c r="E377" s="669" t="n">
        <x:v>-2762742.4</x:v>
      </x:c>
      <x:c r="F377" s="669" t="s">
        <x:v>64</x:v>
      </x:c>
      <x:c r="G377" s="669" t="s">
        <x:v>65</x:v>
      </x:c>
      <x:c r="H377" s="674" t="s">
        <x:v>164</x:v>
      </x:c>
      <x:c r="I377" s="669" t="s">
        <x:v>69</x:v>
      </x:c>
      <x:c r="J377" s="669" t="s">
        <x:v>68</x:v>
      </x:c>
      <x:c r="K377" s="669" t="s">
        <x:v>83</x:v>
      </x:c>
      <x:c r="L377" s="669" t="s">
        <x:v>66</x:v>
      </x:c>
      <x:c r="M377" s="669" t="s">
        <x:v>63</x:v>
      </x:c>
      <x:c r="N377" s="669" t="s">
        <x:v>61</x:v>
      </x:c>
      <x:c r="O377" s="669" t="s">
        <x:v>62</x:v>
      </x:c>
      <x:c r="P377" s="669" t="s">
        <x:v>67</x:v>
      </x:c>
      <x:c r="Q377" s="669" t="s">
        <x:v>84</x:v>
      </x:c>
      <x:c r="R377" s="669" t="s">
        <x:v>226</x:v>
      </x:c>
      <x:c r="Z377" s="618"/>
    </x:row>
    <x:row r="378" spans="1:26" x14ac:dyDescent="0.25">
      <x:c r="D378" s="625" t="s">
        <x:v>72</x:v>
      </x:c>
      <x:c r="E378" s="627">
        <x:v>0</x:v>
      </x:c>
      <x:c r="F378" s="627">
        <x:v>0</x:v>
      </x:c>
      <x:c r="G378" s="627">
        <x:v>0</x:v>
      </x:c>
      <x:c r="H378" s="627">
        <x:v>0</x:v>
      </x:c>
      <x:c r="I378" s="627">
        <x:v>0</x:v>
      </x:c>
      <x:c r="J378" s="627">
        <x:v>0</x:v>
      </x:c>
      <x:c r="K378" s="627">
        <x:v>0</x:v>
      </x:c>
      <x:c r="L378" s="627">
        <x:v>0</x:v>
      </x:c>
      <x:c r="M378" s="627">
        <x:v>0</x:v>
      </x:c>
      <x:c r="N378" s="627">
        <x:v>0</x:v>
      </x:c>
      <x:c r="O378" s="627">
        <x:v>0</x:v>
      </x:c>
      <x:c r="P378" s="627">
        <x:v>0</x:v>
      </x:c>
      <x:c r="Q378" s="627">
        <x:v>0</x:v>
      </x:c>
      <x:c r="R378" s="653">
        <x:v>0</x:v>
      </x:c>
      <x:c r="Z378" s="624"/>
    </x:row>
    <x:row r="379" spans="1:26" x14ac:dyDescent="0.25">
      <x:c r="D379" s="625" t="s">
        <x:v>81</x:v>
      </x:c>
      <x:c r="E379" s="627">
        <x:v>0</x:v>
      </x:c>
      <x:c r="F379" s="627">
        <x:v>0</x:v>
      </x:c>
      <x:c r="G379" s="627">
        <x:v>0</x:v>
      </x:c>
      <x:c r="H379" s="627">
        <x:v>0</x:v>
      </x:c>
      <x:c r="I379" s="627">
        <x:v>0</x:v>
      </x:c>
      <x:c r="J379" s="627">
        <x:v>0</x:v>
      </x:c>
      <x:c r="K379" s="627">
        <x:v>0</x:v>
      </x:c>
      <x:c r="L379" s="627">
        <x:v>0</x:v>
      </x:c>
      <x:c r="M379" s="627">
        <x:v>0</x:v>
      </x:c>
      <x:c r="N379" s="627">
        <x:v>0</x:v>
      </x:c>
      <x:c r="O379" s="627">
        <x:v>0</x:v>
      </x:c>
      <x:c r="P379" s="627">
        <x:v>0</x:v>
      </x:c>
      <x:c r="Q379" s="627">
        <x:v>0</x:v>
      </x:c>
      <x:c r="R379" s="653">
        <x:v>0</x:v>
      </x:c>
      <x:c r="Z379" s="624"/>
    </x:row>
    <x:row r="380" spans="1:26" x14ac:dyDescent="0.25">
      <x:c r="B380" s="625"/>
      <x:c r="C380" s="625" t="s">
        <x:v>156</x:v>
      </x:c>
      <x:c r="D380" s="25" t="s">
        <x:v>70</x:v>
      </x:c>
      <x:c r="E380" s="627">
        <x:v>0</x:v>
      </x:c>
      <x:c r="F380" s="627">
        <x:v>0</x:v>
      </x:c>
      <x:c r="G380" s="627">
        <x:v>0</x:v>
      </x:c>
      <x:c r="H380" s="627">
        <x:v>0</x:v>
      </x:c>
      <x:c r="I380" s="627">
        <x:v>0</x:v>
      </x:c>
      <x:c r="J380" s="627">
        <x:v>0</x:v>
      </x:c>
      <x:c r="K380" s="627">
        <x:v>0</x:v>
      </x:c>
      <x:c r="L380" s="627">
        <x:v>0</x:v>
      </x:c>
      <x:c r="M380" s="627">
        <x:v>0</x:v>
      </x:c>
      <x:c r="N380" s="627">
        <x:v>0</x:v>
      </x:c>
      <x:c r="O380" s="627">
        <x:v>0</x:v>
      </x:c>
      <x:c r="P380" s="627">
        <x:v>0</x:v>
      </x:c>
      <x:c r="Q380" s="627">
        <x:v>0</x:v>
      </x:c>
      <x:c r="R380" s="653">
        <x:v>0</x:v>
      </x:c>
      <x:c r="Z380" s="624"/>
    </x:row>
    <x:row r="381" spans="1:26" x14ac:dyDescent="0.25">
      <x:c r="A381" s="628"/>
      <x:c r="B381" s="628" t="s">
        <x:v>155</x:v>
      </x:c>
      <x:c r="C381" s="628" t="s">
        <x:v>70</x:v>
      </x:c>
      <x:c r="D381" s="628"/>
      <x:c r="E381" s="677">
        <x:v>0</x:v>
      </x:c>
      <x:c r="F381" s="677">
        <x:v>0</x:v>
      </x:c>
      <x:c r="G381" s="677">
        <x:v>0</x:v>
      </x:c>
      <x:c r="H381" s="677">
        <x:v>0</x:v>
      </x:c>
      <x:c r="I381" s="677">
        <x:v>0</x:v>
      </x:c>
      <x:c r="J381" s="677">
        <x:v>0</x:v>
      </x:c>
      <x:c r="K381" s="677">
        <x:v>0</x:v>
      </x:c>
      <x:c r="L381" s="677">
        <x:v>0</x:v>
      </x:c>
      <x:c r="M381" s="677">
        <x:v>0</x:v>
      </x:c>
      <x:c r="N381" s="677">
        <x:v>0</x:v>
      </x:c>
      <x:c r="O381" s="677">
        <x:v>0</x:v>
      </x:c>
      <x:c r="P381" s="677">
        <x:v>0</x:v>
      </x:c>
      <x:c r="Q381" s="677">
        <x:v>0</x:v>
      </x:c>
      <x:c r="R381" s="677">
        <x:v>0</x:v>
      </x:c>
      <x:c r="S381" s="628"/>
      <x:c r="T381" s="628"/>
      <x:c r="U381" s="628"/>
      <x:c r="V381" s="628"/>
      <x:c r="W381" s="628"/>
      <x:c r="X381" s="628"/>
      <x:c r="Y381" s="628"/>
      <x:c r="Z381" s="624"/>
    </x:row>
    <x:row r="382" spans="1:26" x14ac:dyDescent="0.25">
      <x:c r="D382" s="25" t="s">
        <x:v>72</x:v>
      </x:c>
      <x:c r="E382" s="653">
        <x:v>0</x:v>
      </x:c>
      <x:c r="F382" s="653">
        <x:v>0</x:v>
      </x:c>
      <x:c r="G382" s="653">
        <x:v>0</x:v>
      </x:c>
      <x:c r="H382" s="653">
        <x:v>0</x:v>
      </x:c>
      <x:c r="I382" s="653">
        <x:v>0</x:v>
      </x:c>
      <x:c r="J382" s="653">
        <x:v>0</x:v>
      </x:c>
      <x:c r="K382" s="653">
        <x:v>0</x:v>
      </x:c>
      <x:c r="L382" s="653">
        <x:v>0</x:v>
      </x:c>
      <x:c r="M382" s="653">
        <x:v>0</x:v>
      </x:c>
      <x:c r="N382" s="653">
        <x:v>0</x:v>
      </x:c>
      <x:c r="O382" s="653">
        <x:v>0</x:v>
      </x:c>
      <x:c r="P382" s="653">
        <x:v>0</x:v>
      </x:c>
      <x:c r="Q382" s="653">
        <x:v>0</x:v>
      </x:c>
      <x:c r="R382" s="653">
        <x:v>0</x:v>
      </x:c>
      <x:c r="Z382" s="624"/>
    </x:row>
    <x:row r="383" spans="1:26" x14ac:dyDescent="0.25">
      <x:c r="D383" s="25" t="s">
        <x:v>81</x:v>
      </x:c>
      <x:c r="E383" s="653">
        <x:v>0</x:v>
      </x:c>
      <x:c r="F383" s="653">
        <x:v>0</x:v>
      </x:c>
      <x:c r="G383" s="653">
        <x:v>0</x:v>
      </x:c>
      <x:c r="H383" s="653">
        <x:v>0</x:v>
      </x:c>
      <x:c r="I383" s="653">
        <x:v>0</x:v>
      </x:c>
      <x:c r="J383" s="653">
        <x:v>0</x:v>
      </x:c>
      <x:c r="K383" s="653">
        <x:v>0</x:v>
      </x:c>
      <x:c r="L383" s="653">
        <x:v>0</x:v>
      </x:c>
      <x:c r="M383" s="653">
        <x:v>0</x:v>
      </x:c>
      <x:c r="N383" s="653">
        <x:v>0</x:v>
      </x:c>
      <x:c r="O383" s="653">
        <x:v>0</x:v>
      </x:c>
      <x:c r="P383" s="653">
        <x:v>0</x:v>
      </x:c>
      <x:c r="Q383" s="653">
        <x:v>0</x:v>
      </x:c>
      <x:c r="R383" s="653">
        <x:v>0</x:v>
      </x:c>
      <x:c r="Z383" s="624"/>
    </x:row>
    <x:row r="384" spans="1:26" x14ac:dyDescent="0.25">
      <x:c r="C384" s="25" t="s">
        <x:v>156</x:v>
      </x:c>
      <x:c r="D384" s="25" t="s">
        <x:v>70</x:v>
      </x:c>
      <x:c r="E384" s="653" t="n">
        <x:v>37289.15</x:v>
      </x:c>
      <x:c r="F384" s="653">
        <x:v>0</x:v>
      </x:c>
      <x:c r="G384" s="653">
        <x:v>0</x:v>
      </x:c>
      <x:c r="H384" s="653">
        <x:v>0</x:v>
      </x:c>
      <x:c r="I384" s="653">
        <x:v>0</x:v>
      </x:c>
      <x:c r="J384" s="653">
        <x:v>0</x:v>
      </x:c>
      <x:c r="K384" s="653">
        <x:v>0</x:v>
      </x:c>
      <x:c r="L384" s="653">
        <x:v>0</x:v>
      </x:c>
      <x:c r="M384" s="653">
        <x:v>0</x:v>
      </x:c>
      <x:c r="N384" s="653">
        <x:v>0</x:v>
      </x:c>
      <x:c r="O384" s="653">
        <x:v>0</x:v>
      </x:c>
      <x:c r="P384" s="653">
        <x:v>0</x:v>
      </x:c>
      <x:c r="Q384" s="653">
        <x:v>0</x:v>
      </x:c>
      <x:c r="R384" s="653">
        <x:v>0</x:v>
      </x:c>
      <x:c r="Z384" s="624"/>
    </x:row>
    <x:row r="385" spans="1:26" x14ac:dyDescent="0.25">
      <x:c r="A385" s="668"/>
      <x:c r="B385" s="668" t="s">
        <x:v>326</x:v>
      </x:c>
      <x:c r="C385" s="668" t="s">
        <x:v>70</x:v>
      </x:c>
      <x:c r="D385" s="668"/>
      <x:c r="E385" s="662" t="n">
        <x:v>-2725453.25</x:v>
      </x:c>
      <x:c r="F385" s="662">
        <x:v>0</x:v>
      </x:c>
      <x:c r="G385" s="662">
        <x:v>0</x:v>
      </x:c>
      <x:c r="H385" s="662">
        <x:v>0</x:v>
      </x:c>
      <x:c r="I385" s="662">
        <x:v>0</x:v>
      </x:c>
      <x:c r="J385" s="662">
        <x:v>0</x:v>
      </x:c>
      <x:c r="K385" s="662">
        <x:v>0</x:v>
      </x:c>
      <x:c r="L385" s="662">
        <x:v>0</x:v>
      </x:c>
      <x:c r="M385" s="662">
        <x:v>0</x:v>
      </x:c>
      <x:c r="N385" s="662">
        <x:v>0</x:v>
      </x:c>
      <x:c r="O385" s="662">
        <x:v>0</x:v>
      </x:c>
      <x:c r="P385" s="662">
        <x:v>0</x:v>
      </x:c>
      <x:c r="Q385" s="662">
        <x:v>0</x:v>
      </x:c>
      <x:c r="R385" s="662">
        <x:v>0</x:v>
      </x:c>
      <x:c r="S385" s="662"/>
      <x:c r="T385" s="668"/>
      <x:c r="U385" s="668"/>
      <x:c r="V385" s="668"/>
      <x:c r="W385" s="668"/>
      <x:c r="X385" s="668"/>
      <x:c r="Y385" s="668"/>
      <x:c r="Z385" s="624"/>
    </x:row>
    <x:row r="386" spans="1:26" x14ac:dyDescent="0.25">
      <x:c r="D386" s="25" t="s">
        <x:v>72</x:v>
      </x:c>
      <x:c r="E386" s="653">
        <x:v>0</x:v>
      </x:c>
      <x:c r="F386" s="653">
        <x:v>0</x:v>
      </x:c>
      <x:c r="G386" s="653">
        <x:v>0</x:v>
      </x:c>
      <x:c r="H386" s="653">
        <x:v>0</x:v>
      </x:c>
      <x:c r="I386" s="653">
        <x:v>0</x:v>
      </x:c>
      <x:c r="J386" s="653">
        <x:v>0</x:v>
      </x:c>
      <x:c r="K386" s="653">
        <x:v>0</x:v>
      </x:c>
      <x:c r="L386" s="653">
        <x:v>0</x:v>
      </x:c>
      <x:c r="M386" s="653">
        <x:v>0</x:v>
      </x:c>
      <x:c r="N386" s="653">
        <x:v>0</x:v>
      </x:c>
      <x:c r="O386" s="653">
        <x:v>0</x:v>
      </x:c>
      <x:c r="P386" s="653">
        <x:v>0</x:v>
      </x:c>
      <x:c r="Q386" s="653">
        <x:v>0</x:v>
      </x:c>
      <x:c r="R386" s="653">
        <x:v>0</x:v>
      </x:c>
      <x:c r="Z386" s="624"/>
    </x:row>
    <x:row r="387" spans="1:26" x14ac:dyDescent="0.25">
      <x:c r="D387" s="25" t="s">
        <x:v>81</x:v>
      </x:c>
      <x:c r="E387" s="653">
        <x:v>0</x:v>
      </x:c>
      <x:c r="F387" s="653">
        <x:v>0</x:v>
      </x:c>
      <x:c r="G387" s="653">
        <x:v>0</x:v>
      </x:c>
      <x:c r="H387" s="653">
        <x:v>0</x:v>
      </x:c>
      <x:c r="I387" s="653">
        <x:v>0</x:v>
      </x:c>
      <x:c r="J387" s="653">
        <x:v>0</x:v>
      </x:c>
      <x:c r="K387" s="653">
        <x:v>0</x:v>
      </x:c>
      <x:c r="L387" s="653">
        <x:v>0</x:v>
      </x:c>
      <x:c r="M387" s="653">
        <x:v>0</x:v>
      </x:c>
      <x:c r="N387" s="653">
        <x:v>0</x:v>
      </x:c>
      <x:c r="O387" s="653">
        <x:v>0</x:v>
      </x:c>
      <x:c r="P387" s="653">
        <x:v>0</x:v>
      </x:c>
      <x:c r="Q387" s="653">
        <x:v>0</x:v>
      </x:c>
      <x:c r="R387" s="653">
        <x:v>0</x:v>
      </x:c>
      <x:c r="Z387" s="624"/>
    </x:row>
    <x:row r="388" spans="1:26" x14ac:dyDescent="0.25">
      <x:c r="C388" s="25" t="s">
        <x:v>82</x:v>
      </x:c>
      <x:c r="D388" s="25" t="s">
        <x:v>70</x:v>
      </x:c>
      <x:c r="E388" s="653">
        <x:v>0</x:v>
      </x:c>
      <x:c r="F388" s="653">
        <x:v>0</x:v>
      </x:c>
      <x:c r="G388" s="653">
        <x:v>0</x:v>
      </x:c>
      <x:c r="H388" s="653">
        <x:v>0</x:v>
      </x:c>
      <x:c r="I388" s="653">
        <x:v>0</x:v>
      </x:c>
      <x:c r="J388" s="653">
        <x:v>0</x:v>
      </x:c>
      <x:c r="K388" s="653">
        <x:v>0</x:v>
      </x:c>
      <x:c r="L388" s="653">
        <x:v>0</x:v>
      </x:c>
      <x:c r="M388" s="653">
        <x:v>0</x:v>
      </x:c>
      <x:c r="N388" s="653">
        <x:v>0</x:v>
      </x:c>
      <x:c r="O388" s="653">
        <x:v>0</x:v>
      </x:c>
      <x:c r="P388" s="653">
        <x:v>0</x:v>
      </x:c>
      <x:c r="Q388" s="653">
        <x:v>0</x:v>
      </x:c>
      <x:c r="R388" s="653">
        <x:v>0</x:v>
      </x:c>
      <x:c r="Z388" s="624"/>
    </x:row>
    <x:row r="389" spans="1:26" x14ac:dyDescent="0.25">
      <x:c r="D389" s="25" t="s">
        <x:v>72</x:v>
      </x:c>
      <x:c r="E389" s="653">
        <x:v>0</x:v>
      </x:c>
      <x:c r="F389" s="653">
        <x:v>0</x:v>
      </x:c>
      <x:c r="G389" s="653">
        <x:v>0</x:v>
      </x:c>
      <x:c r="H389" s="653">
        <x:v>0</x:v>
      </x:c>
      <x:c r="I389" s="653">
        <x:v>0</x:v>
      </x:c>
      <x:c r="J389" s="653">
        <x:v>0</x:v>
      </x:c>
      <x:c r="K389" s="653">
        <x:v>0</x:v>
      </x:c>
      <x:c r="L389" s="653">
        <x:v>0</x:v>
      </x:c>
      <x:c r="M389" s="653">
        <x:v>0</x:v>
      </x:c>
      <x:c r="N389" s="653">
        <x:v>0</x:v>
      </x:c>
      <x:c r="O389" s="653">
        <x:v>0</x:v>
      </x:c>
      <x:c r="P389" s="653">
        <x:v>0</x:v>
      </x:c>
      <x:c r="Q389" s="653">
        <x:v>0</x:v>
      </x:c>
      <x:c r="R389" s="653">
        <x:v>0</x:v>
      </x:c>
      <x:c r="Z389" s="624"/>
    </x:row>
    <x:row r="390" spans="1:26" x14ac:dyDescent="0.25">
      <x:c r="D390" s="25" t="s">
        <x:v>81</x:v>
      </x:c>
      <x:c r="E390" s="653">
        <x:v>0</x:v>
      </x:c>
      <x:c r="F390" s="653">
        <x:v>0</x:v>
      </x:c>
      <x:c r="G390" s="653">
        <x:v>0</x:v>
      </x:c>
      <x:c r="H390" s="653">
        <x:v>0</x:v>
      </x:c>
      <x:c r="I390" s="653">
        <x:v>0</x:v>
      </x:c>
      <x:c r="J390" s="653">
        <x:v>0</x:v>
      </x:c>
      <x:c r="K390" s="653">
        <x:v>0</x:v>
      </x:c>
      <x:c r="L390" s="653">
        <x:v>0</x:v>
      </x:c>
      <x:c r="M390" s="653">
        <x:v>0</x:v>
      </x:c>
      <x:c r="N390" s="653">
        <x:v>0</x:v>
      </x:c>
      <x:c r="O390" s="653">
        <x:v>0</x:v>
      </x:c>
      <x:c r="P390" s="653">
        <x:v>0</x:v>
      </x:c>
      <x:c r="Q390" s="653">
        <x:v>0</x:v>
      </x:c>
      <x:c r="R390" s="653">
        <x:v>0</x:v>
      </x:c>
      <x:c r="Z390" s="624"/>
    </x:row>
    <x:row r="391" spans="1:26" x14ac:dyDescent="0.25">
      <x:c r="C391" s="25" t="s">
        <x:v>86</x:v>
      </x:c>
      <x:c r="D391" s="25" t="s">
        <x:v>70</x:v>
      </x:c>
      <x:c r="E391" s="653">
        <x:v>0</x:v>
      </x:c>
      <x:c r="F391" s="653">
        <x:v>0</x:v>
      </x:c>
      <x:c r="G391" s="653">
        <x:v>0</x:v>
      </x:c>
      <x:c r="H391" s="653">
        <x:v>0</x:v>
      </x:c>
      <x:c r="I391" s="653">
        <x:v>0</x:v>
      </x:c>
      <x:c r="J391" s="653">
        <x:v>0</x:v>
      </x:c>
      <x:c r="K391" s="653">
        <x:v>0</x:v>
      </x:c>
      <x:c r="L391" s="653">
        <x:v>0</x:v>
      </x:c>
      <x:c r="M391" s="653">
        <x:v>0</x:v>
      </x:c>
      <x:c r="N391" s="653">
        <x:v>0</x:v>
      </x:c>
      <x:c r="O391" s="653">
        <x:v>0</x:v>
      </x:c>
      <x:c r="P391" s="653">
        <x:v>0</x:v>
      </x:c>
      <x:c r="Q391" s="653">
        <x:v>0</x:v>
      </x:c>
      <x:c r="R391" s="653">
        <x:v>0</x:v>
      </x:c>
      <x:c r="Z391" s="624"/>
    </x:row>
    <x:row r="392" spans="1:26" x14ac:dyDescent="0.25">
      <x:c r="D392" s="25" t="s">
        <x:v>72</x:v>
      </x:c>
      <x:c r="E392" s="653">
        <x:v>0</x:v>
      </x:c>
      <x:c r="F392" s="653">
        <x:v>0</x:v>
      </x:c>
      <x:c r="G392" s="653">
        <x:v>0</x:v>
      </x:c>
      <x:c r="H392" s="653">
        <x:v>0</x:v>
      </x:c>
      <x:c r="I392" s="653">
        <x:v>0</x:v>
      </x:c>
      <x:c r="J392" s="653">
        <x:v>0</x:v>
      </x:c>
      <x:c r="K392" s="653">
        <x:v>0</x:v>
      </x:c>
      <x:c r="L392" s="653">
        <x:v>0</x:v>
      </x:c>
      <x:c r="M392" s="653">
        <x:v>0</x:v>
      </x:c>
      <x:c r="N392" s="653">
        <x:v>0</x:v>
      </x:c>
      <x:c r="O392" s="653">
        <x:v>0</x:v>
      </x:c>
      <x:c r="P392" s="653">
        <x:v>0</x:v>
      </x:c>
      <x:c r="Q392" s="653">
        <x:v>0</x:v>
      </x:c>
      <x:c r="R392" s="653">
        <x:v>0</x:v>
      </x:c>
      <x:c r="Z392" s="624"/>
    </x:row>
    <x:row r="393" spans="1:26" x14ac:dyDescent="0.25">
      <x:c r="D393" s="25" t="s">
        <x:v>81</x:v>
      </x:c>
      <x:c r="E393" s="653">
        <x:v>0</x:v>
      </x:c>
      <x:c r="F393" s="653">
        <x:v>0</x:v>
      </x:c>
      <x:c r="G393" s="653">
        <x:v>0</x:v>
      </x:c>
      <x:c r="H393" s="653">
        <x:v>0</x:v>
      </x:c>
      <x:c r="I393" s="653">
        <x:v>0</x:v>
      </x:c>
      <x:c r="J393" s="653">
        <x:v>0</x:v>
      </x:c>
      <x:c r="K393" s="653">
        <x:v>0</x:v>
      </x:c>
      <x:c r="L393" s="653">
        <x:v>0</x:v>
      </x:c>
      <x:c r="M393" s="653">
        <x:v>0</x:v>
      </x:c>
      <x:c r="N393" s="653">
        <x:v>0</x:v>
      </x:c>
      <x:c r="O393" s="653">
        <x:v>0</x:v>
      </x:c>
      <x:c r="P393" s="653">
        <x:v>0</x:v>
      </x:c>
      <x:c r="Q393" s="653">
        <x:v>0</x:v>
      </x:c>
      <x:c r="R393" s="653">
        <x:v>0</x:v>
      </x:c>
      <x:c r="Z393" s="624"/>
    </x:row>
    <x:row r="394" spans="1:26" x14ac:dyDescent="0.25">
      <x:c r="C394" s="25" t="s">
        <x:v>87</x:v>
      </x:c>
      <x:c r="D394" s="25" t="s">
        <x:v>70</x:v>
      </x:c>
      <x:c r="E394" s="653">
        <x:v>0</x:v>
      </x:c>
      <x:c r="F394" s="653">
        <x:v>0</x:v>
      </x:c>
      <x:c r="G394" s="653">
        <x:v>0</x:v>
      </x:c>
      <x:c r="H394" s="653">
        <x:v>0</x:v>
      </x:c>
      <x:c r="I394" s="653">
        <x:v>0</x:v>
      </x:c>
      <x:c r="J394" s="653">
        <x:v>0</x:v>
      </x:c>
      <x:c r="K394" s="653">
        <x:v>0</x:v>
      </x:c>
      <x:c r="L394" s="653">
        <x:v>0</x:v>
      </x:c>
      <x:c r="M394" s="653">
        <x:v>0</x:v>
      </x:c>
      <x:c r="N394" s="653">
        <x:v>0</x:v>
      </x:c>
      <x:c r="O394" s="653">
        <x:v>0</x:v>
      </x:c>
      <x:c r="P394" s="653">
        <x:v>0</x:v>
      </x:c>
      <x:c r="Q394" s="653">
        <x:v>0</x:v>
      </x:c>
      <x:c r="R394" s="653">
        <x:v>0</x:v>
      </x:c>
      <x:c r="Z394" s="624"/>
    </x:row>
    <x:row r="395" spans="1:26" x14ac:dyDescent="0.25">
      <x:c r="A395" s="631"/>
      <x:c r="B395" s="632" t="s">
        <x:v>119</x:v>
      </x:c>
      <x:c r="C395" s="632" t="s">
        <x:v>70</x:v>
      </x:c>
      <x:c r="D395" s="631"/>
      <x:c r="E395" s="633">
        <x:v>0</x:v>
      </x:c>
      <x:c r="F395" s="633">
        <x:v>0</x:v>
      </x:c>
      <x:c r="G395" s="633">
        <x:v>0</x:v>
      </x:c>
      <x:c r="H395" s="633">
        <x:v>0</x:v>
      </x:c>
      <x:c r="I395" s="633">
        <x:v>0</x:v>
      </x:c>
      <x:c r="J395" s="633">
        <x:v>0</x:v>
      </x:c>
      <x:c r="K395" s="633">
        <x:v>0</x:v>
      </x:c>
      <x:c r="L395" s="633">
        <x:v>0</x:v>
      </x:c>
      <x:c r="M395" s="633">
        <x:v>0</x:v>
      </x:c>
      <x:c r="N395" s="633">
        <x:v>0</x:v>
      </x:c>
      <x:c r="O395" s="633">
        <x:v>0</x:v>
      </x:c>
      <x:c r="P395" s="633">
        <x:v>0</x:v>
      </x:c>
      <x:c r="Q395" s="633">
        <x:v>0</x:v>
      </x:c>
      <x:c r="R395" s="678">
        <x:v>0</x:v>
      </x:c>
      <x:c r="S395" s="631"/>
      <x:c r="T395" s="631"/>
      <x:c r="U395" s="631"/>
      <x:c r="V395" s="631"/>
      <x:c r="W395" s="631"/>
      <x:c r="X395" s="631"/>
      <x:c r="Y395" s="631"/>
      <x:c r="Z395" s="624"/>
    </x:row>
    <x:row r="396" spans="1:26" x14ac:dyDescent="0.25">
      <x:c r="A396" s="639" t="s">
        <x:v>78</x:v>
      </x:c>
      <x:c r="B396" s="639" t="s">
        <x:v>70</x:v>
      </x:c>
      <x:c r="C396" s="638"/>
      <x:c r="D396" s="638"/>
      <x:c r="E396" s="640">
        <x:v>0</x:v>
      </x:c>
      <x:c r="F396" s="640">
        <x:v>0</x:v>
      </x:c>
      <x:c r="G396" s="640">
        <x:v>0</x:v>
      </x:c>
      <x:c r="H396" s="640">
        <x:v>0</x:v>
      </x:c>
      <x:c r="I396" s="640">
        <x:v>0</x:v>
      </x:c>
      <x:c r="J396" s="640">
        <x:v>0</x:v>
      </x:c>
      <x:c r="K396" s="640">
        <x:v>0</x:v>
      </x:c>
      <x:c r="L396" s="640">
        <x:v>0</x:v>
      </x:c>
      <x:c r="M396" s="640">
        <x:v>0</x:v>
      </x:c>
      <x:c r="N396" s="640">
        <x:v>0</x:v>
      </x:c>
      <x:c r="O396" s="640">
        <x:v>0</x:v>
      </x:c>
      <x:c r="P396" s="640">
        <x:v>0</x:v>
      </x:c>
      <x:c r="Q396" s="640">
        <x:v>0</x:v>
      </x:c>
      <x:c r="R396" s="679">
        <x:v>0</x:v>
      </x:c>
      <x:c r="S396" s="638"/>
      <x:c r="T396" s="638"/>
      <x:c r="U396" s="638"/>
      <x:c r="V396" s="638"/>
      <x:c r="W396" s="638"/>
      <x:c r="X396" s="638"/>
      <x:c r="Y396" s="638"/>
      <x:c r="Z396" s="624"/>
    </x:row>
    <x:row r="397" spans="1:26" x14ac:dyDescent="0.25">
      <x:c r="C397" s="625"/>
      <x:c r="D397" s="625" t="s">
        <x:v>73</x:v>
      </x:c>
      <x:c r="E397" s="627">
        <x:v>0</x:v>
      </x:c>
      <x:c r="F397" s="627">
        <x:v>0</x:v>
      </x:c>
      <x:c r="G397" s="627">
        <x:v>0</x:v>
      </x:c>
      <x:c r="H397" s="627">
        <x:v>0</x:v>
      </x:c>
      <x:c r="I397" s="627">
        <x:v>0</x:v>
      </x:c>
      <x:c r="J397" s="627">
        <x:v>0</x:v>
      </x:c>
      <x:c r="K397" s="627">
        <x:v>0</x:v>
      </x:c>
      <x:c r="L397" s="627">
        <x:v>0</x:v>
      </x:c>
      <x:c r="M397" s="627">
        <x:v>0</x:v>
      </x:c>
      <x:c r="N397" s="627">
        <x:v>0</x:v>
      </x:c>
      <x:c r="O397" s="627">
        <x:v>0</x:v>
      </x:c>
      <x:c r="P397" s="627">
        <x:v>0</x:v>
      </x:c>
      <x:c r="Q397" s="627">
        <x:v>0</x:v>
      </x:c>
      <x:c r="R397" s="653">
        <x:v>0</x:v>
      </x:c>
      <x:c r="Z397" s="624"/>
    </x:row>
    <x:row r="398" spans="1:26" x14ac:dyDescent="0.25">
      <x:c r="B398" s="625"/>
      <x:c r="C398" s="625" t="s">
        <x:v>156</x:v>
      </x:c>
      <x:c r="D398" s="25" t="s">
        <x:v>70</x:v>
      </x:c>
      <x:c r="E398" s="627">
        <x:v>0</x:v>
      </x:c>
      <x:c r="F398" s="627">
        <x:v>0</x:v>
      </x:c>
      <x:c r="G398" s="627">
        <x:v>0</x:v>
      </x:c>
      <x:c r="H398" s="627">
        <x:v>0</x:v>
      </x:c>
      <x:c r="I398" s="627">
        <x:v>0</x:v>
      </x:c>
      <x:c r="J398" s="627">
        <x:v>0</x:v>
      </x:c>
      <x:c r="K398" s="627">
        <x:v>0</x:v>
      </x:c>
      <x:c r="L398" s="627">
        <x:v>0</x:v>
      </x:c>
      <x:c r="M398" s="627">
        <x:v>0</x:v>
      </x:c>
      <x:c r="N398" s="627">
        <x:v>0</x:v>
      </x:c>
      <x:c r="O398" s="627">
        <x:v>0</x:v>
      </x:c>
      <x:c r="P398" s="627">
        <x:v>0</x:v>
      </x:c>
      <x:c r="Q398" s="627">
        <x:v>0</x:v>
      </x:c>
      <x:c r="R398" s="653">
        <x:v>0</x:v>
      </x:c>
      <x:c r="Z398" s="624"/>
    </x:row>
    <x:row r="399" spans="1:26" x14ac:dyDescent="0.25">
      <x:c r="A399" s="628"/>
      <x:c r="B399" s="628" t="s">
        <x:v>155</x:v>
      </x:c>
      <x:c r="C399" s="628" t="s">
        <x:v>70</x:v>
      </x:c>
      <x:c r="D399" s="628"/>
      <x:c r="E399" s="677">
        <x:v>0</x:v>
      </x:c>
      <x:c r="F399" s="677">
        <x:v>0</x:v>
      </x:c>
      <x:c r="G399" s="677">
        <x:v>0</x:v>
      </x:c>
      <x:c r="H399" s="677">
        <x:v>0</x:v>
      </x:c>
      <x:c r="I399" s="677">
        <x:v>0</x:v>
      </x:c>
      <x:c r="J399" s="677">
        <x:v>0</x:v>
      </x:c>
      <x:c r="K399" s="677">
        <x:v>0</x:v>
      </x:c>
      <x:c r="L399" s="677">
        <x:v>0</x:v>
      </x:c>
      <x:c r="M399" s="677">
        <x:v>0</x:v>
      </x:c>
      <x:c r="N399" s="677">
        <x:v>0</x:v>
      </x:c>
      <x:c r="O399" s="677">
        <x:v>0</x:v>
      </x:c>
      <x:c r="P399" s="677">
        <x:v>0</x:v>
      </x:c>
      <x:c r="Q399" s="677">
        <x:v>0</x:v>
      </x:c>
      <x:c r="R399" s="677">
        <x:v>0</x:v>
      </x:c>
      <x:c r="S399" s="628"/>
      <x:c r="T399" s="628"/>
      <x:c r="U399" s="628"/>
      <x:c r="V399" s="628"/>
      <x:c r="W399" s="628"/>
      <x:c r="X399" s="628"/>
      <x:c r="Y399" s="628"/>
      <x:c r="Z399" s="624"/>
    </x:row>
    <x:row r="400" spans="1:26" x14ac:dyDescent="0.25">
      <x:c r="C400" s="625"/>
      <x:c r="D400" s="625" t="s">
        <x:v>73</x:v>
      </x:c>
      <x:c r="E400" s="627">
        <x:v>0</x:v>
      </x:c>
      <x:c r="F400" s="627">
        <x:v>0</x:v>
      </x:c>
      <x:c r="G400" s="627">
        <x:v>0</x:v>
      </x:c>
      <x:c r="H400" s="627">
        <x:v>0</x:v>
      </x:c>
      <x:c r="I400" s="627">
        <x:v>0</x:v>
      </x:c>
      <x:c r="J400" s="627">
        <x:v>0</x:v>
      </x:c>
      <x:c r="K400" s="627">
        <x:v>0</x:v>
      </x:c>
      <x:c r="L400" s="627">
        <x:v>0</x:v>
      </x:c>
      <x:c r="M400" s="627">
        <x:v>0</x:v>
      </x:c>
      <x:c r="N400" s="627">
        <x:v>0</x:v>
      </x:c>
      <x:c r="O400" s="627">
        <x:v>0</x:v>
      </x:c>
      <x:c r="P400" s="627">
        <x:v>0</x:v>
      </x:c>
      <x:c r="Q400" s="627">
        <x:v>0</x:v>
      </x:c>
      <x:c r="R400" s="653">
        <x:v>0</x:v>
      </x:c>
      <x:c r="Z400" s="624"/>
    </x:row>
    <x:row r="401" spans="1:26" x14ac:dyDescent="0.25">
      <x:c r="C401" s="625" t="s">
        <x:v>156</x:v>
      </x:c>
      <x:c r="D401" s="625" t="s">
        <x:v>70</x:v>
      </x:c>
      <x:c r="E401" s="627">
        <x:v>0</x:v>
      </x:c>
      <x:c r="F401" s="627">
        <x:v>0</x:v>
      </x:c>
      <x:c r="G401" s="627">
        <x:v>0</x:v>
      </x:c>
      <x:c r="H401" s="627">
        <x:v>0</x:v>
      </x:c>
      <x:c r="I401" s="627">
        <x:v>0</x:v>
      </x:c>
      <x:c r="J401" s="627">
        <x:v>0</x:v>
      </x:c>
      <x:c r="K401" s="627">
        <x:v>0</x:v>
      </x:c>
      <x:c r="L401" s="627">
        <x:v>0</x:v>
      </x:c>
      <x:c r="M401" s="627">
        <x:v>0</x:v>
      </x:c>
      <x:c r="N401" s="627">
        <x:v>0</x:v>
      </x:c>
      <x:c r="O401" s="627">
        <x:v>0</x:v>
      </x:c>
      <x:c r="P401" s="627">
        <x:v>0</x:v>
      </x:c>
      <x:c r="Q401" s="627">
        <x:v>0</x:v>
      </x:c>
      <x:c r="R401" s="653">
        <x:v>0</x:v>
      </x:c>
      <x:c r="Z401" s="624"/>
    </x:row>
    <x:row r="402" spans="1:26" x14ac:dyDescent="0.25">
      <x:c r="A402" s="668"/>
      <x:c r="B402" s="668" t="s">
        <x:v>326</x:v>
      </x:c>
      <x:c r="C402" s="668" t="s">
        <x:v>70</x:v>
      </x:c>
      <x:c r="D402" s="668"/>
      <x:c r="E402" s="662">
        <x:v>0</x:v>
      </x:c>
      <x:c r="F402" s="662">
        <x:v>0</x:v>
      </x:c>
      <x:c r="G402" s="662">
        <x:v>0</x:v>
      </x:c>
      <x:c r="H402" s="662">
        <x:v>0</x:v>
      </x:c>
      <x:c r="I402" s="662">
        <x:v>0</x:v>
      </x:c>
      <x:c r="J402" s="662">
        <x:v>0</x:v>
      </x:c>
      <x:c r="K402" s="662">
        <x:v>0</x:v>
      </x:c>
      <x:c r="L402" s="662">
        <x:v>0</x:v>
      </x:c>
      <x:c r="M402" s="662">
        <x:v>0</x:v>
      </x:c>
      <x:c r="N402" s="662">
        <x:v>0</x:v>
      </x:c>
      <x:c r="O402" s="662">
        <x:v>0</x:v>
      </x:c>
      <x:c r="P402" s="662">
        <x:v>0</x:v>
      </x:c>
      <x:c r="Q402" s="662">
        <x:v>0</x:v>
      </x:c>
      <x:c r="R402" s="662">
        <x:v>0</x:v>
      </x:c>
      <x:c r="S402" s="662"/>
      <x:c r="T402" s="668"/>
      <x:c r="U402" s="668"/>
      <x:c r="V402" s="668"/>
      <x:c r="W402" s="668"/>
      <x:c r="X402" s="668"/>
      <x:c r="Y402" s="668"/>
      <x:c r="Z402" s="624"/>
    </x:row>
    <x:row r="403" spans="1:26" x14ac:dyDescent="0.25">
      <x:c r="C403" s="625"/>
      <x:c r="D403" s="625" t="s">
        <x:v>73</x:v>
      </x:c>
      <x:c r="E403" s="627">
        <x:v>0</x:v>
      </x:c>
      <x:c r="F403" s="627">
        <x:v>0</x:v>
      </x:c>
      <x:c r="G403" s="627">
        <x:v>0</x:v>
      </x:c>
      <x:c r="H403" s="627">
        <x:v>0</x:v>
      </x:c>
      <x:c r="I403" s="627">
        <x:v>0</x:v>
      </x:c>
      <x:c r="J403" s="627">
        <x:v>0</x:v>
      </x:c>
      <x:c r="K403" s="627">
        <x:v>0</x:v>
      </x:c>
      <x:c r="L403" s="627">
        <x:v>0</x:v>
      </x:c>
      <x:c r="M403" s="627">
        <x:v>0</x:v>
      </x:c>
      <x:c r="N403" s="627">
        <x:v>0</x:v>
      </x:c>
      <x:c r="O403" s="627">
        <x:v>0</x:v>
      </x:c>
      <x:c r="P403" s="627">
        <x:v>0</x:v>
      </x:c>
      <x:c r="Q403" s="627">
        <x:v>0</x:v>
      </x:c>
      <x:c r="R403" s="653">
        <x:v>0</x:v>
      </x:c>
      <x:c r="Z403" s="624"/>
    </x:row>
    <x:row r="404" spans="1:26" x14ac:dyDescent="0.25">
      <x:c r="C404" s="625" t="s">
        <x:v>82</x:v>
      </x:c>
      <x:c r="D404" s="625" t="s">
        <x:v>70</x:v>
      </x:c>
      <x:c r="E404" s="627">
        <x:v>0</x:v>
      </x:c>
      <x:c r="F404" s="627">
        <x:v>0</x:v>
      </x:c>
      <x:c r="G404" s="627">
        <x:v>0</x:v>
      </x:c>
      <x:c r="H404" s="627">
        <x:v>0</x:v>
      </x:c>
      <x:c r="I404" s="627">
        <x:v>0</x:v>
      </x:c>
      <x:c r="J404" s="627">
        <x:v>0</x:v>
      </x:c>
      <x:c r="K404" s="627">
        <x:v>0</x:v>
      </x:c>
      <x:c r="L404" s="627">
        <x:v>0</x:v>
      </x:c>
      <x:c r="M404" s="627">
        <x:v>0</x:v>
      </x:c>
      <x:c r="N404" s="627">
        <x:v>0</x:v>
      </x:c>
      <x:c r="O404" s="627">
        <x:v>0</x:v>
      </x:c>
      <x:c r="P404" s="627">
        <x:v>0</x:v>
      </x:c>
      <x:c r="Q404" s="627">
        <x:v>0</x:v>
      </x:c>
      <x:c r="R404" s="653">
        <x:v>0</x:v>
      </x:c>
      <x:c r="Z404" s="624"/>
    </x:row>
    <x:row r="405" spans="1:26" x14ac:dyDescent="0.25">
      <x:c r="C405" s="625"/>
      <x:c r="D405" s="625" t="s">
        <x:v>73</x:v>
      </x:c>
      <x:c r="E405" s="627">
        <x:v>0</x:v>
      </x:c>
      <x:c r="F405" s="627">
        <x:v>0</x:v>
      </x:c>
      <x:c r="G405" s="627">
        <x:v>0</x:v>
      </x:c>
      <x:c r="H405" s="627">
        <x:v>0</x:v>
      </x:c>
      <x:c r="I405" s="627">
        <x:v>0</x:v>
      </x:c>
      <x:c r="J405" s="627">
        <x:v>0</x:v>
      </x:c>
      <x:c r="K405" s="627">
        <x:v>0</x:v>
      </x:c>
      <x:c r="L405" s="627">
        <x:v>0</x:v>
      </x:c>
      <x:c r="M405" s="627">
        <x:v>0</x:v>
      </x:c>
      <x:c r="N405" s="627">
        <x:v>0</x:v>
      </x:c>
      <x:c r="O405" s="627">
        <x:v>0</x:v>
      </x:c>
      <x:c r="P405" s="627">
        <x:v>0</x:v>
      </x:c>
      <x:c r="Q405" s="627">
        <x:v>0</x:v>
      </x:c>
      <x:c r="R405" s="653">
        <x:v>0</x:v>
      </x:c>
      <x:c r="Z405" s="624"/>
    </x:row>
    <x:row r="406" spans="1:26" x14ac:dyDescent="0.25">
      <x:c r="C406" s="625" t="s">
        <x:v>86</x:v>
      </x:c>
      <x:c r="D406" s="625" t="s">
        <x:v>70</x:v>
      </x:c>
      <x:c r="E406" s="627">
        <x:v>0</x:v>
      </x:c>
      <x:c r="F406" s="627">
        <x:v>0</x:v>
      </x:c>
      <x:c r="G406" s="627">
        <x:v>0</x:v>
      </x:c>
      <x:c r="H406" s="627">
        <x:v>0</x:v>
      </x:c>
      <x:c r="I406" s="627">
        <x:v>0</x:v>
      </x:c>
      <x:c r="J406" s="627">
        <x:v>0</x:v>
      </x:c>
      <x:c r="K406" s="627">
        <x:v>0</x:v>
      </x:c>
      <x:c r="L406" s="627">
        <x:v>0</x:v>
      </x:c>
      <x:c r="M406" s="627">
        <x:v>0</x:v>
      </x:c>
      <x:c r="N406" s="627">
        <x:v>0</x:v>
      </x:c>
      <x:c r="O406" s="627">
        <x:v>0</x:v>
      </x:c>
      <x:c r="P406" s="627">
        <x:v>0</x:v>
      </x:c>
      <x:c r="Q406" s="627">
        <x:v>0</x:v>
      </x:c>
      <x:c r="R406" s="653">
        <x:v>0</x:v>
      </x:c>
      <x:c r="Z406" s="624"/>
    </x:row>
    <x:row r="407" spans="1:26" x14ac:dyDescent="0.25">
      <x:c r="C407" s="625"/>
      <x:c r="D407" s="625" t="s">
        <x:v>73</x:v>
      </x:c>
      <x:c r="E407" s="627">
        <x:v>0</x:v>
      </x:c>
      <x:c r="F407" s="627">
        <x:v>0</x:v>
      </x:c>
      <x:c r="G407" s="627">
        <x:v>0</x:v>
      </x:c>
      <x:c r="H407" s="627">
        <x:v>0</x:v>
      </x:c>
      <x:c r="I407" s="627">
        <x:v>0</x:v>
      </x:c>
      <x:c r="J407" s="627">
        <x:v>0</x:v>
      </x:c>
      <x:c r="K407" s="627">
        <x:v>0</x:v>
      </x:c>
      <x:c r="L407" s="627">
        <x:v>0</x:v>
      </x:c>
      <x:c r="M407" s="627">
        <x:v>0</x:v>
      </x:c>
      <x:c r="N407" s="627">
        <x:v>0</x:v>
      </x:c>
      <x:c r="O407" s="627">
        <x:v>0</x:v>
      </x:c>
      <x:c r="P407" s="627">
        <x:v>0</x:v>
      </x:c>
      <x:c r="Q407" s="627">
        <x:v>0</x:v>
      </x:c>
      <x:c r="R407" s="653">
        <x:v>0</x:v>
      </x:c>
      <x:c r="Z407" s="624"/>
    </x:row>
    <x:row r="408" spans="1:26" x14ac:dyDescent="0.25">
      <x:c r="C408" s="625" t="s">
        <x:v>87</x:v>
      </x:c>
      <x:c r="D408" s="625" t="s">
        <x:v>70</x:v>
      </x:c>
      <x:c r="E408" s="627">
        <x:v>0</x:v>
      </x:c>
      <x:c r="F408" s="627">
        <x:v>0</x:v>
      </x:c>
      <x:c r="G408" s="627">
        <x:v>0</x:v>
      </x:c>
      <x:c r="H408" s="627">
        <x:v>0</x:v>
      </x:c>
      <x:c r="I408" s="627">
        <x:v>0</x:v>
      </x:c>
      <x:c r="J408" s="627">
        <x:v>0</x:v>
      </x:c>
      <x:c r="K408" s="627">
        <x:v>0</x:v>
      </x:c>
      <x:c r="L408" s="627">
        <x:v>0</x:v>
      </x:c>
      <x:c r="M408" s="627">
        <x:v>0</x:v>
      </x:c>
      <x:c r="N408" s="627">
        <x:v>0</x:v>
      </x:c>
      <x:c r="O408" s="627">
        <x:v>0</x:v>
      </x:c>
      <x:c r="P408" s="627">
        <x:v>0</x:v>
      </x:c>
      <x:c r="Q408" s="627">
        <x:v>0</x:v>
      </x:c>
      <x:c r="R408" s="653">
        <x:v>0</x:v>
      </x:c>
      <x:c r="Z408" s="624"/>
    </x:row>
    <x:row r="409" spans="1:26" x14ac:dyDescent="0.25">
      <x:c r="A409" s="631"/>
      <x:c r="B409" s="632" t="s">
        <x:v>119</x:v>
      </x:c>
      <x:c r="C409" s="632" t="s">
        <x:v>70</x:v>
      </x:c>
      <x:c r="D409" s="631"/>
      <x:c r="E409" s="633">
        <x:v>0</x:v>
      </x:c>
      <x:c r="F409" s="633">
        <x:v>0</x:v>
      </x:c>
      <x:c r="G409" s="633">
        <x:v>0</x:v>
      </x:c>
      <x:c r="H409" s="633">
        <x:v>0</x:v>
      </x:c>
      <x:c r="I409" s="633">
        <x:v>0</x:v>
      </x:c>
      <x:c r="J409" s="633">
        <x:v>0</x:v>
      </x:c>
      <x:c r="K409" s="633">
        <x:v>0</x:v>
      </x:c>
      <x:c r="L409" s="633">
        <x:v>0</x:v>
      </x:c>
      <x:c r="M409" s="633">
        <x:v>0</x:v>
      </x:c>
      <x:c r="N409" s="633">
        <x:v>0</x:v>
      </x:c>
      <x:c r="O409" s="633">
        <x:v>0</x:v>
      </x:c>
      <x:c r="P409" s="633">
        <x:v>0</x:v>
      </x:c>
      <x:c r="Q409" s="633">
        <x:v>0</x:v>
      </x:c>
      <x:c r="R409" s="678">
        <x:v>0</x:v>
      </x:c>
      <x:c r="S409" s="631"/>
      <x:c r="T409" s="631"/>
      <x:c r="U409" s="631"/>
      <x:c r="V409" s="631"/>
      <x:c r="W409" s="631"/>
      <x:c r="X409" s="631"/>
      <x:c r="Y409" s="631"/>
      <x:c r="Z409" s="624"/>
    </x:row>
    <x:row r="410" spans="1:26" x14ac:dyDescent="0.25">
      <x:c r="A410" s="639" t="s">
        <x:v>79</x:v>
      </x:c>
      <x:c r="B410" s="639" t="s">
        <x:v>70</x:v>
      </x:c>
      <x:c r="C410" s="638"/>
      <x:c r="D410" s="638"/>
      <x:c r="E410" s="640">
        <x:v>0</x:v>
      </x:c>
      <x:c r="F410" s="640">
        <x:v>0</x:v>
      </x:c>
      <x:c r="G410" s="640">
        <x:v>0</x:v>
      </x:c>
      <x:c r="H410" s="640">
        <x:v>0</x:v>
      </x:c>
      <x:c r="I410" s="640">
        <x:v>0</x:v>
      </x:c>
      <x:c r="J410" s="640">
        <x:v>0</x:v>
      </x:c>
      <x:c r="K410" s="640">
        <x:v>0</x:v>
      </x:c>
      <x:c r="L410" s="640">
        <x:v>0</x:v>
      </x:c>
      <x:c r="M410" s="640">
        <x:v>0</x:v>
      </x:c>
      <x:c r="N410" s="640">
        <x:v>0</x:v>
      </x:c>
      <x:c r="O410" s="640">
        <x:v>0</x:v>
      </x:c>
      <x:c r="P410" s="640">
        <x:v>0</x:v>
      </x:c>
      <x:c r="Q410" s="640">
        <x:v>0</x:v>
      </x:c>
      <x:c r="R410" s="679">
        <x:v>0</x:v>
      </x:c>
      <x:c r="S410" s="638"/>
      <x:c r="T410" s="638"/>
      <x:c r="U410" s="638"/>
      <x:c r="V410" s="638"/>
      <x:c r="W410" s="638"/>
      <x:c r="X410" s="638"/>
      <x:c r="Y410" s="638"/>
      <x:c r="Z410" s="624"/>
    </x:row>
    <x:row r="411" spans="1:26" x14ac:dyDescent="0.25">
      <x:c r="A411" s="625" t="s">
        <x:v>70</x:v>
      </x:c>
      <x:c r="E411" s="627">
        <x:v>0</x:v>
      </x:c>
      <x:c r="F411" s="627">
        <x:v>0</x:v>
      </x:c>
      <x:c r="G411" s="627">
        <x:v>0</x:v>
      </x:c>
      <x:c r="H411" s="627">
        <x:v>0</x:v>
      </x:c>
      <x:c r="I411" s="627">
        <x:v>0</x:v>
      </x:c>
      <x:c r="J411" s="627">
        <x:v>0</x:v>
      </x:c>
      <x:c r="K411" s="627">
        <x:v>0</x:v>
      </x:c>
      <x:c r="L411" s="627">
        <x:v>0</x:v>
      </x:c>
      <x:c r="M411" s="627">
        <x:v>0</x:v>
      </x:c>
      <x:c r="N411" s="627">
        <x:v>0</x:v>
      </x:c>
      <x:c r="O411" s="627">
        <x:v>0</x:v>
      </x:c>
      <x:c r="P411" s="627">
        <x:v>0</x:v>
      </x:c>
      <x:c r="Q411" s="627">
        <x:v>0</x:v>
      </x:c>
      <x:c r="R411" s="627">
        <x:v>0</x:v>
      </x:c>
      <x:c r="Z411" s="624"/>
    </x:row>
    <x:row r="412" spans="1:26" x14ac:dyDescent="0.25">
      <x:c r="A412" s="625"/>
      <x:c r="E412" s="627"/>
      <x:c r="F412" s="627"/>
      <x:c r="G412" s="627"/>
      <x:c r="H412" s="627"/>
      <x:c r="I412" s="627"/>
      <x:c r="J412" s="627"/>
      <x:c r="K412" s="627"/>
      <x:c r="L412" s="627"/>
      <x:c r="M412" s="627"/>
      <x:c r="N412" s="627"/>
      <x:c r="O412" s="627"/>
      <x:c r="P412" s="627"/>
      <x:c r="Q412" s="627"/>
      <x:c r="R412" s="627"/>
      <x:c r="Z412" s="624"/>
    </x:row>
    <x:row r="413" spans="1:26" x14ac:dyDescent="0.25">
      <x:c r="A413" s="625"/>
      <x:c r="E413" s="627"/>
      <x:c r="F413" s="627"/>
      <x:c r="G413" s="627"/>
      <x:c r="H413" s="627"/>
      <x:c r="I413" s="627"/>
      <x:c r="J413" s="627"/>
      <x:c r="K413" s="627"/>
      <x:c r="L413" s="627"/>
      <x:c r="M413" s="627"/>
      <x:c r="N413" s="627"/>
      <x:c r="O413" s="627"/>
      <x:c r="P413" s="627"/>
      <x:c r="Q413" s="627"/>
      <x:c r="R413" s="627"/>
      <x:c r="Z413" s="624"/>
    </x:row>
    <x:row r="414" spans="1:26" x14ac:dyDescent="0.25">
      <x:c r="A414" s="625"/>
      <x:c r="E414" s="627"/>
      <x:c r="F414" s="627"/>
      <x:c r="G414" s="627"/>
      <x:c r="H414" s="627"/>
      <x:c r="I414" s="627"/>
      <x:c r="J414" s="627"/>
      <x:c r="K414" s="627"/>
      <x:c r="L414" s="627"/>
      <x:c r="M414" s="627"/>
      <x:c r="N414" s="627"/>
      <x:c r="O414" s="627"/>
      <x:c r="P414" s="627"/>
      <x:c r="Q414" s="627"/>
      <x:c r="R414" s="627"/>
      <x:c r="Z414" s="624"/>
    </x:row>
    <x:row r="415" spans="1:26" x14ac:dyDescent="0.25">
      <x:c r="A415" s="625"/>
      <x:c r="E415" s="627"/>
      <x:c r="F415" s="627"/>
      <x:c r="G415" s="627"/>
      <x:c r="H415" s="627"/>
      <x:c r="I415" s="627"/>
      <x:c r="J415" s="627"/>
      <x:c r="K415" s="627"/>
      <x:c r="L415" s="627"/>
      <x:c r="M415" s="627"/>
      <x:c r="N415" s="627"/>
      <x:c r="O415" s="627"/>
      <x:c r="P415" s="627"/>
      <x:c r="Q415" s="627"/>
      <x:c r="R415" s="627"/>
      <x:c r="Z415" s="624"/>
    </x:row>
    <x:row r="416" spans="1:26" x14ac:dyDescent="0.25">
      <x:c r="A416" s="625"/>
      <x:c r="E416" s="627"/>
      <x:c r="F416" s="627"/>
      <x:c r="G416" s="627"/>
      <x:c r="H416" s="627"/>
      <x:c r="I416" s="627"/>
      <x:c r="J416" s="627"/>
      <x:c r="K416" s="627"/>
      <x:c r="L416" s="627"/>
      <x:c r="M416" s="627"/>
      <x:c r="N416" s="627"/>
      <x:c r="O416" s="627"/>
      <x:c r="P416" s="627"/>
      <x:c r="Q416" s="627"/>
      <x:c r="R416" s="627"/>
      <x:c r="Z416" s="624"/>
    </x:row>
    <x:row r="417" spans="1:26" x14ac:dyDescent="0.25">
      <x:c r="A417" s="625"/>
      <x:c r="E417" s="627"/>
      <x:c r="F417" s="627"/>
      <x:c r="G417" s="627"/>
      <x:c r="H417" s="627"/>
      <x:c r="I417" s="627"/>
      <x:c r="J417" s="627"/>
      <x:c r="K417" s="627"/>
      <x:c r="L417" s="627"/>
      <x:c r="M417" s="627"/>
      <x:c r="N417" s="627"/>
      <x:c r="O417" s="627"/>
      <x:c r="P417" s="627"/>
      <x:c r="Q417" s="627"/>
      <x:c r="R417" s="627"/>
      <x:c r="Z417" s="624"/>
    </x:row>
    <x:row r="418" spans="1:26" x14ac:dyDescent="0.25">
      <x:c r="A418" s="625"/>
      <x:c r="E418" s="627"/>
      <x:c r="F418" s="627"/>
      <x:c r="G418" s="627"/>
      <x:c r="H418" s="627"/>
      <x:c r="I418" s="627"/>
      <x:c r="J418" s="627"/>
      <x:c r="K418" s="627"/>
      <x:c r="L418" s="627"/>
      <x:c r="M418" s="627"/>
      <x:c r="N418" s="627"/>
      <x:c r="O418" s="627"/>
      <x:c r="P418" s="627"/>
      <x:c r="Q418" s="627"/>
      <x:c r="R418" s="627"/>
      <x:c r="Z418" s="624"/>
    </x:row>
    <x:row r="419" spans="1:26" x14ac:dyDescent="0.25">
      <x:c r="A419" s="625"/>
      <x:c r="E419" s="627"/>
      <x:c r="F419" s="627"/>
      <x:c r="G419" s="627"/>
      <x:c r="H419" s="627"/>
      <x:c r="I419" s="627"/>
      <x:c r="J419" s="627"/>
      <x:c r="K419" s="627"/>
      <x:c r="L419" s="627"/>
      <x:c r="M419" s="627"/>
      <x:c r="N419" s="627"/>
      <x:c r="O419" s="627"/>
      <x:c r="P419" s="627"/>
      <x:c r="Q419" s="627"/>
      <x:c r="R419" s="627"/>
      <x:c r="Z419" s="624"/>
    </x:row>
    <x:row r="420" spans="1:26" x14ac:dyDescent="0.25">
      <x:c r="A420" s="625"/>
      <x:c r="E420" s="627"/>
      <x:c r="F420" s="627"/>
      <x:c r="G420" s="627"/>
      <x:c r="H420" s="627"/>
      <x:c r="I420" s="627"/>
      <x:c r="J420" s="627"/>
      <x:c r="K420" s="627"/>
      <x:c r="L420" s="627"/>
      <x:c r="M420" s="627"/>
      <x:c r="N420" s="627"/>
      <x:c r="O420" s="627"/>
      <x:c r="P420" s="627"/>
      <x:c r="Q420" s="627"/>
      <x:c r="R420" s="627"/>
      <x:c r="Z420" s="624"/>
    </x:row>
    <x:row r="421" spans="1:26" x14ac:dyDescent="0.25">
      <x:c r="A421" s="625"/>
      <x:c r="E421" s="627"/>
      <x:c r="F421" s="627"/>
      <x:c r="G421" s="627"/>
      <x:c r="H421" s="627"/>
      <x:c r="I421" s="627"/>
      <x:c r="J421" s="627"/>
      <x:c r="K421" s="627"/>
      <x:c r="L421" s="627"/>
      <x:c r="M421" s="627"/>
      <x:c r="N421" s="627"/>
      <x:c r="O421" s="627"/>
      <x:c r="P421" s="627"/>
      <x:c r="Q421" s="627"/>
      <x:c r="R421" s="627"/>
      <x:c r="Z421" s="624"/>
    </x:row>
    <x:row r="422" spans="1:26" x14ac:dyDescent="0.25">
      <x:c r="A422" s="625"/>
      <x:c r="E422" s="627"/>
      <x:c r="F422" s="627"/>
      <x:c r="G422" s="627"/>
      <x:c r="H422" s="627"/>
      <x:c r="I422" s="627"/>
      <x:c r="J422" s="627"/>
      <x:c r="K422" s="627"/>
      <x:c r="L422" s="627"/>
      <x:c r="M422" s="627"/>
      <x:c r="N422" s="627"/>
      <x:c r="O422" s="627"/>
      <x:c r="P422" s="627"/>
      <x:c r="Q422" s="627"/>
      <x:c r="R422" s="627"/>
      <x:c r="Z422" s="624"/>
    </x:row>
    <x:row r="423" spans="1:26" x14ac:dyDescent="0.25">
      <x:c r="A423" s="625"/>
      <x:c r="E423" s="627"/>
      <x:c r="F423" s="627"/>
      <x:c r="G423" s="627"/>
      <x:c r="H423" s="627"/>
      <x:c r="I423" s="627"/>
      <x:c r="J423" s="627"/>
      <x:c r="K423" s="627"/>
      <x:c r="L423" s="627"/>
      <x:c r="M423" s="627"/>
      <x:c r="N423" s="627"/>
      <x:c r="O423" s="627"/>
      <x:c r="P423" s="627"/>
      <x:c r="Q423" s="627"/>
      <x:c r="R423" s="627"/>
      <x:c r="Z423" s="624"/>
    </x:row>
    <x:row r="424" spans="1:26" x14ac:dyDescent="0.25">
      <x:c r="A424" s="625"/>
      <x:c r="E424" s="627"/>
      <x:c r="F424" s="627"/>
      <x:c r="G424" s="627"/>
      <x:c r="H424" s="627"/>
      <x:c r="I424" s="627"/>
      <x:c r="J424" s="627"/>
      <x:c r="K424" s="627"/>
      <x:c r="L424" s="627"/>
      <x:c r="M424" s="627"/>
      <x:c r="N424" s="627"/>
      <x:c r="O424" s="627"/>
      <x:c r="P424" s="627"/>
      <x:c r="Q424" s="627"/>
      <x:c r="R424" s="627"/>
      <x:c r="Z424" s="624"/>
    </x:row>
    <x:row r="425" spans="1:26" x14ac:dyDescent="0.25">
      <x:c r="A425" s="625"/>
      <x:c r="E425" s="627"/>
      <x:c r="F425" s="627"/>
      <x:c r="G425" s="627"/>
      <x:c r="H425" s="627"/>
      <x:c r="I425" s="627"/>
      <x:c r="J425" s="627"/>
      <x:c r="K425" s="627"/>
      <x:c r="L425" s="627"/>
      <x:c r="M425" s="627"/>
      <x:c r="N425" s="627"/>
      <x:c r="O425" s="627"/>
      <x:c r="P425" s="627"/>
      <x:c r="Q425" s="627"/>
      <x:c r="R425" s="627"/>
      <x:c r="Z425" s="624"/>
    </x:row>
    <x:row r="426" spans="1:26" x14ac:dyDescent="0.25">
      <x:c r="A426" s="625"/>
      <x:c r="E426" s="627"/>
      <x:c r="F426" s="627"/>
      <x:c r="G426" s="627"/>
      <x:c r="H426" s="627"/>
      <x:c r="I426" s="627"/>
      <x:c r="J426" s="627"/>
      <x:c r="K426" s="627"/>
      <x:c r="L426" s="627"/>
      <x:c r="M426" s="627"/>
      <x:c r="N426" s="627"/>
      <x:c r="O426" s="627"/>
      <x:c r="P426" s="627"/>
      <x:c r="Q426" s="627"/>
      <x:c r="R426" s="627"/>
      <x:c r="Z426" s="624"/>
    </x:row>
    <x:row r="427" spans="1:26" x14ac:dyDescent="0.25">
      <x:c r="A427" s="625"/>
      <x:c r="E427" s="627"/>
      <x:c r="F427" s="627"/>
      <x:c r="G427" s="627"/>
      <x:c r="H427" s="627"/>
      <x:c r="I427" s="627"/>
      <x:c r="J427" s="627"/>
      <x:c r="K427" s="627"/>
      <x:c r="L427" s="627"/>
      <x:c r="M427" s="627"/>
      <x:c r="N427" s="627"/>
      <x:c r="O427" s="627"/>
      <x:c r="P427" s="627"/>
      <x:c r="Q427" s="627"/>
      <x:c r="R427" s="627"/>
      <x:c r="Z427" s="624"/>
    </x:row>
    <x:row r="428" spans="1:26" x14ac:dyDescent="0.25">
      <x:c r="A428" s="625"/>
      <x:c r="E428" s="627"/>
      <x:c r="F428" s="627"/>
      <x:c r="G428" s="627"/>
      <x:c r="H428" s="627"/>
      <x:c r="I428" s="627"/>
      <x:c r="J428" s="627"/>
      <x:c r="K428" s="627"/>
      <x:c r="L428" s="627"/>
      <x:c r="M428" s="627"/>
      <x:c r="N428" s="627"/>
      <x:c r="O428" s="627"/>
      <x:c r="P428" s="627"/>
      <x:c r="Q428" s="627"/>
      <x:c r="R428" s="627"/>
      <x:c r="Z428" s="624"/>
    </x:row>
    <x:row r="429" spans="1:26" x14ac:dyDescent="0.25">
      <x:c r="A429" s="625"/>
      <x:c r="E429" s="627"/>
      <x:c r="F429" s="627"/>
      <x:c r="G429" s="627"/>
      <x:c r="H429" s="627"/>
      <x:c r="I429" s="627"/>
      <x:c r="J429" s="627"/>
      <x:c r="K429" s="627"/>
      <x:c r="L429" s="627"/>
      <x:c r="M429" s="627"/>
      <x:c r="N429" s="627"/>
      <x:c r="O429" s="627"/>
      <x:c r="P429" s="627"/>
      <x:c r="Q429" s="627"/>
      <x:c r="R429" s="627"/>
      <x:c r="Z429" s="624"/>
    </x:row>
    <x:row r="430" spans="1:26" x14ac:dyDescent="0.25">
      <x:c r="A430" s="625"/>
      <x:c r="E430" s="627"/>
      <x:c r="F430" s="627"/>
      <x:c r="G430" s="627"/>
      <x:c r="H430" s="627"/>
      <x:c r="I430" s="627"/>
      <x:c r="J430" s="627"/>
      <x:c r="K430" s="627"/>
      <x:c r="L430" s="627"/>
      <x:c r="M430" s="627"/>
      <x:c r="N430" s="627"/>
      <x:c r="O430" s="627"/>
      <x:c r="P430" s="627"/>
      <x:c r="Q430" s="627"/>
      <x:c r="R430" s="627"/>
      <x:c r="Z430" s="624"/>
    </x:row>
    <x:row r="431" spans="1:26" x14ac:dyDescent="0.25">
      <x:c r="A431" s="625"/>
      <x:c r="E431" s="627"/>
      <x:c r="F431" s="627"/>
      <x:c r="G431" s="627"/>
      <x:c r="H431" s="627"/>
      <x:c r="I431" s="627"/>
      <x:c r="J431" s="627"/>
      <x:c r="K431" s="627"/>
      <x:c r="L431" s="627"/>
      <x:c r="M431" s="627"/>
      <x:c r="N431" s="627"/>
      <x:c r="O431" s="627"/>
      <x:c r="P431" s="627"/>
      <x:c r="Q431" s="627"/>
      <x:c r="R431" s="627"/>
      <x:c r="Z431" s="624"/>
    </x:row>
    <x:row r="432" spans="1:26" x14ac:dyDescent="0.25">
      <x:c r="A432" s="625"/>
      <x:c r="E432" s="627"/>
      <x:c r="F432" s="627"/>
      <x:c r="G432" s="627"/>
      <x:c r="H432" s="627"/>
      <x:c r="I432" s="627"/>
      <x:c r="J432" s="627"/>
      <x:c r="K432" s="627"/>
      <x:c r="L432" s="627"/>
      <x:c r="M432" s="627"/>
      <x:c r="N432" s="627"/>
      <x:c r="O432" s="627"/>
      <x:c r="P432" s="627"/>
      <x:c r="Q432" s="627"/>
      <x:c r="R432" s="627"/>
      <x:c r="Z432" s="624"/>
    </x:row>
    <x:row r="433" spans="1:26" x14ac:dyDescent="0.25">
      <x:c r="A433" s="625"/>
      <x:c r="E433" s="627"/>
      <x:c r="F433" s="627"/>
      <x:c r="G433" s="627"/>
      <x:c r="H433" s="627"/>
      <x:c r="I433" s="627"/>
      <x:c r="J433" s="627"/>
      <x:c r="K433" s="627"/>
      <x:c r="L433" s="627"/>
      <x:c r="M433" s="627"/>
      <x:c r="N433" s="627"/>
      <x:c r="O433" s="627"/>
      <x:c r="P433" s="627"/>
      <x:c r="Q433" s="627"/>
      <x:c r="R433" s="627"/>
      <x:c r="Z433" s="624"/>
    </x:row>
    <x:row r="434" spans="1:26" x14ac:dyDescent="0.25">
      <x:c r="A434" s="625"/>
      <x:c r="E434" s="627"/>
      <x:c r="F434" s="627"/>
      <x:c r="G434" s="627"/>
      <x:c r="H434" s="627"/>
      <x:c r="I434" s="627"/>
      <x:c r="J434" s="627"/>
      <x:c r="K434" s="627"/>
      <x:c r="L434" s="627"/>
      <x:c r="M434" s="627"/>
      <x:c r="N434" s="627"/>
      <x:c r="O434" s="627"/>
      <x:c r="P434" s="627"/>
      <x:c r="Q434" s="627"/>
      <x:c r="R434" s="627"/>
      <x:c r="Z434" s="624"/>
    </x:row>
    <x:row r="435" spans="1:26" x14ac:dyDescent="0.25">
      <x:c r="A435" s="625"/>
      <x:c r="E435" s="627"/>
      <x:c r="F435" s="627"/>
      <x:c r="G435" s="627"/>
      <x:c r="H435" s="627"/>
      <x:c r="I435" s="627"/>
      <x:c r="J435" s="627"/>
      <x:c r="K435" s="627"/>
      <x:c r="L435" s="627"/>
      <x:c r="M435" s="627"/>
      <x:c r="N435" s="627"/>
      <x:c r="O435" s="627"/>
      <x:c r="P435" s="627"/>
      <x:c r="Q435" s="627"/>
      <x:c r="R435" s="627"/>
      <x:c r="Z435" s="624"/>
    </x:row>
    <x:row r="436" spans="1:26" x14ac:dyDescent="0.25">
      <x:c r="A436" s="625"/>
      <x:c r="E436" s="627"/>
      <x:c r="F436" s="627"/>
      <x:c r="G436" s="627"/>
      <x:c r="H436" s="627"/>
      <x:c r="I436" s="627"/>
      <x:c r="J436" s="627"/>
      <x:c r="K436" s="627"/>
      <x:c r="L436" s="627"/>
      <x:c r="M436" s="627"/>
      <x:c r="N436" s="627"/>
      <x:c r="O436" s="627"/>
      <x:c r="P436" s="627"/>
      <x:c r="Q436" s="627"/>
      <x:c r="R436" s="627"/>
      <x:c r="Z436" s="624"/>
    </x:row>
    <x:row r="437" spans="1:26" x14ac:dyDescent="0.25">
      <x:c r="A437" s="625"/>
      <x:c r="E437" s="627"/>
      <x:c r="F437" s="627"/>
      <x:c r="G437" s="627"/>
      <x:c r="H437" s="627"/>
      <x:c r="I437" s="627"/>
      <x:c r="J437" s="627"/>
      <x:c r="K437" s="627"/>
      <x:c r="L437" s="627"/>
      <x:c r="M437" s="627"/>
      <x:c r="N437" s="627"/>
      <x:c r="O437" s="627"/>
      <x:c r="P437" s="627"/>
      <x:c r="Q437" s="627"/>
      <x:c r="R437" s="627"/>
      <x:c r="Z437" s="624"/>
    </x:row>
    <x:row r="438" spans="1:26" x14ac:dyDescent="0.25">
      <x:c r="B438" s="773" t="s">
        <x:v>2</x:v>
      </x:c>
      <x:c r="C438" s="770" t="s">
        <x:v>132</x:v>
      </x:c>
      <x:c r="D438" s="639" t="s">
        <x:v>70</x:v>
      </x:c>
      <x:c r="E438" s="640">
        <x:f>E410+E396-K396</x:f>
        <x:v>0</x:v>
      </x:c>
      <x:c r="F438" s="640">
        <x:f>F396</x:f>
        <x:v>0</x:v>
      </x:c>
      <x:c r="G438" s="640">
        <x:f t="shared" ref="G438:R438" si="14">G396</x:f>
        <x:v>0</x:v>
      </x:c>
      <x:c r="H438" s="640">
        <x:f t="shared" si="14"/>
        <x:v>0</x:v>
      </x:c>
      <x:c r="I438" s="640">
        <x:f t="shared" si="14"/>
        <x:v>0</x:v>
      </x:c>
      <x:c r="J438" s="640">
        <x:f t="shared" si="14"/>
        <x:v>0</x:v>
      </x:c>
      <x:c r="K438" s="640">
        <x:f t="shared" si="14"/>
        <x:v>0</x:v>
      </x:c>
      <x:c r="L438" s="640">
        <x:f t="shared" si="14"/>
        <x:v>0</x:v>
      </x:c>
      <x:c r="M438" s="640">
        <x:f t="shared" si="14"/>
        <x:v>0</x:v>
      </x:c>
      <x:c r="N438" s="640">
        <x:f t="shared" si="14"/>
        <x:v>0</x:v>
      </x:c>
      <x:c r="O438" s="640">
        <x:f t="shared" si="14"/>
        <x:v>0</x:v>
      </x:c>
      <x:c r="P438" s="640">
        <x:f t="shared" si="14"/>
        <x:v>0</x:v>
      </x:c>
      <x:c r="Q438" s="640">
        <x:f t="shared" si="14"/>
        <x:v>0</x:v>
      </x:c>
      <x:c r="R438" s="640">
        <x:f t="shared" si="14"/>
        <x:v>0</x:v>
      </x:c>
      <x:c r="Z438" s="624"/>
    </x:row>
    <x:row r="439" spans="1:26" x14ac:dyDescent="0.25">
      <x:c r="B439" s="773"/>
      <x:c r="C439" s="770"/>
      <x:c r="D439" s="639" t="s">
        <x:v>73</x:v>
      </x:c>
      <x:c r="E439" s="640">
        <x:f>E410</x:f>
        <x:v>0</x:v>
      </x:c>
      <x:c r="F439" s="627"/>
      <x:c r="G439" s="627"/>
      <x:c r="H439" s="627"/>
      <x:c r="I439" s="627"/>
      <x:c r="J439" s="627"/>
      <x:c r="K439" s="627"/>
      <x:c r="L439" s="627"/>
      <x:c r="M439" s="627"/>
      <x:c r="N439" s="627"/>
      <x:c r="O439" s="627"/>
      <x:c r="P439" s="627"/>
      <x:c r="Q439" s="627"/>
      <x:c r="R439" s="627"/>
      <x:c r="Z439" s="624"/>
    </x:row>
    <x:row r="440" spans="1:26" x14ac:dyDescent="0.25">
      <x:c r="A440" s="625"/>
      <x:c r="B440" s="50"/>
      <x:c r="E440" s="627"/>
      <x:c r="F440" s="627"/>
      <x:c r="G440" s="627"/>
      <x:c r="H440" s="627"/>
      <x:c r="I440" s="627"/>
      <x:c r="J440" s="627"/>
      <x:c r="K440" s="627"/>
      <x:c r="L440" s="627"/>
      <x:c r="M440" s="627"/>
      <x:c r="N440" s="627"/>
      <x:c r="O440" s="627"/>
      <x:c r="P440" s="627"/>
      <x:c r="Q440" s="627"/>
      <x:c r="R440" s="627"/>
      <x:c r="Z440" s="624"/>
    </x:row>
    <x:row r="441" spans="1:26" x14ac:dyDescent="0.25">
      <x:c r="B441" s="773" t="s">
        <x:v>160</x:v>
      </x:c>
      <x:c r="C441" s="770" t="s">
        <x:v>132</x:v>
      </x:c>
      <x:c r="D441" s="647" t="s">
        <x:v>70</x:v>
      </x:c>
      <x:c r="E441" s="648">
        <x:v>0</x:v>
      </x:c>
      <x:c r="F441" s="648">
        <x:v>0</x:v>
      </x:c>
      <x:c r="G441" s="648">
        <x:v>0</x:v>
      </x:c>
      <x:c r="H441" s="648">
        <x:v>0</x:v>
      </x:c>
      <x:c r="I441" s="648">
        <x:v>0</x:v>
      </x:c>
      <x:c r="J441" s="648">
        <x:v>0</x:v>
      </x:c>
      <x:c r="K441" s="648">
        <x:v>0</x:v>
      </x:c>
      <x:c r="L441" s="648">
        <x:v>0</x:v>
      </x:c>
      <x:c r="M441" s="648">
        <x:v>0</x:v>
      </x:c>
      <x:c r="N441" s="648">
        <x:v>0</x:v>
      </x:c>
      <x:c r="O441" s="648">
        <x:v>0</x:v>
      </x:c>
      <x:c r="P441" s="648">
        <x:v>0</x:v>
      </x:c>
      <x:c r="Q441" s="648">
        <x:v>0</x:v>
      </x:c>
      <x:c r="R441" s="648">
        <x:v>0</x:v>
      </x:c>
      <x:c r="Z441" s="624"/>
    </x:row>
    <x:row r="442" spans="1:26" x14ac:dyDescent="0.25">
      <x:c r="B442" s="773"/>
      <x:c r="C442" s="770"/>
      <x:c r="D442" s="647" t="s">
        <x:v>73</x:v>
      </x:c>
      <x:c r="E442" s="648">
        <x:v>0</x:v>
      </x:c>
      <x:c r="F442" s="627"/>
      <x:c r="G442" s="627"/>
      <x:c r="H442" s="627"/>
      <x:c r="I442" s="627"/>
      <x:c r="J442" s="627"/>
      <x:c r="K442" s="627"/>
      <x:c r="L442" s="627"/>
      <x:c r="M442" s="627"/>
      <x:c r="N442" s="627"/>
      <x:c r="O442" s="627"/>
      <x:c r="P442" s="627"/>
      <x:c r="Q442" s="627"/>
      <x:c r="R442" s="627"/>
      <x:c r="Z442" s="624"/>
    </x:row>
    <x:row r="443" spans="1:26" x14ac:dyDescent="0.25">
      <x:c r="A443" s="625"/>
      <x:c r="B443" s="50"/>
      <x:c r="E443" s="627"/>
      <x:c r="F443" s="627"/>
      <x:c r="G443" s="627"/>
      <x:c r="H443" s="627"/>
      <x:c r="I443" s="627"/>
      <x:c r="J443" s="627"/>
      <x:c r="K443" s="627"/>
      <x:c r="L443" s="627"/>
      <x:c r="M443" s="627"/>
      <x:c r="N443" s="627"/>
      <x:c r="O443" s="627"/>
      <x:c r="P443" s="627"/>
      <x:c r="Q443" s="627"/>
      <x:c r="R443" s="627"/>
      <x:c r="Z443" s="624"/>
    </x:row>
    <x:row r="444" spans="1:26" x14ac:dyDescent="0.25">
      <x:c r="B444" s="773" t="s">
        <x:v>155</x:v>
      </x:c>
      <x:c r="C444" s="770" t="s">
        <x:v>132</x:v>
      </x:c>
      <x:c r="D444" s="651" t="s">
        <x:v>70</x:v>
      </x:c>
      <x:c r="E444" s="652">
        <x:f>E399+E381-K381</x:f>
        <x:v>0</x:v>
      </x:c>
      <x:c r="F444" s="652">
        <x:f>F381</x:f>
        <x:v>0</x:v>
      </x:c>
      <x:c r="G444" s="652">
        <x:f t="shared" ref="G444:R444" si="15">G381</x:f>
        <x:v>0</x:v>
      </x:c>
      <x:c r="H444" s="652">
        <x:f t="shared" si="15"/>
        <x:v>0</x:v>
      </x:c>
      <x:c r="I444" s="652">
        <x:f t="shared" si="15"/>
        <x:v>0</x:v>
      </x:c>
      <x:c r="J444" s="652">
        <x:f t="shared" si="15"/>
        <x:v>0</x:v>
      </x:c>
      <x:c r="K444" s="652">
        <x:f t="shared" si="15"/>
        <x:v>0</x:v>
      </x:c>
      <x:c r="L444" s="652">
        <x:f t="shared" si="15"/>
        <x:v>0</x:v>
      </x:c>
      <x:c r="M444" s="652">
        <x:f t="shared" si="15"/>
        <x:v>0</x:v>
      </x:c>
      <x:c r="N444" s="652">
        <x:f t="shared" si="15"/>
        <x:v>0</x:v>
      </x:c>
      <x:c r="O444" s="652">
        <x:f t="shared" si="15"/>
        <x:v>0</x:v>
      </x:c>
      <x:c r="P444" s="652">
        <x:f t="shared" si="15"/>
        <x:v>0</x:v>
      </x:c>
      <x:c r="Q444" s="652">
        <x:f t="shared" si="15"/>
        <x:v>0</x:v>
      </x:c>
      <x:c r="R444" s="652">
        <x:f t="shared" si="15"/>
        <x:v>0</x:v>
      </x:c>
      <x:c r="Z444" s="624"/>
    </x:row>
    <x:row r="445" spans="1:26" x14ac:dyDescent="0.25">
      <x:c r="B445" s="773"/>
      <x:c r="C445" s="770"/>
      <x:c r="D445" s="651" t="s">
        <x:v>73</x:v>
      </x:c>
      <x:c r="E445" s="652">
        <x:f>E399</x:f>
        <x:v>0</x:v>
      </x:c>
      <x:c r="F445" s="627"/>
      <x:c r="G445" s="627"/>
      <x:c r="H445" s="627"/>
      <x:c r="I445" s="627"/>
      <x:c r="J445" s="627"/>
      <x:c r="K445" s="627"/>
      <x:c r="L445" s="627"/>
      <x:c r="M445" s="627"/>
      <x:c r="N445" s="627"/>
      <x:c r="O445" s="627"/>
      <x:c r="P445" s="627"/>
      <x:c r="Q445" s="627"/>
      <x:c r="R445" s="627"/>
      <x:c r="Z445" s="624"/>
    </x:row>
    <x:row r="446" spans="1:26" x14ac:dyDescent="0.25">
      <x:c r="A446" s="625"/>
      <x:c r="B446" s="50"/>
      <x:c r="E446" s="627"/>
      <x:c r="F446" s="627"/>
      <x:c r="G446" s="627"/>
      <x:c r="H446" s="627"/>
      <x:c r="I446" s="627"/>
      <x:c r="J446" s="627"/>
      <x:c r="K446" s="627"/>
      <x:c r="L446" s="627"/>
      <x:c r="M446" s="627"/>
      <x:c r="N446" s="627"/>
      <x:c r="O446" s="627"/>
      <x:c r="P446" s="627"/>
      <x:c r="Q446" s="627"/>
      <x:c r="R446" s="627"/>
      <x:c r="Z446" s="624"/>
    </x:row>
    <x:row r="447" spans="1:26" x14ac:dyDescent="0.25">
      <x:c r="B447" s="771" t="s">
        <x:v>326</x:v>
      </x:c>
      <x:c r="C447" s="770" t="s">
        <x:v>132</x:v>
      </x:c>
      <x:c r="D447" s="654" t="s">
        <x:v>70</x:v>
      </x:c>
      <x:c r="E447" s="655">
        <x:f>E402+E385-K385</x:f>
        <x:v>0</x:v>
      </x:c>
      <x:c r="F447" s="655">
        <x:f>F385</x:f>
        <x:v>0</x:v>
      </x:c>
      <x:c r="G447" s="655">
        <x:f t="shared" ref="G447:R447" si="16">G385</x:f>
        <x:v>0</x:v>
      </x:c>
      <x:c r="H447" s="655">
        <x:f t="shared" si="16"/>
        <x:v>0</x:v>
      </x:c>
      <x:c r="I447" s="655">
        <x:f t="shared" si="16"/>
        <x:v>0</x:v>
      </x:c>
      <x:c r="J447" s="655">
        <x:f t="shared" si="16"/>
        <x:v>0</x:v>
      </x:c>
      <x:c r="K447" s="655">
        <x:f t="shared" si="16"/>
        <x:v>0</x:v>
      </x:c>
      <x:c r="L447" s="655">
        <x:f t="shared" si="16"/>
        <x:v>0</x:v>
      </x:c>
      <x:c r="M447" s="655">
        <x:f t="shared" si="16"/>
        <x:v>0</x:v>
      </x:c>
      <x:c r="N447" s="655">
        <x:f t="shared" si="16"/>
        <x:v>0</x:v>
      </x:c>
      <x:c r="O447" s="655">
        <x:f t="shared" si="16"/>
        <x:v>0</x:v>
      </x:c>
      <x:c r="P447" s="655">
        <x:f t="shared" si="16"/>
        <x:v>0</x:v>
      </x:c>
      <x:c r="Q447" s="655">
        <x:f t="shared" si="16"/>
        <x:v>0</x:v>
      </x:c>
      <x:c r="R447" s="655">
        <x:f t="shared" si="16"/>
        <x:v>0</x:v>
      </x:c>
      <x:c r="Z447" s="624"/>
    </x:row>
    <x:row r="448" spans="1:26" x14ac:dyDescent="0.25">
      <x:c r="B448" s="771"/>
      <x:c r="C448" s="770"/>
      <x:c r="D448" s="654" t="s">
        <x:v>73</x:v>
      </x:c>
      <x:c r="E448" s="655">
        <x:f>E402</x:f>
        <x:v>0</x:v>
      </x:c>
      <x:c r="F448" s="627"/>
      <x:c r="G448" s="627"/>
      <x:c r="H448" s="627"/>
      <x:c r="I448" s="627"/>
      <x:c r="J448" s="627"/>
      <x:c r="K448" s="627"/>
      <x:c r="L448" s="627"/>
      <x:c r="M448" s="627"/>
      <x:c r="N448" s="627"/>
      <x:c r="O448" s="627"/>
      <x:c r="P448" s="627"/>
      <x:c r="Q448" s="627"/>
      <x:c r="R448" s="627"/>
      <x:c r="Z448" s="624"/>
    </x:row>
    <x:row r="449" spans="1:26" x14ac:dyDescent="0.25">
      <x:c r="B449" s="643"/>
      <x:c r="C449" s="644"/>
      <x:c r="D449" s="625"/>
      <x:c r="E449" s="627"/>
      <x:c r="F449" s="627"/>
      <x:c r="G449" s="627"/>
      <x:c r="H449" s="627"/>
      <x:c r="I449" s="627"/>
      <x:c r="J449" s="627"/>
      <x:c r="K449" s="627"/>
      <x:c r="L449" s="627"/>
      <x:c r="M449" s="627"/>
      <x:c r="N449" s="627"/>
      <x:c r="O449" s="627"/>
      <x:c r="P449" s="627"/>
      <x:c r="Q449" s="627"/>
      <x:c r="R449" s="627"/>
      <x:c r="Z449" s="624"/>
    </x:row>
    <x:row r="450" spans="1:26" x14ac:dyDescent="0.25">
      <x:c r="B450" s="773" t="s">
        <x:v>119</x:v>
      </x:c>
      <x:c r="C450" s="770" t="s">
        <x:v>132</x:v>
      </x:c>
      <x:c r="D450" s="632" t="s">
        <x:v>70</x:v>
      </x:c>
      <x:c r="E450" s="633">
        <x:f>E395+E409-K395</x:f>
        <x:v>0</x:v>
      </x:c>
      <x:c r="F450" s="633">
        <x:f>F395</x:f>
        <x:v>0</x:v>
      </x:c>
      <x:c r="G450" s="633">
        <x:f t="shared" ref="G450:R450" si="17">G395</x:f>
        <x:v>0</x:v>
      </x:c>
      <x:c r="H450" s="633">
        <x:f t="shared" si="17"/>
        <x:v>0</x:v>
      </x:c>
      <x:c r="I450" s="633">
        <x:f t="shared" si="17"/>
        <x:v>0</x:v>
      </x:c>
      <x:c r="J450" s="633">
        <x:f t="shared" si="17"/>
        <x:v>0</x:v>
      </x:c>
      <x:c r="K450" s="633">
        <x:f t="shared" si="17"/>
        <x:v>0</x:v>
      </x:c>
      <x:c r="L450" s="633">
        <x:f t="shared" si="17"/>
        <x:v>0</x:v>
      </x:c>
      <x:c r="M450" s="633">
        <x:f t="shared" si="17"/>
        <x:v>0</x:v>
      </x:c>
      <x:c r="N450" s="633">
        <x:f t="shared" si="17"/>
        <x:v>0</x:v>
      </x:c>
      <x:c r="O450" s="633">
        <x:f t="shared" si="17"/>
        <x:v>0</x:v>
      </x:c>
      <x:c r="P450" s="633">
        <x:f t="shared" si="17"/>
        <x:v>0</x:v>
      </x:c>
      <x:c r="Q450" s="633">
        <x:f t="shared" si="17"/>
        <x:v>0</x:v>
      </x:c>
      <x:c r="R450" s="633">
        <x:f t="shared" si="17"/>
        <x:v>0</x:v>
      </x:c>
      <x:c r="Z450" s="624"/>
    </x:row>
    <x:row r="451" spans="1:26" x14ac:dyDescent="0.25">
      <x:c r="B451" s="773"/>
      <x:c r="C451" s="770"/>
      <x:c r="D451" s="632" t="s">
        <x:v>73</x:v>
      </x:c>
      <x:c r="E451" s="633">
        <x:f>E409</x:f>
        <x:v>0</x:v>
      </x:c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Z451" s="624"/>
    </x:row>
    <x:row r="452" spans="1:26" x14ac:dyDescent="0.25">
      <x:c r="A452" s="625"/>
      <x:c r="B452" s="50"/>
      <x:c r="E452" s="627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Z452" s="624"/>
    </x:row>
    <x:row r="453" spans="1:26" x14ac:dyDescent="0.25">
      <x:c r="B453" s="772" t="s">
        <x:v>161</x:v>
      </x:c>
      <x:c r="C453" s="770" t="s">
        <x:v>132</x:v>
      </x:c>
      <x:c r="D453" s="661" t="s">
        <x:v>70</x:v>
      </x:c>
      <x:c r="E453" s="662">
        <x:v>0</x:v>
      </x:c>
      <x:c r="F453" s="662">
        <x:v>0</x:v>
      </x:c>
      <x:c r="G453" s="662">
        <x:v>0</x:v>
      </x:c>
      <x:c r="H453" s="662">
        <x:v>0</x:v>
      </x:c>
      <x:c r="I453" s="662">
        <x:v>0</x:v>
      </x:c>
      <x:c r="J453" s="662">
        <x:v>0</x:v>
      </x:c>
      <x:c r="K453" s="662">
        <x:v>0</x:v>
      </x:c>
      <x:c r="L453" s="662">
        <x:v>0</x:v>
      </x:c>
      <x:c r="M453" s="662">
        <x:v>0</x:v>
      </x:c>
      <x:c r="N453" s="662">
        <x:v>0</x:v>
      </x:c>
      <x:c r="O453" s="662">
        <x:v>0</x:v>
      </x:c>
      <x:c r="P453" s="662">
        <x:v>0</x:v>
      </x:c>
      <x:c r="Q453" s="662">
        <x:v>0</x:v>
      </x:c>
      <x:c r="R453" s="662">
        <x:v>0</x:v>
      </x:c>
      <x:c r="Z453" s="624"/>
    </x:row>
    <x:row r="454" spans="1:26" x14ac:dyDescent="0.25">
      <x:c r="B454" s="772"/>
      <x:c r="C454" s="770"/>
      <x:c r="D454" s="661" t="s">
        <x:v>73</x:v>
      </x:c>
      <x:c r="E454" s="662">
        <x:v>0</x:v>
      </x:c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Z454" s="624"/>
    </x:row>
    <x:row r="455" spans="1:26" x14ac:dyDescent="0.25">
      <x:c r="A455" s="624"/>
      <x:c r="B455" s="624"/>
      <x:c r="C455" s="624"/>
      <x:c r="D455" s="624"/>
      <x:c r="E455" s="624"/>
      <x:c r="F455" s="624"/>
      <x:c r="G455" s="624"/>
      <x:c r="H455" s="624"/>
      <x:c r="I455" s="624"/>
      <x:c r="J455" s="624"/>
      <x:c r="K455" s="624"/>
      <x:c r="L455" s="624"/>
      <x:c r="M455" s="624"/>
      <x:c r="N455" s="624"/>
      <x:c r="O455" s="624"/>
      <x:c r="P455" s="624"/>
      <x:c r="Q455" s="624"/>
      <x:c r="R455" s="624"/>
      <x:c r="S455" s="624"/>
      <x:c r="T455" s="624"/>
      <x:c r="U455" s="624"/>
      <x:c r="V455" s="624"/>
      <x:c r="W455" s="624"/>
      <x:c r="X455" s="624"/>
      <x:c r="Y455" s="624"/>
      <x:c r="Z455" s="624"/>
    </x:row>
  </x:sheetData>
  <x:mergeCells count="60">
    <x:mergeCell ref="B55:B56"/>
    <x:mergeCell ref="C55:C56"/>
    <x:mergeCell ref="B154:B155"/>
    <x:mergeCell ref="C154:C155"/>
    <x:mergeCell ref="B58:B59"/>
    <x:mergeCell ref="C58:C59"/>
    <x:mergeCell ref="B139:B140"/>
    <x:mergeCell ref="C139:C140"/>
    <x:mergeCell ref="B142:B143"/>
    <x:mergeCell ref="C142:C143"/>
    <x:mergeCell ref="B145:B146"/>
    <x:mergeCell ref="C145:C146"/>
    <x:mergeCell ref="B151:B152"/>
    <x:mergeCell ref="C151:C152"/>
    <x:mergeCell ref="B148:B149"/>
    <x:mergeCell ref="C148:C149"/>
    <x:mergeCell ref="B43:B44"/>
    <x:mergeCell ref="C43:C44"/>
    <x:mergeCell ref="B46:B47"/>
    <x:mergeCell ref="C46:C47"/>
    <x:mergeCell ref="B52:B53"/>
    <x:mergeCell ref="C52:C53"/>
    <x:mergeCell ref="B49:B50"/>
    <x:mergeCell ref="C49:C50"/>
    <x:mergeCell ref="B256:B257"/>
    <x:mergeCell ref="C256:C257"/>
    <x:mergeCell ref="B259:B260"/>
    <x:mergeCell ref="C259:C260"/>
    <x:mergeCell ref="B262:B263"/>
    <x:mergeCell ref="C262:C263"/>
    <x:mergeCell ref="B268:B269"/>
    <x:mergeCell ref="C268:C269"/>
    <x:mergeCell ref="B265:B266"/>
    <x:mergeCell ref="C265:C266"/>
    <x:mergeCell ref="B271:B272"/>
    <x:mergeCell ref="C271:C272"/>
    <x:mergeCell ref="B358:B359"/>
    <x:mergeCell ref="C358:C359"/>
    <x:mergeCell ref="B361:B362"/>
    <x:mergeCell ref="C361:C362"/>
    <x:mergeCell ref="B364:B365"/>
    <x:mergeCell ref="C364:C365"/>
    <x:mergeCell ref="B370:B371"/>
    <x:mergeCell ref="C370:C371"/>
    <x:mergeCell ref="B373:B374"/>
    <x:mergeCell ref="C373:C374"/>
    <x:mergeCell ref="B367:B368"/>
    <x:mergeCell ref="C367:C368"/>
    <x:mergeCell ref="B438:B439"/>
    <x:mergeCell ref="C438:C439"/>
    <x:mergeCell ref="B441:B442"/>
    <x:mergeCell ref="C441:C442"/>
    <x:mergeCell ref="B444:B445"/>
    <x:mergeCell ref="C444:C445"/>
    <x:mergeCell ref="B450:B451"/>
    <x:mergeCell ref="C450:C451"/>
    <x:mergeCell ref="B453:B454"/>
    <x:mergeCell ref="C453:C454"/>
    <x:mergeCell ref="B447:B448"/>
    <x:mergeCell ref="C447:C448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Z376"/>
  <x:sheetViews>
    <x:sheetView zoomScale="82" zoomScaleNormal="82" workbookViewId="0">
      <x:pane ySplit="2" topLeftCell="A3" activePane="bottomLeft" state="frozen"/>
      <x:selection activeCell="A6" sqref="A6"/>
      <x:selection pane="bottomLeft" activeCell="C20" sqref="C20"/>
    </x:sheetView>
  </x:sheetViews>
  <x:sheetFormatPr baseColWidth="10" defaultColWidth="30" defaultRowHeight="13.8" x14ac:dyDescent="0.25"/>
  <x:cols>
    <x:col min="1" max="1" width="29.88671875" style="681" customWidth="1"/>
    <x:col min="2" max="2" width="20.5546875" style="681" bestFit="1" customWidth="1"/>
    <x:col min="3" max="3" width="25.33203125" style="681" bestFit="1" customWidth="1"/>
    <x:col min="4" max="4" width="16.33203125" style="681" bestFit="1" customWidth="1"/>
    <x:col min="5" max="5" width="18.109375" style="681" bestFit="1" customWidth="1"/>
    <x:col min="6" max="6" width="17.88671875" style="681" bestFit="1" customWidth="1"/>
    <x:col min="7" max="7" width="20.109375" style="681" bestFit="1" customWidth="1"/>
    <x:col min="8" max="8" width="18.44140625" style="681" bestFit="1" customWidth="1"/>
    <x:col min="9" max="9" width="19.44140625" style="681" bestFit="1" customWidth="1"/>
    <x:col min="10" max="10" width="18.33203125" style="681" bestFit="1" customWidth="1"/>
    <x:col min="11" max="13" width="18.109375" style="681" bestFit="1" customWidth="1"/>
    <x:col min="14" max="14" width="23.33203125" style="681" bestFit="1" customWidth="1"/>
    <x:col min="15" max="15" width="15.109375" style="681" bestFit="1" customWidth="1"/>
    <x:col min="16" max="16" width="24.109375" style="681" bestFit="1" customWidth="1"/>
    <x:col min="17" max="17" width="21.6640625" style="681" bestFit="1" customWidth="1"/>
    <x:col min="18" max="18" width="6.33203125" style="681" bestFit="1" customWidth="1"/>
    <x:col min="19" max="24" width="30" style="681"/>
    <x:col min="25" max="25" width="30.109375" style="681" customWidth="1"/>
    <x:col min="26" max="26" width="2.109375" style="681" customWidth="1"/>
    <x:col min="27" max="16384" width="30" style="681"/>
  </x:cols>
  <x:sheetData>
    <x:row r="1" spans="1:26" x14ac:dyDescent="0.25">
      <x:c r="B1" s="707" t="s">
        <x:v>74</x:v>
      </x:c>
      <x:c r="Z1" s="701"/>
    </x:row>
    <x:row r="2" spans="1:26" s="682" customFormat="1" x14ac:dyDescent="0.25">
      <x:c r="D2" s="704" t="s">
        <x:v>70</x:v>
      </x:c>
      <x:c r="E2" s="704" t="s">
        <x:v>64</x:v>
      </x:c>
      <x:c r="F2" s="704" t="s">
        <x:v>65</x:v>
      </x:c>
      <x:c r="G2" s="705" t="s">
        <x:v>164</x:v>
      </x:c>
      <x:c r="H2" s="704" t="s">
        <x:v>69</x:v>
      </x:c>
      <x:c r="I2" s="704" t="s">
        <x:v>68</x:v>
      </x:c>
      <x:c r="J2" s="704" t="s">
        <x:v>66</x:v>
      </x:c>
      <x:c r="K2" s="704" t="s">
        <x:v>63</x:v>
      </x:c>
      <x:c r="L2" s="704" t="s">
        <x:v>61</x:v>
      </x:c>
      <x:c r="M2" s="704" t="s">
        <x:v>62</x:v>
      </x:c>
      <x:c r="N2" s="704" t="s">
        <x:v>67</x:v>
      </x:c>
      <x:c r="O2" s="704" t="s">
        <x:v>77</x:v>
      </x:c>
      <x:c r="P2" s="682" t="s">
        <x:v>71</x:v>
      </x:c>
      <x:c r="Q2" s="704" t="s">
        <x:v>80</x:v>
      </x:c>
      <x:c r="R2" s="682" t="s">
        <x:v>167</x:v>
      </x:c>
      <x:c r="Z2" s="706"/>
    </x:row>
    <x:row r="3" spans="1:26" x14ac:dyDescent="0.25">
      <x:c r="C3" s="681" t="s">
        <x:v>72</x:v>
      </x:c>
      <x:c r="D3" s="683">
        <x:v>0</x:v>
      </x:c>
      <x:c r="E3" s="683">
        <x:v>0</x:v>
      </x:c>
      <x:c r="F3" s="683">
        <x:v>0</x:v>
      </x:c>
      <x:c r="G3" s="683">
        <x:v>0</x:v>
      </x:c>
      <x:c r="H3" s="683">
        <x:v>0</x:v>
      </x:c>
      <x:c r="I3" s="683">
        <x:v>0</x:v>
      </x:c>
      <x:c r="J3" s="683">
        <x:v>0</x:v>
      </x:c>
      <x:c r="K3" s="683">
        <x:v>0</x:v>
      </x:c>
      <x:c r="L3" s="683">
        <x:v>0</x:v>
      </x:c>
      <x:c r="M3" s="683">
        <x:v>0</x:v>
      </x:c>
      <x:c r="N3" s="683">
        <x:v>0</x:v>
      </x:c>
      <x:c r="O3" s="683">
        <x:v>0</x:v>
      </x:c>
      <x:c r="P3" s="683">
        <x:v>0</x:v>
      </x:c>
      <x:c r="Q3" s="683">
        <x:v>0</x:v>
      </x:c>
      <x:c r="R3" s="681">
        <x:v>0</x:v>
      </x:c>
      <x:c r="Z3" s="701"/>
    </x:row>
    <x:row r="4" spans="1:26" x14ac:dyDescent="0.25">
      <x:c r="C4" s="681" t="s">
        <x:v>81</x:v>
      </x:c>
      <x:c r="D4" s="683">
        <x:v>0</x:v>
      </x:c>
      <x:c r="E4" s="683">
        <x:v>0</x:v>
      </x:c>
      <x:c r="F4" s="683">
        <x:v>0</x:v>
      </x:c>
      <x:c r="G4" s="683">
        <x:v>0</x:v>
      </x:c>
      <x:c r="H4" s="683">
        <x:v>0</x:v>
      </x:c>
      <x:c r="I4" s="683">
        <x:v>0</x:v>
      </x:c>
      <x:c r="J4" s="683">
        <x:v>0</x:v>
      </x:c>
      <x:c r="K4" s="683">
        <x:v>0</x:v>
      </x:c>
      <x:c r="L4" s="683">
        <x:v>0</x:v>
      </x:c>
      <x:c r="M4" s="683">
        <x:v>0</x:v>
      </x:c>
      <x:c r="N4" s="683">
        <x:v>0</x:v>
      </x:c>
      <x:c r="O4" s="683">
        <x:v>0</x:v>
      </x:c>
      <x:c r="P4" s="683">
        <x:v>0</x:v>
      </x:c>
      <x:c r="Q4" s="683">
        <x:v>0</x:v>
      </x:c>
      <x:c r="R4" s="681">
        <x:v>0</x:v>
      </x:c>
      <x:c r="Z4" s="701"/>
    </x:row>
    <x:row r="5" spans="1:26" x14ac:dyDescent="0.25">
      <x:c r="A5" s="684"/>
      <x:c r="B5" s="685" t="s">
        <x:v>78</x:v>
      </x:c>
      <x:c r="C5" s="685" t="s">
        <x:v>70</x:v>
      </x:c>
      <x:c r="D5" s="685">
        <x:v>0</x:v>
      </x:c>
      <x:c r="E5" s="685">
        <x:v>0</x:v>
      </x:c>
      <x:c r="F5" s="685">
        <x:v>0</x:v>
      </x:c>
      <x:c r="G5" s="685">
        <x:v>0</x:v>
      </x:c>
      <x:c r="H5" s="685">
        <x:v>0</x:v>
      </x:c>
      <x:c r="I5" s="685">
        <x:v>0</x:v>
      </x:c>
      <x:c r="J5" s="685">
        <x:v>0</x:v>
      </x:c>
      <x:c r="K5" s="685">
        <x:v>0</x:v>
      </x:c>
      <x:c r="L5" s="685">
        <x:v>0</x:v>
      </x:c>
      <x:c r="M5" s="685">
        <x:v>0</x:v>
      </x:c>
      <x:c r="N5" s="685">
        <x:v>0</x:v>
      </x:c>
      <x:c r="O5" s="685">
        <x:v>0</x:v>
      </x:c>
      <x:c r="P5" s="684">
        <x:v>0</x:v>
      </x:c>
      <x:c r="Q5" s="685">
        <x:v>0</x:v>
      </x:c>
      <x:c r="R5" s="685">
        <x:v>0</x:v>
      </x:c>
      <x:c r="S5" s="684"/>
      <x:c r="T5" s="684"/>
      <x:c r="U5" s="684"/>
      <x:c r="V5" s="684"/>
      <x:c r="W5" s="684"/>
      <x:c r="X5" s="684"/>
      <x:c r="Y5" s="684"/>
      <x:c r="Z5" s="701"/>
    </x:row>
    <x:row r="6" spans="1:26" x14ac:dyDescent="0.25">
      <x:c r="C6" s="681" t="s">
        <x:v>73</x:v>
      </x:c>
      <x:c r="D6" s="683">
        <x:v>0</x:v>
      </x:c>
      <x:c r="E6" s="683">
        <x:v>0</x:v>
      </x:c>
      <x:c r="F6" s="683">
        <x:v>0</x:v>
      </x:c>
      <x:c r="G6" s="683">
        <x:v>0</x:v>
      </x:c>
      <x:c r="H6" s="683">
        <x:v>0</x:v>
      </x:c>
      <x:c r="I6" s="683">
        <x:v>0</x:v>
      </x:c>
      <x:c r="J6" s="683">
        <x:v>0</x:v>
      </x:c>
      <x:c r="K6" s="683">
        <x:v>0</x:v>
      </x:c>
      <x:c r="L6" s="683">
        <x:v>0</x:v>
      </x:c>
      <x:c r="M6" s="683">
        <x:v>0</x:v>
      </x:c>
      <x:c r="N6" s="683">
        <x:v>0</x:v>
      </x:c>
      <x:c r="O6" s="683">
        <x:v>0</x:v>
      </x:c>
      <x:c r="P6" s="683">
        <x:v>0</x:v>
      </x:c>
      <x:c r="Q6" s="683">
        <x:v>0</x:v>
      </x:c>
      <x:c r="R6" s="681">
        <x:v>0</x:v>
      </x:c>
      <x:c r="Z6" s="701"/>
    </x:row>
    <x:row r="7" spans="1:26" x14ac:dyDescent="0.25">
      <x:c r="A7" s="686"/>
      <x:c r="B7" s="687" t="s">
        <x:v>79</x:v>
      </x:c>
      <x:c r="C7" s="687" t="s">
        <x:v>70</x:v>
      </x:c>
      <x:c r="D7" s="687">
        <x:v>0</x:v>
      </x:c>
      <x:c r="E7" s="687">
        <x:v>0</x:v>
      </x:c>
      <x:c r="F7" s="687">
        <x:v>0</x:v>
      </x:c>
      <x:c r="G7" s="687">
        <x:v>0</x:v>
      </x:c>
      <x:c r="H7" s="687">
        <x:v>0</x:v>
      </x:c>
      <x:c r="I7" s="687">
        <x:v>0</x:v>
      </x:c>
      <x:c r="J7" s="687">
        <x:v>0</x:v>
      </x:c>
      <x:c r="K7" s="687">
        <x:v>0</x:v>
      </x:c>
      <x:c r="L7" s="687">
        <x:v>0</x:v>
      </x:c>
      <x:c r="M7" s="687">
        <x:v>0</x:v>
      </x:c>
      <x:c r="N7" s="687">
        <x:v>0</x:v>
      </x:c>
      <x:c r="O7" s="687">
        <x:v>0</x:v>
      </x:c>
      <x:c r="P7" s="686">
        <x:v>0</x:v>
      </x:c>
      <x:c r="Q7" s="687">
        <x:v>0</x:v>
      </x:c>
      <x:c r="R7" s="687">
        <x:v>0</x:v>
      </x:c>
      <x:c r="S7" s="686"/>
      <x:c r="T7" s="686"/>
      <x:c r="U7" s="686"/>
      <x:c r="V7" s="686"/>
      <x:c r="W7" s="686"/>
      <x:c r="X7" s="686"/>
      <x:c r="Y7" s="686"/>
      <x:c r="Z7" s="701"/>
    </x:row>
    <x:row r="8" spans="1:26" x14ac:dyDescent="0.25">
      <x:c r="A8" s="688" t="s">
        <x:v>155</x:v>
      </x:c>
      <x:c r="B8" s="688" t="s">
        <x:v>70</x:v>
      </x:c>
      <x:c r="C8" s="688"/>
      <x:c r="D8" s="689" t="n">
        <x:v>-12054255.65</x:v>
      </x:c>
      <x:c r="E8" s="689">
        <x:v>0</x:v>
      </x:c>
      <x:c r="F8" s="689">
        <x:v>0</x:v>
      </x:c>
      <x:c r="G8" s="689">
        <x:v>0</x:v>
      </x:c>
      <x:c r="H8" s="689">
        <x:v>0</x:v>
      </x:c>
      <x:c r="I8" s="689">
        <x:v>0</x:v>
      </x:c>
      <x:c r="J8" s="689">
        <x:v>0</x:v>
      </x:c>
      <x:c r="K8" s="689">
        <x:v>0</x:v>
      </x:c>
      <x:c r="L8" s="689">
        <x:v>0</x:v>
      </x:c>
      <x:c r="M8" s="689">
        <x:v>0</x:v>
      </x:c>
      <x:c r="N8" s="689">
        <x:v>0</x:v>
      </x:c>
      <x:c r="O8" s="689">
        <x:v>0</x:v>
      </x:c>
      <x:c r="P8" s="689" t="n">
        <x:v>0</x:v>
      </x:c>
      <x:c r="Q8" s="689">
        <x:v>0</x:v>
      </x:c>
      <x:c r="R8" s="688">
        <x:v>0</x:v>
      </x:c>
      <x:c r="S8" s="688"/>
      <x:c r="T8" s="688"/>
      <x:c r="U8" s="688"/>
      <x:c r="V8" s="688"/>
      <x:c r="W8" s="688"/>
      <x:c r="X8" s="688"/>
      <x:c r="Y8" s="688"/>
      <x:c r="Z8" s="701"/>
    </x:row>
    <x:row r="9" spans="1:26" x14ac:dyDescent="0.25">
      <x:c r="C9" s="681" t="s">
        <x:v>72</x:v>
      </x:c>
      <x:c r="D9" s="683" t="n">
        <x:v>-12054255.65</x:v>
      </x:c>
      <x:c r="E9" s="683">
        <x:v>0</x:v>
      </x:c>
      <x:c r="F9" s="683">
        <x:v>0</x:v>
      </x:c>
      <x:c r="G9" s="683">
        <x:v>0</x:v>
      </x:c>
      <x:c r="H9" s="683">
        <x:v>0</x:v>
      </x:c>
      <x:c r="I9" s="683">
        <x:v>0</x:v>
      </x:c>
      <x:c r="J9" s="683">
        <x:v>0</x:v>
      </x:c>
      <x:c r="K9" s="683">
        <x:v>0</x:v>
      </x:c>
      <x:c r="L9" s="683">
        <x:v>0</x:v>
      </x:c>
      <x:c r="M9" s="683">
        <x:v>0</x:v>
      </x:c>
      <x:c r="N9" s="683">
        <x:v>0</x:v>
      </x:c>
      <x:c r="O9" s="683">
        <x:v>0</x:v>
      </x:c>
      <x:c r="P9" s="683" t="n">
        <x:v>0</x:v>
      </x:c>
      <x:c r="Q9" s="683">
        <x:v>0</x:v>
      </x:c>
      <x:c r="R9" s="681">
        <x:v>0</x:v>
      </x:c>
      <x:c r="Z9" s="701"/>
    </x:row>
    <x:row r="10" spans="1:26" x14ac:dyDescent="0.25">
      <x:c r="C10" s="681" t="s">
        <x:v>81</x:v>
      </x:c>
      <x:c r="D10" s="683">
        <x:v>0</x:v>
      </x:c>
      <x:c r="E10" s="683">
        <x:v>0</x:v>
      </x:c>
      <x:c r="F10" s="683">
        <x:v>0</x:v>
      </x:c>
      <x:c r="G10" s="683">
        <x:v>0</x:v>
      </x:c>
      <x:c r="H10" s="683">
        <x:v>0</x:v>
      </x:c>
      <x:c r="I10" s="683">
        <x:v>0</x:v>
      </x:c>
      <x:c r="J10" s="683">
        <x:v>0</x:v>
      </x:c>
      <x:c r="K10" s="683">
        <x:v>0</x:v>
      </x:c>
      <x:c r="L10" s="683">
        <x:v>0</x:v>
      </x:c>
      <x:c r="M10" s="683">
        <x:v>0</x:v>
      </x:c>
      <x:c r="N10" s="683">
        <x:v>0</x:v>
      </x:c>
      <x:c r="O10" s="683">
        <x:v>0</x:v>
      </x:c>
      <x:c r="P10" s="683">
        <x:v>0</x:v>
      </x:c>
      <x:c r="Q10" s="683">
        <x:v>0</x:v>
      </x:c>
      <x:c r="R10" s="681">
        <x:v>0</x:v>
      </x:c>
      <x:c r="Z10" s="701"/>
    </x:row>
    <x:row r="11" spans="1:26" x14ac:dyDescent="0.25">
      <x:c r="A11" s="684"/>
      <x:c r="B11" s="685" t="s">
        <x:v>78</x:v>
      </x:c>
      <x:c r="C11" s="685" t="s">
        <x:v>70</x:v>
      </x:c>
      <x:c r="D11" s="685">
        <x:v>0</x:v>
      </x:c>
      <x:c r="E11" s="685">
        <x:v>0</x:v>
      </x:c>
      <x:c r="F11" s="685">
        <x:v>0</x:v>
      </x:c>
      <x:c r="G11" s="685">
        <x:v>0</x:v>
      </x:c>
      <x:c r="H11" s="685">
        <x:v>0</x:v>
      </x:c>
      <x:c r="I11" s="685">
        <x:v>0</x:v>
      </x:c>
      <x:c r="J11" s="685">
        <x:v>0</x:v>
      </x:c>
      <x:c r="K11" s="685">
        <x:v>0</x:v>
      </x:c>
      <x:c r="L11" s="685">
        <x:v>0</x:v>
      </x:c>
      <x:c r="M11" s="685">
        <x:v>0</x:v>
      </x:c>
      <x:c r="N11" s="685">
        <x:v>0</x:v>
      </x:c>
      <x:c r="O11" s="685">
        <x:v>0</x:v>
      </x:c>
      <x:c r="P11" s="684">
        <x:v>0</x:v>
      </x:c>
      <x:c r="Q11" s="685">
        <x:v>0</x:v>
      </x:c>
      <x:c r="R11" s="685">
        <x:v>0</x:v>
      </x:c>
      <x:c r="S11" s="684"/>
      <x:c r="T11" s="684"/>
      <x:c r="U11" s="684"/>
      <x:c r="V11" s="684"/>
      <x:c r="W11" s="684"/>
      <x:c r="X11" s="684"/>
      <x:c r="Y11" s="684"/>
      <x:c r="Z11" s="701"/>
    </x:row>
    <x:row r="12" spans="1:26" x14ac:dyDescent="0.25">
      <x:c r="C12" s="681" t="s">
        <x:v>73</x:v>
      </x:c>
      <x:c r="D12" s="683">
        <x:v>0</x:v>
      </x:c>
      <x:c r="E12" s="683">
        <x:v>0</x:v>
      </x:c>
      <x:c r="F12" s="683">
        <x:v>0</x:v>
      </x:c>
      <x:c r="G12" s="683">
        <x:v>0</x:v>
      </x:c>
      <x:c r="H12" s="683">
        <x:v>0</x:v>
      </x:c>
      <x:c r="I12" s="683">
        <x:v>0</x:v>
      </x:c>
      <x:c r="J12" s="683">
        <x:v>0</x:v>
      </x:c>
      <x:c r="K12" s="683">
        <x:v>0</x:v>
      </x:c>
      <x:c r="L12" s="683">
        <x:v>0</x:v>
      </x:c>
      <x:c r="M12" s="683">
        <x:v>0</x:v>
      </x:c>
      <x:c r="N12" s="683">
        <x:v>0</x:v>
      </x:c>
      <x:c r="O12" s="683">
        <x:v>0</x:v>
      </x:c>
      <x:c r="P12" s="683">
        <x:v>0</x:v>
      </x:c>
      <x:c r="Q12" s="683">
        <x:v>0</x:v>
      </x:c>
      <x:c r="R12" s="681">
        <x:v>0</x:v>
      </x:c>
      <x:c r="Z12" s="701"/>
    </x:row>
    <x:row r="13" spans="1:26" x14ac:dyDescent="0.25">
      <x:c r="A13" s="686"/>
      <x:c r="B13" s="687" t="s">
        <x:v>79</x:v>
      </x:c>
      <x:c r="C13" s="687" t="s">
        <x:v>70</x:v>
      </x:c>
      <x:c r="D13" s="687">
        <x:v>0</x:v>
      </x:c>
      <x:c r="E13" s="687">
        <x:v>0</x:v>
      </x:c>
      <x:c r="F13" s="687">
        <x:v>0</x:v>
      </x:c>
      <x:c r="G13" s="687">
        <x:v>0</x:v>
      </x:c>
      <x:c r="H13" s="687">
        <x:v>0</x:v>
      </x:c>
      <x:c r="I13" s="687">
        <x:v>0</x:v>
      </x:c>
      <x:c r="J13" s="687">
        <x:v>0</x:v>
      </x:c>
      <x:c r="K13" s="687">
        <x:v>0</x:v>
      </x:c>
      <x:c r="L13" s="687">
        <x:v>0</x:v>
      </x:c>
      <x:c r="M13" s="687">
        <x:v>0</x:v>
      </x:c>
      <x:c r="N13" s="687">
        <x:v>0</x:v>
      </x:c>
      <x:c r="O13" s="687">
        <x:v>0</x:v>
      </x:c>
      <x:c r="P13" s="686">
        <x:v>0</x:v>
      </x:c>
      <x:c r="Q13" s="687">
        <x:v>0</x:v>
      </x:c>
      <x:c r="R13" s="687">
        <x:v>0</x:v>
      </x:c>
      <x:c r="S13" s="686"/>
      <x:c r="T13" s="686"/>
      <x:c r="U13" s="686"/>
      <x:c r="V13" s="686"/>
      <x:c r="W13" s="686"/>
      <x:c r="X13" s="686"/>
      <x:c r="Y13" s="686"/>
      <x:c r="Z13" s="701"/>
    </x:row>
    <x:row r="14" spans="1:26" x14ac:dyDescent="0.25">
      <x:c r="A14" s="690" t="s">
        <x:v>119</x:v>
      </x:c>
      <x:c r="B14" s="690" t="s">
        <x:v>70</x:v>
      </x:c>
      <x:c r="C14" s="690"/>
      <x:c r="D14" s="691">
        <x:v>0</x:v>
      </x:c>
      <x:c r="E14" s="691">
        <x:v>0</x:v>
      </x:c>
      <x:c r="F14" s="691">
        <x:v>0</x:v>
      </x:c>
      <x:c r="G14" s="691">
        <x:v>0</x:v>
      </x:c>
      <x:c r="H14" s="691">
        <x:v>0</x:v>
      </x:c>
      <x:c r="I14" s="691">
        <x:v>0</x:v>
      </x:c>
      <x:c r="J14" s="691">
        <x:v>0</x:v>
      </x:c>
      <x:c r="K14" s="691">
        <x:v>0</x:v>
      </x:c>
      <x:c r="L14" s="691">
        <x:v>0</x:v>
      </x:c>
      <x:c r="M14" s="691">
        <x:v>0</x:v>
      </x:c>
      <x:c r="N14" s="691">
        <x:v>0</x:v>
      </x:c>
      <x:c r="O14" s="691">
        <x:v>0</x:v>
      </x:c>
      <x:c r="P14" s="691">
        <x:v>0</x:v>
      </x:c>
      <x:c r="Q14" s="691">
        <x:v>0</x:v>
      </x:c>
      <x:c r="R14" s="690">
        <x:v>0</x:v>
      </x:c>
      <x:c r="S14" s="690"/>
      <x:c r="T14" s="690"/>
      <x:c r="U14" s="690"/>
      <x:c r="V14" s="690"/>
      <x:c r="W14" s="690"/>
      <x:c r="X14" s="690"/>
      <x:c r="Y14" s="690"/>
      <x:c r="Z14" s="701"/>
    </x:row>
    <x:row r="15" spans="1:26" x14ac:dyDescent="0.25">
      <x:c r="A15" s="692" t="s">
        <x:v>70</x:v>
      </x:c>
      <x:c r="B15" s="693"/>
      <x:c r="C15" s="693"/>
      <x:c r="D15" s="692">
        <x:v>0</x:v>
      </x:c>
      <x:c r="E15" s="692">
        <x:v>0</x:v>
      </x:c>
      <x:c r="F15" s="692">
        <x:v>0</x:v>
      </x:c>
      <x:c r="G15" s="692">
        <x:v>0</x:v>
      </x:c>
      <x:c r="H15" s="692">
        <x:v>0</x:v>
      </x:c>
      <x:c r="I15" s="692">
        <x:v>0</x:v>
      </x:c>
      <x:c r="J15" s="692">
        <x:v>0</x:v>
      </x:c>
      <x:c r="K15" s="692">
        <x:v>0</x:v>
      </x:c>
      <x:c r="L15" s="692">
        <x:v>0</x:v>
      </x:c>
      <x:c r="M15" s="692">
        <x:v>0</x:v>
      </x:c>
      <x:c r="N15" s="692">
        <x:v>0</x:v>
      </x:c>
      <x:c r="O15" s="692">
        <x:v>0</x:v>
      </x:c>
      <x:c r="P15" s="693">
        <x:v>0</x:v>
      </x:c>
      <x:c r="Q15" s="692">
        <x:v>0</x:v>
      </x:c>
      <x:c r="R15" s="692">
        <x:v>0</x:v>
      </x:c>
      <x:c r="S15" s="693"/>
      <x:c r="T15" s="693"/>
      <x:c r="U15" s="693"/>
      <x:c r="V15" s="693"/>
      <x:c r="W15" s="693"/>
      <x:c r="X15" s="693"/>
      <x:c r="Y15" s="693"/>
      <x:c r="Z15" s="701"/>
    </x:row>
    <x:row r="16" spans="1:26" x14ac:dyDescent="0.25">
      <x:c r="D16" s="683"/>
      <x:c r="E16" s="683"/>
      <x:c r="F16" s="683"/>
      <x:c r="G16" s="683"/>
      <x:c r="H16" s="683"/>
      <x:c r="I16" s="683"/>
      <x:c r="J16" s="683"/>
      <x:c r="K16" s="683"/>
      <x:c r="L16" s="683"/>
      <x:c r="M16" s="683"/>
      <x:c r="N16" s="683"/>
      <x:c r="O16" s="683"/>
      <x:c r="Z16" s="701"/>
    </x:row>
    <x:row r="17" spans="1:26" x14ac:dyDescent="0.25">
      <x:c r="A17" s="683"/>
      <x:c r="D17" s="683"/>
      <x:c r="E17" s="683"/>
      <x:c r="F17" s="683"/>
      <x:c r="G17" s="683"/>
      <x:c r="H17" s="683"/>
      <x:c r="I17" s="683"/>
      <x:c r="J17" s="683"/>
      <x:c r="K17" s="683"/>
      <x:c r="L17" s="683"/>
      <x:c r="M17" s="683"/>
      <x:c r="N17" s="683"/>
      <x:c r="O17" s="683"/>
      <x:c r="Z17" s="701"/>
    </x:row>
    <x:row r="18" spans="1:26" x14ac:dyDescent="0.25">
      <x:c r="A18" s="683"/>
      <x:c r="D18" s="683"/>
      <x:c r="E18" s="683"/>
      <x:c r="F18" s="683"/>
      <x:c r="G18" s="683"/>
      <x:c r="H18" s="683"/>
      <x:c r="I18" s="683"/>
      <x:c r="J18" s="683"/>
      <x:c r="K18" s="683"/>
      <x:c r="L18" s="683"/>
      <x:c r="M18" s="683"/>
      <x:c r="N18" s="683"/>
      <x:c r="O18" s="683"/>
      <x:c r="Z18" s="701"/>
    </x:row>
    <x:row r="19" spans="1:26" x14ac:dyDescent="0.25">
      <x:c r="A19" s="683"/>
      <x:c r="D19" s="683"/>
      <x:c r="E19" s="683"/>
      <x:c r="F19" s="683"/>
      <x:c r="G19" s="683"/>
      <x:c r="H19" s="683"/>
      <x:c r="I19" s="683"/>
      <x:c r="J19" s="683"/>
      <x:c r="K19" s="683"/>
      <x:c r="L19" s="683"/>
      <x:c r="M19" s="683"/>
      <x:c r="N19" s="683"/>
      <x:c r="O19" s="683"/>
      <x:c r="Z19" s="701"/>
    </x:row>
    <x:row r="20" spans="1:26" x14ac:dyDescent="0.25">
      <x:c r="A20" s="683"/>
      <x:c r="D20" s="683"/>
      <x:c r="E20" s="683"/>
      <x:c r="F20" s="683"/>
      <x:c r="G20" s="683"/>
      <x:c r="H20" s="683"/>
      <x:c r="I20" s="683"/>
      <x:c r="J20" s="683"/>
      <x:c r="K20" s="683"/>
      <x:c r="L20" s="683"/>
      <x:c r="M20" s="683"/>
      <x:c r="N20" s="683"/>
      <x:c r="O20" s="683"/>
      <x:c r="Z20" s="701"/>
    </x:row>
    <x:row r="21" spans="1:26" x14ac:dyDescent="0.25">
      <x:c r="A21" s="683"/>
      <x:c r="D21" s="683"/>
      <x:c r="E21" s="683"/>
      <x:c r="F21" s="683"/>
      <x:c r="G21" s="683"/>
      <x:c r="H21" s="683"/>
      <x:c r="I21" s="683"/>
      <x:c r="J21" s="683"/>
      <x:c r="K21" s="683"/>
      <x:c r="L21" s="683"/>
      <x:c r="M21" s="683"/>
      <x:c r="N21" s="683"/>
      <x:c r="O21" s="683"/>
      <x:c r="Z21" s="701"/>
    </x:row>
    <x:row r="22" spans="1:26" x14ac:dyDescent="0.25">
      <x:c r="A22" s="683"/>
      <x:c r="D22" s="683"/>
      <x:c r="E22" s="683"/>
      <x:c r="F22" s="683"/>
      <x:c r="G22" s="683"/>
      <x:c r="H22" s="683"/>
      <x:c r="I22" s="683"/>
      <x:c r="J22" s="683"/>
      <x:c r="K22" s="683"/>
      <x:c r="L22" s="683"/>
      <x:c r="M22" s="683"/>
      <x:c r="N22" s="683"/>
      <x:c r="O22" s="683"/>
      <x:c r="Z22" s="701"/>
    </x:row>
    <x:row r="23" spans="1:26" x14ac:dyDescent="0.25">
      <x:c r="A23" s="683"/>
      <x:c r="D23" s="683"/>
      <x:c r="E23" s="683"/>
      <x:c r="F23" s="683"/>
      <x:c r="G23" s="683"/>
      <x:c r="H23" s="683"/>
      <x:c r="I23" s="683"/>
      <x:c r="J23" s="683"/>
      <x:c r="K23" s="683"/>
      <x:c r="L23" s="683"/>
      <x:c r="M23" s="683"/>
      <x:c r="N23" s="683"/>
      <x:c r="O23" s="683"/>
      <x:c r="Z23" s="701"/>
    </x:row>
    <x:row r="24" spans="1:26" x14ac:dyDescent="0.25">
      <x:c r="A24" s="683"/>
      <x:c r="D24" s="683"/>
      <x:c r="E24" s="683"/>
      <x:c r="F24" s="683"/>
      <x:c r="G24" s="683"/>
      <x:c r="H24" s="683"/>
      <x:c r="I24" s="683"/>
      <x:c r="J24" s="683"/>
      <x:c r="K24" s="683"/>
      <x:c r="L24" s="683"/>
      <x:c r="M24" s="683"/>
      <x:c r="N24" s="683"/>
      <x:c r="O24" s="683"/>
      <x:c r="Z24" s="701"/>
    </x:row>
    <x:row r="25" spans="1:26" x14ac:dyDescent="0.25">
      <x:c r="A25" s="683"/>
      <x:c r="D25" s="683"/>
      <x:c r="E25" s="683"/>
      <x:c r="F25" s="683"/>
      <x:c r="G25" s="683"/>
      <x:c r="H25" s="683"/>
      <x:c r="I25" s="683"/>
      <x:c r="J25" s="683"/>
      <x:c r="K25" s="683"/>
      <x:c r="L25" s="683"/>
      <x:c r="M25" s="683"/>
      <x:c r="N25" s="683"/>
      <x:c r="O25" s="683"/>
      <x:c r="Z25" s="701"/>
    </x:row>
    <x:row r="26" spans="1:26" x14ac:dyDescent="0.25">
      <x:c r="A26" s="683"/>
      <x:c r="D26" s="683"/>
      <x:c r="E26" s="683"/>
      <x:c r="F26" s="683"/>
      <x:c r="G26" s="683"/>
      <x:c r="H26" s="683"/>
      <x:c r="I26" s="683"/>
      <x:c r="J26" s="683"/>
      <x:c r="K26" s="683"/>
      <x:c r="L26" s="683"/>
      <x:c r="M26" s="683"/>
      <x:c r="N26" s="683"/>
      <x:c r="O26" s="683"/>
      <x:c r="Z26" s="701"/>
    </x:row>
    <x:row r="27" spans="1:26" x14ac:dyDescent="0.25">
      <x:c r="A27" s="683"/>
      <x:c r="D27" s="683"/>
      <x:c r="E27" s="683"/>
      <x:c r="F27" s="683"/>
      <x:c r="G27" s="683"/>
      <x:c r="H27" s="683"/>
      <x:c r="I27" s="683"/>
      <x:c r="J27" s="683"/>
      <x:c r="K27" s="683"/>
      <x:c r="L27" s="683"/>
      <x:c r="M27" s="683"/>
      <x:c r="N27" s="683"/>
      <x:c r="O27" s="683"/>
      <x:c r="Z27" s="701"/>
    </x:row>
    <x:row r="28" spans="1:26" x14ac:dyDescent="0.25">
      <x:c r="A28" s="683"/>
      <x:c r="D28" s="683"/>
      <x:c r="E28" s="683"/>
      <x:c r="F28" s="683"/>
      <x:c r="G28" s="683"/>
      <x:c r="H28" s="683"/>
      <x:c r="I28" s="683"/>
      <x:c r="J28" s="683"/>
      <x:c r="K28" s="683"/>
      <x:c r="L28" s="683"/>
      <x:c r="M28" s="683"/>
      <x:c r="N28" s="683"/>
      <x:c r="O28" s="683"/>
      <x:c r="Z28" s="701"/>
    </x:row>
    <x:row r="29" spans="1:26" x14ac:dyDescent="0.25">
      <x:c r="A29" s="683"/>
      <x:c r="D29" s="683"/>
      <x:c r="E29" s="683"/>
      <x:c r="F29" s="683"/>
      <x:c r="G29" s="683"/>
      <x:c r="H29" s="683"/>
      <x:c r="I29" s="683"/>
      <x:c r="J29" s="683"/>
      <x:c r="K29" s="683"/>
      <x:c r="L29" s="683"/>
      <x:c r="M29" s="683"/>
      <x:c r="N29" s="683"/>
      <x:c r="O29" s="683"/>
      <x:c r="Z29" s="701"/>
    </x:row>
    <x:row r="30" spans="1:26" x14ac:dyDescent="0.25">
      <x:c r="A30" s="683"/>
      <x:c r="D30" s="683"/>
      <x:c r="E30" s="683"/>
      <x:c r="F30" s="683"/>
      <x:c r="G30" s="683"/>
      <x:c r="H30" s="683"/>
      <x:c r="I30" s="683"/>
      <x:c r="J30" s="683"/>
      <x:c r="K30" s="683"/>
      <x:c r="L30" s="683"/>
      <x:c r="M30" s="683"/>
      <x:c r="N30" s="683"/>
      <x:c r="O30" s="683"/>
      <x:c r="Z30" s="701"/>
    </x:row>
    <x:row r="31" spans="1:26" x14ac:dyDescent="0.25">
      <x:c r="A31" s="683"/>
      <x:c r="D31" s="683"/>
      <x:c r="E31" s="683"/>
      <x:c r="F31" s="683"/>
      <x:c r="G31" s="683"/>
      <x:c r="H31" s="683"/>
      <x:c r="I31" s="683"/>
      <x:c r="J31" s="683"/>
      <x:c r="K31" s="683"/>
      <x:c r="L31" s="683"/>
      <x:c r="M31" s="683"/>
      <x:c r="N31" s="683"/>
      <x:c r="O31" s="683"/>
      <x:c r="Z31" s="701"/>
    </x:row>
    <x:row r="32" spans="1:26" x14ac:dyDescent="0.25">
      <x:c r="A32" s="683"/>
      <x:c r="D32" s="683"/>
      <x:c r="E32" s="683"/>
      <x:c r="F32" s="683"/>
      <x:c r="G32" s="683"/>
      <x:c r="H32" s="683"/>
      <x:c r="I32" s="683"/>
      <x:c r="J32" s="683"/>
      <x:c r="K32" s="683"/>
      <x:c r="L32" s="683"/>
      <x:c r="M32" s="683"/>
      <x:c r="N32" s="683"/>
      <x:c r="O32" s="683"/>
      <x:c r="Z32" s="701"/>
    </x:row>
    <x:row r="33" spans="1:26" x14ac:dyDescent="0.25">
      <x:c r="A33" s="683"/>
      <x:c r="D33" s="683"/>
      <x:c r="E33" s="683"/>
      <x:c r="F33" s="683"/>
      <x:c r="G33" s="683"/>
      <x:c r="H33" s="683"/>
      <x:c r="I33" s="683"/>
      <x:c r="J33" s="683"/>
      <x:c r="K33" s="683"/>
      <x:c r="L33" s="683"/>
      <x:c r="M33" s="683"/>
      <x:c r="N33" s="683"/>
      <x:c r="O33" s="683"/>
      <x:c r="Z33" s="701"/>
    </x:row>
    <x:row r="34" spans="1:26" x14ac:dyDescent="0.25">
      <x:c r="A34" s="683"/>
      <x:c r="D34" s="683"/>
      <x:c r="E34" s="683"/>
      <x:c r="F34" s="683"/>
      <x:c r="G34" s="683"/>
      <x:c r="H34" s="683"/>
      <x:c r="I34" s="683"/>
      <x:c r="J34" s="683"/>
      <x:c r="K34" s="683"/>
      <x:c r="L34" s="683"/>
      <x:c r="M34" s="683"/>
      <x:c r="N34" s="683"/>
      <x:c r="O34" s="683"/>
      <x:c r="Z34" s="701"/>
    </x:row>
    <x:row r="35" spans="1:26" x14ac:dyDescent="0.25">
      <x:c r="A35" s="683"/>
      <x:c r="D35" s="683"/>
      <x:c r="E35" s="683"/>
      <x:c r="F35" s="683"/>
      <x:c r="G35" s="683"/>
      <x:c r="H35" s="683"/>
      <x:c r="I35" s="683"/>
      <x:c r="J35" s="683"/>
      <x:c r="K35" s="683"/>
      <x:c r="L35" s="683"/>
      <x:c r="M35" s="683"/>
      <x:c r="N35" s="683"/>
      <x:c r="O35" s="683"/>
      <x:c r="Z35" s="701"/>
    </x:row>
    <x:row r="36" spans="1:26" x14ac:dyDescent="0.25">
      <x:c r="A36" s="683"/>
      <x:c r="D36" s="683"/>
      <x:c r="E36" s="683"/>
      <x:c r="F36" s="683"/>
      <x:c r="G36" s="683"/>
      <x:c r="H36" s="683"/>
      <x:c r="I36" s="683"/>
      <x:c r="J36" s="683"/>
      <x:c r="K36" s="683"/>
      <x:c r="L36" s="683"/>
      <x:c r="M36" s="683"/>
      <x:c r="N36" s="683"/>
      <x:c r="O36" s="683"/>
      <x:c r="Z36" s="701"/>
    </x:row>
    <x:row r="37" spans="1:26" x14ac:dyDescent="0.25">
      <x:c r="A37" s="683"/>
      <x:c r="D37" s="683"/>
      <x:c r="E37" s="683"/>
      <x:c r="F37" s="683"/>
      <x:c r="G37" s="683"/>
      <x:c r="H37" s="683"/>
      <x:c r="I37" s="683"/>
      <x:c r="J37" s="683"/>
      <x:c r="K37" s="683"/>
      <x:c r="L37" s="683"/>
      <x:c r="M37" s="683"/>
      <x:c r="N37" s="683"/>
      <x:c r="O37" s="683"/>
      <x:c r="Z37" s="701"/>
    </x:row>
    <x:row r="38" spans="1:26" x14ac:dyDescent="0.25">
      <x:c r="A38" s="683"/>
      <x:c r="D38" s="683"/>
      <x:c r="E38" s="683"/>
      <x:c r="F38" s="683"/>
      <x:c r="G38" s="683"/>
      <x:c r="H38" s="683"/>
      <x:c r="I38" s="683"/>
      <x:c r="J38" s="683"/>
      <x:c r="K38" s="683"/>
      <x:c r="L38" s="683"/>
      <x:c r="M38" s="683"/>
      <x:c r="N38" s="683"/>
      <x:c r="O38" s="683"/>
      <x:c r="Z38" s="701"/>
    </x:row>
    <x:row r="39" spans="1:26" x14ac:dyDescent="0.25">
      <x:c r="A39" s="683"/>
      <x:c r="D39" s="683"/>
      <x:c r="E39" s="683"/>
      <x:c r="F39" s="683"/>
      <x:c r="G39" s="683"/>
      <x:c r="H39" s="683"/>
      <x:c r="I39" s="683"/>
      <x:c r="J39" s="683"/>
      <x:c r="K39" s="683"/>
      <x:c r="L39" s="683"/>
      <x:c r="M39" s="683"/>
      <x:c r="N39" s="683"/>
      <x:c r="O39" s="683"/>
      <x:c r="Z39" s="701"/>
    </x:row>
    <x:row r="40" spans="1:26" x14ac:dyDescent="0.25">
      <x:c r="A40" s="683"/>
      <x:c r="D40" s="683"/>
      <x:c r="E40" s="683"/>
      <x:c r="F40" s="683"/>
      <x:c r="G40" s="683"/>
      <x:c r="H40" s="683"/>
      <x:c r="I40" s="683"/>
      <x:c r="J40" s="683"/>
      <x:c r="K40" s="683"/>
      <x:c r="L40" s="683"/>
      <x:c r="M40" s="683"/>
      <x:c r="N40" s="683"/>
      <x:c r="O40" s="683"/>
      <x:c r="Z40" s="701"/>
    </x:row>
    <x:row r="41" spans="1:26" x14ac:dyDescent="0.25">
      <x:c r="A41" s="683"/>
      <x:c r="D41" s="683"/>
      <x:c r="E41" s="683"/>
      <x:c r="F41" s="683"/>
      <x:c r="G41" s="683"/>
      <x:c r="H41" s="683"/>
      <x:c r="I41" s="683"/>
      <x:c r="J41" s="683"/>
      <x:c r="K41" s="683"/>
      <x:c r="L41" s="683"/>
      <x:c r="M41" s="683"/>
      <x:c r="N41" s="683"/>
      <x:c r="O41" s="683"/>
      <x:c r="Z41" s="701"/>
    </x:row>
    <x:row r="42" spans="1:26" x14ac:dyDescent="0.25">
      <x:c r="A42" s="683"/>
      <x:c r="D42" s="683"/>
      <x:c r="E42" s="683"/>
      <x:c r="F42" s="683"/>
      <x:c r="G42" s="683"/>
      <x:c r="H42" s="683"/>
      <x:c r="I42" s="683"/>
      <x:c r="J42" s="683"/>
      <x:c r="K42" s="683"/>
      <x:c r="L42" s="683"/>
      <x:c r="M42" s="683"/>
      <x:c r="N42" s="683"/>
      <x:c r="O42" s="683"/>
      <x:c r="Z42" s="701"/>
    </x:row>
    <x:row r="43" spans="1:26" x14ac:dyDescent="0.25">
      <x:c r="A43" s="683"/>
      <x:c r="D43" s="683"/>
      <x:c r="E43" s="683"/>
      <x:c r="F43" s="683"/>
      <x:c r="G43" s="683"/>
      <x:c r="H43" s="683"/>
      <x:c r="I43" s="683"/>
      <x:c r="J43" s="683"/>
      <x:c r="K43" s="683"/>
      <x:c r="L43" s="683"/>
      <x:c r="M43" s="683"/>
      <x:c r="N43" s="683"/>
      <x:c r="O43" s="683"/>
      <x:c r="Z43" s="701"/>
    </x:row>
    <x:row r="44" spans="1:26" x14ac:dyDescent="0.25">
      <x:c r="A44" s="683"/>
      <x:c r="D44" s="683"/>
      <x:c r="E44" s="683"/>
      <x:c r="F44" s="683"/>
      <x:c r="G44" s="683"/>
      <x:c r="H44" s="683"/>
      <x:c r="I44" s="683"/>
      <x:c r="J44" s="683"/>
      <x:c r="K44" s="683"/>
      <x:c r="L44" s="683"/>
      <x:c r="M44" s="683"/>
      <x:c r="N44" s="683"/>
      <x:c r="O44" s="683"/>
      <x:c r="Z44" s="701"/>
    </x:row>
    <x:row r="45" spans="1:26" x14ac:dyDescent="0.25">
      <x:c r="A45" s="683"/>
      <x:c r="D45" s="683"/>
      <x:c r="E45" s="683"/>
      <x:c r="F45" s="683"/>
      <x:c r="G45" s="683"/>
      <x:c r="H45" s="683"/>
      <x:c r="I45" s="683"/>
      <x:c r="J45" s="683"/>
      <x:c r="K45" s="683"/>
      <x:c r="L45" s="683"/>
      <x:c r="M45" s="683"/>
      <x:c r="N45" s="683"/>
      <x:c r="O45" s="683"/>
      <x:c r="Z45" s="701"/>
    </x:row>
    <x:row r="46" spans="1:26" x14ac:dyDescent="0.25">
      <x:c r="A46" s="683"/>
      <x:c r="D46" s="683"/>
      <x:c r="E46" s="683"/>
      <x:c r="F46" s="683"/>
      <x:c r="G46" s="683"/>
      <x:c r="H46" s="683"/>
      <x:c r="I46" s="683"/>
      <x:c r="J46" s="683"/>
      <x:c r="K46" s="683"/>
      <x:c r="L46" s="683"/>
      <x:c r="M46" s="683"/>
      <x:c r="N46" s="683"/>
      <x:c r="O46" s="683"/>
      <x:c r="Z46" s="701"/>
    </x:row>
    <x:row r="47" spans="1:26" x14ac:dyDescent="0.25">
      <x:c r="A47" s="683"/>
      <x:c r="D47" s="683"/>
      <x:c r="E47" s="683"/>
      <x:c r="F47" s="683"/>
      <x:c r="G47" s="683"/>
      <x:c r="H47" s="683"/>
      <x:c r="I47" s="683"/>
      <x:c r="J47" s="683"/>
      <x:c r="K47" s="683"/>
      <x:c r="L47" s="683"/>
      <x:c r="M47" s="683"/>
      <x:c r="N47" s="683"/>
      <x:c r="O47" s="683"/>
      <x:c r="Z47" s="701"/>
    </x:row>
    <x:row r="48" spans="1:26" x14ac:dyDescent="0.25">
      <x:c r="A48" s="683"/>
      <x:c r="D48" s="683"/>
      <x:c r="E48" s="683"/>
      <x:c r="F48" s="683"/>
      <x:c r="G48" s="683"/>
      <x:c r="H48" s="683"/>
      <x:c r="I48" s="683"/>
      <x:c r="J48" s="683"/>
      <x:c r="K48" s="683"/>
      <x:c r="L48" s="683"/>
      <x:c r="M48" s="683"/>
      <x:c r="N48" s="683"/>
      <x:c r="O48" s="683"/>
      <x:c r="Z48" s="701"/>
    </x:row>
    <x:row r="49" spans="1:26" x14ac:dyDescent="0.25">
      <x:c r="A49" s="683"/>
      <x:c r="D49" s="683"/>
      <x:c r="E49" s="683"/>
      <x:c r="F49" s="683"/>
      <x:c r="G49" s="683"/>
      <x:c r="H49" s="683"/>
      <x:c r="I49" s="683"/>
      <x:c r="J49" s="683"/>
      <x:c r="K49" s="683"/>
      <x:c r="L49" s="683"/>
      <x:c r="M49" s="683"/>
      <x:c r="N49" s="683"/>
      <x:c r="O49" s="683"/>
      <x:c r="Z49" s="701"/>
    </x:row>
    <x:row r="50" spans="1:26" x14ac:dyDescent="0.25">
      <x:c r="A50" s="683"/>
      <x:c r="D50" s="683"/>
      <x:c r="E50" s="683"/>
      <x:c r="F50" s="683"/>
      <x:c r="G50" s="683"/>
      <x:c r="H50" s="683"/>
      <x:c r="I50" s="683"/>
      <x:c r="J50" s="683"/>
      <x:c r="K50" s="683"/>
      <x:c r="L50" s="683"/>
      <x:c r="M50" s="683"/>
      <x:c r="N50" s="683"/>
      <x:c r="O50" s="683"/>
      <x:c r="Z50" s="701"/>
    </x:row>
    <x:row r="51" spans="1:26" x14ac:dyDescent="0.25">
      <x:c r="A51" s="683"/>
      <x:c r="D51" s="683"/>
      <x:c r="E51" s="683"/>
      <x:c r="F51" s="683"/>
      <x:c r="G51" s="683"/>
      <x:c r="H51" s="683"/>
      <x:c r="I51" s="683"/>
      <x:c r="J51" s="683"/>
      <x:c r="K51" s="683"/>
      <x:c r="L51" s="683"/>
      <x:c r="M51" s="683"/>
      <x:c r="N51" s="683"/>
      <x:c r="O51" s="683"/>
      <x:c r="Z51" s="701"/>
    </x:row>
    <x:row r="52" spans="1:26" x14ac:dyDescent="0.25">
      <x:c r="A52" s="683"/>
      <x:c r="D52" s="683"/>
      <x:c r="E52" s="683"/>
      <x:c r="F52" s="683"/>
      <x:c r="G52" s="683"/>
      <x:c r="H52" s="683"/>
      <x:c r="I52" s="683"/>
      <x:c r="J52" s="683"/>
      <x:c r="K52" s="683"/>
      <x:c r="L52" s="683"/>
      <x:c r="M52" s="683"/>
      <x:c r="N52" s="683"/>
      <x:c r="O52" s="683"/>
      <x:c r="Z52" s="701"/>
    </x:row>
    <x:row r="53" spans="1:26" x14ac:dyDescent="0.25">
      <x:c r="A53" s="683"/>
      <x:c r="D53" s="683"/>
      <x:c r="E53" s="683"/>
      <x:c r="F53" s="683"/>
      <x:c r="G53" s="683"/>
      <x:c r="H53" s="683"/>
      <x:c r="I53" s="683"/>
      <x:c r="J53" s="683"/>
      <x:c r="K53" s="683"/>
      <x:c r="L53" s="683"/>
      <x:c r="M53" s="683"/>
      <x:c r="N53" s="683"/>
      <x:c r="O53" s="683"/>
      <x:c r="Z53" s="701"/>
    </x:row>
    <x:row r="54" spans="1:26" x14ac:dyDescent="0.25">
      <x:c r="A54" s="683"/>
      <x:c r="D54" s="683"/>
      <x:c r="E54" s="683"/>
      <x:c r="F54" s="683"/>
      <x:c r="G54" s="683"/>
      <x:c r="H54" s="683"/>
      <x:c r="I54" s="683"/>
      <x:c r="J54" s="683"/>
      <x:c r="K54" s="683"/>
      <x:c r="L54" s="683"/>
      <x:c r="M54" s="683"/>
      <x:c r="N54" s="683"/>
      <x:c r="O54" s="683"/>
      <x:c r="Z54" s="701"/>
    </x:row>
    <x:row r="55" spans="1:26" x14ac:dyDescent="0.25">
      <x:c r="A55" s="683"/>
      <x:c r="D55" s="683"/>
      <x:c r="E55" s="683"/>
      <x:c r="F55" s="683"/>
      <x:c r="G55" s="683"/>
      <x:c r="H55" s="683"/>
      <x:c r="I55" s="683"/>
      <x:c r="J55" s="683"/>
      <x:c r="K55" s="683"/>
      <x:c r="L55" s="683"/>
      <x:c r="M55" s="683"/>
      <x:c r="N55" s="683"/>
      <x:c r="O55" s="683"/>
      <x:c r="Z55" s="701"/>
    </x:row>
    <x:row r="56" spans="1:26" x14ac:dyDescent="0.25">
      <x:c r="A56" s="683"/>
      <x:c r="D56" s="683"/>
      <x:c r="E56" s="683"/>
      <x:c r="F56" s="683"/>
      <x:c r="G56" s="683"/>
      <x:c r="H56" s="683"/>
      <x:c r="I56" s="683"/>
      <x:c r="J56" s="683"/>
      <x:c r="K56" s="683"/>
      <x:c r="L56" s="683"/>
      <x:c r="M56" s="683"/>
      <x:c r="N56" s="683"/>
      <x:c r="O56" s="683"/>
      <x:c r="Z56" s="701"/>
    </x:row>
    <x:row r="57" spans="1:26" x14ac:dyDescent="0.25">
      <x:c r="A57" s="683"/>
      <x:c r="D57" s="683"/>
      <x:c r="E57" s="683"/>
      <x:c r="F57" s="683"/>
      <x:c r="G57" s="683"/>
      <x:c r="H57" s="683"/>
      <x:c r="I57" s="683"/>
      <x:c r="J57" s="683"/>
      <x:c r="K57" s="683"/>
      <x:c r="L57" s="683"/>
      <x:c r="M57" s="683"/>
      <x:c r="N57" s="683"/>
      <x:c r="O57" s="683"/>
      <x:c r="Z57" s="701"/>
    </x:row>
    <x:row r="58" spans="1:26" x14ac:dyDescent="0.25">
      <x:c r="A58" s="683"/>
      <x:c r="D58" s="683"/>
      <x:c r="E58" s="683"/>
      <x:c r="F58" s="683"/>
      <x:c r="G58" s="683"/>
      <x:c r="H58" s="683"/>
      <x:c r="I58" s="683"/>
      <x:c r="J58" s="683"/>
      <x:c r="K58" s="683"/>
      <x:c r="L58" s="683"/>
      <x:c r="M58" s="683"/>
      <x:c r="N58" s="683"/>
      <x:c r="O58" s="683"/>
      <x:c r="Z58" s="701"/>
    </x:row>
    <x:row r="59" spans="1:26" x14ac:dyDescent="0.25">
      <x:c r="A59" s="683"/>
      <x:c r="D59" s="683"/>
      <x:c r="E59" s="683"/>
      <x:c r="F59" s="683"/>
      <x:c r="G59" s="683"/>
      <x:c r="H59" s="683"/>
      <x:c r="I59" s="683"/>
      <x:c r="J59" s="683"/>
      <x:c r="K59" s="683"/>
      <x:c r="L59" s="683"/>
      <x:c r="M59" s="683"/>
      <x:c r="N59" s="683"/>
      <x:c r="O59" s="683"/>
      <x:c r="Z59" s="701"/>
    </x:row>
    <x:row r="60" spans="1:26" x14ac:dyDescent="0.25">
      <x:c r="A60" s="683"/>
      <x:c r="D60" s="683"/>
      <x:c r="E60" s="683"/>
      <x:c r="F60" s="683"/>
      <x:c r="G60" s="683"/>
      <x:c r="H60" s="683"/>
      <x:c r="I60" s="683"/>
      <x:c r="J60" s="683"/>
      <x:c r="K60" s="683"/>
      <x:c r="L60" s="683"/>
      <x:c r="M60" s="683"/>
      <x:c r="N60" s="683"/>
      <x:c r="O60" s="683"/>
      <x:c r="Z60" s="701"/>
    </x:row>
    <x:row r="61" spans="1:26" x14ac:dyDescent="0.25">
      <x:c r="A61" s="683"/>
      <x:c r="D61" s="683"/>
      <x:c r="E61" s="683"/>
      <x:c r="F61" s="683"/>
      <x:c r="G61" s="683"/>
      <x:c r="H61" s="683"/>
      <x:c r="I61" s="683"/>
      <x:c r="J61" s="683"/>
      <x:c r="K61" s="683"/>
      <x:c r="L61" s="683"/>
      <x:c r="M61" s="683"/>
      <x:c r="N61" s="683"/>
      <x:c r="O61" s="683"/>
      <x:c r="Z61" s="701"/>
    </x:row>
    <x:row r="62" spans="1:26" x14ac:dyDescent="0.25">
      <x:c r="A62" s="683"/>
      <x:c r="D62" s="683"/>
      <x:c r="E62" s="683"/>
      <x:c r="F62" s="683"/>
      <x:c r="G62" s="683"/>
      <x:c r="H62" s="683"/>
      <x:c r="I62" s="683"/>
      <x:c r="J62" s="683"/>
      <x:c r="K62" s="683"/>
      <x:c r="L62" s="683"/>
      <x:c r="M62" s="683"/>
      <x:c r="N62" s="683"/>
      <x:c r="O62" s="683"/>
      <x:c r="Z62" s="701"/>
    </x:row>
    <x:row r="63" spans="1:26" x14ac:dyDescent="0.25">
      <x:c r="A63" s="683"/>
      <x:c r="D63" s="683"/>
      <x:c r="E63" s="683"/>
      <x:c r="F63" s="683"/>
      <x:c r="G63" s="683"/>
      <x:c r="H63" s="683"/>
      <x:c r="I63" s="683"/>
      <x:c r="J63" s="683"/>
      <x:c r="K63" s="683"/>
      <x:c r="L63" s="683"/>
      <x:c r="M63" s="683"/>
      <x:c r="N63" s="683"/>
      <x:c r="O63" s="683"/>
      <x:c r="Z63" s="701"/>
    </x:row>
    <x:row r="64" spans="1:26" x14ac:dyDescent="0.25">
      <x:c r="A64" s="683"/>
      <x:c r="D64" s="683"/>
      <x:c r="E64" s="683"/>
      <x:c r="F64" s="683"/>
      <x:c r="G64" s="683"/>
      <x:c r="H64" s="683"/>
      <x:c r="I64" s="683"/>
      <x:c r="J64" s="683"/>
      <x:c r="K64" s="683"/>
      <x:c r="L64" s="683"/>
      <x:c r="M64" s="683"/>
      <x:c r="N64" s="683"/>
      <x:c r="O64" s="683"/>
      <x:c r="Z64" s="701"/>
    </x:row>
    <x:row r="65" spans="1:26" x14ac:dyDescent="0.25">
      <x:c r="A65" s="683"/>
      <x:c r="D65" s="683"/>
      <x:c r="E65" s="683"/>
      <x:c r="F65" s="683"/>
      <x:c r="G65" s="683"/>
      <x:c r="H65" s="683"/>
      <x:c r="I65" s="683"/>
      <x:c r="J65" s="683"/>
      <x:c r="K65" s="683"/>
      <x:c r="L65" s="683"/>
      <x:c r="M65" s="683"/>
      <x:c r="N65" s="683"/>
      <x:c r="O65" s="683"/>
      <x:c r="Z65" s="701"/>
    </x:row>
    <x:row r="66" spans="1:26" x14ac:dyDescent="0.25">
      <x:c r="A66" s="683"/>
      <x:c r="D66" s="683"/>
      <x:c r="E66" s="683"/>
      <x:c r="F66" s="683"/>
      <x:c r="G66" s="683"/>
      <x:c r="H66" s="683"/>
      <x:c r="I66" s="683"/>
      <x:c r="J66" s="683"/>
      <x:c r="K66" s="683"/>
      <x:c r="L66" s="683"/>
      <x:c r="M66" s="683"/>
      <x:c r="N66" s="683"/>
      <x:c r="O66" s="683"/>
      <x:c r="Z66" s="701"/>
    </x:row>
    <x:row r="67" spans="1:26" x14ac:dyDescent="0.25">
      <x:c r="A67" s="683"/>
      <x:c r="D67" s="683"/>
      <x:c r="E67" s="683"/>
      <x:c r="F67" s="683"/>
      <x:c r="G67" s="683"/>
      <x:c r="H67" s="683"/>
      <x:c r="I67" s="683"/>
      <x:c r="J67" s="683"/>
      <x:c r="K67" s="683"/>
      <x:c r="L67" s="683"/>
      <x:c r="M67" s="683"/>
      <x:c r="N67" s="683"/>
      <x:c r="O67" s="683"/>
      <x:c r="Z67" s="701"/>
    </x:row>
    <x:row r="68" spans="1:26" x14ac:dyDescent="0.25">
      <x:c r="A68" s="683"/>
      <x:c r="D68" s="683"/>
      <x:c r="E68" s="683"/>
      <x:c r="F68" s="683"/>
      <x:c r="G68" s="683"/>
      <x:c r="H68" s="683"/>
      <x:c r="I68" s="683"/>
      <x:c r="J68" s="683"/>
      <x:c r="K68" s="683"/>
      <x:c r="L68" s="683"/>
      <x:c r="M68" s="683"/>
      <x:c r="N68" s="683"/>
      <x:c r="O68" s="683"/>
      <x:c r="Z68" s="701"/>
    </x:row>
    <x:row r="69" spans="1:26" x14ac:dyDescent="0.25">
      <x:c r="A69" s="683"/>
      <x:c r="D69" s="683"/>
      <x:c r="E69" s="683"/>
      <x:c r="F69" s="683"/>
      <x:c r="G69" s="683"/>
      <x:c r="H69" s="683"/>
      <x:c r="I69" s="683"/>
      <x:c r="J69" s="683"/>
      <x:c r="K69" s="683"/>
      <x:c r="L69" s="683"/>
      <x:c r="M69" s="683"/>
      <x:c r="N69" s="683"/>
      <x:c r="O69" s="683"/>
      <x:c r="Z69" s="701"/>
    </x:row>
    <x:row r="70" spans="1:26" x14ac:dyDescent="0.25">
      <x:c r="A70" s="683"/>
      <x:c r="D70" s="683"/>
      <x:c r="E70" s="683"/>
      <x:c r="F70" s="683"/>
      <x:c r="G70" s="683"/>
      <x:c r="H70" s="683"/>
      <x:c r="I70" s="683"/>
      <x:c r="J70" s="683"/>
      <x:c r="K70" s="683"/>
      <x:c r="L70" s="683"/>
      <x:c r="M70" s="683"/>
      <x:c r="N70" s="683"/>
      <x:c r="O70" s="683"/>
      <x:c r="Z70" s="701"/>
    </x:row>
    <x:row r="71" spans="1:26" x14ac:dyDescent="0.25">
      <x:c r="A71" s="683"/>
      <x:c r="D71" s="683"/>
      <x:c r="E71" s="683"/>
      <x:c r="F71" s="683"/>
      <x:c r="G71" s="683"/>
      <x:c r="H71" s="683"/>
      <x:c r="I71" s="683"/>
      <x:c r="J71" s="683"/>
      <x:c r="K71" s="683"/>
      <x:c r="L71" s="683"/>
      <x:c r="M71" s="683"/>
      <x:c r="N71" s="683"/>
      <x:c r="O71" s="683"/>
      <x:c r="Z71" s="701"/>
    </x:row>
    <x:row r="72" spans="1:26" x14ac:dyDescent="0.25">
      <x:c r="A72" s="683"/>
      <x:c r="D72" s="683"/>
      <x:c r="E72" s="683"/>
      <x:c r="F72" s="683"/>
      <x:c r="G72" s="683"/>
      <x:c r="H72" s="683"/>
      <x:c r="I72" s="683"/>
      <x:c r="J72" s="683"/>
      <x:c r="K72" s="683"/>
      <x:c r="L72" s="683"/>
      <x:c r="M72" s="683"/>
      <x:c r="N72" s="683"/>
      <x:c r="O72" s="683"/>
      <x:c r="Z72" s="701"/>
    </x:row>
    <x:row r="73" spans="1:26" x14ac:dyDescent="0.25">
      <x:c r="A73" s="776" t="s">
        <x:v>2</x:v>
      </x:c>
      <x:c r="B73" s="775" t="s">
        <x:v>132</x:v>
      </x:c>
      <x:c r="C73" s="696" t="s">
        <x:v>70</x:v>
      </x:c>
      <x:c r="D73" s="696">
        <x:f>D15-P15</x:f>
        <x:v>0</x:v>
      </x:c>
      <x:c r="E73" s="696">
        <x:f>E5+E11</x:f>
        <x:v>0</x:v>
      </x:c>
      <x:c r="F73" s="696">
        <x:f t="shared" ref="F73:R73" si="0">F5+F11</x:f>
        <x:v>0</x:v>
      </x:c>
      <x:c r="G73" s="696">
        <x:f t="shared" si="0"/>
        <x:v>0</x:v>
      </x:c>
      <x:c r="H73" s="696">
        <x:f t="shared" si="0"/>
        <x:v>0</x:v>
      </x:c>
      <x:c r="I73" s="696">
        <x:f t="shared" si="0"/>
        <x:v>0</x:v>
      </x:c>
      <x:c r="J73" s="696">
        <x:f t="shared" si="0"/>
        <x:v>0</x:v>
      </x:c>
      <x:c r="K73" s="696">
        <x:f t="shared" si="0"/>
        <x:v>0</x:v>
      </x:c>
      <x:c r="L73" s="696">
        <x:f t="shared" si="0"/>
        <x:v>0</x:v>
      </x:c>
      <x:c r="M73" s="696">
        <x:f t="shared" si="0"/>
        <x:v>0</x:v>
      </x:c>
      <x:c r="N73" s="696">
        <x:f t="shared" si="0"/>
        <x:v>0</x:v>
      </x:c>
      <x:c r="O73" s="696">
        <x:f t="shared" si="0"/>
        <x:v>0</x:v>
      </x:c>
      <x:c r="P73" s="696">
        <x:f t="shared" si="0"/>
        <x:v>0</x:v>
      </x:c>
      <x:c r="Q73" s="696">
        <x:f t="shared" si="0"/>
        <x:v>0</x:v>
      </x:c>
      <x:c r="R73" s="696">
        <x:f t="shared" si="0"/>
        <x:v>0</x:v>
      </x:c>
      <x:c r="Z73" s="701"/>
    </x:row>
    <x:row r="74" spans="1:26" x14ac:dyDescent="0.25">
      <x:c r="A74" s="776"/>
      <x:c r="B74" s="775"/>
      <x:c r="C74" s="696" t="s">
        <x:v>73</x:v>
      </x:c>
      <x:c r="D74" s="696">
        <x:f>D7+D13</x:f>
        <x:v>0</x:v>
      </x:c>
      <x:c r="E74" s="683"/>
      <x:c r="F74" s="683"/>
      <x:c r="G74" s="683"/>
      <x:c r="H74" s="683"/>
      <x:c r="I74" s="683"/>
      <x:c r="J74" s="683"/>
      <x:c r="K74" s="683"/>
      <x:c r="L74" s="683"/>
      <x:c r="M74" s="683"/>
      <x:c r="N74" s="683"/>
      <x:c r="O74" s="683"/>
      <x:c r="P74" s="683"/>
      <x:c r="Q74" s="683"/>
      <x:c r="R74" s="683"/>
      <x:c r="Z74" s="701"/>
    </x:row>
    <x:row r="75" spans="1:26" x14ac:dyDescent="0.25">
      <x:c r="A75" s="682"/>
      <x:c r="D75" s="683"/>
      <x:c r="E75" s="683"/>
      <x:c r="F75" s="683"/>
      <x:c r="G75" s="683"/>
      <x:c r="H75" s="683"/>
      <x:c r="I75" s="683"/>
      <x:c r="J75" s="683"/>
      <x:c r="K75" s="683"/>
      <x:c r="L75" s="683"/>
      <x:c r="M75" s="683"/>
      <x:c r="N75" s="683"/>
      <x:c r="O75" s="683"/>
      <x:c r="P75" s="683"/>
      <x:c r="Q75" s="683"/>
      <x:c r="R75" s="683"/>
      <x:c r="Z75" s="701"/>
    </x:row>
    <x:row r="76" spans="1:26" x14ac:dyDescent="0.25">
      <x:c r="A76" s="776" t="s">
        <x:v>160</x:v>
      </x:c>
      <x:c r="B76" s="775" t="s">
        <x:v>132</x:v>
      </x:c>
      <x:c r="C76" s="697" t="s">
        <x:v>70</x:v>
      </x:c>
      <x:c r="D76" s="697">
        <x:v>0</x:v>
      </x:c>
      <x:c r="E76" s="697">
        <x:v>0</x:v>
      </x:c>
      <x:c r="F76" s="697">
        <x:v>0</x:v>
      </x:c>
      <x:c r="G76" s="697">
        <x:v>0</x:v>
      </x:c>
      <x:c r="H76" s="697">
        <x:v>0</x:v>
      </x:c>
      <x:c r="I76" s="697">
        <x:v>0</x:v>
      </x:c>
      <x:c r="J76" s="697">
        <x:v>0</x:v>
      </x:c>
      <x:c r="K76" s="697">
        <x:v>0</x:v>
      </x:c>
      <x:c r="L76" s="697">
        <x:v>0</x:v>
      </x:c>
      <x:c r="M76" s="697">
        <x:v>0</x:v>
      </x:c>
      <x:c r="N76" s="697">
        <x:v>0</x:v>
      </x:c>
      <x:c r="O76" s="697">
        <x:v>0</x:v>
      </x:c>
      <x:c r="P76" s="697">
        <x:v>0</x:v>
      </x:c>
      <x:c r="Q76" s="697">
        <x:v>0</x:v>
      </x:c>
      <x:c r="R76" s="697">
        <x:v>0</x:v>
      </x:c>
      <x:c r="Z76" s="701"/>
    </x:row>
    <x:row r="77" spans="1:26" x14ac:dyDescent="0.25">
      <x:c r="A77" s="776"/>
      <x:c r="B77" s="775"/>
      <x:c r="C77" s="697" t="s">
        <x:v>73</x:v>
      </x:c>
      <x:c r="D77" s="697">
        <x:v>0</x:v>
      </x:c>
      <x:c r="E77" s="683"/>
      <x:c r="F77" s="683"/>
      <x:c r="G77" s="683"/>
      <x:c r="H77" s="683"/>
      <x:c r="I77" s="683"/>
      <x:c r="J77" s="683"/>
      <x:c r="K77" s="683"/>
      <x:c r="L77" s="683"/>
      <x:c r="M77" s="683"/>
      <x:c r="N77" s="683"/>
      <x:c r="O77" s="683"/>
      <x:c r="P77" s="683"/>
      <x:c r="Q77" s="683"/>
      <x:c r="R77" s="683"/>
      <x:c r="Z77" s="701"/>
    </x:row>
    <x:row r="78" spans="1:26" x14ac:dyDescent="0.25">
      <x:c r="A78" s="682"/>
      <x:c r="D78" s="683"/>
      <x:c r="E78" s="683"/>
      <x:c r="F78" s="683"/>
      <x:c r="G78" s="683"/>
      <x:c r="H78" s="683"/>
      <x:c r="I78" s="683"/>
      <x:c r="J78" s="683"/>
      <x:c r="K78" s="683"/>
      <x:c r="L78" s="683"/>
      <x:c r="M78" s="683"/>
      <x:c r="N78" s="683"/>
      <x:c r="O78" s="683"/>
      <x:c r="P78" s="683"/>
      <x:c r="Q78" s="683"/>
      <x:c r="R78" s="683"/>
      <x:c r="Z78" s="701"/>
    </x:row>
    <x:row r="79" spans="1:26" x14ac:dyDescent="0.25">
      <x:c r="A79" s="776" t="s">
        <x:v>155</x:v>
      </x:c>
      <x:c r="B79" s="775" t="s">
        <x:v>132</x:v>
      </x:c>
      <x:c r="C79" s="698" t="s">
        <x:v>70</x:v>
      </x:c>
      <x:c r="D79" s="698">
        <x:f>D8-P8</x:f>
        <x:v>0</x:v>
      </x:c>
      <x:c r="E79" s="698">
        <x:f>E5</x:f>
        <x:v>0</x:v>
      </x:c>
      <x:c r="F79" s="698">
        <x:f t="shared" ref="F79:R79" si="1">F5</x:f>
        <x:v>0</x:v>
      </x:c>
      <x:c r="G79" s="698">
        <x:f t="shared" si="1"/>
        <x:v>0</x:v>
      </x:c>
      <x:c r="H79" s="698">
        <x:f t="shared" si="1"/>
        <x:v>0</x:v>
      </x:c>
      <x:c r="I79" s="698">
        <x:f t="shared" si="1"/>
        <x:v>0</x:v>
      </x:c>
      <x:c r="J79" s="698">
        <x:f t="shared" si="1"/>
        <x:v>0</x:v>
      </x:c>
      <x:c r="K79" s="698">
        <x:f t="shared" si="1"/>
        <x:v>0</x:v>
      </x:c>
      <x:c r="L79" s="698">
        <x:f t="shared" si="1"/>
        <x:v>0</x:v>
      </x:c>
      <x:c r="M79" s="698">
        <x:f t="shared" si="1"/>
        <x:v>0</x:v>
      </x:c>
      <x:c r="N79" s="698">
        <x:f t="shared" si="1"/>
        <x:v>0</x:v>
      </x:c>
      <x:c r="O79" s="698">
        <x:f t="shared" si="1"/>
        <x:v>0</x:v>
      </x:c>
      <x:c r="P79" s="698">
        <x:f t="shared" si="1"/>
        <x:v>0</x:v>
      </x:c>
      <x:c r="Q79" s="698">
        <x:f t="shared" si="1"/>
        <x:v>0</x:v>
      </x:c>
      <x:c r="R79" s="698">
        <x:f t="shared" si="1"/>
        <x:v>0</x:v>
      </x:c>
      <x:c r="Z79" s="701"/>
    </x:row>
    <x:row r="80" spans="1:26" x14ac:dyDescent="0.25">
      <x:c r="A80" s="776"/>
      <x:c r="B80" s="775"/>
      <x:c r="C80" s="698" t="s">
        <x:v>73</x:v>
      </x:c>
      <x:c r="D80" s="698">
        <x:f>D7</x:f>
        <x:v>0</x:v>
      </x:c>
      <x:c r="E80" s="683"/>
      <x:c r="F80" s="683"/>
      <x:c r="G80" s="683"/>
      <x:c r="H80" s="683"/>
      <x:c r="I80" s="683"/>
      <x:c r="J80" s="683"/>
      <x:c r="K80" s="683"/>
      <x:c r="L80" s="683"/>
      <x:c r="M80" s="683"/>
      <x:c r="N80" s="683"/>
      <x:c r="O80" s="683"/>
      <x:c r="P80" s="683"/>
      <x:c r="Q80" s="683"/>
      <x:c r="R80" s="683"/>
      <x:c r="Z80" s="701"/>
    </x:row>
    <x:row r="81" spans="1:26" x14ac:dyDescent="0.25">
      <x:c r="A81" s="694"/>
      <x:c r="B81" s="695"/>
      <x:c r="C81" s="683"/>
      <x:c r="D81" s="683"/>
      <x:c r="E81" s="683"/>
      <x:c r="F81" s="683"/>
      <x:c r="G81" s="683"/>
      <x:c r="H81" s="683"/>
      <x:c r="I81" s="683"/>
      <x:c r="J81" s="683"/>
      <x:c r="K81" s="683"/>
      <x:c r="L81" s="683"/>
      <x:c r="M81" s="683"/>
      <x:c r="N81" s="683"/>
      <x:c r="O81" s="683"/>
      <x:c r="P81" s="683"/>
      <x:c r="Q81" s="683"/>
      <x:c r="R81" s="683"/>
      <x:c r="Z81" s="701"/>
    </x:row>
    <x:row r="82" spans="1:26" x14ac:dyDescent="0.25">
      <x:c r="A82" s="774" t="s">
        <x:v>326</x:v>
      </x:c>
      <x:c r="B82" s="775" t="s">
        <x:v>132</x:v>
      </x:c>
      <x:c r="C82" s="698" t="s">
        <x:v>70</x:v>
      </x:c>
      <x:c r="D82" s="699">
        <x:v>0</x:v>
      </x:c>
      <x:c r="E82" s="699">
        <x:v>0</x:v>
      </x:c>
      <x:c r="F82" s="699">
        <x:v>0</x:v>
      </x:c>
      <x:c r="G82" s="699">
        <x:v>0</x:v>
      </x:c>
      <x:c r="H82" s="699">
        <x:v>0</x:v>
      </x:c>
      <x:c r="I82" s="699">
        <x:v>0</x:v>
      </x:c>
      <x:c r="J82" s="699">
        <x:v>0</x:v>
      </x:c>
      <x:c r="K82" s="699">
        <x:v>0</x:v>
      </x:c>
      <x:c r="L82" s="699">
        <x:v>0</x:v>
      </x:c>
      <x:c r="M82" s="699">
        <x:v>0</x:v>
      </x:c>
      <x:c r="N82" s="699">
        <x:v>0</x:v>
      </x:c>
      <x:c r="O82" s="699">
        <x:v>0</x:v>
      </x:c>
      <x:c r="P82" s="699">
        <x:v>0</x:v>
      </x:c>
      <x:c r="Q82" s="699">
        <x:v>0</x:v>
      </x:c>
      <x:c r="R82" s="699">
        <x:v>0</x:v>
      </x:c>
      <x:c r="Z82" s="701"/>
    </x:row>
    <x:row r="83" spans="1:26" x14ac:dyDescent="0.25">
      <x:c r="A83" s="774"/>
      <x:c r="B83" s="775"/>
      <x:c r="C83" s="698" t="s">
        <x:v>73</x:v>
      </x:c>
      <x:c r="D83" s="699">
        <x:v>0</x:v>
      </x:c>
      <x:c r="E83" s="683"/>
      <x:c r="F83" s="683"/>
      <x:c r="G83" s="683"/>
      <x:c r="H83" s="683"/>
      <x:c r="I83" s="683"/>
      <x:c r="J83" s="683"/>
      <x:c r="K83" s="683"/>
      <x:c r="L83" s="683"/>
      <x:c r="M83" s="683"/>
      <x:c r="N83" s="683"/>
      <x:c r="O83" s="683"/>
      <x:c r="P83" s="683"/>
      <x:c r="Q83" s="683"/>
      <x:c r="Z83" s="701"/>
    </x:row>
    <x:row r="84" spans="1:26" x14ac:dyDescent="0.25">
      <x:c r="A84" s="682"/>
      <x:c r="D84" s="683"/>
      <x:c r="E84" s="683"/>
      <x:c r="F84" s="683"/>
      <x:c r="G84" s="683"/>
      <x:c r="H84" s="683"/>
      <x:c r="I84" s="683"/>
      <x:c r="J84" s="683"/>
      <x:c r="K84" s="683"/>
      <x:c r="L84" s="683"/>
      <x:c r="M84" s="683"/>
      <x:c r="N84" s="683"/>
      <x:c r="O84" s="683"/>
      <x:c r="P84" s="683"/>
      <x:c r="Q84" s="683"/>
      <x:c r="R84" s="683"/>
      <x:c r="Z84" s="701"/>
    </x:row>
    <x:row r="85" spans="1:26" x14ac:dyDescent="0.25">
      <x:c r="A85" s="776" t="s">
        <x:v>119</x:v>
      </x:c>
      <x:c r="B85" s="775" t="s">
        <x:v>132</x:v>
      </x:c>
      <x:c r="C85" s="691" t="s">
        <x:v>70</x:v>
      </x:c>
      <x:c r="D85" s="691">
        <x:f>D14-P14</x:f>
        <x:v>0</x:v>
      </x:c>
      <x:c r="E85" s="691">
        <x:f>E11</x:f>
        <x:v>0</x:v>
      </x:c>
      <x:c r="F85" s="691">
        <x:f t="shared" ref="F85:R85" si="2">F11</x:f>
        <x:v>0</x:v>
      </x:c>
      <x:c r="G85" s="691">
        <x:f t="shared" si="2"/>
        <x:v>0</x:v>
      </x:c>
      <x:c r="H85" s="691">
        <x:f t="shared" si="2"/>
        <x:v>0</x:v>
      </x:c>
      <x:c r="I85" s="691">
        <x:f t="shared" si="2"/>
        <x:v>0</x:v>
      </x:c>
      <x:c r="J85" s="691">
        <x:f t="shared" si="2"/>
        <x:v>0</x:v>
      </x:c>
      <x:c r="K85" s="691">
        <x:f t="shared" si="2"/>
        <x:v>0</x:v>
      </x:c>
      <x:c r="L85" s="691">
        <x:f t="shared" si="2"/>
        <x:v>0</x:v>
      </x:c>
      <x:c r="M85" s="691">
        <x:f t="shared" si="2"/>
        <x:v>0</x:v>
      </x:c>
      <x:c r="N85" s="691">
        <x:f t="shared" si="2"/>
        <x:v>0</x:v>
      </x:c>
      <x:c r="O85" s="691">
        <x:f t="shared" si="2"/>
        <x:v>0</x:v>
      </x:c>
      <x:c r="P85" s="691">
        <x:f t="shared" si="2"/>
        <x:v>0</x:v>
      </x:c>
      <x:c r="Q85" s="691">
        <x:f t="shared" si="2"/>
        <x:v>0</x:v>
      </x:c>
      <x:c r="R85" s="691">
        <x:f t="shared" si="2"/>
        <x:v>0</x:v>
      </x:c>
      <x:c r="Z85" s="701"/>
    </x:row>
    <x:row r="86" spans="1:26" x14ac:dyDescent="0.25">
      <x:c r="A86" s="776"/>
      <x:c r="B86" s="775"/>
      <x:c r="C86" s="691" t="s">
        <x:v>73</x:v>
      </x:c>
      <x:c r="D86" s="691">
        <x:f>D13</x:f>
        <x:v>0</x:v>
      </x:c>
      <x:c r="E86" s="683"/>
      <x:c r="F86" s="683"/>
      <x:c r="G86" s="683"/>
      <x:c r="H86" s="683"/>
      <x:c r="I86" s="683"/>
      <x:c r="J86" s="683"/>
      <x:c r="K86" s="683"/>
      <x:c r="L86" s="683"/>
      <x:c r="M86" s="683"/>
      <x:c r="N86" s="683"/>
      <x:c r="O86" s="683"/>
      <x:c r="P86" s="683"/>
      <x:c r="Q86" s="683"/>
      <x:c r="R86" s="683"/>
      <x:c r="Z86" s="701"/>
    </x:row>
    <x:row r="87" spans="1:26" x14ac:dyDescent="0.25">
      <x:c r="A87" s="682"/>
      <x:c r="D87" s="683"/>
      <x:c r="E87" s="683"/>
      <x:c r="F87" s="683"/>
      <x:c r="G87" s="683"/>
      <x:c r="H87" s="683"/>
      <x:c r="I87" s="683"/>
      <x:c r="J87" s="683"/>
      <x:c r="K87" s="683"/>
      <x:c r="L87" s="683"/>
      <x:c r="M87" s="683"/>
      <x:c r="N87" s="683"/>
      <x:c r="O87" s="683"/>
      <x:c r="P87" s="683"/>
      <x:c r="Q87" s="683"/>
      <x:c r="R87" s="683"/>
      <x:c r="Z87" s="701"/>
    </x:row>
    <x:row r="88" spans="1:26" x14ac:dyDescent="0.25">
      <x:c r="A88" s="777" t="s">
        <x:v>161</x:v>
      </x:c>
      <x:c r="B88" s="775" t="s">
        <x:v>132</x:v>
      </x:c>
      <x:c r="C88" s="700" t="s">
        <x:v>70</x:v>
      </x:c>
      <x:c r="D88" s="700">
        <x:v>0</x:v>
      </x:c>
      <x:c r="E88" s="700">
        <x:v>0</x:v>
      </x:c>
      <x:c r="F88" s="700">
        <x:v>0</x:v>
      </x:c>
      <x:c r="G88" s="700">
        <x:v>0</x:v>
      </x:c>
      <x:c r="H88" s="700">
        <x:v>0</x:v>
      </x:c>
      <x:c r="I88" s="700">
        <x:v>0</x:v>
      </x:c>
      <x:c r="J88" s="700">
        <x:v>0</x:v>
      </x:c>
      <x:c r="K88" s="700">
        <x:v>0</x:v>
      </x:c>
      <x:c r="L88" s="700">
        <x:v>0</x:v>
      </x:c>
      <x:c r="M88" s="700">
        <x:v>0</x:v>
      </x:c>
      <x:c r="N88" s="700">
        <x:v>0</x:v>
      </x:c>
      <x:c r="O88" s="700">
        <x:v>0</x:v>
      </x:c>
      <x:c r="P88" s="700">
        <x:v>0</x:v>
      </x:c>
      <x:c r="Q88" s="700">
        <x:v>0</x:v>
      </x:c>
      <x:c r="R88" s="700">
        <x:v>0</x:v>
      </x:c>
      <x:c r="Z88" s="701"/>
    </x:row>
    <x:row r="89" spans="1:26" x14ac:dyDescent="0.25">
      <x:c r="A89" s="777"/>
      <x:c r="B89" s="775"/>
      <x:c r="C89" s="700" t="s">
        <x:v>73</x:v>
      </x:c>
      <x:c r="D89" s="700">
        <x:v>0</x:v>
      </x:c>
      <x:c r="E89" s="683"/>
      <x:c r="F89" s="683"/>
      <x:c r="G89" s="683"/>
      <x:c r="H89" s="683"/>
      <x:c r="I89" s="683"/>
      <x:c r="J89" s="683"/>
      <x:c r="K89" s="683"/>
      <x:c r="L89" s="683"/>
      <x:c r="M89" s="683"/>
      <x:c r="N89" s="683"/>
      <x:c r="O89" s="683"/>
      <x:c r="P89" s="683"/>
      <x:c r="Q89" s="683"/>
      <x:c r="Z89" s="701"/>
    </x:row>
    <x:row r="90" spans="1:26" x14ac:dyDescent="0.25">
      <x:c r="A90" s="701"/>
      <x:c r="B90" s="701"/>
      <x:c r="C90" s="701"/>
      <x:c r="D90" s="701"/>
      <x:c r="E90" s="701"/>
      <x:c r="F90" s="701"/>
      <x:c r="G90" s="701"/>
      <x:c r="H90" s="701"/>
      <x:c r="I90" s="701"/>
      <x:c r="J90" s="701"/>
      <x:c r="K90" s="701"/>
      <x:c r="L90" s="701"/>
      <x:c r="M90" s="701"/>
      <x:c r="N90" s="701"/>
      <x:c r="O90" s="701"/>
      <x:c r="P90" s="701"/>
      <x:c r="Q90" s="701"/>
      <x:c r="R90" s="701"/>
      <x:c r="S90" s="701"/>
      <x:c r="T90" s="701"/>
      <x:c r="U90" s="701"/>
      <x:c r="V90" s="701"/>
      <x:c r="W90" s="701"/>
      <x:c r="X90" s="701"/>
      <x:c r="Y90" s="701"/>
      <x:c r="Z90" s="701"/>
    </x:row>
    <x:row r="91" spans="1:26" x14ac:dyDescent="0.25">
      <x:c r="B91" s="707" t="s">
        <x:v>75</x:v>
      </x:c>
      <x:c r="Z91" s="701"/>
    </x:row>
    <x:row r="92" spans="1:26" s="682" customFormat="1" x14ac:dyDescent="0.25">
      <x:c r="D92" s="704" t="n">
        <x:v>-9869411</x:v>
      </x:c>
      <x:c r="E92" s="704" t="s">
        <x:v>64</x:v>
      </x:c>
      <x:c r="F92" s="704" t="s">
        <x:v>65</x:v>
      </x:c>
      <x:c r="G92" s="705" t="s">
        <x:v>164</x:v>
      </x:c>
      <x:c r="H92" s="704" t="s">
        <x:v>69</x:v>
      </x:c>
      <x:c r="I92" s="704" t="s">
        <x:v>68</x:v>
      </x:c>
      <x:c r="J92" s="704" t="s">
        <x:v>66</x:v>
      </x:c>
      <x:c r="K92" s="704" t="s">
        <x:v>63</x:v>
      </x:c>
      <x:c r="L92" s="704" t="s">
        <x:v>61</x:v>
      </x:c>
      <x:c r="M92" s="704" t="s">
        <x:v>62</x:v>
      </x:c>
      <x:c r="N92" s="704" t="s">
        <x:v>67</x:v>
      </x:c>
      <x:c r="O92" s="704" t="s">
        <x:v>77</x:v>
      </x:c>
      <x:c r="P92" s="682" t="n">
        <x:v>0</x:v>
      </x:c>
      <x:c r="Q92" s="704" t="s">
        <x:v>80</x:v>
      </x:c>
      <x:c r="R92" s="682" t="s">
        <x:v>167</x:v>
      </x:c>
      <x:c r="Z92" s="706"/>
    </x:row>
    <x:row r="93" spans="1:26" x14ac:dyDescent="0.25">
      <x:c r="C93" s="681" t="s">
        <x:v>72</x:v>
      </x:c>
      <x:c r="D93" s="683">
        <x:v>0</x:v>
      </x:c>
      <x:c r="E93" s="683">
        <x:v>0</x:v>
      </x:c>
      <x:c r="F93" s="683">
        <x:v>0</x:v>
      </x:c>
      <x:c r="G93" s="683">
        <x:v>0</x:v>
      </x:c>
      <x:c r="H93" s="683">
        <x:v>0</x:v>
      </x:c>
      <x:c r="I93" s="683">
        <x:v>0</x:v>
      </x:c>
      <x:c r="J93" s="683">
        <x:v>0</x:v>
      </x:c>
      <x:c r="K93" s="683">
        <x:v>0</x:v>
      </x:c>
      <x:c r="L93" s="683">
        <x:v>0</x:v>
      </x:c>
      <x:c r="M93" s="683">
        <x:v>0</x:v>
      </x:c>
      <x:c r="N93" s="683">
        <x:v>0</x:v>
      </x:c>
      <x:c r="O93" s="683">
        <x:v>0</x:v>
      </x:c>
      <x:c r="P93" s="681">
        <x:v>0</x:v>
      </x:c>
      <x:c r="Q93" s="683">
        <x:v>0</x:v>
      </x:c>
      <x:c r="R93" s="681">
        <x:v>0</x:v>
      </x:c>
      <x:c r="Z93" s="701"/>
    </x:row>
    <x:row r="94" spans="1:26" x14ac:dyDescent="0.25">
      <x:c r="C94" s="681" t="s">
        <x:v>81</x:v>
      </x:c>
      <x:c r="D94" s="683">
        <x:v>0</x:v>
      </x:c>
      <x:c r="E94" s="683">
        <x:v>0</x:v>
      </x:c>
      <x:c r="F94" s="683">
        <x:v>0</x:v>
      </x:c>
      <x:c r="G94" s="683">
        <x:v>0</x:v>
      </x:c>
      <x:c r="H94" s="683">
        <x:v>0</x:v>
      </x:c>
      <x:c r="I94" s="683">
        <x:v>0</x:v>
      </x:c>
      <x:c r="J94" s="683">
        <x:v>0</x:v>
      </x:c>
      <x:c r="K94" s="683">
        <x:v>0</x:v>
      </x:c>
      <x:c r="L94" s="683">
        <x:v>0</x:v>
      </x:c>
      <x:c r="M94" s="683">
        <x:v>0</x:v>
      </x:c>
      <x:c r="N94" s="683">
        <x:v>0</x:v>
      </x:c>
      <x:c r="O94" s="683">
        <x:v>0</x:v>
      </x:c>
      <x:c r="P94" s="681">
        <x:v>0</x:v>
      </x:c>
      <x:c r="Q94" s="683">
        <x:v>0</x:v>
      </x:c>
      <x:c r="R94" s="681">
        <x:v>0</x:v>
      </x:c>
      <x:c r="Z94" s="701"/>
    </x:row>
    <x:row r="95" spans="1:26" x14ac:dyDescent="0.25">
      <x:c r="A95" s="684"/>
      <x:c r="B95" s="685" t="s">
        <x:v>78</x:v>
      </x:c>
      <x:c r="C95" s="685" t="s">
        <x:v>70</x:v>
      </x:c>
      <x:c r="D95" s="685">
        <x:v>0</x:v>
      </x:c>
      <x:c r="E95" s="685">
        <x:v>0</x:v>
      </x:c>
      <x:c r="F95" s="685">
        <x:v>0</x:v>
      </x:c>
      <x:c r="G95" s="685">
        <x:v>0</x:v>
      </x:c>
      <x:c r="H95" s="685">
        <x:v>0</x:v>
      </x:c>
      <x:c r="I95" s="685">
        <x:v>0</x:v>
      </x:c>
      <x:c r="J95" s="685">
        <x:v>0</x:v>
      </x:c>
      <x:c r="K95" s="685">
        <x:v>0</x:v>
      </x:c>
      <x:c r="L95" s="685">
        <x:v>0</x:v>
      </x:c>
      <x:c r="M95" s="685">
        <x:v>0</x:v>
      </x:c>
      <x:c r="N95" s="685">
        <x:v>0</x:v>
      </x:c>
      <x:c r="O95" s="685">
        <x:v>0</x:v>
      </x:c>
      <x:c r="P95" s="684">
        <x:v>0</x:v>
      </x:c>
      <x:c r="Q95" s="685">
        <x:v>0</x:v>
      </x:c>
      <x:c r="R95" s="685">
        <x:v>0</x:v>
      </x:c>
      <x:c r="S95" s="684"/>
      <x:c r="T95" s="684"/>
      <x:c r="U95" s="684"/>
      <x:c r="V95" s="684"/>
      <x:c r="W95" s="684"/>
      <x:c r="X95" s="684"/>
      <x:c r="Y95" s="684"/>
      <x:c r="Z95" s="701"/>
    </x:row>
    <x:row r="96" spans="1:26" x14ac:dyDescent="0.25">
      <x:c r="C96" s="681" t="s">
        <x:v>73</x:v>
      </x:c>
      <x:c r="D96" s="683">
        <x:v>0</x:v>
      </x:c>
      <x:c r="E96" s="683">
        <x:v>0</x:v>
      </x:c>
      <x:c r="F96" s="683">
        <x:v>0</x:v>
      </x:c>
      <x:c r="G96" s="683">
        <x:v>0</x:v>
      </x:c>
      <x:c r="H96" s="683">
        <x:v>0</x:v>
      </x:c>
      <x:c r="I96" s="683">
        <x:v>0</x:v>
      </x:c>
      <x:c r="J96" s="683">
        <x:v>0</x:v>
      </x:c>
      <x:c r="K96" s="683">
        <x:v>0</x:v>
      </x:c>
      <x:c r="L96" s="683">
        <x:v>0</x:v>
      </x:c>
      <x:c r="M96" s="683">
        <x:v>0</x:v>
      </x:c>
      <x:c r="N96" s="683">
        <x:v>0</x:v>
      </x:c>
      <x:c r="O96" s="683">
        <x:v>0</x:v>
      </x:c>
      <x:c r="P96" s="681">
        <x:v>0</x:v>
      </x:c>
      <x:c r="Q96" s="683">
        <x:v>0</x:v>
      </x:c>
      <x:c r="R96" s="681">
        <x:v>0</x:v>
      </x:c>
      <x:c r="Z96" s="701"/>
    </x:row>
    <x:row r="97" spans="1:26" x14ac:dyDescent="0.25">
      <x:c r="A97" s="686"/>
      <x:c r="B97" s="687" t="s">
        <x:v>79</x:v>
      </x:c>
      <x:c r="C97" s="687" t="s">
        <x:v>70</x:v>
      </x:c>
      <x:c r="D97" s="687" t="n">
        <x:v>-19778.72</x:v>
      </x:c>
      <x:c r="E97" s="687">
        <x:v>0</x:v>
      </x:c>
      <x:c r="F97" s="687">
        <x:v>0</x:v>
      </x:c>
      <x:c r="G97" s="687">
        <x:v>0</x:v>
      </x:c>
      <x:c r="H97" s="687">
        <x:v>0</x:v>
      </x:c>
      <x:c r="I97" s="687">
        <x:v>0</x:v>
      </x:c>
      <x:c r="J97" s="687">
        <x:v>0</x:v>
      </x:c>
      <x:c r="K97" s="687">
        <x:v>0</x:v>
      </x:c>
      <x:c r="L97" s="687">
        <x:v>0</x:v>
      </x:c>
      <x:c r="M97" s="687">
        <x:v>0</x:v>
      </x:c>
      <x:c r="N97" s="687">
        <x:v>0</x:v>
      </x:c>
      <x:c r="O97" s="687">
        <x:v>0</x:v>
      </x:c>
      <x:c r="P97" s="686" t="n">
        <x:v>0</x:v>
      </x:c>
      <x:c r="Q97" s="687">
        <x:v>0</x:v>
      </x:c>
      <x:c r="R97" s="687">
        <x:v>0</x:v>
      </x:c>
      <x:c r="S97" s="686"/>
      <x:c r="T97" s="686"/>
      <x:c r="U97" s="686"/>
      <x:c r="V97" s="686"/>
      <x:c r="W97" s="686"/>
      <x:c r="X97" s="686"/>
      <x:c r="Y97" s="686"/>
      <x:c r="Z97" s="701"/>
    </x:row>
    <x:row r="98" spans="1:26" x14ac:dyDescent="0.25">
      <x:c r="A98" s="688" t="s">
        <x:v>155</x:v>
      </x:c>
      <x:c r="B98" s="688" t="s">
        <x:v>70</x:v>
      </x:c>
      <x:c r="C98" s="688"/>
      <x:c r="D98" s="689" t="n">
        <x:v>-9889189.72</x:v>
      </x:c>
      <x:c r="E98" s="689">
        <x:v>0</x:v>
      </x:c>
      <x:c r="F98" s="689">
        <x:v>0</x:v>
      </x:c>
      <x:c r="G98" s="689">
        <x:v>0</x:v>
      </x:c>
      <x:c r="H98" s="689">
        <x:v>0</x:v>
      </x:c>
      <x:c r="I98" s="689">
        <x:v>0</x:v>
      </x:c>
      <x:c r="J98" s="689">
        <x:v>0</x:v>
      </x:c>
      <x:c r="K98" s="689">
        <x:v>0</x:v>
      </x:c>
      <x:c r="L98" s="689">
        <x:v>0</x:v>
      </x:c>
      <x:c r="M98" s="689">
        <x:v>0</x:v>
      </x:c>
      <x:c r="N98" s="689">
        <x:v>0</x:v>
      </x:c>
      <x:c r="O98" s="689">
        <x:v>0</x:v>
      </x:c>
      <x:c r="P98" s="689" t="n">
        <x:v>0</x:v>
      </x:c>
      <x:c r="Q98" s="689">
        <x:v>0</x:v>
      </x:c>
      <x:c r="R98" s="688">
        <x:v>0</x:v>
      </x:c>
      <x:c r="S98" s="688"/>
      <x:c r="T98" s="688"/>
      <x:c r="U98" s="688"/>
      <x:c r="V98" s="688"/>
      <x:c r="W98" s="688"/>
      <x:c r="X98" s="688"/>
      <x:c r="Y98" s="688"/>
      <x:c r="Z98" s="701"/>
    </x:row>
    <x:row r="99" spans="1:26" x14ac:dyDescent="0.25">
      <x:c r="C99" s="681" t="s">
        <x:v>72</x:v>
      </x:c>
      <x:c r="D99" s="683">
        <x:v>0</x:v>
      </x:c>
      <x:c r="E99" s="683">
        <x:v>0</x:v>
      </x:c>
      <x:c r="F99" s="683">
        <x:v>0</x:v>
      </x:c>
      <x:c r="G99" s="683">
        <x:v>0</x:v>
      </x:c>
      <x:c r="H99" s="683">
        <x:v>0</x:v>
      </x:c>
      <x:c r="I99" s="683">
        <x:v>0</x:v>
      </x:c>
      <x:c r="J99" s="683">
        <x:v>0</x:v>
      </x:c>
      <x:c r="K99" s="683">
        <x:v>0</x:v>
      </x:c>
      <x:c r="L99" s="683">
        <x:v>0</x:v>
      </x:c>
      <x:c r="M99" s="683">
        <x:v>0</x:v>
      </x:c>
      <x:c r="N99" s="683">
        <x:v>0</x:v>
      </x:c>
      <x:c r="O99" s="683">
        <x:v>0</x:v>
      </x:c>
      <x:c r="P99" s="681">
        <x:v>0</x:v>
      </x:c>
      <x:c r="Q99" s="683">
        <x:v>0</x:v>
      </x:c>
      <x:c r="R99" s="681">
        <x:v>0</x:v>
      </x:c>
      <x:c r="Z99" s="701"/>
    </x:row>
    <x:row r="100" spans="1:26" x14ac:dyDescent="0.25">
      <x:c r="C100" s="681" t="s">
        <x:v>81</x:v>
      </x:c>
      <x:c r="D100" s="683">
        <x:v>0</x:v>
      </x:c>
      <x:c r="E100" s="683">
        <x:v>0</x:v>
      </x:c>
      <x:c r="F100" s="683">
        <x:v>0</x:v>
      </x:c>
      <x:c r="G100" s="683">
        <x:v>0</x:v>
      </x:c>
      <x:c r="H100" s="683">
        <x:v>0</x:v>
      </x:c>
      <x:c r="I100" s="683">
        <x:v>0</x:v>
      </x:c>
      <x:c r="J100" s="683">
        <x:v>0</x:v>
      </x:c>
      <x:c r="K100" s="683">
        <x:v>0</x:v>
      </x:c>
      <x:c r="L100" s="683">
        <x:v>0</x:v>
      </x:c>
      <x:c r="M100" s="683">
        <x:v>0</x:v>
      </x:c>
      <x:c r="N100" s="683">
        <x:v>0</x:v>
      </x:c>
      <x:c r="O100" s="683">
        <x:v>0</x:v>
      </x:c>
      <x:c r="P100" s="681">
        <x:v>0</x:v>
      </x:c>
      <x:c r="Q100" s="683">
        <x:v>0</x:v>
      </x:c>
      <x:c r="R100" s="681">
        <x:v>0</x:v>
      </x:c>
      <x:c r="Z100" s="701"/>
    </x:row>
    <x:row r="101" spans="1:26" x14ac:dyDescent="0.25">
      <x:c r="A101" s="684"/>
      <x:c r="B101" s="685" t="s">
        <x:v>78</x:v>
      </x:c>
      <x:c r="C101" s="685" t="s">
        <x:v>70</x:v>
      </x:c>
      <x:c r="D101" s="685">
        <x:v>0</x:v>
      </x:c>
      <x:c r="E101" s="685">
        <x:v>0</x:v>
      </x:c>
      <x:c r="F101" s="685">
        <x:v>0</x:v>
      </x:c>
      <x:c r="G101" s="685">
        <x:v>0</x:v>
      </x:c>
      <x:c r="H101" s="685">
        <x:v>0</x:v>
      </x:c>
      <x:c r="I101" s="685">
        <x:v>0</x:v>
      </x:c>
      <x:c r="J101" s="685">
        <x:v>0</x:v>
      </x:c>
      <x:c r="K101" s="685">
        <x:v>0</x:v>
      </x:c>
      <x:c r="L101" s="685">
        <x:v>0</x:v>
      </x:c>
      <x:c r="M101" s="685">
        <x:v>0</x:v>
      </x:c>
      <x:c r="N101" s="685">
        <x:v>0</x:v>
      </x:c>
      <x:c r="O101" s="685">
        <x:v>0</x:v>
      </x:c>
      <x:c r="P101" s="684">
        <x:v>0</x:v>
      </x:c>
      <x:c r="Q101" s="685">
        <x:v>0</x:v>
      </x:c>
      <x:c r="R101" s="685">
        <x:v>0</x:v>
      </x:c>
      <x:c r="S101" s="684"/>
      <x:c r="T101" s="684"/>
      <x:c r="U101" s="684"/>
      <x:c r="V101" s="684"/>
      <x:c r="W101" s="684"/>
      <x:c r="X101" s="684"/>
      <x:c r="Y101" s="684"/>
      <x:c r="Z101" s="701"/>
    </x:row>
    <x:row r="102" spans="1:26" x14ac:dyDescent="0.25">
      <x:c r="C102" s="681" t="s">
        <x:v>73</x:v>
      </x:c>
      <x:c r="D102" s="683">
        <x:v>0</x:v>
      </x:c>
      <x:c r="E102" s="683">
        <x:v>0</x:v>
      </x:c>
      <x:c r="F102" s="683">
        <x:v>0</x:v>
      </x:c>
      <x:c r="G102" s="683">
        <x:v>0</x:v>
      </x:c>
      <x:c r="H102" s="683">
        <x:v>0</x:v>
      </x:c>
      <x:c r="I102" s="683">
        <x:v>0</x:v>
      </x:c>
      <x:c r="J102" s="683">
        <x:v>0</x:v>
      </x:c>
      <x:c r="K102" s="683">
        <x:v>0</x:v>
      </x:c>
      <x:c r="L102" s="683">
        <x:v>0</x:v>
      </x:c>
      <x:c r="M102" s="683">
        <x:v>0</x:v>
      </x:c>
      <x:c r="N102" s="683">
        <x:v>0</x:v>
      </x:c>
      <x:c r="O102" s="683">
        <x:v>0</x:v>
      </x:c>
      <x:c r="P102" s="681">
        <x:v>0</x:v>
      </x:c>
      <x:c r="Q102" s="683">
        <x:v>0</x:v>
      </x:c>
      <x:c r="R102" s="681">
        <x:v>0</x:v>
      </x:c>
      <x:c r="Z102" s="701"/>
    </x:row>
    <x:row r="103" spans="1:26" x14ac:dyDescent="0.25">
      <x:c r="A103" s="686"/>
      <x:c r="B103" s="687" t="s">
        <x:v>79</x:v>
      </x:c>
      <x:c r="C103" s="687" t="s">
        <x:v>70</x:v>
      </x:c>
      <x:c r="D103" s="687">
        <x:v>0</x:v>
      </x:c>
      <x:c r="E103" s="687">
        <x:v>0</x:v>
      </x:c>
      <x:c r="F103" s="687">
        <x:v>0</x:v>
      </x:c>
      <x:c r="G103" s="687">
        <x:v>0</x:v>
      </x:c>
      <x:c r="H103" s="687">
        <x:v>0</x:v>
      </x:c>
      <x:c r="I103" s="687">
        <x:v>0</x:v>
      </x:c>
      <x:c r="J103" s="687">
        <x:v>0</x:v>
      </x:c>
      <x:c r="K103" s="687">
        <x:v>0</x:v>
      </x:c>
      <x:c r="L103" s="687">
        <x:v>0</x:v>
      </x:c>
      <x:c r="M103" s="687">
        <x:v>0</x:v>
      </x:c>
      <x:c r="N103" s="687">
        <x:v>0</x:v>
      </x:c>
      <x:c r="O103" s="687">
        <x:v>0</x:v>
      </x:c>
      <x:c r="P103" s="686">
        <x:v>0</x:v>
      </x:c>
      <x:c r="Q103" s="687">
        <x:v>0</x:v>
      </x:c>
      <x:c r="R103" s="687">
        <x:v>0</x:v>
      </x:c>
      <x:c r="S103" s="686"/>
      <x:c r="T103" s="686"/>
      <x:c r="U103" s="686"/>
      <x:c r="V103" s="686"/>
      <x:c r="W103" s="686"/>
      <x:c r="X103" s="686"/>
      <x:c r="Y103" s="686"/>
      <x:c r="Z103" s="701"/>
    </x:row>
    <x:row r="104" spans="1:26" x14ac:dyDescent="0.25">
      <x:c r="A104" s="690" t="s">
        <x:v>119</x:v>
      </x:c>
      <x:c r="B104" s="690" t="s">
        <x:v>70</x:v>
      </x:c>
      <x:c r="C104" s="690"/>
      <x:c r="D104" s="691">
        <x:v>0</x:v>
      </x:c>
      <x:c r="E104" s="691">
        <x:v>0</x:v>
      </x:c>
      <x:c r="F104" s="691">
        <x:v>0</x:v>
      </x:c>
      <x:c r="G104" s="691">
        <x:v>0</x:v>
      </x:c>
      <x:c r="H104" s="691">
        <x:v>0</x:v>
      </x:c>
      <x:c r="I104" s="691">
        <x:v>0</x:v>
      </x:c>
      <x:c r="J104" s="691">
        <x:v>0</x:v>
      </x:c>
      <x:c r="K104" s="691">
        <x:v>0</x:v>
      </x:c>
      <x:c r="L104" s="691">
        <x:v>0</x:v>
      </x:c>
      <x:c r="M104" s="691">
        <x:v>0</x:v>
      </x:c>
      <x:c r="N104" s="691">
        <x:v>0</x:v>
      </x:c>
      <x:c r="O104" s="691">
        <x:v>0</x:v>
      </x:c>
      <x:c r="P104" s="691">
        <x:v>0</x:v>
      </x:c>
      <x:c r="Q104" s="691">
        <x:v>0</x:v>
      </x:c>
      <x:c r="R104" s="690">
        <x:v>0</x:v>
      </x:c>
      <x:c r="S104" s="690"/>
      <x:c r="T104" s="690"/>
      <x:c r="U104" s="690"/>
      <x:c r="V104" s="690"/>
      <x:c r="W104" s="690"/>
      <x:c r="X104" s="690"/>
      <x:c r="Y104" s="690"/>
      <x:c r="Z104" s="701"/>
    </x:row>
    <x:row r="105" spans="1:26" x14ac:dyDescent="0.25">
      <x:c r="A105" s="692" t="s">
        <x:v>70</x:v>
      </x:c>
      <x:c r="B105" s="693"/>
      <x:c r="C105" s="693"/>
      <x:c r="D105" s="692">
        <x:v>0</x:v>
      </x:c>
      <x:c r="E105" s="692">
        <x:v>0</x:v>
      </x:c>
      <x:c r="F105" s="692">
        <x:v>0</x:v>
      </x:c>
      <x:c r="G105" s="692">
        <x:v>0</x:v>
      </x:c>
      <x:c r="H105" s="692">
        <x:v>0</x:v>
      </x:c>
      <x:c r="I105" s="692">
        <x:v>0</x:v>
      </x:c>
      <x:c r="J105" s="692">
        <x:v>0</x:v>
      </x:c>
      <x:c r="K105" s="692">
        <x:v>0</x:v>
      </x:c>
      <x:c r="L105" s="692">
        <x:v>0</x:v>
      </x:c>
      <x:c r="M105" s="692">
        <x:v>0</x:v>
      </x:c>
      <x:c r="N105" s="692">
        <x:v>0</x:v>
      </x:c>
      <x:c r="O105" s="692">
        <x:v>0</x:v>
      </x:c>
      <x:c r="P105" s="693">
        <x:v>0</x:v>
      </x:c>
      <x:c r="Q105" s="692">
        <x:v>0</x:v>
      </x:c>
      <x:c r="R105" s="692">
        <x:v>0</x:v>
      </x:c>
      <x:c r="S105" s="693"/>
      <x:c r="T105" s="693"/>
      <x:c r="U105" s="693"/>
      <x:c r="V105" s="693"/>
      <x:c r="W105" s="693"/>
      <x:c r="X105" s="693"/>
      <x:c r="Y105" s="693"/>
      <x:c r="Z105" s="701"/>
    </x:row>
    <x:row r="106" spans="1:26" x14ac:dyDescent="0.25">
      <x:c r="A106" s="683"/>
      <x:c r="D106" s="683"/>
      <x:c r="E106" s="683"/>
      <x:c r="F106" s="683"/>
      <x:c r="G106" s="683"/>
      <x:c r="H106" s="683"/>
      <x:c r="I106" s="683"/>
      <x:c r="J106" s="683"/>
      <x:c r="K106" s="683"/>
      <x:c r="L106" s="683"/>
      <x:c r="M106" s="683"/>
      <x:c r="N106" s="683"/>
      <x:c r="O106" s="683"/>
      <x:c r="P106" s="683"/>
      <x:c r="Z106" s="701"/>
    </x:row>
    <x:row r="107" spans="1:26" x14ac:dyDescent="0.25">
      <x:c r="A107" s="683"/>
      <x:c r="D107" s="683"/>
      <x:c r="E107" s="683"/>
      <x:c r="F107" s="683"/>
      <x:c r="G107" s="683"/>
      <x:c r="H107" s="683"/>
      <x:c r="I107" s="683"/>
      <x:c r="J107" s="683"/>
      <x:c r="K107" s="683"/>
      <x:c r="L107" s="683"/>
      <x:c r="M107" s="683"/>
      <x:c r="N107" s="683"/>
      <x:c r="O107" s="683"/>
      <x:c r="P107" s="683"/>
      <x:c r="Z107" s="701"/>
    </x:row>
    <x:row r="108" spans="1:26" x14ac:dyDescent="0.25">
      <x:c r="A108" s="683"/>
      <x:c r="D108" s="683"/>
      <x:c r="E108" s="683"/>
      <x:c r="F108" s="683"/>
      <x:c r="G108" s="683"/>
      <x:c r="H108" s="683"/>
      <x:c r="I108" s="683"/>
      <x:c r="J108" s="683"/>
      <x:c r="K108" s="683"/>
      <x:c r="L108" s="683"/>
      <x:c r="M108" s="683"/>
      <x:c r="N108" s="683"/>
      <x:c r="O108" s="683"/>
      <x:c r="P108" s="683"/>
      <x:c r="Z108" s="701"/>
    </x:row>
    <x:row r="109" spans="1:26" x14ac:dyDescent="0.25">
      <x:c r="A109" s="683"/>
      <x:c r="D109" s="683"/>
      <x:c r="E109" s="683"/>
      <x:c r="F109" s="683"/>
      <x:c r="G109" s="683"/>
      <x:c r="H109" s="683"/>
      <x:c r="I109" s="683"/>
      <x:c r="J109" s="683"/>
      <x:c r="K109" s="683"/>
      <x:c r="L109" s="683"/>
      <x:c r="M109" s="683"/>
      <x:c r="N109" s="683"/>
      <x:c r="O109" s="683"/>
      <x:c r="P109" s="683"/>
      <x:c r="Z109" s="701"/>
    </x:row>
    <x:row r="110" spans="1:26" x14ac:dyDescent="0.25">
      <x:c r="A110" s="683"/>
      <x:c r="D110" s="683"/>
      <x:c r="E110" s="683"/>
      <x:c r="F110" s="683"/>
      <x:c r="G110" s="683"/>
      <x:c r="H110" s="683"/>
      <x:c r="I110" s="683"/>
      <x:c r="J110" s="683"/>
      <x:c r="K110" s="683"/>
      <x:c r="L110" s="683"/>
      <x:c r="M110" s="683"/>
      <x:c r="N110" s="683"/>
      <x:c r="O110" s="683"/>
      <x:c r="P110" s="683"/>
      <x:c r="Z110" s="701"/>
    </x:row>
    <x:row r="111" spans="1:26" x14ac:dyDescent="0.25">
      <x:c r="A111" s="683"/>
      <x:c r="D111" s="683"/>
      <x:c r="E111" s="683"/>
      <x:c r="F111" s="683"/>
      <x:c r="G111" s="683"/>
      <x:c r="H111" s="683"/>
      <x:c r="I111" s="683"/>
      <x:c r="J111" s="683"/>
      <x:c r="K111" s="683"/>
      <x:c r="L111" s="683"/>
      <x:c r="M111" s="683"/>
      <x:c r="N111" s="683"/>
      <x:c r="O111" s="683"/>
      <x:c r="P111" s="683"/>
      <x:c r="Z111" s="701"/>
    </x:row>
    <x:row r="112" spans="1:26" x14ac:dyDescent="0.25">
      <x:c r="A112" s="683"/>
      <x:c r="D112" s="683"/>
      <x:c r="E112" s="683"/>
      <x:c r="F112" s="683"/>
      <x:c r="G112" s="683"/>
      <x:c r="H112" s="683"/>
      <x:c r="I112" s="683"/>
      <x:c r="J112" s="683"/>
      <x:c r="K112" s="683"/>
      <x:c r="L112" s="683"/>
      <x:c r="M112" s="683"/>
      <x:c r="N112" s="683"/>
      <x:c r="O112" s="683"/>
      <x:c r="P112" s="683"/>
      <x:c r="Z112" s="701"/>
    </x:row>
    <x:row r="113" spans="1:26" x14ac:dyDescent="0.25">
      <x:c r="A113" s="683"/>
      <x:c r="D113" s="683"/>
      <x:c r="E113" s="683"/>
      <x:c r="F113" s="683"/>
      <x:c r="G113" s="683"/>
      <x:c r="H113" s="683"/>
      <x:c r="I113" s="683"/>
      <x:c r="J113" s="683"/>
      <x:c r="K113" s="683"/>
      <x:c r="L113" s="683"/>
      <x:c r="M113" s="683"/>
      <x:c r="N113" s="683"/>
      <x:c r="O113" s="683"/>
      <x:c r="P113" s="683"/>
      <x:c r="Z113" s="701"/>
    </x:row>
    <x:row r="114" spans="1:26" x14ac:dyDescent="0.25">
      <x:c r="A114" s="683"/>
      <x:c r="D114" s="683"/>
      <x:c r="E114" s="683"/>
      <x:c r="F114" s="683"/>
      <x:c r="G114" s="683"/>
      <x:c r="H114" s="683"/>
      <x:c r="I114" s="683"/>
      <x:c r="J114" s="683"/>
      <x:c r="K114" s="683"/>
      <x:c r="L114" s="683"/>
      <x:c r="M114" s="683"/>
      <x:c r="N114" s="683"/>
      <x:c r="O114" s="683"/>
      <x:c r="P114" s="683"/>
      <x:c r="Z114" s="701"/>
    </x:row>
    <x:row r="115" spans="1:26" x14ac:dyDescent="0.25">
      <x:c r="A115" s="683"/>
      <x:c r="D115" s="683"/>
      <x:c r="E115" s="683"/>
      <x:c r="F115" s="683"/>
      <x:c r="G115" s="683"/>
      <x:c r="H115" s="683"/>
      <x:c r="I115" s="683"/>
      <x:c r="J115" s="683"/>
      <x:c r="K115" s="683"/>
      <x:c r="L115" s="683"/>
      <x:c r="M115" s="683"/>
      <x:c r="N115" s="683"/>
      <x:c r="O115" s="683"/>
      <x:c r="P115" s="683"/>
      <x:c r="Z115" s="701"/>
    </x:row>
    <x:row r="116" spans="1:26" x14ac:dyDescent="0.25">
      <x:c r="A116" s="683"/>
      <x:c r="D116" s="683"/>
      <x:c r="E116" s="683"/>
      <x:c r="F116" s="683"/>
      <x:c r="G116" s="683"/>
      <x:c r="H116" s="683"/>
      <x:c r="I116" s="683"/>
      <x:c r="J116" s="683"/>
      <x:c r="K116" s="683"/>
      <x:c r="L116" s="683"/>
      <x:c r="M116" s="683"/>
      <x:c r="N116" s="683"/>
      <x:c r="O116" s="683"/>
      <x:c r="P116" s="683"/>
      <x:c r="Z116" s="701"/>
    </x:row>
    <x:row r="117" spans="1:26" x14ac:dyDescent="0.25">
      <x:c r="A117" s="683"/>
      <x:c r="D117" s="683"/>
      <x:c r="E117" s="683"/>
      <x:c r="F117" s="683"/>
      <x:c r="G117" s="683"/>
      <x:c r="H117" s="683"/>
      <x:c r="I117" s="683"/>
      <x:c r="J117" s="683"/>
      <x:c r="K117" s="683"/>
      <x:c r="L117" s="683"/>
      <x:c r="M117" s="683"/>
      <x:c r="N117" s="683"/>
      <x:c r="O117" s="683"/>
      <x:c r="P117" s="683"/>
      <x:c r="Z117" s="701"/>
    </x:row>
    <x:row r="118" spans="1:26" x14ac:dyDescent="0.25">
      <x:c r="A118" s="683"/>
      <x:c r="D118" s="683"/>
      <x:c r="E118" s="683"/>
      <x:c r="F118" s="683"/>
      <x:c r="G118" s="683"/>
      <x:c r="H118" s="683"/>
      <x:c r="I118" s="683"/>
      <x:c r="J118" s="683"/>
      <x:c r="K118" s="683"/>
      <x:c r="L118" s="683"/>
      <x:c r="M118" s="683"/>
      <x:c r="N118" s="683"/>
      <x:c r="O118" s="683"/>
      <x:c r="P118" s="683"/>
      <x:c r="Z118" s="701"/>
    </x:row>
    <x:row r="119" spans="1:26" x14ac:dyDescent="0.25">
      <x:c r="A119" s="683"/>
      <x:c r="D119" s="683"/>
      <x:c r="E119" s="683"/>
      <x:c r="F119" s="683"/>
      <x:c r="G119" s="683"/>
      <x:c r="H119" s="683"/>
      <x:c r="I119" s="683"/>
      <x:c r="J119" s="683"/>
      <x:c r="K119" s="683"/>
      <x:c r="L119" s="683"/>
      <x:c r="M119" s="683"/>
      <x:c r="N119" s="683"/>
      <x:c r="O119" s="683"/>
      <x:c r="P119" s="683"/>
      <x:c r="Z119" s="701"/>
    </x:row>
    <x:row r="120" spans="1:26" x14ac:dyDescent="0.25">
      <x:c r="A120" s="683"/>
      <x:c r="D120" s="683"/>
      <x:c r="E120" s="683"/>
      <x:c r="F120" s="683"/>
      <x:c r="G120" s="683"/>
      <x:c r="H120" s="683"/>
      <x:c r="I120" s="683"/>
      <x:c r="J120" s="683"/>
      <x:c r="K120" s="683"/>
      <x:c r="L120" s="683"/>
      <x:c r="M120" s="683"/>
      <x:c r="N120" s="683"/>
      <x:c r="O120" s="683"/>
      <x:c r="P120" s="683"/>
      <x:c r="Z120" s="701"/>
    </x:row>
    <x:row r="121" spans="1:26" x14ac:dyDescent="0.25">
      <x:c r="A121" s="683"/>
      <x:c r="D121" s="683"/>
      <x:c r="E121" s="683"/>
      <x:c r="F121" s="683"/>
      <x:c r="G121" s="683"/>
      <x:c r="H121" s="683"/>
      <x:c r="I121" s="683"/>
      <x:c r="J121" s="683"/>
      <x:c r="K121" s="683"/>
      <x:c r="L121" s="683"/>
      <x:c r="M121" s="683"/>
      <x:c r="N121" s="683"/>
      <x:c r="O121" s="683"/>
      <x:c r="P121" s="683"/>
      <x:c r="Z121" s="701"/>
    </x:row>
    <x:row r="122" spans="1:26" x14ac:dyDescent="0.25">
      <x:c r="A122" s="683"/>
      <x:c r="D122" s="683"/>
      <x:c r="E122" s="683"/>
      <x:c r="F122" s="683"/>
      <x:c r="G122" s="683"/>
      <x:c r="H122" s="683"/>
      <x:c r="I122" s="683"/>
      <x:c r="J122" s="683"/>
      <x:c r="K122" s="683"/>
      <x:c r="L122" s="683"/>
      <x:c r="M122" s="683"/>
      <x:c r="N122" s="683"/>
      <x:c r="O122" s="683"/>
      <x:c r="P122" s="683"/>
      <x:c r="Z122" s="701"/>
    </x:row>
    <x:row r="123" spans="1:26" x14ac:dyDescent="0.25">
      <x:c r="A123" s="683"/>
      <x:c r="D123" s="683"/>
      <x:c r="E123" s="683"/>
      <x:c r="F123" s="683"/>
      <x:c r="G123" s="683"/>
      <x:c r="H123" s="683"/>
      <x:c r="I123" s="683"/>
      <x:c r="J123" s="683"/>
      <x:c r="K123" s="683"/>
      <x:c r="L123" s="683"/>
      <x:c r="M123" s="683"/>
      <x:c r="N123" s="683"/>
      <x:c r="O123" s="683"/>
      <x:c r="P123" s="683"/>
      <x:c r="Z123" s="701"/>
    </x:row>
    <x:row r="124" spans="1:26" x14ac:dyDescent="0.25">
      <x:c r="A124" s="683"/>
      <x:c r="D124" s="683"/>
      <x:c r="E124" s="683"/>
      <x:c r="F124" s="683"/>
      <x:c r="G124" s="683"/>
      <x:c r="H124" s="683"/>
      <x:c r="I124" s="683"/>
      <x:c r="J124" s="683"/>
      <x:c r="K124" s="683"/>
      <x:c r="L124" s="683"/>
      <x:c r="M124" s="683"/>
      <x:c r="N124" s="683"/>
      <x:c r="O124" s="683"/>
      <x:c r="P124" s="683"/>
      <x:c r="Z124" s="701"/>
    </x:row>
    <x:row r="125" spans="1:26" x14ac:dyDescent="0.25">
      <x:c r="A125" s="683"/>
      <x:c r="D125" s="683"/>
      <x:c r="E125" s="683"/>
      <x:c r="F125" s="683"/>
      <x:c r="G125" s="683"/>
      <x:c r="H125" s="683"/>
      <x:c r="I125" s="683"/>
      <x:c r="J125" s="683"/>
      <x:c r="K125" s="683"/>
      <x:c r="L125" s="683"/>
      <x:c r="M125" s="683"/>
      <x:c r="N125" s="683"/>
      <x:c r="O125" s="683"/>
      <x:c r="P125" s="683"/>
      <x:c r="Z125" s="701"/>
    </x:row>
    <x:row r="126" spans="1:26" x14ac:dyDescent="0.25">
      <x:c r="A126" s="683"/>
      <x:c r="D126" s="683"/>
      <x:c r="E126" s="683"/>
      <x:c r="F126" s="683"/>
      <x:c r="G126" s="683"/>
      <x:c r="H126" s="683"/>
      <x:c r="I126" s="683"/>
      <x:c r="J126" s="683"/>
      <x:c r="K126" s="683"/>
      <x:c r="L126" s="683"/>
      <x:c r="M126" s="683"/>
      <x:c r="N126" s="683"/>
      <x:c r="O126" s="683"/>
      <x:c r="P126" s="683"/>
      <x:c r="Z126" s="701"/>
    </x:row>
    <x:row r="127" spans="1:26" x14ac:dyDescent="0.25">
      <x:c r="A127" s="683"/>
      <x:c r="D127" s="683"/>
      <x:c r="E127" s="683"/>
      <x:c r="F127" s="683"/>
      <x:c r="G127" s="683"/>
      <x:c r="H127" s="683"/>
      <x:c r="I127" s="683"/>
      <x:c r="J127" s="683"/>
      <x:c r="K127" s="683"/>
      <x:c r="L127" s="683"/>
      <x:c r="M127" s="683"/>
      <x:c r="N127" s="683"/>
      <x:c r="O127" s="683"/>
      <x:c r="P127" s="683"/>
      <x:c r="Z127" s="701"/>
    </x:row>
    <x:row r="128" spans="1:26" x14ac:dyDescent="0.25">
      <x:c r="A128" s="683"/>
      <x:c r="D128" s="683"/>
      <x:c r="E128" s="683"/>
      <x:c r="F128" s="683"/>
      <x:c r="G128" s="683"/>
      <x:c r="H128" s="683"/>
      <x:c r="I128" s="683"/>
      <x:c r="J128" s="683"/>
      <x:c r="K128" s="683"/>
      <x:c r="L128" s="683"/>
      <x:c r="M128" s="683"/>
      <x:c r="N128" s="683"/>
      <x:c r="O128" s="683"/>
      <x:c r="P128" s="683"/>
      <x:c r="Z128" s="701"/>
    </x:row>
    <x:row r="129" spans="1:26" x14ac:dyDescent="0.25">
      <x:c r="A129" s="683"/>
      <x:c r="D129" s="683"/>
      <x:c r="E129" s="683"/>
      <x:c r="F129" s="683"/>
      <x:c r="G129" s="683"/>
      <x:c r="H129" s="683"/>
      <x:c r="I129" s="683"/>
      <x:c r="J129" s="683"/>
      <x:c r="K129" s="683"/>
      <x:c r="L129" s="683"/>
      <x:c r="M129" s="683"/>
      <x:c r="N129" s="683"/>
      <x:c r="O129" s="683"/>
      <x:c r="P129" s="683"/>
      <x:c r="Z129" s="701"/>
    </x:row>
    <x:row r="130" spans="1:26" x14ac:dyDescent="0.25">
      <x:c r="A130" s="683"/>
      <x:c r="D130" s="683"/>
      <x:c r="E130" s="683"/>
      <x:c r="F130" s="683"/>
      <x:c r="G130" s="683"/>
      <x:c r="H130" s="683"/>
      <x:c r="I130" s="683"/>
      <x:c r="J130" s="683"/>
      <x:c r="K130" s="683"/>
      <x:c r="L130" s="683"/>
      <x:c r="M130" s="683"/>
      <x:c r="N130" s="683"/>
      <x:c r="O130" s="683"/>
      <x:c r="P130" s="683"/>
      <x:c r="Z130" s="701"/>
    </x:row>
    <x:row r="131" spans="1:26" x14ac:dyDescent="0.25">
      <x:c r="A131" s="683"/>
      <x:c r="D131" s="683"/>
      <x:c r="E131" s="683"/>
      <x:c r="F131" s="683"/>
      <x:c r="G131" s="683"/>
      <x:c r="H131" s="683"/>
      <x:c r="I131" s="683"/>
      <x:c r="J131" s="683"/>
      <x:c r="K131" s="683"/>
      <x:c r="L131" s="683"/>
      <x:c r="M131" s="683"/>
      <x:c r="N131" s="683"/>
      <x:c r="O131" s="683"/>
      <x:c r="P131" s="683"/>
      <x:c r="Z131" s="701"/>
    </x:row>
    <x:row r="132" spans="1:26" x14ac:dyDescent="0.25">
      <x:c r="A132" s="683"/>
      <x:c r="D132" s="683"/>
      <x:c r="E132" s="683"/>
      <x:c r="F132" s="683"/>
      <x:c r="G132" s="683"/>
      <x:c r="H132" s="683"/>
      <x:c r="I132" s="683"/>
      <x:c r="J132" s="683"/>
      <x:c r="K132" s="683"/>
      <x:c r="L132" s="683"/>
      <x:c r="M132" s="683"/>
      <x:c r="N132" s="683"/>
      <x:c r="O132" s="683"/>
      <x:c r="P132" s="683"/>
      <x:c r="Z132" s="701"/>
    </x:row>
    <x:row r="133" spans="1:26" x14ac:dyDescent="0.25">
      <x:c r="A133" s="683"/>
      <x:c r="D133" s="683"/>
      <x:c r="E133" s="683"/>
      <x:c r="F133" s="683"/>
      <x:c r="G133" s="683"/>
      <x:c r="H133" s="683"/>
      <x:c r="I133" s="683"/>
      <x:c r="J133" s="683"/>
      <x:c r="K133" s="683"/>
      <x:c r="L133" s="683"/>
      <x:c r="M133" s="683"/>
      <x:c r="N133" s="683"/>
      <x:c r="O133" s="683"/>
      <x:c r="P133" s="683"/>
      <x:c r="Z133" s="701"/>
    </x:row>
    <x:row r="134" spans="1:26" x14ac:dyDescent="0.25">
      <x:c r="A134" s="683"/>
      <x:c r="D134" s="683"/>
      <x:c r="E134" s="683"/>
      <x:c r="F134" s="683"/>
      <x:c r="G134" s="683"/>
      <x:c r="H134" s="683"/>
      <x:c r="I134" s="683"/>
      <x:c r="J134" s="683"/>
      <x:c r="K134" s="683"/>
      <x:c r="L134" s="683"/>
      <x:c r="M134" s="683"/>
      <x:c r="N134" s="683"/>
      <x:c r="O134" s="683"/>
      <x:c r="P134" s="683"/>
      <x:c r="Z134" s="701"/>
    </x:row>
    <x:row r="135" spans="1:26" x14ac:dyDescent="0.25">
      <x:c r="A135" s="683"/>
      <x:c r="D135" s="683"/>
      <x:c r="E135" s="683"/>
      <x:c r="F135" s="683"/>
      <x:c r="G135" s="683"/>
      <x:c r="H135" s="683"/>
      <x:c r="I135" s="683"/>
      <x:c r="J135" s="683"/>
      <x:c r="K135" s="683"/>
      <x:c r="L135" s="683"/>
      <x:c r="M135" s="683"/>
      <x:c r="N135" s="683"/>
      <x:c r="O135" s="683"/>
      <x:c r="P135" s="683"/>
      <x:c r="Z135" s="701"/>
    </x:row>
    <x:row r="136" spans="1:26" x14ac:dyDescent="0.25">
      <x:c r="A136" s="683"/>
      <x:c r="D136" s="683"/>
      <x:c r="E136" s="683"/>
      <x:c r="F136" s="683"/>
      <x:c r="G136" s="683"/>
      <x:c r="H136" s="683"/>
      <x:c r="I136" s="683"/>
      <x:c r="J136" s="683"/>
      <x:c r="K136" s="683"/>
      <x:c r="L136" s="683"/>
      <x:c r="M136" s="683"/>
      <x:c r="N136" s="683"/>
      <x:c r="O136" s="683"/>
      <x:c r="P136" s="683"/>
      <x:c r="Z136" s="701"/>
    </x:row>
    <x:row r="137" spans="1:26" x14ac:dyDescent="0.25">
      <x:c r="A137" s="683"/>
      <x:c r="D137" s="683"/>
      <x:c r="E137" s="683"/>
      <x:c r="F137" s="683"/>
      <x:c r="G137" s="683"/>
      <x:c r="H137" s="683"/>
      <x:c r="I137" s="683"/>
      <x:c r="J137" s="683"/>
      <x:c r="K137" s="683"/>
      <x:c r="L137" s="683"/>
      <x:c r="M137" s="683"/>
      <x:c r="N137" s="683"/>
      <x:c r="O137" s="683"/>
      <x:c r="P137" s="683"/>
      <x:c r="Z137" s="701"/>
    </x:row>
    <x:row r="138" spans="1:26" x14ac:dyDescent="0.25">
      <x:c r="A138" s="683"/>
      <x:c r="D138" s="683"/>
      <x:c r="E138" s="683"/>
      <x:c r="F138" s="683"/>
      <x:c r="G138" s="683"/>
      <x:c r="H138" s="683"/>
      <x:c r="I138" s="683"/>
      <x:c r="J138" s="683"/>
      <x:c r="K138" s="683"/>
      <x:c r="L138" s="683"/>
      <x:c r="M138" s="683"/>
      <x:c r="N138" s="683"/>
      <x:c r="O138" s="683"/>
      <x:c r="P138" s="683"/>
      <x:c r="Z138" s="701"/>
    </x:row>
    <x:row r="139" spans="1:26" x14ac:dyDescent="0.25">
      <x:c r="A139" s="683"/>
      <x:c r="D139" s="683"/>
      <x:c r="E139" s="683"/>
      <x:c r="F139" s="683"/>
      <x:c r="G139" s="683"/>
      <x:c r="H139" s="683"/>
      <x:c r="I139" s="683"/>
      <x:c r="J139" s="683"/>
      <x:c r="K139" s="683"/>
      <x:c r="L139" s="683"/>
      <x:c r="M139" s="683"/>
      <x:c r="N139" s="683"/>
      <x:c r="O139" s="683"/>
      <x:c r="P139" s="683"/>
      <x:c r="Z139" s="701"/>
    </x:row>
    <x:row r="140" spans="1:26" x14ac:dyDescent="0.25">
      <x:c r="A140" s="683"/>
      <x:c r="D140" s="683"/>
      <x:c r="E140" s="683"/>
      <x:c r="F140" s="683"/>
      <x:c r="G140" s="683"/>
      <x:c r="H140" s="683"/>
      <x:c r="I140" s="683"/>
      <x:c r="J140" s="683"/>
      <x:c r="K140" s="683"/>
      <x:c r="L140" s="683"/>
      <x:c r="M140" s="683"/>
      <x:c r="N140" s="683"/>
      <x:c r="O140" s="683"/>
      <x:c r="P140" s="683"/>
      <x:c r="Z140" s="701"/>
    </x:row>
    <x:row r="141" spans="1:26" x14ac:dyDescent="0.25">
      <x:c r="A141" s="683"/>
      <x:c r="D141" s="683"/>
      <x:c r="E141" s="683"/>
      <x:c r="F141" s="683"/>
      <x:c r="G141" s="683"/>
      <x:c r="H141" s="683"/>
      <x:c r="I141" s="683"/>
      <x:c r="J141" s="683"/>
      <x:c r="K141" s="683"/>
      <x:c r="L141" s="683"/>
      <x:c r="M141" s="683"/>
      <x:c r="N141" s="683"/>
      <x:c r="O141" s="683"/>
      <x:c r="P141" s="683"/>
      <x:c r="Z141" s="701"/>
    </x:row>
    <x:row r="142" spans="1:26" x14ac:dyDescent="0.25">
      <x:c r="A142" s="683"/>
      <x:c r="D142" s="683"/>
      <x:c r="E142" s="683"/>
      <x:c r="F142" s="683"/>
      <x:c r="G142" s="683"/>
      <x:c r="H142" s="683"/>
      <x:c r="I142" s="683"/>
      <x:c r="J142" s="683"/>
      <x:c r="K142" s="683"/>
      <x:c r="L142" s="683"/>
      <x:c r="M142" s="683"/>
      <x:c r="N142" s="683"/>
      <x:c r="O142" s="683"/>
      <x:c r="P142" s="683"/>
      <x:c r="Z142" s="701"/>
    </x:row>
    <x:row r="143" spans="1:26" x14ac:dyDescent="0.25">
      <x:c r="A143" s="683"/>
      <x:c r="D143" s="683"/>
      <x:c r="E143" s="683"/>
      <x:c r="F143" s="683"/>
      <x:c r="G143" s="683"/>
      <x:c r="H143" s="683"/>
      <x:c r="I143" s="683"/>
      <x:c r="J143" s="683"/>
      <x:c r="K143" s="683"/>
      <x:c r="L143" s="683"/>
      <x:c r="M143" s="683"/>
      <x:c r="N143" s="683"/>
      <x:c r="O143" s="683"/>
      <x:c r="P143" s="683"/>
      <x:c r="Z143" s="701"/>
    </x:row>
    <x:row r="144" spans="1:26" x14ac:dyDescent="0.25">
      <x:c r="A144" s="683"/>
      <x:c r="D144" s="683"/>
      <x:c r="E144" s="683"/>
      <x:c r="F144" s="683"/>
      <x:c r="G144" s="683"/>
      <x:c r="H144" s="683"/>
      <x:c r="I144" s="683"/>
      <x:c r="J144" s="683"/>
      <x:c r="K144" s="683"/>
      <x:c r="L144" s="683"/>
      <x:c r="M144" s="683"/>
      <x:c r="N144" s="683"/>
      <x:c r="O144" s="683"/>
      <x:c r="P144" s="683"/>
      <x:c r="Z144" s="701"/>
    </x:row>
    <x:row r="145" spans="1:26" x14ac:dyDescent="0.25">
      <x:c r="A145" s="683"/>
      <x:c r="D145" s="683"/>
      <x:c r="E145" s="683"/>
      <x:c r="F145" s="683"/>
      <x:c r="G145" s="683"/>
      <x:c r="H145" s="683"/>
      <x:c r="I145" s="683"/>
      <x:c r="J145" s="683"/>
      <x:c r="K145" s="683"/>
      <x:c r="L145" s="683"/>
      <x:c r="M145" s="683"/>
      <x:c r="N145" s="683"/>
      <x:c r="O145" s="683"/>
      <x:c r="P145" s="683"/>
      <x:c r="Z145" s="701"/>
    </x:row>
    <x:row r="146" spans="1:26" x14ac:dyDescent="0.25">
      <x:c r="A146" s="683"/>
      <x:c r="D146" s="683"/>
      <x:c r="E146" s="683"/>
      <x:c r="F146" s="683"/>
      <x:c r="G146" s="683"/>
      <x:c r="H146" s="683"/>
      <x:c r="I146" s="683"/>
      <x:c r="J146" s="683"/>
      <x:c r="K146" s="683"/>
      <x:c r="L146" s="683"/>
      <x:c r="M146" s="683"/>
      <x:c r="N146" s="683"/>
      <x:c r="O146" s="683"/>
      <x:c r="P146" s="683"/>
      <x:c r="Z146" s="701"/>
    </x:row>
    <x:row r="147" spans="1:26" x14ac:dyDescent="0.25">
      <x:c r="A147" s="683"/>
      <x:c r="D147" s="683"/>
      <x:c r="E147" s="683"/>
      <x:c r="F147" s="683"/>
      <x:c r="G147" s="683"/>
      <x:c r="H147" s="683"/>
      <x:c r="I147" s="683"/>
      <x:c r="J147" s="683"/>
      <x:c r="K147" s="683"/>
      <x:c r="L147" s="683"/>
      <x:c r="M147" s="683"/>
      <x:c r="N147" s="683"/>
      <x:c r="O147" s="683"/>
      <x:c r="P147" s="683"/>
      <x:c r="Z147" s="701"/>
    </x:row>
    <x:row r="148" spans="1:26" x14ac:dyDescent="0.25">
      <x:c r="A148" s="683"/>
      <x:c r="D148" s="683"/>
      <x:c r="E148" s="683"/>
      <x:c r="F148" s="683"/>
      <x:c r="G148" s="683"/>
      <x:c r="H148" s="683"/>
      <x:c r="I148" s="683"/>
      <x:c r="J148" s="683"/>
      <x:c r="K148" s="683"/>
      <x:c r="L148" s="683"/>
      <x:c r="M148" s="683"/>
      <x:c r="N148" s="683"/>
      <x:c r="O148" s="683"/>
      <x:c r="P148" s="683"/>
      <x:c r="Z148" s="701"/>
    </x:row>
    <x:row r="149" spans="1:26" x14ac:dyDescent="0.25">
      <x:c r="A149" s="683"/>
      <x:c r="D149" s="683"/>
      <x:c r="E149" s="683"/>
      <x:c r="F149" s="683"/>
      <x:c r="G149" s="683"/>
      <x:c r="H149" s="683"/>
      <x:c r="I149" s="683"/>
      <x:c r="J149" s="683"/>
      <x:c r="K149" s="683"/>
      <x:c r="L149" s="683"/>
      <x:c r="M149" s="683"/>
      <x:c r="N149" s="683"/>
      <x:c r="O149" s="683"/>
      <x:c r="P149" s="683"/>
      <x:c r="Z149" s="701"/>
    </x:row>
    <x:row r="150" spans="1:26" x14ac:dyDescent="0.25">
      <x:c r="A150" s="683"/>
      <x:c r="D150" s="683"/>
      <x:c r="E150" s="683"/>
      <x:c r="F150" s="683"/>
      <x:c r="G150" s="683"/>
      <x:c r="H150" s="683"/>
      <x:c r="I150" s="683"/>
      <x:c r="J150" s="683"/>
      <x:c r="K150" s="683"/>
      <x:c r="L150" s="683"/>
      <x:c r="M150" s="683"/>
      <x:c r="N150" s="683"/>
      <x:c r="O150" s="683"/>
      <x:c r="P150" s="683"/>
      <x:c r="Z150" s="701"/>
    </x:row>
    <x:row r="151" spans="1:26" x14ac:dyDescent="0.25">
      <x:c r="A151" s="683"/>
      <x:c r="D151" s="683"/>
      <x:c r="E151" s="683"/>
      <x:c r="F151" s="683"/>
      <x:c r="G151" s="683"/>
      <x:c r="H151" s="683"/>
      <x:c r="I151" s="683"/>
      <x:c r="J151" s="683"/>
      <x:c r="K151" s="683"/>
      <x:c r="L151" s="683"/>
      <x:c r="M151" s="683"/>
      <x:c r="N151" s="683"/>
      <x:c r="O151" s="683"/>
      <x:c r="P151" s="683"/>
      <x:c r="Z151" s="701"/>
    </x:row>
    <x:row r="152" spans="1:26" x14ac:dyDescent="0.25">
      <x:c r="A152" s="683"/>
      <x:c r="D152" s="683"/>
      <x:c r="E152" s="683"/>
      <x:c r="F152" s="683"/>
      <x:c r="G152" s="683"/>
      <x:c r="H152" s="683"/>
      <x:c r="I152" s="683"/>
      <x:c r="J152" s="683"/>
      <x:c r="K152" s="683"/>
      <x:c r="L152" s="683"/>
      <x:c r="M152" s="683"/>
      <x:c r="N152" s="683"/>
      <x:c r="O152" s="683"/>
      <x:c r="P152" s="683"/>
      <x:c r="Z152" s="701"/>
    </x:row>
    <x:row r="153" spans="1:26" x14ac:dyDescent="0.25">
      <x:c r="A153" s="683"/>
      <x:c r="D153" s="683"/>
      <x:c r="E153" s="683"/>
      <x:c r="F153" s="683"/>
      <x:c r="G153" s="683"/>
      <x:c r="H153" s="683"/>
      <x:c r="I153" s="683"/>
      <x:c r="J153" s="683"/>
      <x:c r="K153" s="683"/>
      <x:c r="L153" s="683"/>
      <x:c r="M153" s="683"/>
      <x:c r="N153" s="683"/>
      <x:c r="O153" s="683"/>
      <x:c r="P153" s="683"/>
      <x:c r="Z153" s="701"/>
    </x:row>
    <x:row r="154" spans="1:26" x14ac:dyDescent="0.25">
      <x:c r="A154" s="683"/>
      <x:c r="D154" s="683"/>
      <x:c r="E154" s="683"/>
      <x:c r="F154" s="683"/>
      <x:c r="G154" s="683"/>
      <x:c r="H154" s="683"/>
      <x:c r="I154" s="683"/>
      <x:c r="J154" s="683"/>
      <x:c r="K154" s="683"/>
      <x:c r="L154" s="683"/>
      <x:c r="M154" s="683"/>
      <x:c r="N154" s="683"/>
      <x:c r="O154" s="683"/>
      <x:c r="P154" s="683"/>
      <x:c r="Z154" s="701"/>
    </x:row>
    <x:row r="155" spans="1:26" x14ac:dyDescent="0.25">
      <x:c r="A155" s="683"/>
      <x:c r="D155" s="683"/>
      <x:c r="E155" s="683"/>
      <x:c r="F155" s="683"/>
      <x:c r="G155" s="683"/>
      <x:c r="H155" s="683"/>
      <x:c r="I155" s="683"/>
      <x:c r="J155" s="683"/>
      <x:c r="K155" s="683"/>
      <x:c r="L155" s="683"/>
      <x:c r="M155" s="683"/>
      <x:c r="N155" s="683"/>
      <x:c r="O155" s="683"/>
      <x:c r="P155" s="683"/>
      <x:c r="Z155" s="701"/>
    </x:row>
    <x:row r="156" spans="1:26" x14ac:dyDescent="0.25">
      <x:c r="A156" s="683"/>
      <x:c r="D156" s="683"/>
      <x:c r="E156" s="683"/>
      <x:c r="F156" s="683"/>
      <x:c r="G156" s="683"/>
      <x:c r="H156" s="683"/>
      <x:c r="I156" s="683"/>
      <x:c r="J156" s="683"/>
      <x:c r="K156" s="683"/>
      <x:c r="L156" s="683"/>
      <x:c r="M156" s="683"/>
      <x:c r="N156" s="683"/>
      <x:c r="O156" s="683"/>
      <x:c r="P156" s="683"/>
      <x:c r="Z156" s="701"/>
    </x:row>
    <x:row r="157" spans="1:26" x14ac:dyDescent="0.25">
      <x:c r="A157" s="683"/>
      <x:c r="D157" s="683"/>
      <x:c r="E157" s="683"/>
      <x:c r="F157" s="683"/>
      <x:c r="G157" s="683"/>
      <x:c r="H157" s="683"/>
      <x:c r="I157" s="683"/>
      <x:c r="J157" s="683"/>
      <x:c r="K157" s="683"/>
      <x:c r="L157" s="683"/>
      <x:c r="M157" s="683"/>
      <x:c r="N157" s="683"/>
      <x:c r="O157" s="683"/>
      <x:c r="P157" s="683"/>
      <x:c r="Z157" s="701"/>
    </x:row>
    <x:row r="158" spans="1:26" x14ac:dyDescent="0.25">
      <x:c r="A158" s="683"/>
      <x:c r="D158" s="683"/>
      <x:c r="E158" s="683"/>
      <x:c r="F158" s="683"/>
      <x:c r="G158" s="683"/>
      <x:c r="H158" s="683"/>
      <x:c r="I158" s="683"/>
      <x:c r="J158" s="683"/>
      <x:c r="K158" s="683"/>
      <x:c r="L158" s="683"/>
      <x:c r="M158" s="683"/>
      <x:c r="N158" s="683"/>
      <x:c r="O158" s="683"/>
      <x:c r="P158" s="683"/>
      <x:c r="Z158" s="701"/>
    </x:row>
    <x:row r="159" spans="1:26" x14ac:dyDescent="0.25">
      <x:c r="A159" s="683"/>
      <x:c r="D159" s="683"/>
      <x:c r="E159" s="683"/>
      <x:c r="F159" s="683"/>
      <x:c r="G159" s="683"/>
      <x:c r="H159" s="683"/>
      <x:c r="I159" s="683"/>
      <x:c r="J159" s="683"/>
      <x:c r="K159" s="683"/>
      <x:c r="L159" s="683"/>
      <x:c r="M159" s="683"/>
      <x:c r="N159" s="683"/>
      <x:c r="O159" s="683"/>
      <x:c r="P159" s="683"/>
      <x:c r="Z159" s="701"/>
    </x:row>
    <x:row r="160" spans="1:26" x14ac:dyDescent="0.25">
      <x:c r="A160" s="683"/>
      <x:c r="D160" s="683"/>
      <x:c r="E160" s="683"/>
      <x:c r="F160" s="683"/>
      <x:c r="G160" s="683"/>
      <x:c r="H160" s="683"/>
      <x:c r="I160" s="683"/>
      <x:c r="J160" s="683"/>
      <x:c r="K160" s="683"/>
      <x:c r="L160" s="683"/>
      <x:c r="M160" s="683"/>
      <x:c r="N160" s="683"/>
      <x:c r="O160" s="683"/>
      <x:c r="P160" s="683"/>
      <x:c r="Z160" s="701"/>
    </x:row>
    <x:row r="161" spans="1:26" x14ac:dyDescent="0.25">
      <x:c r="A161" s="683"/>
      <x:c r="D161" s="683"/>
      <x:c r="E161" s="683"/>
      <x:c r="F161" s="683"/>
      <x:c r="G161" s="683"/>
      <x:c r="H161" s="683"/>
      <x:c r="I161" s="683"/>
      <x:c r="J161" s="683"/>
      <x:c r="K161" s="683"/>
      <x:c r="L161" s="683"/>
      <x:c r="M161" s="683"/>
      <x:c r="N161" s="683"/>
      <x:c r="O161" s="683"/>
      <x:c r="P161" s="683"/>
      <x:c r="Z161" s="701"/>
    </x:row>
    <x:row r="162" spans="1:26" x14ac:dyDescent="0.25">
      <x:c r="A162" s="683"/>
      <x:c r="D162" s="683"/>
      <x:c r="E162" s="683"/>
      <x:c r="F162" s="683"/>
      <x:c r="G162" s="683"/>
      <x:c r="H162" s="683"/>
      <x:c r="I162" s="683"/>
      <x:c r="J162" s="683"/>
      <x:c r="K162" s="683"/>
      <x:c r="L162" s="683"/>
      <x:c r="M162" s="683"/>
      <x:c r="N162" s="683"/>
      <x:c r="O162" s="683"/>
      <x:c r="P162" s="683"/>
      <x:c r="Z162" s="701"/>
    </x:row>
    <x:row r="163" spans="1:26" x14ac:dyDescent="0.25">
      <x:c r="A163" s="683"/>
      <x:c r="D163" s="683"/>
      <x:c r="E163" s="683"/>
      <x:c r="F163" s="683"/>
      <x:c r="G163" s="683"/>
      <x:c r="H163" s="683"/>
      <x:c r="I163" s="683"/>
      <x:c r="J163" s="683"/>
      <x:c r="K163" s="683"/>
      <x:c r="L163" s="683"/>
      <x:c r="M163" s="683"/>
      <x:c r="N163" s="683"/>
      <x:c r="O163" s="683"/>
      <x:c r="P163" s="683"/>
      <x:c r="Z163" s="701"/>
    </x:row>
    <x:row r="164" spans="1:26" x14ac:dyDescent="0.25">
      <x:c r="A164" s="683"/>
      <x:c r="D164" s="683"/>
      <x:c r="E164" s="683"/>
      <x:c r="F164" s="683"/>
      <x:c r="G164" s="683"/>
      <x:c r="H164" s="683"/>
      <x:c r="I164" s="683"/>
      <x:c r="J164" s="683"/>
      <x:c r="K164" s="683"/>
      <x:c r="L164" s="683"/>
      <x:c r="M164" s="683"/>
      <x:c r="N164" s="683"/>
      <x:c r="O164" s="683"/>
      <x:c r="P164" s="683"/>
      <x:c r="Z164" s="701"/>
    </x:row>
    <x:row r="165" spans="1:26" x14ac:dyDescent="0.25">
      <x:c r="A165" s="683"/>
      <x:c r="D165" s="683"/>
      <x:c r="E165" s="683"/>
      <x:c r="F165" s="683"/>
      <x:c r="G165" s="683"/>
      <x:c r="H165" s="683"/>
      <x:c r="I165" s="683"/>
      <x:c r="J165" s="683"/>
      <x:c r="K165" s="683"/>
      <x:c r="L165" s="683"/>
      <x:c r="M165" s="683"/>
      <x:c r="N165" s="683"/>
      <x:c r="O165" s="683"/>
      <x:c r="P165" s="683"/>
      <x:c r="Z165" s="701"/>
    </x:row>
    <x:row r="166" spans="1:26" x14ac:dyDescent="0.25">
      <x:c r="A166" s="683"/>
      <x:c r="D166" s="683"/>
      <x:c r="E166" s="683"/>
      <x:c r="F166" s="683"/>
      <x:c r="G166" s="683"/>
      <x:c r="H166" s="683"/>
      <x:c r="I166" s="683"/>
      <x:c r="J166" s="683"/>
      <x:c r="K166" s="683"/>
      <x:c r="L166" s="683"/>
      <x:c r="M166" s="683"/>
      <x:c r="N166" s="683"/>
      <x:c r="O166" s="683"/>
      <x:c r="P166" s="683"/>
      <x:c r="Z166" s="701"/>
    </x:row>
    <x:row r="167" spans="1:26" x14ac:dyDescent="0.25">
      <x:c r="A167" s="683"/>
      <x:c r="D167" s="683"/>
      <x:c r="E167" s="683"/>
      <x:c r="F167" s="683"/>
      <x:c r="G167" s="683"/>
      <x:c r="H167" s="683"/>
      <x:c r="I167" s="683"/>
      <x:c r="J167" s="683"/>
      <x:c r="K167" s="683"/>
      <x:c r="L167" s="683"/>
      <x:c r="M167" s="683"/>
      <x:c r="N167" s="683"/>
      <x:c r="O167" s="683"/>
      <x:c r="P167" s="683"/>
      <x:c r="Z167" s="701"/>
    </x:row>
    <x:row r="168" spans="1:26" x14ac:dyDescent="0.25">
      <x:c r="A168" s="776" t="s">
        <x:v>2</x:v>
      </x:c>
      <x:c r="B168" s="775" t="s">
        <x:v>132</x:v>
      </x:c>
      <x:c r="C168" s="696" t="s">
        <x:v>70</x:v>
      </x:c>
      <x:c r="D168" s="696">
        <x:f>D105-P105</x:f>
        <x:v>0</x:v>
      </x:c>
      <x:c r="E168" s="696">
        <x:f>E101+E95</x:f>
        <x:v>0</x:v>
      </x:c>
      <x:c r="F168" s="696">
        <x:f t="shared" ref="F168:R168" si="3">F101+F95</x:f>
        <x:v>0</x:v>
      </x:c>
      <x:c r="G168" s="696">
        <x:f t="shared" si="3"/>
        <x:v>0</x:v>
      </x:c>
      <x:c r="H168" s="696">
        <x:f t="shared" si="3"/>
        <x:v>0</x:v>
      </x:c>
      <x:c r="I168" s="696">
        <x:f t="shared" si="3"/>
        <x:v>0</x:v>
      </x:c>
      <x:c r="J168" s="696">
        <x:f t="shared" si="3"/>
        <x:v>0</x:v>
      </x:c>
      <x:c r="K168" s="696">
        <x:f t="shared" si="3"/>
        <x:v>0</x:v>
      </x:c>
      <x:c r="L168" s="696">
        <x:f t="shared" si="3"/>
        <x:v>0</x:v>
      </x:c>
      <x:c r="M168" s="696">
        <x:f t="shared" si="3"/>
        <x:v>0</x:v>
      </x:c>
      <x:c r="N168" s="696">
        <x:f t="shared" si="3"/>
        <x:v>0</x:v>
      </x:c>
      <x:c r="O168" s="696">
        <x:f t="shared" si="3"/>
        <x:v>0</x:v>
      </x:c>
      <x:c r="P168" s="696">
        <x:f t="shared" si="3"/>
        <x:v>0</x:v>
      </x:c>
      <x:c r="Q168" s="696">
        <x:f t="shared" si="3"/>
        <x:v>0</x:v>
      </x:c>
      <x:c r="R168" s="696">
        <x:f t="shared" si="3"/>
        <x:v>0</x:v>
      </x:c>
      <x:c r="Z168" s="701"/>
    </x:row>
    <x:row r="169" spans="1:26" x14ac:dyDescent="0.25">
      <x:c r="A169" s="776"/>
      <x:c r="B169" s="775"/>
      <x:c r="C169" s="696" t="s">
        <x:v>73</x:v>
      </x:c>
      <x:c r="D169" s="696">
        <x:f>D103+D97</x:f>
        <x:v>0</x:v>
      </x:c>
      <x:c r="E169" s="683"/>
      <x:c r="F169" s="683"/>
      <x:c r="G169" s="683"/>
      <x:c r="H169" s="683"/>
      <x:c r="I169" s="683"/>
      <x:c r="J169" s="683"/>
      <x:c r="K169" s="683"/>
      <x:c r="L169" s="683"/>
      <x:c r="M169" s="683"/>
      <x:c r="N169" s="683"/>
      <x:c r="O169" s="683"/>
      <x:c r="P169" s="683"/>
      <x:c r="Q169" s="683"/>
      <x:c r="Z169" s="701"/>
    </x:row>
    <x:row r="170" spans="1:26" x14ac:dyDescent="0.25">
      <x:c r="A170" s="682"/>
      <x:c r="D170" s="683"/>
      <x:c r="E170" s="683"/>
      <x:c r="F170" s="683"/>
      <x:c r="G170" s="683"/>
      <x:c r="H170" s="683"/>
      <x:c r="I170" s="683"/>
      <x:c r="J170" s="683"/>
      <x:c r="K170" s="683"/>
      <x:c r="L170" s="683"/>
      <x:c r="M170" s="683"/>
      <x:c r="N170" s="683"/>
      <x:c r="O170" s="683"/>
      <x:c r="P170" s="683"/>
      <x:c r="Q170" s="683"/>
      <x:c r="Z170" s="701"/>
    </x:row>
    <x:row r="171" spans="1:26" x14ac:dyDescent="0.25">
      <x:c r="A171" s="776" t="s">
        <x:v>160</x:v>
      </x:c>
      <x:c r="B171" s="775" t="s">
        <x:v>132</x:v>
      </x:c>
      <x:c r="C171" s="697" t="s">
        <x:v>70</x:v>
      </x:c>
      <x:c r="D171" s="697">
        <x:v>0</x:v>
      </x:c>
      <x:c r="E171" s="697">
        <x:v>0</x:v>
      </x:c>
      <x:c r="F171" s="697">
        <x:v>0</x:v>
      </x:c>
      <x:c r="G171" s="697">
        <x:v>0</x:v>
      </x:c>
      <x:c r="H171" s="697">
        <x:v>0</x:v>
      </x:c>
      <x:c r="I171" s="697">
        <x:v>0</x:v>
      </x:c>
      <x:c r="J171" s="697">
        <x:v>0</x:v>
      </x:c>
      <x:c r="K171" s="697">
        <x:v>0</x:v>
      </x:c>
      <x:c r="L171" s="697">
        <x:v>0</x:v>
      </x:c>
      <x:c r="M171" s="697">
        <x:v>0</x:v>
      </x:c>
      <x:c r="N171" s="697">
        <x:v>0</x:v>
      </x:c>
      <x:c r="O171" s="697">
        <x:v>0</x:v>
      </x:c>
      <x:c r="P171" s="697">
        <x:v>0</x:v>
      </x:c>
      <x:c r="Q171" s="697">
        <x:v>0</x:v>
      </x:c>
      <x:c r="R171" s="697">
        <x:v>0</x:v>
      </x:c>
      <x:c r="Z171" s="701"/>
    </x:row>
    <x:row r="172" spans="1:26" x14ac:dyDescent="0.25">
      <x:c r="A172" s="776"/>
      <x:c r="B172" s="775"/>
      <x:c r="C172" s="697" t="s">
        <x:v>73</x:v>
      </x:c>
      <x:c r="D172" s="697">
        <x:v>0</x:v>
      </x:c>
      <x:c r="E172" s="683"/>
      <x:c r="F172" s="683"/>
      <x:c r="G172" s="683"/>
      <x:c r="H172" s="683"/>
      <x:c r="I172" s="683"/>
      <x:c r="J172" s="683"/>
      <x:c r="K172" s="683"/>
      <x:c r="L172" s="683"/>
      <x:c r="M172" s="683"/>
      <x:c r="N172" s="683"/>
      <x:c r="O172" s="683"/>
      <x:c r="P172" s="683"/>
      <x:c r="Q172" s="683"/>
      <x:c r="Z172" s="701"/>
    </x:row>
    <x:row r="173" spans="1:26" x14ac:dyDescent="0.25">
      <x:c r="A173" s="682"/>
      <x:c r="D173" s="683"/>
      <x:c r="E173" s="683"/>
      <x:c r="F173" s="683"/>
      <x:c r="G173" s="683"/>
      <x:c r="H173" s="683"/>
      <x:c r="I173" s="683"/>
      <x:c r="J173" s="683"/>
      <x:c r="K173" s="683"/>
      <x:c r="L173" s="683"/>
      <x:c r="M173" s="683"/>
      <x:c r="N173" s="683"/>
      <x:c r="O173" s="683"/>
      <x:c r="P173" s="683"/>
      <x:c r="Q173" s="683"/>
      <x:c r="Z173" s="701"/>
    </x:row>
    <x:row r="174" spans="1:26" x14ac:dyDescent="0.25">
      <x:c r="A174" s="776" t="s">
        <x:v>155</x:v>
      </x:c>
      <x:c r="B174" s="775" t="s">
        <x:v>132</x:v>
      </x:c>
      <x:c r="C174" s="698" t="s">
        <x:v>70</x:v>
      </x:c>
      <x:c r="D174" s="698">
        <x:f>D98-P98</x:f>
        <x:v>0</x:v>
      </x:c>
      <x:c r="E174" s="698">
        <x:f t="shared" ref="E174:R174" si="4">E95</x:f>
        <x:v>0</x:v>
      </x:c>
      <x:c r="F174" s="698">
        <x:f t="shared" si="4"/>
        <x:v>0</x:v>
      </x:c>
      <x:c r="G174" s="698">
        <x:f t="shared" si="4"/>
        <x:v>0</x:v>
      </x:c>
      <x:c r="H174" s="698">
        <x:f t="shared" si="4"/>
        <x:v>0</x:v>
      </x:c>
      <x:c r="I174" s="698">
        <x:f t="shared" si="4"/>
        <x:v>0</x:v>
      </x:c>
      <x:c r="J174" s="698">
        <x:f t="shared" si="4"/>
        <x:v>0</x:v>
      </x:c>
      <x:c r="K174" s="698">
        <x:f t="shared" si="4"/>
        <x:v>0</x:v>
      </x:c>
      <x:c r="L174" s="698">
        <x:f t="shared" si="4"/>
        <x:v>0</x:v>
      </x:c>
      <x:c r="M174" s="698">
        <x:f t="shared" si="4"/>
        <x:v>0</x:v>
      </x:c>
      <x:c r="N174" s="698">
        <x:f t="shared" si="4"/>
        <x:v>0</x:v>
      </x:c>
      <x:c r="O174" s="698">
        <x:f t="shared" si="4"/>
        <x:v>0</x:v>
      </x:c>
      <x:c r="P174" s="698">
        <x:f t="shared" si="4"/>
        <x:v>0</x:v>
      </x:c>
      <x:c r="Q174" s="698">
        <x:f t="shared" si="4"/>
        <x:v>0</x:v>
      </x:c>
      <x:c r="R174" s="698">
        <x:f t="shared" si="4"/>
        <x:v>0</x:v>
      </x:c>
      <x:c r="Z174" s="701"/>
    </x:row>
    <x:row r="175" spans="1:26" x14ac:dyDescent="0.25">
      <x:c r="A175" s="776"/>
      <x:c r="B175" s="775"/>
      <x:c r="C175" s="698" t="s">
        <x:v>73</x:v>
      </x:c>
      <x:c r="D175" s="698">
        <x:f>D97</x:f>
        <x:v>0</x:v>
      </x:c>
      <x:c r="E175" s="683"/>
      <x:c r="F175" s="683"/>
      <x:c r="G175" s="683"/>
      <x:c r="H175" s="683"/>
      <x:c r="I175" s="683"/>
      <x:c r="J175" s="683"/>
      <x:c r="K175" s="683"/>
      <x:c r="L175" s="683"/>
      <x:c r="M175" s="683"/>
      <x:c r="N175" s="683"/>
      <x:c r="O175" s="683"/>
      <x:c r="P175" s="683"/>
      <x:c r="Q175" s="683"/>
      <x:c r="Z175" s="701"/>
    </x:row>
    <x:row r="176" spans="1:26" x14ac:dyDescent="0.25">
      <x:c r="A176" s="694"/>
      <x:c r="B176" s="695"/>
      <x:c r="C176" s="683"/>
      <x:c r="D176" s="683"/>
      <x:c r="E176" s="683"/>
      <x:c r="F176" s="683"/>
      <x:c r="G176" s="683"/>
      <x:c r="H176" s="683"/>
      <x:c r="I176" s="683"/>
      <x:c r="J176" s="683"/>
      <x:c r="K176" s="683"/>
      <x:c r="L176" s="683"/>
      <x:c r="M176" s="683"/>
      <x:c r="N176" s="683"/>
      <x:c r="O176" s="683"/>
      <x:c r="P176" s="683"/>
      <x:c r="Q176" s="683"/>
      <x:c r="Z176" s="701"/>
    </x:row>
    <x:row r="177" spans="1:26" x14ac:dyDescent="0.25">
      <x:c r="A177" s="774" t="s">
        <x:v>326</x:v>
      </x:c>
      <x:c r="B177" s="775" t="s">
        <x:v>132</x:v>
      </x:c>
      <x:c r="C177" s="698" t="s">
        <x:v>70</x:v>
      </x:c>
      <x:c r="D177" s="699">
        <x:v>0</x:v>
      </x:c>
      <x:c r="E177" s="699">
        <x:v>0</x:v>
      </x:c>
      <x:c r="F177" s="699">
        <x:v>0</x:v>
      </x:c>
      <x:c r="G177" s="699">
        <x:v>0</x:v>
      </x:c>
      <x:c r="H177" s="699">
        <x:v>0</x:v>
      </x:c>
      <x:c r="I177" s="699">
        <x:v>0</x:v>
      </x:c>
      <x:c r="J177" s="699">
        <x:v>0</x:v>
      </x:c>
      <x:c r="K177" s="699">
        <x:v>0</x:v>
      </x:c>
      <x:c r="L177" s="699">
        <x:v>0</x:v>
      </x:c>
      <x:c r="M177" s="699">
        <x:v>0</x:v>
      </x:c>
      <x:c r="N177" s="699">
        <x:v>0</x:v>
      </x:c>
      <x:c r="O177" s="699">
        <x:v>0</x:v>
      </x:c>
      <x:c r="P177" s="699">
        <x:v>0</x:v>
      </x:c>
      <x:c r="Q177" s="699">
        <x:v>0</x:v>
      </x:c>
      <x:c r="R177" s="699">
        <x:v>0</x:v>
      </x:c>
      <x:c r="Z177" s="701"/>
    </x:row>
    <x:row r="178" spans="1:26" x14ac:dyDescent="0.25">
      <x:c r="A178" s="774"/>
      <x:c r="B178" s="775"/>
      <x:c r="C178" s="698" t="s">
        <x:v>73</x:v>
      </x:c>
      <x:c r="D178" s="699">
        <x:v>0</x:v>
      </x:c>
      <x:c r="E178" s="683"/>
      <x:c r="F178" s="683"/>
      <x:c r="G178" s="683"/>
      <x:c r="H178" s="683"/>
      <x:c r="I178" s="683"/>
      <x:c r="J178" s="683"/>
      <x:c r="K178" s="683"/>
      <x:c r="L178" s="683"/>
      <x:c r="M178" s="683"/>
      <x:c r="N178" s="683"/>
      <x:c r="O178" s="683"/>
      <x:c r="P178" s="683"/>
      <x:c r="Q178" s="683"/>
      <x:c r="Z178" s="701"/>
    </x:row>
    <x:row r="179" spans="1:26" x14ac:dyDescent="0.25">
      <x:c r="A179" s="682"/>
      <x:c r="D179" s="683"/>
      <x:c r="E179" s="683"/>
      <x:c r="F179" s="683"/>
      <x:c r="G179" s="683"/>
      <x:c r="H179" s="683"/>
      <x:c r="I179" s="683"/>
      <x:c r="J179" s="683"/>
      <x:c r="K179" s="683"/>
      <x:c r="L179" s="683"/>
      <x:c r="M179" s="683"/>
      <x:c r="N179" s="683"/>
      <x:c r="O179" s="683"/>
      <x:c r="P179" s="683"/>
      <x:c r="Q179" s="683"/>
      <x:c r="Z179" s="701"/>
    </x:row>
    <x:row r="180" spans="1:26" x14ac:dyDescent="0.25">
      <x:c r="A180" s="776" t="s">
        <x:v>119</x:v>
      </x:c>
      <x:c r="B180" s="775" t="s">
        <x:v>132</x:v>
      </x:c>
      <x:c r="C180" s="691" t="s">
        <x:v>70</x:v>
      </x:c>
      <x:c r="D180" s="691">
        <x:f>D104-P104</x:f>
        <x:v>0</x:v>
      </x:c>
      <x:c r="E180" s="691">
        <x:f>E101</x:f>
        <x:v>0</x:v>
      </x:c>
      <x:c r="F180" s="691">
        <x:f t="shared" ref="F180:R180" si="5">F101</x:f>
        <x:v>0</x:v>
      </x:c>
      <x:c r="G180" s="691">
        <x:f t="shared" si="5"/>
        <x:v>0</x:v>
      </x:c>
      <x:c r="H180" s="691">
        <x:f t="shared" si="5"/>
        <x:v>0</x:v>
      </x:c>
      <x:c r="I180" s="691">
        <x:f t="shared" si="5"/>
        <x:v>0</x:v>
      </x:c>
      <x:c r="J180" s="691">
        <x:f t="shared" si="5"/>
        <x:v>0</x:v>
      </x:c>
      <x:c r="K180" s="691">
        <x:f t="shared" si="5"/>
        <x:v>0</x:v>
      </x:c>
      <x:c r="L180" s="691">
        <x:f t="shared" si="5"/>
        <x:v>0</x:v>
      </x:c>
      <x:c r="M180" s="691">
        <x:f t="shared" si="5"/>
        <x:v>0</x:v>
      </x:c>
      <x:c r="N180" s="691">
        <x:f t="shared" si="5"/>
        <x:v>0</x:v>
      </x:c>
      <x:c r="O180" s="691">
        <x:f t="shared" si="5"/>
        <x:v>0</x:v>
      </x:c>
      <x:c r="P180" s="691">
        <x:f t="shared" si="5"/>
        <x:v>0</x:v>
      </x:c>
      <x:c r="Q180" s="691">
        <x:f t="shared" si="5"/>
        <x:v>0</x:v>
      </x:c>
      <x:c r="R180" s="691">
        <x:f t="shared" si="5"/>
        <x:v>0</x:v>
      </x:c>
      <x:c r="Z180" s="701"/>
    </x:row>
    <x:row r="181" spans="1:26" x14ac:dyDescent="0.25">
      <x:c r="A181" s="776"/>
      <x:c r="B181" s="775"/>
      <x:c r="C181" s="691" t="s">
        <x:v>73</x:v>
      </x:c>
      <x:c r="D181" s="691">
        <x:f>D103</x:f>
        <x:v>0</x:v>
      </x:c>
      <x:c r="E181" s="683"/>
      <x:c r="F181" s="683"/>
      <x:c r="G181" s="683"/>
      <x:c r="H181" s="683"/>
      <x:c r="I181" s="683"/>
      <x:c r="J181" s="683"/>
      <x:c r="K181" s="683"/>
      <x:c r="L181" s="683"/>
      <x:c r="M181" s="683"/>
      <x:c r="N181" s="683"/>
      <x:c r="O181" s="683"/>
      <x:c r="P181" s="683"/>
      <x:c r="Q181" s="683"/>
      <x:c r="R181" s="683"/>
      <x:c r="Z181" s="701"/>
    </x:row>
    <x:row r="182" spans="1:26" x14ac:dyDescent="0.25">
      <x:c r="A182" s="682"/>
      <x:c r="D182" s="683"/>
      <x:c r="E182" s="683"/>
      <x:c r="F182" s="683"/>
      <x:c r="G182" s="683"/>
      <x:c r="H182" s="683"/>
      <x:c r="I182" s="683"/>
      <x:c r="J182" s="683"/>
      <x:c r="K182" s="683"/>
      <x:c r="L182" s="683"/>
      <x:c r="M182" s="683"/>
      <x:c r="N182" s="683"/>
      <x:c r="O182" s="683"/>
      <x:c r="P182" s="683"/>
      <x:c r="Q182" s="683"/>
      <x:c r="R182" s="683"/>
      <x:c r="Z182" s="701"/>
    </x:row>
    <x:row r="183" spans="1:26" x14ac:dyDescent="0.25">
      <x:c r="A183" s="777" t="s">
        <x:v>161</x:v>
      </x:c>
      <x:c r="B183" s="775" t="s">
        <x:v>132</x:v>
      </x:c>
      <x:c r="C183" s="700" t="s">
        <x:v>70</x:v>
      </x:c>
      <x:c r="D183" s="700">
        <x:v>0</x:v>
      </x:c>
      <x:c r="E183" s="700">
        <x:v>0</x:v>
      </x:c>
      <x:c r="F183" s="700">
        <x:v>0</x:v>
      </x:c>
      <x:c r="G183" s="700">
        <x:v>0</x:v>
      </x:c>
      <x:c r="H183" s="700">
        <x:v>0</x:v>
      </x:c>
      <x:c r="I183" s="700">
        <x:v>0</x:v>
      </x:c>
      <x:c r="J183" s="700">
        <x:v>0</x:v>
      </x:c>
      <x:c r="K183" s="700">
        <x:v>0</x:v>
      </x:c>
      <x:c r="L183" s="700">
        <x:v>0</x:v>
      </x:c>
      <x:c r="M183" s="700">
        <x:v>0</x:v>
      </x:c>
      <x:c r="N183" s="700">
        <x:v>0</x:v>
      </x:c>
      <x:c r="O183" s="700">
        <x:v>0</x:v>
      </x:c>
      <x:c r="P183" s="700">
        <x:v>0</x:v>
      </x:c>
      <x:c r="Q183" s="700">
        <x:v>0</x:v>
      </x:c>
      <x:c r="R183" s="700">
        <x:v>0</x:v>
      </x:c>
      <x:c r="Z183" s="701"/>
    </x:row>
    <x:row r="184" spans="1:26" x14ac:dyDescent="0.25">
      <x:c r="A184" s="777"/>
      <x:c r="B184" s="775"/>
      <x:c r="C184" s="700" t="s">
        <x:v>73</x:v>
      </x:c>
      <x:c r="D184" s="700">
        <x:v>0</x:v>
      </x:c>
      <x:c r="E184" s="683"/>
      <x:c r="F184" s="683"/>
      <x:c r="G184" s="683"/>
      <x:c r="H184" s="683"/>
      <x:c r="I184" s="683"/>
      <x:c r="J184" s="683"/>
      <x:c r="K184" s="683"/>
      <x:c r="L184" s="683"/>
      <x:c r="M184" s="683"/>
      <x:c r="N184" s="683"/>
      <x:c r="O184" s="683"/>
      <x:c r="P184" s="683"/>
      <x:c r="Q184" s="683"/>
      <x:c r="Z184" s="701"/>
    </x:row>
    <x:row r="185" spans="1:26" x14ac:dyDescent="0.25">
      <x:c r="A185" s="701"/>
      <x:c r="B185" s="701"/>
      <x:c r="C185" s="701"/>
      <x:c r="D185" s="701"/>
      <x:c r="E185" s="701"/>
      <x:c r="F185" s="701"/>
      <x:c r="G185" s="701"/>
      <x:c r="H185" s="701"/>
      <x:c r="I185" s="701"/>
      <x:c r="J185" s="701"/>
      <x:c r="K185" s="701"/>
      <x:c r="L185" s="701"/>
      <x:c r="M185" s="701"/>
      <x:c r="N185" s="701"/>
      <x:c r="O185" s="701"/>
      <x:c r="P185" s="701"/>
      <x:c r="Q185" s="701"/>
      <x:c r="R185" s="701"/>
      <x:c r="S185" s="701"/>
      <x:c r="T185" s="701"/>
      <x:c r="U185" s="701"/>
      <x:c r="V185" s="701"/>
      <x:c r="W185" s="701"/>
      <x:c r="X185" s="701"/>
      <x:c r="Y185" s="701"/>
      <x:c r="Z185" s="701"/>
    </x:row>
    <x:row r="186" spans="1:26" x14ac:dyDescent="0.25">
      <x:c r="B186" s="707" t="s">
        <x:v>76</x:v>
      </x:c>
      <x:c r="D186" t="n">
        <x:v>-5571961</x:v>
      </x:c>
      <x:c r="P186" t="n">
        <x:v>0</x:v>
      </x:c>
      <x:c r="Z186" s="701"/>
    </x:row>
    <x:row r="187" spans="1:26" s="682" customFormat="1" x14ac:dyDescent="0.25">
      <x:c r="D187" s="704" t="s">
        <x:v>70</x:v>
      </x:c>
      <x:c r="E187" s="704" t="s">
        <x:v>64</x:v>
      </x:c>
      <x:c r="F187" s="704" t="s">
        <x:v>65</x:v>
      </x:c>
      <x:c r="G187" s="705" t="s">
        <x:v>164</x:v>
      </x:c>
      <x:c r="H187" s="704" t="s">
        <x:v>69</x:v>
      </x:c>
      <x:c r="I187" s="704" t="s">
        <x:v>68</x:v>
      </x:c>
      <x:c r="J187" s="704" t="s">
        <x:v>66</x:v>
      </x:c>
      <x:c r="K187" s="704" t="s">
        <x:v>63</x:v>
      </x:c>
      <x:c r="L187" s="704" t="s">
        <x:v>61</x:v>
      </x:c>
      <x:c r="M187" s="704" t="s">
        <x:v>62</x:v>
      </x:c>
      <x:c r="N187" s="704" t="s">
        <x:v>67</x:v>
      </x:c>
      <x:c r="O187" s="704" t="s">
        <x:v>77</x:v>
      </x:c>
      <x:c r="P187" s="682" t="s">
        <x:v>71</x:v>
      </x:c>
      <x:c r="Q187" s="704" t="s">
        <x:v>80</x:v>
      </x:c>
      <x:c r="R187" s="682" t="s">
        <x:v>167</x:v>
      </x:c>
      <x:c r="Z187" s="706"/>
    </x:row>
    <x:row r="188" spans="1:26" x14ac:dyDescent="0.25">
      <x:c r="B188" s="683"/>
      <x:c r="C188" s="683" t="s">
        <x:v>72</x:v>
      </x:c>
      <x:c r="D188" s="683">
        <x:v>0</x:v>
      </x:c>
      <x:c r="E188" s="683">
        <x:v>0</x:v>
      </x:c>
      <x:c r="F188" s="683">
        <x:v>0</x:v>
      </x:c>
      <x:c r="G188" s="683">
        <x:v>0</x:v>
      </x:c>
      <x:c r="H188" s="683">
        <x:v>0</x:v>
      </x:c>
      <x:c r="I188" s="683">
        <x:v>0</x:v>
      </x:c>
      <x:c r="J188" s="683">
        <x:v>0</x:v>
      </x:c>
      <x:c r="K188" s="683">
        <x:v>0</x:v>
      </x:c>
      <x:c r="L188" s="683">
        <x:v>0</x:v>
      </x:c>
      <x:c r="M188" s="683">
        <x:v>0</x:v>
      </x:c>
      <x:c r="N188" s="683">
        <x:v>0</x:v>
      </x:c>
      <x:c r="O188" s="683">
        <x:v>0</x:v>
      </x:c>
      <x:c r="P188" s="681">
        <x:v>0</x:v>
      </x:c>
      <x:c r="Q188" s="683">
        <x:v>0</x:v>
      </x:c>
      <x:c r="R188" s="683">
        <x:v>0</x:v>
      </x:c>
      <x:c r="Z188" s="701"/>
    </x:row>
    <x:row r="189" spans="1:26" x14ac:dyDescent="0.25">
      <x:c r="B189" s="683"/>
      <x:c r="C189" s="683" t="s">
        <x:v>81</x:v>
      </x:c>
      <x:c r="D189" s="683">
        <x:v>0</x:v>
      </x:c>
      <x:c r="E189" s="683">
        <x:v>0</x:v>
      </x:c>
      <x:c r="F189" s="683">
        <x:v>0</x:v>
      </x:c>
      <x:c r="G189" s="683">
        <x:v>0</x:v>
      </x:c>
      <x:c r="H189" s="683">
        <x:v>0</x:v>
      </x:c>
      <x:c r="I189" s="683">
        <x:v>0</x:v>
      </x:c>
      <x:c r="J189" s="683">
        <x:v>0</x:v>
      </x:c>
      <x:c r="K189" s="683">
        <x:v>0</x:v>
      </x:c>
      <x:c r="L189" s="683">
        <x:v>0</x:v>
      </x:c>
      <x:c r="M189" s="683">
        <x:v>0</x:v>
      </x:c>
      <x:c r="N189" s="683">
        <x:v>0</x:v>
      </x:c>
      <x:c r="O189" s="683">
        <x:v>0</x:v>
      </x:c>
      <x:c r="P189" s="681">
        <x:v>0</x:v>
      </x:c>
      <x:c r="Q189" s="683">
        <x:v>0</x:v>
      </x:c>
      <x:c r="R189" s="683">
        <x:v>0</x:v>
      </x:c>
      <x:c r="Z189" s="701"/>
    </x:row>
    <x:row r="190" spans="1:26" x14ac:dyDescent="0.25">
      <x:c r="A190" s="684"/>
      <x:c r="B190" s="685" t="s">
        <x:v>78</x:v>
      </x:c>
      <x:c r="C190" s="685" t="s">
        <x:v>70</x:v>
      </x:c>
      <x:c r="D190" s="685">
        <x:v>0</x:v>
      </x:c>
      <x:c r="E190" s="685">
        <x:v>0</x:v>
      </x:c>
      <x:c r="F190" s="685">
        <x:v>0</x:v>
      </x:c>
      <x:c r="G190" s="685">
        <x:v>0</x:v>
      </x:c>
      <x:c r="H190" s="685">
        <x:v>0</x:v>
      </x:c>
      <x:c r="I190" s="685">
        <x:v>0</x:v>
      </x:c>
      <x:c r="J190" s="685">
        <x:v>0</x:v>
      </x:c>
      <x:c r="K190" s="685">
        <x:v>0</x:v>
      </x:c>
      <x:c r="L190" s="685">
        <x:v>0</x:v>
      </x:c>
      <x:c r="M190" s="685">
        <x:v>0</x:v>
      </x:c>
      <x:c r="N190" s="685">
        <x:v>0</x:v>
      </x:c>
      <x:c r="O190" s="685">
        <x:v>0</x:v>
      </x:c>
      <x:c r="P190" s="684">
        <x:v>0</x:v>
      </x:c>
      <x:c r="Q190" s="685">
        <x:v>0</x:v>
      </x:c>
      <x:c r="R190" s="685">
        <x:v>0</x:v>
      </x:c>
      <x:c r="S190" s="684"/>
      <x:c r="T190" s="684"/>
      <x:c r="U190" s="684"/>
      <x:c r="V190" s="684"/>
      <x:c r="W190" s="684"/>
      <x:c r="X190" s="684"/>
      <x:c r="Y190" s="684"/>
      <x:c r="Z190" s="701"/>
    </x:row>
    <x:row r="191" spans="1:26" x14ac:dyDescent="0.25">
      <x:c r="B191" s="683"/>
      <x:c r="C191" s="683" t="s">
        <x:v>73</x:v>
      </x:c>
      <x:c r="D191" s="683">
        <x:v>0</x:v>
      </x:c>
      <x:c r="E191" s="683">
        <x:v>0</x:v>
      </x:c>
      <x:c r="F191" s="683">
        <x:v>0</x:v>
      </x:c>
      <x:c r="G191" s="683">
        <x:v>0</x:v>
      </x:c>
      <x:c r="H191" s="683">
        <x:v>0</x:v>
      </x:c>
      <x:c r="I191" s="683">
        <x:v>0</x:v>
      </x:c>
      <x:c r="J191" s="683">
        <x:v>0</x:v>
      </x:c>
      <x:c r="K191" s="683">
        <x:v>0</x:v>
      </x:c>
      <x:c r="L191" s="683">
        <x:v>0</x:v>
      </x:c>
      <x:c r="M191" s="683">
        <x:v>0</x:v>
      </x:c>
      <x:c r="N191" s="683">
        <x:v>0</x:v>
      </x:c>
      <x:c r="O191" s="683">
        <x:v>0</x:v>
      </x:c>
      <x:c r="P191" s="681">
        <x:v>0</x:v>
      </x:c>
      <x:c r="Q191" s="683">
        <x:v>0</x:v>
      </x:c>
      <x:c r="R191" s="683">
        <x:v>0</x:v>
      </x:c>
      <x:c r="Z191" s="701"/>
    </x:row>
    <x:row r="192" spans="1:26" x14ac:dyDescent="0.25">
      <x:c r="A192" s="686"/>
      <x:c r="B192" s="687" t="s">
        <x:v>79</x:v>
      </x:c>
      <x:c r="C192" s="687" t="s">
        <x:v>70</x:v>
      </x:c>
      <x:c r="D192" s="687" t="n">
        <x:v>-10531481.89</x:v>
      </x:c>
      <x:c r="E192" s="687">
        <x:v>0</x:v>
      </x:c>
      <x:c r="F192" s="687">
        <x:v>0</x:v>
      </x:c>
      <x:c r="G192" s="687">
        <x:v>0</x:v>
      </x:c>
      <x:c r="H192" s="687">
        <x:v>0</x:v>
      </x:c>
      <x:c r="I192" s="687">
        <x:v>0</x:v>
      </x:c>
      <x:c r="J192" s="687">
        <x:v>0</x:v>
      </x:c>
      <x:c r="K192" s="687">
        <x:v>0</x:v>
      </x:c>
      <x:c r="L192" s="687">
        <x:v>0</x:v>
      </x:c>
      <x:c r="M192" s="687">
        <x:v>0</x:v>
      </x:c>
      <x:c r="N192" s="687">
        <x:v>0</x:v>
      </x:c>
      <x:c r="O192" s="687">
        <x:v>0</x:v>
      </x:c>
      <x:c r="P192" s="686" t="n">
        <x:v>0</x:v>
      </x:c>
      <x:c r="Q192" s="687">
        <x:v>0</x:v>
      </x:c>
      <x:c r="R192" s="687">
        <x:v>0</x:v>
      </x:c>
      <x:c r="S192" s="686"/>
      <x:c r="T192" s="686"/>
      <x:c r="U192" s="686"/>
      <x:c r="V192" s="686"/>
      <x:c r="W192" s="686"/>
      <x:c r="X192" s="686"/>
      <x:c r="Y192" s="686"/>
      <x:c r="Z192" s="701"/>
    </x:row>
    <x:row r="193" spans="1:26" x14ac:dyDescent="0.25">
      <x:c r="A193" s="688" t="s">
        <x:v>155</x:v>
      </x:c>
      <x:c r="B193" s="688" t="s">
        <x:v>70</x:v>
      </x:c>
      <x:c r="C193" s="688"/>
      <x:c r="D193" s="689" t="n">
        <x:v>-16103442.89</x:v>
      </x:c>
      <x:c r="E193" s="689">
        <x:v>0</x:v>
      </x:c>
      <x:c r="F193" s="689">
        <x:v>0</x:v>
      </x:c>
      <x:c r="G193" s="689">
        <x:v>0</x:v>
      </x:c>
      <x:c r="H193" s="689">
        <x:v>0</x:v>
      </x:c>
      <x:c r="I193" s="689">
        <x:v>0</x:v>
      </x:c>
      <x:c r="J193" s="689">
        <x:v>0</x:v>
      </x:c>
      <x:c r="K193" s="689">
        <x:v>0</x:v>
      </x:c>
      <x:c r="L193" s="689">
        <x:v>0</x:v>
      </x:c>
      <x:c r="M193" s="689">
        <x:v>0</x:v>
      </x:c>
      <x:c r="N193" s="689">
        <x:v>0</x:v>
      </x:c>
      <x:c r="O193" s="689">
        <x:v>0</x:v>
      </x:c>
      <x:c r="P193" s="689" t="n">
        <x:v>0</x:v>
      </x:c>
      <x:c r="Q193" s="689">
        <x:v>0</x:v>
      </x:c>
      <x:c r="R193" s="688">
        <x:v>0</x:v>
      </x:c>
      <x:c r="S193" s="688"/>
      <x:c r="T193" s="688"/>
      <x:c r="U193" s="688"/>
      <x:c r="V193" s="688"/>
      <x:c r="W193" s="688"/>
      <x:c r="X193" s="688"/>
      <x:c r="Y193" s="688"/>
      <x:c r="Z193" s="701"/>
    </x:row>
    <x:row r="194" spans="1:26" x14ac:dyDescent="0.25">
      <x:c r="B194" s="683"/>
      <x:c r="C194" s="683" t="s">
        <x:v>72</x:v>
      </x:c>
      <x:c r="D194" s="683">
        <x:v>0</x:v>
      </x:c>
      <x:c r="E194" s="683">
        <x:v>0</x:v>
      </x:c>
      <x:c r="F194" s="683">
        <x:v>0</x:v>
      </x:c>
      <x:c r="G194" s="683">
        <x:v>0</x:v>
      </x:c>
      <x:c r="H194" s="683">
        <x:v>0</x:v>
      </x:c>
      <x:c r="I194" s="683">
        <x:v>0</x:v>
      </x:c>
      <x:c r="J194" s="683">
        <x:v>0</x:v>
      </x:c>
      <x:c r="K194" s="683">
        <x:v>0</x:v>
      </x:c>
      <x:c r="L194" s="683">
        <x:v>0</x:v>
      </x:c>
      <x:c r="M194" s="683">
        <x:v>0</x:v>
      </x:c>
      <x:c r="N194" s="683">
        <x:v>0</x:v>
      </x:c>
      <x:c r="O194" s="683">
        <x:v>0</x:v>
      </x:c>
      <x:c r="P194" s="681">
        <x:v>0</x:v>
      </x:c>
      <x:c r="Q194" s="683">
        <x:v>0</x:v>
      </x:c>
      <x:c r="R194" s="683">
        <x:v>0</x:v>
      </x:c>
      <x:c r="Z194" s="701"/>
    </x:row>
    <x:row r="195" spans="1:26" x14ac:dyDescent="0.25">
      <x:c r="B195" s="683"/>
      <x:c r="C195" s="683" t="s">
        <x:v>81</x:v>
      </x:c>
      <x:c r="D195" s="683">
        <x:v>0</x:v>
      </x:c>
      <x:c r="E195" s="683">
        <x:v>0</x:v>
      </x:c>
      <x:c r="F195" s="683">
        <x:v>0</x:v>
      </x:c>
      <x:c r="G195" s="683">
        <x:v>0</x:v>
      </x:c>
      <x:c r="H195" s="683">
        <x:v>0</x:v>
      </x:c>
      <x:c r="I195" s="683">
        <x:v>0</x:v>
      </x:c>
      <x:c r="J195" s="683">
        <x:v>0</x:v>
      </x:c>
      <x:c r="K195" s="683">
        <x:v>0</x:v>
      </x:c>
      <x:c r="L195" s="683">
        <x:v>0</x:v>
      </x:c>
      <x:c r="M195" s="683">
        <x:v>0</x:v>
      </x:c>
      <x:c r="N195" s="683">
        <x:v>0</x:v>
      </x:c>
      <x:c r="O195" s="683">
        <x:v>0</x:v>
      </x:c>
      <x:c r="P195" s="681">
        <x:v>0</x:v>
      </x:c>
      <x:c r="Q195" s="683">
        <x:v>0</x:v>
      </x:c>
      <x:c r="R195" s="683">
        <x:v>0</x:v>
      </x:c>
      <x:c r="Z195" s="701"/>
    </x:row>
    <x:row r="196" spans="1:26" x14ac:dyDescent="0.25">
      <x:c r="A196" s="684"/>
      <x:c r="B196" s="685" t="s">
        <x:v>78</x:v>
      </x:c>
      <x:c r="C196" s="685" t="s">
        <x:v>70</x:v>
      </x:c>
      <x:c r="D196" s="685">
        <x:v>0</x:v>
      </x:c>
      <x:c r="E196" s="685">
        <x:v>0</x:v>
      </x:c>
      <x:c r="F196" s="685">
        <x:v>0</x:v>
      </x:c>
      <x:c r="G196" s="685">
        <x:v>0</x:v>
      </x:c>
      <x:c r="H196" s="685">
        <x:v>0</x:v>
      </x:c>
      <x:c r="I196" s="685">
        <x:v>0</x:v>
      </x:c>
      <x:c r="J196" s="685">
        <x:v>0</x:v>
      </x:c>
      <x:c r="K196" s="685">
        <x:v>0</x:v>
      </x:c>
      <x:c r="L196" s="685">
        <x:v>0</x:v>
      </x:c>
      <x:c r="M196" s="685">
        <x:v>0</x:v>
      </x:c>
      <x:c r="N196" s="685">
        <x:v>0</x:v>
      </x:c>
      <x:c r="O196" s="685">
        <x:v>0</x:v>
      </x:c>
      <x:c r="P196" s="684">
        <x:v>0</x:v>
      </x:c>
      <x:c r="Q196" s="685">
        <x:v>0</x:v>
      </x:c>
      <x:c r="R196" s="685">
        <x:v>0</x:v>
      </x:c>
      <x:c r="S196" s="684"/>
      <x:c r="T196" s="684"/>
      <x:c r="U196" s="684"/>
      <x:c r="V196" s="684"/>
      <x:c r="W196" s="684"/>
      <x:c r="X196" s="684"/>
      <x:c r="Y196" s="684"/>
      <x:c r="Z196" s="701"/>
    </x:row>
    <x:row r="197" spans="1:26" x14ac:dyDescent="0.25">
      <x:c r="B197" s="683"/>
      <x:c r="C197" s="683" t="s">
        <x:v>73</x:v>
      </x:c>
      <x:c r="D197" s="683">
        <x:v>0</x:v>
      </x:c>
      <x:c r="E197" s="683">
        <x:v>0</x:v>
      </x:c>
      <x:c r="F197" s="683">
        <x:v>0</x:v>
      </x:c>
      <x:c r="G197" s="683">
        <x:v>0</x:v>
      </x:c>
      <x:c r="H197" s="683">
        <x:v>0</x:v>
      </x:c>
      <x:c r="I197" s="683">
        <x:v>0</x:v>
      </x:c>
      <x:c r="J197" s="683">
        <x:v>0</x:v>
      </x:c>
      <x:c r="K197" s="683">
        <x:v>0</x:v>
      </x:c>
      <x:c r="L197" s="683">
        <x:v>0</x:v>
      </x:c>
      <x:c r="M197" s="683">
        <x:v>0</x:v>
      </x:c>
      <x:c r="N197" s="683">
        <x:v>0</x:v>
      </x:c>
      <x:c r="O197" s="683">
        <x:v>0</x:v>
      </x:c>
      <x:c r="P197" s="681">
        <x:v>0</x:v>
      </x:c>
      <x:c r="Q197" s="683">
        <x:v>0</x:v>
      </x:c>
      <x:c r="R197" s="683">
        <x:v>0</x:v>
      </x:c>
      <x:c r="Z197" s="701"/>
    </x:row>
    <x:row r="198" spans="1:26" x14ac:dyDescent="0.25">
      <x:c r="A198" s="686"/>
      <x:c r="B198" s="687" t="s">
        <x:v>79</x:v>
      </x:c>
      <x:c r="C198" s="687" t="s">
        <x:v>70</x:v>
      </x:c>
      <x:c r="D198" s="687">
        <x:v>0</x:v>
      </x:c>
      <x:c r="E198" s="687">
        <x:v>0</x:v>
      </x:c>
      <x:c r="F198" s="687">
        <x:v>0</x:v>
      </x:c>
      <x:c r="G198" s="687">
        <x:v>0</x:v>
      </x:c>
      <x:c r="H198" s="687">
        <x:v>0</x:v>
      </x:c>
      <x:c r="I198" s="687">
        <x:v>0</x:v>
      </x:c>
      <x:c r="J198" s="687">
        <x:v>0</x:v>
      </x:c>
      <x:c r="K198" s="687">
        <x:v>0</x:v>
      </x:c>
      <x:c r="L198" s="687">
        <x:v>0</x:v>
      </x:c>
      <x:c r="M198" s="687">
        <x:v>0</x:v>
      </x:c>
      <x:c r="N198" s="687">
        <x:v>0</x:v>
      </x:c>
      <x:c r="O198" s="687">
        <x:v>0</x:v>
      </x:c>
      <x:c r="P198" s="686">
        <x:v>0</x:v>
      </x:c>
      <x:c r="Q198" s="687">
        <x:v>0</x:v>
      </x:c>
      <x:c r="R198" s="687">
        <x:v>0</x:v>
      </x:c>
      <x:c r="S198" s="686"/>
      <x:c r="T198" s="686"/>
      <x:c r="U198" s="686"/>
      <x:c r="V198" s="686"/>
      <x:c r="W198" s="686"/>
      <x:c r="X198" s="686"/>
      <x:c r="Y198" s="686"/>
      <x:c r="Z198" s="701"/>
    </x:row>
    <x:row r="199" spans="1:26" x14ac:dyDescent="0.25">
      <x:c r="A199" s="690" t="s">
        <x:v>119</x:v>
      </x:c>
      <x:c r="B199" s="690" t="s">
        <x:v>70</x:v>
      </x:c>
      <x:c r="C199" s="690"/>
      <x:c r="D199" s="691">
        <x:v>0</x:v>
      </x:c>
      <x:c r="E199" s="691">
        <x:v>0</x:v>
      </x:c>
      <x:c r="F199" s="691">
        <x:v>0</x:v>
      </x:c>
      <x:c r="G199" s="691">
        <x:v>0</x:v>
      </x:c>
      <x:c r="H199" s="691">
        <x:v>0</x:v>
      </x:c>
      <x:c r="I199" s="691">
        <x:v>0</x:v>
      </x:c>
      <x:c r="J199" s="691">
        <x:v>0</x:v>
      </x:c>
      <x:c r="K199" s="691">
        <x:v>0</x:v>
      </x:c>
      <x:c r="L199" s="691">
        <x:v>0</x:v>
      </x:c>
      <x:c r="M199" s="691">
        <x:v>0</x:v>
      </x:c>
      <x:c r="N199" s="691">
        <x:v>0</x:v>
      </x:c>
      <x:c r="O199" s="691">
        <x:v>0</x:v>
      </x:c>
      <x:c r="P199" s="691">
        <x:v>0</x:v>
      </x:c>
      <x:c r="Q199" s="691">
        <x:v>0</x:v>
      </x:c>
      <x:c r="R199" s="690">
        <x:v>0</x:v>
      </x:c>
      <x:c r="S199" s="690"/>
      <x:c r="T199" s="690"/>
      <x:c r="U199" s="690"/>
      <x:c r="V199" s="690"/>
      <x:c r="W199" s="690"/>
      <x:c r="X199" s="690"/>
      <x:c r="Y199" s="690"/>
      <x:c r="Z199" s="701"/>
    </x:row>
    <x:row r="200" spans="1:26" x14ac:dyDescent="0.25">
      <x:c r="A200" s="692" t="s">
        <x:v>70</x:v>
      </x:c>
      <x:c r="B200" s="693"/>
      <x:c r="C200" s="693"/>
      <x:c r="D200" s="692">
        <x:v>0</x:v>
      </x:c>
      <x:c r="E200" s="692">
        <x:v>0</x:v>
      </x:c>
      <x:c r="F200" s="692">
        <x:v>0</x:v>
      </x:c>
      <x:c r="G200" s="692">
        <x:v>0</x:v>
      </x:c>
      <x:c r="H200" s="692">
        <x:v>0</x:v>
      </x:c>
      <x:c r="I200" s="692">
        <x:v>0</x:v>
      </x:c>
      <x:c r="J200" s="692">
        <x:v>0</x:v>
      </x:c>
      <x:c r="K200" s="692">
        <x:v>0</x:v>
      </x:c>
      <x:c r="L200" s="692">
        <x:v>0</x:v>
      </x:c>
      <x:c r="M200" s="692">
        <x:v>0</x:v>
      </x:c>
      <x:c r="N200" s="692">
        <x:v>0</x:v>
      </x:c>
      <x:c r="O200" s="692">
        <x:v>0</x:v>
      </x:c>
      <x:c r="P200" s="693">
        <x:v>0</x:v>
      </x:c>
      <x:c r="Q200" s="692">
        <x:v>0</x:v>
      </x:c>
      <x:c r="R200" s="692">
        <x:v>0</x:v>
      </x:c>
      <x:c r="S200" s="693"/>
      <x:c r="T200" s="693"/>
      <x:c r="U200" s="693"/>
      <x:c r="V200" s="693"/>
      <x:c r="W200" s="693"/>
      <x:c r="X200" s="693"/>
      <x:c r="Y200" s="693"/>
      <x:c r="Z200" s="701"/>
    </x:row>
    <x:row r="201" spans="1:26" x14ac:dyDescent="0.25">
      <x:c r="A201" s="683"/>
      <x:c r="D201" s="683"/>
      <x:c r="E201" s="683"/>
      <x:c r="F201" s="683"/>
      <x:c r="G201" s="683"/>
      <x:c r="H201" s="683"/>
      <x:c r="I201" s="683"/>
      <x:c r="J201" s="683"/>
      <x:c r="K201" s="683"/>
      <x:c r="L201" s="683"/>
      <x:c r="M201" s="683"/>
      <x:c r="N201" s="683"/>
      <x:c r="O201" s="683"/>
      <x:c r="Z201" s="701"/>
    </x:row>
    <x:row r="202" spans="1:26" x14ac:dyDescent="0.25">
      <x:c r="A202" s="683"/>
      <x:c r="D202" s="683"/>
      <x:c r="E202" s="683"/>
      <x:c r="F202" s="683"/>
      <x:c r="G202" s="683"/>
      <x:c r="H202" s="683"/>
      <x:c r="I202" s="683"/>
      <x:c r="J202" s="683"/>
      <x:c r="K202" s="683"/>
      <x:c r="L202" s="683"/>
      <x:c r="M202" s="683"/>
      <x:c r="N202" s="683"/>
      <x:c r="O202" s="683"/>
      <x:c r="Z202" s="701"/>
    </x:row>
    <x:row r="203" spans="1:26" x14ac:dyDescent="0.25">
      <x:c r="A203" s="683"/>
      <x:c r="D203" s="683"/>
      <x:c r="E203" s="683"/>
      <x:c r="F203" s="683"/>
      <x:c r="G203" s="683"/>
      <x:c r="H203" s="683"/>
      <x:c r="I203" s="683"/>
      <x:c r="J203" s="683"/>
      <x:c r="K203" s="683"/>
      <x:c r="L203" s="683"/>
      <x:c r="M203" s="683"/>
      <x:c r="N203" s="683"/>
      <x:c r="O203" s="683"/>
      <x:c r="Z203" s="701"/>
    </x:row>
    <x:row r="204" spans="1:26" x14ac:dyDescent="0.25">
      <x:c r="A204" s="683"/>
      <x:c r="D204" s="683"/>
      <x:c r="E204" s="683"/>
      <x:c r="F204" s="683"/>
      <x:c r="G204" s="683"/>
      <x:c r="H204" s="683"/>
      <x:c r="I204" s="683"/>
      <x:c r="J204" s="683"/>
      <x:c r="K204" s="683"/>
      <x:c r="L204" s="683"/>
      <x:c r="M204" s="683"/>
      <x:c r="N204" s="683"/>
      <x:c r="O204" s="683"/>
      <x:c r="Z204" s="701"/>
    </x:row>
    <x:row r="205" spans="1:26" x14ac:dyDescent="0.25">
      <x:c r="A205" s="776" t="s">
        <x:v>2</x:v>
      </x:c>
      <x:c r="B205" s="775" t="s">
        <x:v>132</x:v>
      </x:c>
      <x:c r="C205" s="696" t="s">
        <x:v>70</x:v>
      </x:c>
      <x:c r="D205" s="696">
        <x:f>D200-P200</x:f>
        <x:v>0</x:v>
      </x:c>
      <x:c r="E205" s="696">
        <x:f>E196+E190</x:f>
        <x:v>0</x:v>
      </x:c>
      <x:c r="F205" s="696">
        <x:f t="shared" ref="F205:R205" si="6">F196+F190</x:f>
        <x:v>0</x:v>
      </x:c>
      <x:c r="G205" s="696">
        <x:f t="shared" si="6"/>
        <x:v>0</x:v>
      </x:c>
      <x:c r="H205" s="696">
        <x:f t="shared" si="6"/>
        <x:v>0</x:v>
      </x:c>
      <x:c r="I205" s="696">
        <x:f t="shared" si="6"/>
        <x:v>0</x:v>
      </x:c>
      <x:c r="J205" s="696">
        <x:f t="shared" si="6"/>
        <x:v>0</x:v>
      </x:c>
      <x:c r="K205" s="696">
        <x:f t="shared" si="6"/>
        <x:v>0</x:v>
      </x:c>
      <x:c r="L205" s="696">
        <x:f t="shared" si="6"/>
        <x:v>0</x:v>
      </x:c>
      <x:c r="M205" s="696">
        <x:f t="shared" si="6"/>
        <x:v>0</x:v>
      </x:c>
      <x:c r="N205" s="696">
        <x:f t="shared" si="6"/>
        <x:v>0</x:v>
      </x:c>
      <x:c r="O205" s="696">
        <x:f t="shared" si="6"/>
        <x:v>0</x:v>
      </x:c>
      <x:c r="P205" s="696">
        <x:f t="shared" si="6"/>
        <x:v>0</x:v>
      </x:c>
      <x:c r="Q205" s="696">
        <x:f t="shared" si="6"/>
        <x:v>0</x:v>
      </x:c>
      <x:c r="R205" s="696">
        <x:f t="shared" si="6"/>
        <x:v>0</x:v>
      </x:c>
      <x:c r="Z205" s="701"/>
    </x:row>
    <x:row r="206" spans="1:26" x14ac:dyDescent="0.25">
      <x:c r="A206" s="776"/>
      <x:c r="B206" s="775"/>
      <x:c r="C206" s="696" t="s">
        <x:v>73</x:v>
      </x:c>
      <x:c r="D206" s="696">
        <x:f>D198+D192</x:f>
        <x:v>0</x:v>
      </x:c>
      <x:c r="E206" s="683"/>
      <x:c r="F206" s="683"/>
      <x:c r="G206" s="683"/>
      <x:c r="H206" s="683"/>
      <x:c r="I206" s="683"/>
      <x:c r="J206" s="683"/>
      <x:c r="K206" s="683"/>
      <x:c r="L206" s="683"/>
      <x:c r="M206" s="683"/>
      <x:c r="N206" s="683"/>
      <x:c r="O206" s="683"/>
      <x:c r="P206" s="683"/>
      <x:c r="Q206" s="683"/>
      <x:c r="R206" s="683"/>
      <x:c r="Z206" s="701"/>
    </x:row>
    <x:row r="207" spans="1:26" x14ac:dyDescent="0.25">
      <x:c r="A207" s="682"/>
      <x:c r="D207" s="683"/>
      <x:c r="E207" s="683"/>
      <x:c r="F207" s="683"/>
      <x:c r="G207" s="683"/>
      <x:c r="H207" s="683"/>
      <x:c r="I207" s="683"/>
      <x:c r="J207" s="683"/>
      <x:c r="K207" s="683"/>
      <x:c r="L207" s="683"/>
      <x:c r="M207" s="683"/>
      <x:c r="N207" s="683"/>
      <x:c r="O207" s="683"/>
      <x:c r="P207" s="683"/>
      <x:c r="Q207" s="683"/>
      <x:c r="R207" s="683"/>
      <x:c r="Z207" s="701"/>
    </x:row>
    <x:row r="208" spans="1:26" x14ac:dyDescent="0.25">
      <x:c r="A208" s="776" t="s">
        <x:v>160</x:v>
      </x:c>
      <x:c r="B208" s="775" t="s">
        <x:v>132</x:v>
      </x:c>
      <x:c r="C208" s="697" t="s">
        <x:v>70</x:v>
      </x:c>
      <x:c r="D208" s="697">
        <x:v>0</x:v>
      </x:c>
      <x:c r="E208" s="697">
        <x:v>0</x:v>
      </x:c>
      <x:c r="F208" s="697">
        <x:v>0</x:v>
      </x:c>
      <x:c r="G208" s="697">
        <x:v>0</x:v>
      </x:c>
      <x:c r="H208" s="697">
        <x:v>0</x:v>
      </x:c>
      <x:c r="I208" s="697">
        <x:v>0</x:v>
      </x:c>
      <x:c r="J208" s="697">
        <x:v>0</x:v>
      </x:c>
      <x:c r="K208" s="697">
        <x:v>0</x:v>
      </x:c>
      <x:c r="L208" s="697">
        <x:v>0</x:v>
      </x:c>
      <x:c r="M208" s="697">
        <x:v>0</x:v>
      </x:c>
      <x:c r="N208" s="697">
        <x:v>0</x:v>
      </x:c>
      <x:c r="O208" s="697">
        <x:v>0</x:v>
      </x:c>
      <x:c r="P208" s="697">
        <x:v>0</x:v>
      </x:c>
      <x:c r="Q208" s="697">
        <x:v>0</x:v>
      </x:c>
      <x:c r="R208" s="697">
        <x:v>0</x:v>
      </x:c>
      <x:c r="Z208" s="701"/>
    </x:row>
    <x:row r="209" spans="1:26" x14ac:dyDescent="0.25">
      <x:c r="A209" s="776"/>
      <x:c r="B209" s="775"/>
      <x:c r="C209" s="697" t="s">
        <x:v>73</x:v>
      </x:c>
      <x:c r="D209" s="697">
        <x:v>0</x:v>
      </x:c>
      <x:c r="E209" s="683"/>
      <x:c r="F209" s="683"/>
      <x:c r="G209" s="683"/>
      <x:c r="H209" s="683"/>
      <x:c r="I209" s="683"/>
      <x:c r="J209" s="683"/>
      <x:c r="K209" s="683"/>
      <x:c r="L209" s="683"/>
      <x:c r="M209" s="683"/>
      <x:c r="N209" s="683"/>
      <x:c r="O209" s="683"/>
      <x:c r="P209" s="683"/>
      <x:c r="Q209" s="683"/>
      <x:c r="R209" s="683"/>
      <x:c r="Z209" s="701"/>
    </x:row>
    <x:row r="210" spans="1:26" x14ac:dyDescent="0.25">
      <x:c r="A210" s="682"/>
      <x:c r="D210" s="683"/>
      <x:c r="E210" s="683"/>
      <x:c r="F210" s="683"/>
      <x:c r="G210" s="683"/>
      <x:c r="H210" s="683"/>
      <x:c r="I210" s="683"/>
      <x:c r="J210" s="683"/>
      <x:c r="K210" s="683"/>
      <x:c r="L210" s="683"/>
      <x:c r="M210" s="683"/>
      <x:c r="N210" s="683"/>
      <x:c r="O210" s="683"/>
      <x:c r="P210" s="683"/>
      <x:c r="Q210" s="683"/>
      <x:c r="R210" s="683"/>
      <x:c r="Z210" s="701"/>
    </x:row>
    <x:row r="211" spans="1:26" x14ac:dyDescent="0.25">
      <x:c r="A211" s="776" t="s">
        <x:v>155</x:v>
      </x:c>
      <x:c r="B211" s="775" t="s">
        <x:v>132</x:v>
      </x:c>
      <x:c r="C211" s="698" t="s">
        <x:v>70</x:v>
      </x:c>
      <x:c r="D211" s="698">
        <x:f>D193-P193</x:f>
        <x:v>0</x:v>
      </x:c>
      <x:c r="E211" s="698">
        <x:f>E190</x:f>
        <x:v>0</x:v>
      </x:c>
      <x:c r="F211" s="698">
        <x:f t="shared" ref="F211:R211" si="7">F190</x:f>
        <x:v>0</x:v>
      </x:c>
      <x:c r="G211" s="698">
        <x:f t="shared" si="7"/>
        <x:v>0</x:v>
      </x:c>
      <x:c r="H211" s="698">
        <x:f t="shared" si="7"/>
        <x:v>0</x:v>
      </x:c>
      <x:c r="I211" s="698">
        <x:f t="shared" si="7"/>
        <x:v>0</x:v>
      </x:c>
      <x:c r="J211" s="698">
        <x:f t="shared" si="7"/>
        <x:v>0</x:v>
      </x:c>
      <x:c r="K211" s="698">
        <x:f t="shared" si="7"/>
        <x:v>0</x:v>
      </x:c>
      <x:c r="L211" s="698">
        <x:f t="shared" si="7"/>
        <x:v>0</x:v>
      </x:c>
      <x:c r="M211" s="698">
        <x:f t="shared" si="7"/>
        <x:v>0</x:v>
      </x:c>
      <x:c r="N211" s="698">
        <x:f t="shared" si="7"/>
        <x:v>0</x:v>
      </x:c>
      <x:c r="O211" s="698">
        <x:f t="shared" si="7"/>
        <x:v>0</x:v>
      </x:c>
      <x:c r="P211" s="698">
        <x:f t="shared" si="7"/>
        <x:v>0</x:v>
      </x:c>
      <x:c r="Q211" s="698">
        <x:f t="shared" si="7"/>
        <x:v>0</x:v>
      </x:c>
      <x:c r="R211" s="698">
        <x:f t="shared" si="7"/>
        <x:v>0</x:v>
      </x:c>
      <x:c r="Z211" s="701"/>
    </x:row>
    <x:row r="212" spans="1:26" x14ac:dyDescent="0.25">
      <x:c r="A212" s="776"/>
      <x:c r="B212" s="775"/>
      <x:c r="C212" s="698" t="s">
        <x:v>73</x:v>
      </x:c>
      <x:c r="D212" s="698">
        <x:f>D192</x:f>
        <x:v>0</x:v>
      </x:c>
      <x:c r="E212" s="683"/>
      <x:c r="F212" s="683"/>
      <x:c r="G212" s="683"/>
      <x:c r="H212" s="683"/>
      <x:c r="I212" s="683"/>
      <x:c r="J212" s="683"/>
      <x:c r="K212" s="683"/>
      <x:c r="L212" s="683"/>
      <x:c r="M212" s="683"/>
      <x:c r="N212" s="683"/>
      <x:c r="O212" s="683"/>
      <x:c r="P212" s="683"/>
      <x:c r="Q212" s="683"/>
      <x:c r="R212" s="683"/>
      <x:c r="Z212" s="701"/>
    </x:row>
    <x:row r="213" spans="1:26" x14ac:dyDescent="0.25">
      <x:c r="A213" s="694"/>
      <x:c r="B213" s="695"/>
      <x:c r="C213" s="683"/>
      <x:c r="D213" s="683"/>
      <x:c r="E213" s="683"/>
      <x:c r="F213" s="683"/>
      <x:c r="G213" s="683"/>
      <x:c r="H213" s="683"/>
      <x:c r="I213" s="683"/>
      <x:c r="J213" s="683"/>
      <x:c r="K213" s="683"/>
      <x:c r="L213" s="683"/>
      <x:c r="M213" s="683"/>
      <x:c r="N213" s="683"/>
      <x:c r="O213" s="683"/>
      <x:c r="P213" s="683"/>
      <x:c r="Q213" s="683"/>
      <x:c r="R213" s="683"/>
      <x:c r="Z213" s="701"/>
    </x:row>
    <x:row r="214" spans="1:26" x14ac:dyDescent="0.25">
      <x:c r="A214" s="774" t="s">
        <x:v>326</x:v>
      </x:c>
      <x:c r="B214" s="775" t="s">
        <x:v>132</x:v>
      </x:c>
      <x:c r="C214" s="698" t="s">
        <x:v>70</x:v>
      </x:c>
      <x:c r="D214" s="699">
        <x:v>0</x:v>
      </x:c>
      <x:c r="E214" s="699">
        <x:v>0</x:v>
      </x:c>
      <x:c r="F214" s="699">
        <x:v>0</x:v>
      </x:c>
      <x:c r="G214" s="699">
        <x:v>0</x:v>
      </x:c>
      <x:c r="H214" s="699">
        <x:v>0</x:v>
      </x:c>
      <x:c r="I214" s="699">
        <x:v>0</x:v>
      </x:c>
      <x:c r="J214" s="699">
        <x:v>0</x:v>
      </x:c>
      <x:c r="K214" s="699">
        <x:v>0</x:v>
      </x:c>
      <x:c r="L214" s="699">
        <x:v>0</x:v>
      </x:c>
      <x:c r="M214" s="699">
        <x:v>0</x:v>
      </x:c>
      <x:c r="N214" s="699">
        <x:v>0</x:v>
      </x:c>
      <x:c r="O214" s="699">
        <x:v>0</x:v>
      </x:c>
      <x:c r="P214" s="699">
        <x:v>0</x:v>
      </x:c>
      <x:c r="Q214" s="699">
        <x:v>0</x:v>
      </x:c>
      <x:c r="R214" s="699">
        <x:v>0</x:v>
      </x:c>
      <x:c r="Z214" s="701"/>
    </x:row>
    <x:row r="215" spans="1:26" x14ac:dyDescent="0.25">
      <x:c r="A215" s="774"/>
      <x:c r="B215" s="775"/>
      <x:c r="C215" s="698" t="s">
        <x:v>73</x:v>
      </x:c>
      <x:c r="D215" s="699">
        <x:v>0</x:v>
      </x:c>
      <x:c r="E215" s="683"/>
      <x:c r="F215" s="683"/>
      <x:c r="G215" s="683"/>
      <x:c r="H215" s="683"/>
      <x:c r="I215" s="683"/>
      <x:c r="J215" s="683"/>
      <x:c r="K215" s="683"/>
      <x:c r="L215" s="683"/>
      <x:c r="M215" s="683"/>
      <x:c r="N215" s="683"/>
      <x:c r="O215" s="683"/>
      <x:c r="P215" s="683"/>
      <x:c r="Q215" s="683"/>
      <x:c r="Z215" s="701"/>
    </x:row>
    <x:row r="216" spans="1:26" x14ac:dyDescent="0.25">
      <x:c r="A216" s="682"/>
      <x:c r="D216" s="683"/>
      <x:c r="E216" s="683"/>
      <x:c r="F216" s="683"/>
      <x:c r="G216" s="683"/>
      <x:c r="H216" s="683"/>
      <x:c r="I216" s="683"/>
      <x:c r="J216" s="683"/>
      <x:c r="K216" s="683"/>
      <x:c r="L216" s="683"/>
      <x:c r="M216" s="683"/>
      <x:c r="N216" s="683"/>
      <x:c r="O216" s="683"/>
      <x:c r="P216" s="683"/>
      <x:c r="Q216" s="683"/>
      <x:c r="R216" s="683"/>
      <x:c r="Z216" s="701"/>
    </x:row>
    <x:row r="217" spans="1:26" x14ac:dyDescent="0.25">
      <x:c r="A217" s="776" t="s">
        <x:v>119</x:v>
      </x:c>
      <x:c r="B217" s="775" t="s">
        <x:v>132</x:v>
      </x:c>
      <x:c r="C217" s="691" t="s">
        <x:v>70</x:v>
      </x:c>
      <x:c r="D217" s="691">
        <x:f>D199-P199</x:f>
        <x:v>0</x:v>
      </x:c>
      <x:c r="E217" s="691">
        <x:f>E196</x:f>
        <x:v>0</x:v>
      </x:c>
      <x:c r="F217" s="691">
        <x:f t="shared" ref="F217:R217" si="8">F196</x:f>
        <x:v>0</x:v>
      </x:c>
      <x:c r="G217" s="691">
        <x:f t="shared" si="8"/>
        <x:v>0</x:v>
      </x:c>
      <x:c r="H217" s="691">
        <x:f t="shared" si="8"/>
        <x:v>0</x:v>
      </x:c>
      <x:c r="I217" s="691">
        <x:f t="shared" si="8"/>
        <x:v>0</x:v>
      </x:c>
      <x:c r="J217" s="691">
        <x:f t="shared" si="8"/>
        <x:v>0</x:v>
      </x:c>
      <x:c r="K217" s="691">
        <x:f t="shared" si="8"/>
        <x:v>0</x:v>
      </x:c>
      <x:c r="L217" s="691">
        <x:f t="shared" si="8"/>
        <x:v>0</x:v>
      </x:c>
      <x:c r="M217" s="691">
        <x:f t="shared" si="8"/>
        <x:v>0</x:v>
      </x:c>
      <x:c r="N217" s="691">
        <x:f t="shared" si="8"/>
        <x:v>0</x:v>
      </x:c>
      <x:c r="O217" s="691">
        <x:f t="shared" si="8"/>
        <x:v>0</x:v>
      </x:c>
      <x:c r="P217" s="691">
        <x:f t="shared" si="8"/>
        <x:v>0</x:v>
      </x:c>
      <x:c r="Q217" s="691">
        <x:f t="shared" si="8"/>
        <x:v>0</x:v>
      </x:c>
      <x:c r="R217" s="691">
        <x:f t="shared" si="8"/>
        <x:v>0</x:v>
      </x:c>
      <x:c r="Z217" s="701"/>
    </x:row>
    <x:row r="218" spans="1:26" x14ac:dyDescent="0.25">
      <x:c r="A218" s="776"/>
      <x:c r="B218" s="775"/>
      <x:c r="C218" s="691" t="s">
        <x:v>73</x:v>
      </x:c>
      <x:c r="D218" s="691">
        <x:f>D198</x:f>
        <x:v>0</x:v>
      </x:c>
      <x:c r="E218" s="683"/>
      <x:c r="F218" s="683"/>
      <x:c r="G218" s="683"/>
      <x:c r="H218" s="683"/>
      <x:c r="I218" s="683"/>
      <x:c r="J218" s="683"/>
      <x:c r="K218" s="683"/>
      <x:c r="L218" s="683"/>
      <x:c r="M218" s="683"/>
      <x:c r="N218" s="683"/>
      <x:c r="O218" s="683"/>
      <x:c r="P218" s="683"/>
      <x:c r="Q218" s="683"/>
      <x:c r="R218" s="683"/>
      <x:c r="Z218" s="701"/>
    </x:row>
    <x:row r="219" spans="1:26" x14ac:dyDescent="0.25">
      <x:c r="A219" s="682"/>
      <x:c r="D219" s="683"/>
      <x:c r="E219" s="683"/>
      <x:c r="F219" s="683"/>
      <x:c r="G219" s="683"/>
      <x:c r="H219" s="683"/>
      <x:c r="I219" s="683"/>
      <x:c r="J219" s="683"/>
      <x:c r="K219" s="683"/>
      <x:c r="L219" s="683"/>
      <x:c r="M219" s="683"/>
      <x:c r="N219" s="683"/>
      <x:c r="O219" s="683"/>
      <x:c r="P219" s="683"/>
      <x:c r="Q219" s="683"/>
      <x:c r="R219" s="683"/>
      <x:c r="Z219" s="701"/>
    </x:row>
    <x:row r="220" spans="1:26" x14ac:dyDescent="0.25">
      <x:c r="A220" s="777" t="s">
        <x:v>161</x:v>
      </x:c>
      <x:c r="B220" s="775" t="s">
        <x:v>132</x:v>
      </x:c>
      <x:c r="C220" s="700" t="s">
        <x:v>70</x:v>
      </x:c>
      <x:c r="D220" s="700">
        <x:v>0</x:v>
      </x:c>
      <x:c r="E220" s="700">
        <x:v>0</x:v>
      </x:c>
      <x:c r="F220" s="700">
        <x:v>0</x:v>
      </x:c>
      <x:c r="G220" s="700">
        <x:v>0</x:v>
      </x:c>
      <x:c r="H220" s="700">
        <x:v>0</x:v>
      </x:c>
      <x:c r="I220" s="700">
        <x:v>0</x:v>
      </x:c>
      <x:c r="J220" s="700">
        <x:v>0</x:v>
      </x:c>
      <x:c r="K220" s="700">
        <x:v>0</x:v>
      </x:c>
      <x:c r="L220" s="700">
        <x:v>0</x:v>
      </x:c>
      <x:c r="M220" s="700">
        <x:v>0</x:v>
      </x:c>
      <x:c r="N220" s="700">
        <x:v>0</x:v>
      </x:c>
      <x:c r="O220" s="700">
        <x:v>0</x:v>
      </x:c>
      <x:c r="P220" s="700">
        <x:v>0</x:v>
      </x:c>
      <x:c r="Q220" s="700">
        <x:v>0</x:v>
      </x:c>
      <x:c r="R220" s="700">
        <x:v>0</x:v>
      </x:c>
      <x:c r="Z220" s="701"/>
    </x:row>
    <x:row r="221" spans="1:26" x14ac:dyDescent="0.25">
      <x:c r="A221" s="777"/>
      <x:c r="B221" s="775"/>
      <x:c r="C221" s="700" t="s">
        <x:v>73</x:v>
      </x:c>
      <x:c r="D221" s="700">
        <x:v>0</x:v>
      </x:c>
      <x:c r="E221" s="683"/>
      <x:c r="F221" s="683"/>
      <x:c r="G221" s="683"/>
      <x:c r="H221" s="683"/>
      <x:c r="I221" s="683"/>
      <x:c r="J221" s="683"/>
      <x:c r="K221" s="683"/>
      <x:c r="L221" s="683"/>
      <x:c r="M221" s="683"/>
      <x:c r="N221" s="683"/>
      <x:c r="O221" s="683"/>
      <x:c r="P221" s="683"/>
      <x:c r="Q221" s="683"/>
      <x:c r="Z221" s="701"/>
    </x:row>
    <x:row r="222" spans="1:26" x14ac:dyDescent="0.25">
      <x:c r="A222" s="701"/>
      <x:c r="B222" s="701"/>
      <x:c r="C222" s="701"/>
      <x:c r="D222" s="701"/>
      <x:c r="E222" s="701"/>
      <x:c r="F222" s="701"/>
      <x:c r="G222" s="701"/>
      <x:c r="H222" s="701"/>
      <x:c r="I222" s="701"/>
      <x:c r="J222" s="701"/>
      <x:c r="K222" s="701"/>
      <x:c r="L222" s="701"/>
      <x:c r="M222" s="701"/>
      <x:c r="N222" s="701"/>
      <x:c r="O222" s="701"/>
      <x:c r="P222" s="701"/>
      <x:c r="Q222" s="701"/>
      <x:c r="R222" s="701"/>
      <x:c r="S222" s="701"/>
      <x:c r="T222" s="701"/>
      <x:c r="U222" s="701"/>
      <x:c r="V222" s="701"/>
      <x:c r="W222" s="701"/>
      <x:c r="X222" s="701"/>
      <x:c r="Y222" s="701"/>
      <x:c r="Z222" s="701"/>
    </x:row>
    <x:row r="223" spans="1:26" x14ac:dyDescent="0.25">
      <x:c r="B223" s="707" t="s">
        <x:v>88</x:v>
      </x:c>
      <x:c r="D223" t="n">
        <x:v>-15968186.61</x:v>
      </x:c>
      <x:c r="P223" t="n">
        <x:v>0</x:v>
      </x:c>
      <x:c r="Z223" s="701"/>
    </x:row>
    <x:row r="224" spans="1:26" s="682" customFormat="1" x14ac:dyDescent="0.25">
      <x:c r="D224" s="704" t="s">
        <x:v>70</x:v>
      </x:c>
      <x:c r="E224" s="704" t="s">
        <x:v>64</x:v>
      </x:c>
      <x:c r="F224" s="704" t="s">
        <x:v>65</x:v>
      </x:c>
      <x:c r="G224" s="705" t="s">
        <x:v>164</x:v>
      </x:c>
      <x:c r="H224" s="704" t="s">
        <x:v>69</x:v>
      </x:c>
      <x:c r="I224" s="704" t="s">
        <x:v>68</x:v>
      </x:c>
      <x:c r="J224" s="704" t="s">
        <x:v>66</x:v>
      </x:c>
      <x:c r="K224" s="704" t="s">
        <x:v>63</x:v>
      </x:c>
      <x:c r="L224" s="704" t="s">
        <x:v>61</x:v>
      </x:c>
      <x:c r="M224" s="704" t="s">
        <x:v>62</x:v>
      </x:c>
      <x:c r="N224" s="704" t="s">
        <x:v>67</x:v>
      </x:c>
      <x:c r="O224" s="704" t="s">
        <x:v>77</x:v>
      </x:c>
      <x:c r="P224" s="682" t="s">
        <x:v>71</x:v>
      </x:c>
      <x:c r="Q224" s="704" t="s">
        <x:v>80</x:v>
      </x:c>
      <x:c r="R224" s="682" t="s">
        <x:v>167</x:v>
      </x:c>
      <x:c r="Z224" s="706"/>
    </x:row>
    <x:row r="225" spans="1:26" x14ac:dyDescent="0.25">
      <x:c r="C225" s="681" t="s">
        <x:v>72</x:v>
      </x:c>
      <x:c r="D225" s="683">
        <x:v>0</x:v>
      </x:c>
      <x:c r="E225" s="683">
        <x:v>0</x:v>
      </x:c>
      <x:c r="F225" s="683">
        <x:v>0</x:v>
      </x:c>
      <x:c r="G225" s="683">
        <x:v>0</x:v>
      </x:c>
      <x:c r="H225" s="683">
        <x:v>0</x:v>
      </x:c>
      <x:c r="I225" s="683">
        <x:v>0</x:v>
      </x:c>
      <x:c r="J225" s="683">
        <x:v>0</x:v>
      </x:c>
      <x:c r="K225" s="683">
        <x:v>0</x:v>
      </x:c>
      <x:c r="L225" s="683">
        <x:v>0</x:v>
      </x:c>
      <x:c r="M225" s="683">
        <x:v>0</x:v>
      </x:c>
      <x:c r="N225" s="683">
        <x:v>0</x:v>
      </x:c>
      <x:c r="O225" s="683">
        <x:v>0</x:v>
      </x:c>
      <x:c r="P225" s="683">
        <x:v>0</x:v>
      </x:c>
      <x:c r="Q225" s="683">
        <x:v>0</x:v>
      </x:c>
      <x:c r="R225" s="681">
        <x:v>0</x:v>
      </x:c>
      <x:c r="Z225" s="701"/>
    </x:row>
    <x:row r="226" spans="1:26" x14ac:dyDescent="0.25">
      <x:c r="C226" s="681" t="s">
        <x:v>81</x:v>
      </x:c>
      <x:c r="D226" s="683">
        <x:v>0</x:v>
      </x:c>
      <x:c r="E226" s="683">
        <x:v>0</x:v>
      </x:c>
      <x:c r="F226" s="683">
        <x:v>0</x:v>
      </x:c>
      <x:c r="G226" s="683">
        <x:v>0</x:v>
      </x:c>
      <x:c r="H226" s="683">
        <x:v>0</x:v>
      </x:c>
      <x:c r="I226" s="683">
        <x:v>0</x:v>
      </x:c>
      <x:c r="J226" s="683">
        <x:v>0</x:v>
      </x:c>
      <x:c r="K226" s="683">
        <x:v>0</x:v>
      </x:c>
      <x:c r="L226" s="683">
        <x:v>0</x:v>
      </x:c>
      <x:c r="M226" s="683">
        <x:v>0</x:v>
      </x:c>
      <x:c r="N226" s="683">
        <x:v>0</x:v>
      </x:c>
      <x:c r="O226" s="683">
        <x:v>0</x:v>
      </x:c>
      <x:c r="P226" s="683">
        <x:v>0</x:v>
      </x:c>
      <x:c r="Q226" s="683">
        <x:v>0</x:v>
      </x:c>
      <x:c r="R226" s="681">
        <x:v>0</x:v>
      </x:c>
      <x:c r="Z226" s="701"/>
    </x:row>
    <x:row r="227" spans="1:26" x14ac:dyDescent="0.25">
      <x:c r="A227" s="684"/>
      <x:c r="B227" s="685" t="s">
        <x:v>78</x:v>
      </x:c>
      <x:c r="C227" s="685" t="s">
        <x:v>70</x:v>
      </x:c>
      <x:c r="D227" s="685">
        <x:v>0</x:v>
      </x:c>
      <x:c r="E227" s="685">
        <x:v>0</x:v>
      </x:c>
      <x:c r="F227" s="685">
        <x:v>0</x:v>
      </x:c>
      <x:c r="G227" s="685">
        <x:v>0</x:v>
      </x:c>
      <x:c r="H227" s="685">
        <x:v>0</x:v>
      </x:c>
      <x:c r="I227" s="685">
        <x:v>0</x:v>
      </x:c>
      <x:c r="J227" s="685">
        <x:v>0</x:v>
      </x:c>
      <x:c r="K227" s="685">
        <x:v>0</x:v>
      </x:c>
      <x:c r="L227" s="685">
        <x:v>0</x:v>
      </x:c>
      <x:c r="M227" s="685">
        <x:v>0</x:v>
      </x:c>
      <x:c r="N227" s="685">
        <x:v>0</x:v>
      </x:c>
      <x:c r="O227" s="685">
        <x:v>0</x:v>
      </x:c>
      <x:c r="P227" s="684">
        <x:v>0</x:v>
      </x:c>
      <x:c r="Q227" s="685">
        <x:v>0</x:v>
      </x:c>
      <x:c r="R227" s="685">
        <x:v>0</x:v>
      </x:c>
      <x:c r="S227" s="684"/>
      <x:c r="T227" s="684"/>
      <x:c r="U227" s="684"/>
      <x:c r="V227" s="684"/>
      <x:c r="W227" s="684"/>
      <x:c r="X227" s="684"/>
      <x:c r="Y227" s="684"/>
      <x:c r="Z227" s="701"/>
    </x:row>
    <x:row r="228" spans="1:26" x14ac:dyDescent="0.25">
      <x:c r="C228" s="681" t="s">
        <x:v>73</x:v>
      </x:c>
      <x:c r="D228" s="683">
        <x:v>0</x:v>
      </x:c>
      <x:c r="E228" s="683">
        <x:v>0</x:v>
      </x:c>
      <x:c r="F228" s="683">
        <x:v>0</x:v>
      </x:c>
      <x:c r="G228" s="683">
        <x:v>0</x:v>
      </x:c>
      <x:c r="H228" s="683">
        <x:v>0</x:v>
      </x:c>
      <x:c r="I228" s="683">
        <x:v>0</x:v>
      </x:c>
      <x:c r="J228" s="683">
        <x:v>0</x:v>
      </x:c>
      <x:c r="K228" s="683">
        <x:v>0</x:v>
      </x:c>
      <x:c r="L228" s="683">
        <x:v>0</x:v>
      </x:c>
      <x:c r="M228" s="683">
        <x:v>0</x:v>
      </x:c>
      <x:c r="N228" s="683">
        <x:v>0</x:v>
      </x:c>
      <x:c r="O228" s="683">
        <x:v>0</x:v>
      </x:c>
      <x:c r="P228" s="683">
        <x:v>0</x:v>
      </x:c>
      <x:c r="Q228" s="683">
        <x:v>0</x:v>
      </x:c>
      <x:c r="R228" s="681">
        <x:v>0</x:v>
      </x:c>
      <x:c r="Z228" s="701"/>
    </x:row>
    <x:row r="229" spans="1:26" x14ac:dyDescent="0.25">
      <x:c r="A229" s="686"/>
      <x:c r="B229" s="687" t="s">
        <x:v>79</x:v>
      </x:c>
      <x:c r="C229" s="687" t="s">
        <x:v>70</x:v>
      </x:c>
      <x:c r="D229" s="687" t="n">
        <x:v>-464370</x:v>
      </x:c>
      <x:c r="E229" s="687">
        <x:v>0</x:v>
      </x:c>
      <x:c r="F229" s="687">
        <x:v>0</x:v>
      </x:c>
      <x:c r="G229" s="687">
        <x:v>0</x:v>
      </x:c>
      <x:c r="H229" s="687">
        <x:v>0</x:v>
      </x:c>
      <x:c r="I229" s="687">
        <x:v>0</x:v>
      </x:c>
      <x:c r="J229" s="687">
        <x:v>0</x:v>
      </x:c>
      <x:c r="K229" s="687">
        <x:v>0</x:v>
      </x:c>
      <x:c r="L229" s="687">
        <x:v>0</x:v>
      </x:c>
      <x:c r="M229" s="687">
        <x:v>0</x:v>
      </x:c>
      <x:c r="N229" s="687">
        <x:v>0</x:v>
      </x:c>
      <x:c r="O229" s="687">
        <x:v>0</x:v>
      </x:c>
      <x:c r="P229" s="686" t="n">
        <x:v>0</x:v>
      </x:c>
      <x:c r="Q229" s="687">
        <x:v>0</x:v>
      </x:c>
      <x:c r="R229" s="687">
        <x:v>0</x:v>
      </x:c>
      <x:c r="S229" s="686"/>
      <x:c r="T229" s="686"/>
      <x:c r="U229" s="686"/>
      <x:c r="V229" s="686"/>
      <x:c r="W229" s="686"/>
      <x:c r="X229" s="686"/>
      <x:c r="Y229" s="686"/>
      <x:c r="Z229" s="701"/>
    </x:row>
    <x:row r="230" spans="1:26" x14ac:dyDescent="0.25">
      <x:c r="A230" s="688" t="s">
        <x:v>155</x:v>
      </x:c>
      <x:c r="B230" s="688" t="s">
        <x:v>70</x:v>
      </x:c>
      <x:c r="C230" s="688"/>
      <x:c r="D230" s="689">
        <x:v>0</x:v>
      </x:c>
      <x:c r="E230" s="689">
        <x:v>0</x:v>
      </x:c>
      <x:c r="F230" s="689">
        <x:v>0</x:v>
      </x:c>
      <x:c r="G230" s="689">
        <x:v>0</x:v>
      </x:c>
      <x:c r="H230" s="689">
        <x:v>0</x:v>
      </x:c>
      <x:c r="I230" s="689">
        <x:v>0</x:v>
      </x:c>
      <x:c r="J230" s="689">
        <x:v>0</x:v>
      </x:c>
      <x:c r="K230" s="689">
        <x:v>0</x:v>
      </x:c>
      <x:c r="L230" s="689">
        <x:v>0</x:v>
      </x:c>
      <x:c r="M230" s="689">
        <x:v>0</x:v>
      </x:c>
      <x:c r="N230" s="689">
        <x:v>0</x:v>
      </x:c>
      <x:c r="O230" s="689">
        <x:v>0</x:v>
      </x:c>
      <x:c r="P230" s="689">
        <x:v>0</x:v>
      </x:c>
      <x:c r="Q230" s="689">
        <x:v>0</x:v>
      </x:c>
      <x:c r="R230" s="688">
        <x:v>0</x:v>
      </x:c>
      <x:c r="S230" s="688"/>
      <x:c r="T230" s="688"/>
      <x:c r="U230" s="688"/>
      <x:c r="V230" s="688"/>
      <x:c r="W230" s="688"/>
      <x:c r="X230" s="688"/>
      <x:c r="Y230" s="688"/>
      <x:c r="Z230" s="701"/>
    </x:row>
    <x:row r="231" spans="1:26" x14ac:dyDescent="0.25">
      <x:c r="C231" s="681" t="s">
        <x:v>72</x:v>
      </x:c>
      <x:c r="D231" s="683">
        <x:v>0</x:v>
      </x:c>
      <x:c r="E231" s="683">
        <x:v>0</x:v>
      </x:c>
      <x:c r="F231" s="683">
        <x:v>0</x:v>
      </x:c>
      <x:c r="G231" s="683">
        <x:v>0</x:v>
      </x:c>
      <x:c r="H231" s="683">
        <x:v>0</x:v>
      </x:c>
      <x:c r="I231" s="683">
        <x:v>0</x:v>
      </x:c>
      <x:c r="J231" s="683">
        <x:v>0</x:v>
      </x:c>
      <x:c r="K231" s="683">
        <x:v>0</x:v>
      </x:c>
      <x:c r="L231" s="683">
        <x:v>0</x:v>
      </x:c>
      <x:c r="M231" s="683">
        <x:v>0</x:v>
      </x:c>
      <x:c r="N231" s="683">
        <x:v>0</x:v>
      </x:c>
      <x:c r="O231" s="683">
        <x:v>0</x:v>
      </x:c>
      <x:c r="P231" s="683">
        <x:v>0</x:v>
      </x:c>
      <x:c r="Q231" s="683">
        <x:v>0</x:v>
      </x:c>
      <x:c r="R231" s="681">
        <x:v>0</x:v>
      </x:c>
      <x:c r="Z231" s="701"/>
    </x:row>
    <x:row r="232" spans="1:26" x14ac:dyDescent="0.25">
      <x:c r="C232" s="681" t="s">
        <x:v>81</x:v>
      </x:c>
      <x:c r="D232" s="683">
        <x:v>0</x:v>
      </x:c>
      <x:c r="E232" s="683">
        <x:v>0</x:v>
      </x:c>
      <x:c r="F232" s="683">
        <x:v>0</x:v>
      </x:c>
      <x:c r="G232" s="683">
        <x:v>0</x:v>
      </x:c>
      <x:c r="H232" s="683">
        <x:v>0</x:v>
      </x:c>
      <x:c r="I232" s="683">
        <x:v>0</x:v>
      </x:c>
      <x:c r="J232" s="683">
        <x:v>0</x:v>
      </x:c>
      <x:c r="K232" s="683">
        <x:v>0</x:v>
      </x:c>
      <x:c r="L232" s="683">
        <x:v>0</x:v>
      </x:c>
      <x:c r="M232" s="683">
        <x:v>0</x:v>
      </x:c>
      <x:c r="N232" s="683">
        <x:v>0</x:v>
      </x:c>
      <x:c r="O232" s="683">
        <x:v>0</x:v>
      </x:c>
      <x:c r="P232" s="683">
        <x:v>0</x:v>
      </x:c>
      <x:c r="Q232" s="683">
        <x:v>0</x:v>
      </x:c>
      <x:c r="R232" s="681">
        <x:v>0</x:v>
      </x:c>
      <x:c r="Z232" s="701"/>
    </x:row>
    <x:row r="233" spans="1:26" x14ac:dyDescent="0.25">
      <x:c r="A233" s="684"/>
      <x:c r="B233" s="685" t="s">
        <x:v>78</x:v>
      </x:c>
      <x:c r="C233" s="685" t="s">
        <x:v>70</x:v>
      </x:c>
      <x:c r="D233" s="685">
        <x:v>0</x:v>
      </x:c>
      <x:c r="E233" s="685">
        <x:v>0</x:v>
      </x:c>
      <x:c r="F233" s="685">
        <x:v>0</x:v>
      </x:c>
      <x:c r="G233" s="685">
        <x:v>0</x:v>
      </x:c>
      <x:c r="H233" s="685">
        <x:v>0</x:v>
      </x:c>
      <x:c r="I233" s="685">
        <x:v>0</x:v>
      </x:c>
      <x:c r="J233" s="685">
        <x:v>0</x:v>
      </x:c>
      <x:c r="K233" s="685">
        <x:v>0</x:v>
      </x:c>
      <x:c r="L233" s="685">
        <x:v>0</x:v>
      </x:c>
      <x:c r="M233" s="685">
        <x:v>0</x:v>
      </x:c>
      <x:c r="N233" s="685">
        <x:v>0</x:v>
      </x:c>
      <x:c r="O233" s="685">
        <x:v>0</x:v>
      </x:c>
      <x:c r="P233" s="684">
        <x:v>0</x:v>
      </x:c>
      <x:c r="Q233" s="685">
        <x:v>0</x:v>
      </x:c>
      <x:c r="R233" s="685">
        <x:v>0</x:v>
      </x:c>
      <x:c r="S233" s="684"/>
      <x:c r="T233" s="684"/>
      <x:c r="U233" s="684"/>
      <x:c r="V233" s="684"/>
      <x:c r="W233" s="684"/>
      <x:c r="X233" s="684"/>
      <x:c r="Y233" s="684"/>
      <x:c r="Z233" s="701"/>
    </x:row>
    <x:row r="234" spans="1:26" x14ac:dyDescent="0.25">
      <x:c r="C234" s="681" t="s">
        <x:v>73</x:v>
      </x:c>
      <x:c r="D234" s="683">
        <x:v>0</x:v>
      </x:c>
      <x:c r="E234" s="683">
        <x:v>0</x:v>
      </x:c>
      <x:c r="F234" s="683">
        <x:v>0</x:v>
      </x:c>
      <x:c r="G234" s="683">
        <x:v>0</x:v>
      </x:c>
      <x:c r="H234" s="683">
        <x:v>0</x:v>
      </x:c>
      <x:c r="I234" s="683">
        <x:v>0</x:v>
      </x:c>
      <x:c r="J234" s="683">
        <x:v>0</x:v>
      </x:c>
      <x:c r="K234" s="683">
        <x:v>0</x:v>
      </x:c>
      <x:c r="L234" s="683">
        <x:v>0</x:v>
      </x:c>
      <x:c r="M234" s="683">
        <x:v>0</x:v>
      </x:c>
      <x:c r="N234" s="683">
        <x:v>0</x:v>
      </x:c>
      <x:c r="O234" s="683">
        <x:v>0</x:v>
      </x:c>
      <x:c r="P234" s="683">
        <x:v>0</x:v>
      </x:c>
      <x:c r="Q234" s="683">
        <x:v>0</x:v>
      </x:c>
      <x:c r="R234" s="681">
        <x:v>0</x:v>
      </x:c>
      <x:c r="Z234" s="701"/>
    </x:row>
    <x:row r="235" spans="1:26" x14ac:dyDescent="0.25">
      <x:c r="A235" s="686"/>
      <x:c r="B235" s="687" t="s">
        <x:v>79</x:v>
      </x:c>
      <x:c r="C235" s="687" t="s">
        <x:v>70</x:v>
      </x:c>
      <x:c r="D235" s="687" t="n">
        <x:v>-4856351.96</x:v>
      </x:c>
      <x:c r="E235" s="687">
        <x:v>0</x:v>
      </x:c>
      <x:c r="F235" s="687">
        <x:v>0</x:v>
      </x:c>
      <x:c r="G235" s="687">
        <x:v>0</x:v>
      </x:c>
      <x:c r="H235" s="687">
        <x:v>0</x:v>
      </x:c>
      <x:c r="I235" s="687">
        <x:v>0</x:v>
      </x:c>
      <x:c r="J235" s="687">
        <x:v>0</x:v>
      </x:c>
      <x:c r="K235" s="687">
        <x:v>0</x:v>
      </x:c>
      <x:c r="L235" s="687">
        <x:v>0</x:v>
      </x:c>
      <x:c r="M235" s="687">
        <x:v>0</x:v>
      </x:c>
      <x:c r="N235" s="687">
        <x:v>0</x:v>
      </x:c>
      <x:c r="O235" s="687">
        <x:v>0</x:v>
      </x:c>
      <x:c r="P235" s="686" t="n">
        <x:v>0</x:v>
      </x:c>
      <x:c r="Q235" s="687">
        <x:v>0</x:v>
      </x:c>
      <x:c r="R235" s="687">
        <x:v>0</x:v>
      </x:c>
      <x:c r="S235" s="686"/>
      <x:c r="T235" s="686"/>
      <x:c r="U235" s="686"/>
      <x:c r="V235" s="686"/>
      <x:c r="W235" s="686"/>
      <x:c r="X235" s="686"/>
      <x:c r="Y235" s="686"/>
      <x:c r="Z235" s="701"/>
    </x:row>
    <x:row r="236" spans="1:26" x14ac:dyDescent="0.25">
      <x:c r="A236" s="702" t="s">
        <x:v>120</x:v>
      </x:c>
      <x:c r="B236" s="702" t="s">
        <x:v>70</x:v>
      </x:c>
      <x:c r="C236" s="702"/>
      <x:c r="D236" s="703" t="n">
        <x:v>-21288908.57</x:v>
      </x:c>
      <x:c r="E236" s="703">
        <x:v>0</x:v>
      </x:c>
      <x:c r="F236" s="703">
        <x:v>0</x:v>
      </x:c>
      <x:c r="G236" s="703">
        <x:v>0</x:v>
      </x:c>
      <x:c r="H236" s="703">
        <x:v>0</x:v>
      </x:c>
      <x:c r="I236" s="703">
        <x:v>0</x:v>
      </x:c>
      <x:c r="J236" s="703">
        <x:v>0</x:v>
      </x:c>
      <x:c r="K236" s="703">
        <x:v>0</x:v>
      </x:c>
      <x:c r="L236" s="703">
        <x:v>0</x:v>
      </x:c>
      <x:c r="M236" s="703">
        <x:v>0</x:v>
      </x:c>
      <x:c r="N236" s="703">
        <x:v>0</x:v>
      </x:c>
      <x:c r="O236" s="703">
        <x:v>0</x:v>
      </x:c>
      <x:c r="P236" s="703" t="n">
        <x:v>0</x:v>
      </x:c>
      <x:c r="Q236" s="703">
        <x:v>0</x:v>
      </x:c>
      <x:c r="R236" s="702">
        <x:v>0</x:v>
      </x:c>
      <x:c r="S236" s="702"/>
      <x:c r="T236" s="702"/>
      <x:c r="U236" s="702"/>
      <x:c r="V236" s="702"/>
      <x:c r="W236" s="702"/>
      <x:c r="X236" s="702"/>
      <x:c r="Y236" s="702"/>
      <x:c r="Z236" s="701"/>
    </x:row>
    <x:row r="237" spans="1:26" x14ac:dyDescent="0.25">
      <x:c r="C237" s="681" t="s">
        <x:v>72</x:v>
      </x:c>
      <x:c r="D237" s="683">
        <x:v>0</x:v>
      </x:c>
      <x:c r="E237" s="683">
        <x:v>0</x:v>
      </x:c>
      <x:c r="F237" s="683">
        <x:v>0</x:v>
      </x:c>
      <x:c r="G237" s="683">
        <x:v>0</x:v>
      </x:c>
      <x:c r="H237" s="683">
        <x:v>0</x:v>
      </x:c>
      <x:c r="I237" s="683">
        <x:v>0</x:v>
      </x:c>
      <x:c r="J237" s="683">
        <x:v>0</x:v>
      </x:c>
      <x:c r="K237" s="683">
        <x:v>0</x:v>
      </x:c>
      <x:c r="L237" s="683">
        <x:v>0</x:v>
      </x:c>
      <x:c r="M237" s="683">
        <x:v>0</x:v>
      </x:c>
      <x:c r="N237" s="683">
        <x:v>0</x:v>
      </x:c>
      <x:c r="O237" s="683">
        <x:v>0</x:v>
      </x:c>
      <x:c r="P237" s="683">
        <x:v>0</x:v>
      </x:c>
      <x:c r="Q237" s="683">
        <x:v>0</x:v>
      </x:c>
      <x:c r="R237" s="681">
        <x:v>0</x:v>
      </x:c>
      <x:c r="Z237" s="701"/>
    </x:row>
    <x:row r="238" spans="1:26" x14ac:dyDescent="0.25">
      <x:c r="C238" s="681" t="s">
        <x:v>81</x:v>
      </x:c>
      <x:c r="D238" s="683">
        <x:v>0</x:v>
      </x:c>
      <x:c r="E238" s="683">
        <x:v>0</x:v>
      </x:c>
      <x:c r="F238" s="683">
        <x:v>0</x:v>
      </x:c>
      <x:c r="G238" s="683">
        <x:v>0</x:v>
      </x:c>
      <x:c r="H238" s="683">
        <x:v>0</x:v>
      </x:c>
      <x:c r="I238" s="683">
        <x:v>0</x:v>
      </x:c>
      <x:c r="J238" s="683">
        <x:v>0</x:v>
      </x:c>
      <x:c r="K238" s="683">
        <x:v>0</x:v>
      </x:c>
      <x:c r="L238" s="683">
        <x:v>0</x:v>
      </x:c>
      <x:c r="M238" s="683">
        <x:v>0</x:v>
      </x:c>
      <x:c r="N238" s="683">
        <x:v>0</x:v>
      </x:c>
      <x:c r="O238" s="683">
        <x:v>0</x:v>
      </x:c>
      <x:c r="P238" s="683">
        <x:v>0</x:v>
      </x:c>
      <x:c r="Q238" s="683">
        <x:v>0</x:v>
      </x:c>
      <x:c r="R238" s="681">
        <x:v>0</x:v>
      </x:c>
      <x:c r="Z238" s="701"/>
    </x:row>
    <x:row r="239" spans="1:26" x14ac:dyDescent="0.25">
      <x:c r="A239" s="684"/>
      <x:c r="B239" s="685" t="s">
        <x:v>78</x:v>
      </x:c>
      <x:c r="C239" s="685" t="s">
        <x:v>70</x:v>
      </x:c>
      <x:c r="D239" s="685">
        <x:v>0</x:v>
      </x:c>
      <x:c r="E239" s="685">
        <x:v>0</x:v>
      </x:c>
      <x:c r="F239" s="685">
        <x:v>0</x:v>
      </x:c>
      <x:c r="G239" s="685">
        <x:v>0</x:v>
      </x:c>
      <x:c r="H239" s="685">
        <x:v>0</x:v>
      </x:c>
      <x:c r="I239" s="685">
        <x:v>0</x:v>
      </x:c>
      <x:c r="J239" s="685">
        <x:v>0</x:v>
      </x:c>
      <x:c r="K239" s="685">
        <x:v>0</x:v>
      </x:c>
      <x:c r="L239" s="685">
        <x:v>0</x:v>
      </x:c>
      <x:c r="M239" s="685">
        <x:v>0</x:v>
      </x:c>
      <x:c r="N239" s="685">
        <x:v>0</x:v>
      </x:c>
      <x:c r="O239" s="685">
        <x:v>0</x:v>
      </x:c>
      <x:c r="P239" s="684">
        <x:v>0</x:v>
      </x:c>
      <x:c r="Q239" s="685">
        <x:v>0</x:v>
      </x:c>
      <x:c r="R239" s="685">
        <x:v>0</x:v>
      </x:c>
      <x:c r="S239" s="684"/>
      <x:c r="T239" s="684"/>
      <x:c r="U239" s="684"/>
      <x:c r="V239" s="684"/>
      <x:c r="W239" s="684"/>
      <x:c r="X239" s="684"/>
      <x:c r="Y239" s="684"/>
      <x:c r="Z239" s="701"/>
    </x:row>
    <x:row r="240" spans="1:26" x14ac:dyDescent="0.25">
      <x:c r="C240" s="681" t="s">
        <x:v>73</x:v>
      </x:c>
      <x:c r="D240" s="683">
        <x:v>0</x:v>
      </x:c>
      <x:c r="E240" s="683">
        <x:v>0</x:v>
      </x:c>
      <x:c r="F240" s="683">
        <x:v>0</x:v>
      </x:c>
      <x:c r="G240" s="683">
        <x:v>0</x:v>
      </x:c>
      <x:c r="H240" s="683">
        <x:v>0</x:v>
      </x:c>
      <x:c r="I240" s="683">
        <x:v>0</x:v>
      </x:c>
      <x:c r="J240" s="683">
        <x:v>0</x:v>
      </x:c>
      <x:c r="K240" s="683">
        <x:v>0</x:v>
      </x:c>
      <x:c r="L240" s="683">
        <x:v>0</x:v>
      </x:c>
      <x:c r="M240" s="683">
        <x:v>0</x:v>
      </x:c>
      <x:c r="N240" s="683">
        <x:v>0</x:v>
      </x:c>
      <x:c r="O240" s="683">
        <x:v>0</x:v>
      </x:c>
      <x:c r="P240" s="683">
        <x:v>0</x:v>
      </x:c>
      <x:c r="Q240" s="683">
        <x:v>0</x:v>
      </x:c>
      <x:c r="R240" s="681">
        <x:v>0</x:v>
      </x:c>
      <x:c r="Z240" s="701"/>
    </x:row>
    <x:row r="241" spans="1:26" x14ac:dyDescent="0.25">
      <x:c r="A241" s="686"/>
      <x:c r="B241" s="687" t="s">
        <x:v>79</x:v>
      </x:c>
      <x:c r="C241" s="687" t="s">
        <x:v>70</x:v>
      </x:c>
      <x:c r="D241" s="687">
        <x:v>0</x:v>
      </x:c>
      <x:c r="E241" s="687">
        <x:v>0</x:v>
      </x:c>
      <x:c r="F241" s="687">
        <x:v>0</x:v>
      </x:c>
      <x:c r="G241" s="687">
        <x:v>0</x:v>
      </x:c>
      <x:c r="H241" s="687">
        <x:v>0</x:v>
      </x:c>
      <x:c r="I241" s="687">
        <x:v>0</x:v>
      </x:c>
      <x:c r="J241" s="687">
        <x:v>0</x:v>
      </x:c>
      <x:c r="K241" s="687">
        <x:v>0</x:v>
      </x:c>
      <x:c r="L241" s="687">
        <x:v>0</x:v>
      </x:c>
      <x:c r="M241" s="687">
        <x:v>0</x:v>
      </x:c>
      <x:c r="N241" s="687">
        <x:v>0</x:v>
      </x:c>
      <x:c r="O241" s="687">
        <x:v>0</x:v>
      </x:c>
      <x:c r="P241" s="686">
        <x:v>0</x:v>
      </x:c>
      <x:c r="Q241" s="687">
        <x:v>0</x:v>
      </x:c>
      <x:c r="R241" s="687">
        <x:v>0</x:v>
      </x:c>
      <x:c r="S241" s="686"/>
      <x:c r="T241" s="686"/>
      <x:c r="U241" s="686"/>
      <x:c r="V241" s="686"/>
      <x:c r="W241" s="686"/>
      <x:c r="X241" s="686"/>
      <x:c r="Y241" s="686"/>
      <x:c r="Z241" s="701"/>
    </x:row>
    <x:row r="242" spans="1:26" x14ac:dyDescent="0.25">
      <x:c r="A242" s="690" t="s">
        <x:v>119</x:v>
      </x:c>
      <x:c r="B242" s="690" t="s">
        <x:v>70</x:v>
      </x:c>
      <x:c r="C242" s="690"/>
      <x:c r="D242" s="691">
        <x:v>0</x:v>
      </x:c>
      <x:c r="E242" s="691">
        <x:v>0</x:v>
      </x:c>
      <x:c r="F242" s="691">
        <x:v>0</x:v>
      </x:c>
      <x:c r="G242" s="691">
        <x:v>0</x:v>
      </x:c>
      <x:c r="H242" s="691">
        <x:v>0</x:v>
      </x:c>
      <x:c r="I242" s="691">
        <x:v>0</x:v>
      </x:c>
      <x:c r="J242" s="691">
        <x:v>0</x:v>
      </x:c>
      <x:c r="K242" s="691">
        <x:v>0</x:v>
      </x:c>
      <x:c r="L242" s="691">
        <x:v>0</x:v>
      </x:c>
      <x:c r="M242" s="691">
        <x:v>0</x:v>
      </x:c>
      <x:c r="N242" s="691">
        <x:v>0</x:v>
      </x:c>
      <x:c r="O242" s="691">
        <x:v>0</x:v>
      </x:c>
      <x:c r="P242" s="691">
        <x:v>0</x:v>
      </x:c>
      <x:c r="Q242" s="691">
        <x:v>0</x:v>
      </x:c>
      <x:c r="R242" s="690">
        <x:v>0</x:v>
      </x:c>
      <x:c r="S242" s="690"/>
      <x:c r="T242" s="690"/>
      <x:c r="U242" s="690"/>
      <x:c r="V242" s="690"/>
      <x:c r="W242" s="690"/>
      <x:c r="X242" s="690"/>
      <x:c r="Y242" s="690"/>
      <x:c r="Z242" s="701"/>
    </x:row>
    <x:row r="243" spans="1:26" x14ac:dyDescent="0.25">
      <x:c r="A243" s="692" t="s">
        <x:v>70</x:v>
      </x:c>
      <x:c r="B243" s="693"/>
      <x:c r="C243" s="693"/>
      <x:c r="D243" s="692">
        <x:v>0</x:v>
      </x:c>
      <x:c r="E243" s="692">
        <x:v>0</x:v>
      </x:c>
      <x:c r="F243" s="692">
        <x:v>0</x:v>
      </x:c>
      <x:c r="G243" s="692">
        <x:v>0</x:v>
      </x:c>
      <x:c r="H243" s="692">
        <x:v>0</x:v>
      </x:c>
      <x:c r="I243" s="692">
        <x:v>0</x:v>
      </x:c>
      <x:c r="J243" s="692">
        <x:v>0</x:v>
      </x:c>
      <x:c r="K243" s="692">
        <x:v>0</x:v>
      </x:c>
      <x:c r="L243" s="692">
        <x:v>0</x:v>
      </x:c>
      <x:c r="M243" s="692">
        <x:v>0</x:v>
      </x:c>
      <x:c r="N243" s="692">
        <x:v>0</x:v>
      </x:c>
      <x:c r="O243" s="692">
        <x:v>0</x:v>
      </x:c>
      <x:c r="P243" s="693">
        <x:v>0</x:v>
      </x:c>
      <x:c r="Q243" s="692">
        <x:v>0</x:v>
      </x:c>
      <x:c r="R243" s="692">
        <x:v>0</x:v>
      </x:c>
      <x:c r="S243" s="693"/>
      <x:c r="T243" s="693"/>
      <x:c r="U243" s="693"/>
      <x:c r="V243" s="693"/>
      <x:c r="W243" s="693"/>
      <x:c r="X243" s="693"/>
      <x:c r="Y243" s="693"/>
      <x:c r="Z243" s="701"/>
    </x:row>
    <x:row r="244" spans="1:26" x14ac:dyDescent="0.25">
      <x:c r="A244" s="683"/>
      <x:c r="B244" s="683"/>
      <x:c r="D244" s="683"/>
      <x:c r="E244" s="683"/>
      <x:c r="F244" s="683"/>
      <x:c r="G244" s="683"/>
      <x:c r="H244" s="683"/>
      <x:c r="I244" s="683"/>
      <x:c r="J244" s="683"/>
      <x:c r="K244" s="683"/>
      <x:c r="L244" s="683"/>
      <x:c r="M244" s="683"/>
      <x:c r="N244" s="683"/>
      <x:c r="O244" s="683"/>
      <x:c r="Z244" s="701"/>
    </x:row>
    <x:row r="245" spans="1:26" x14ac:dyDescent="0.25">
      <x:c r="A245" s="683"/>
      <x:c r="D245" s="683"/>
      <x:c r="E245" s="683"/>
      <x:c r="F245" s="683"/>
      <x:c r="G245" s="683"/>
      <x:c r="H245" s="683"/>
      <x:c r="I245" s="683"/>
      <x:c r="J245" s="683"/>
      <x:c r="K245" s="683"/>
      <x:c r="L245" s="683"/>
      <x:c r="M245" s="683"/>
      <x:c r="N245" s="683"/>
      <x:c r="O245" s="683"/>
      <x:c r="Z245" s="701"/>
    </x:row>
    <x:row r="246" spans="1:26" x14ac:dyDescent="0.25">
      <x:c r="B246" s="683"/>
      <x:c r="C246" s="683"/>
      <x:c r="D246" s="683"/>
      <x:c r="E246" s="683"/>
      <x:c r="F246" s="683"/>
      <x:c r="G246" s="683"/>
      <x:c r="H246" s="683"/>
      <x:c r="I246" s="683"/>
      <x:c r="J246" s="683"/>
      <x:c r="K246" s="683"/>
      <x:c r="L246" s="683"/>
      <x:c r="M246" s="683"/>
      <x:c r="N246" s="683"/>
      <x:c r="O246" s="683"/>
      <x:c r="Z246" s="701"/>
    </x:row>
    <x:row r="247" spans="1:26" x14ac:dyDescent="0.25">
      <x:c r="B247" s="683"/>
      <x:c r="C247" s="683"/>
      <x:c r="D247" s="683"/>
      <x:c r="E247" s="683"/>
      <x:c r="F247" s="683"/>
      <x:c r="G247" s="683"/>
      <x:c r="H247" s="683"/>
      <x:c r="I247" s="683"/>
      <x:c r="J247" s="683"/>
      <x:c r="K247" s="683"/>
      <x:c r="L247" s="683"/>
      <x:c r="M247" s="683"/>
      <x:c r="N247" s="683"/>
      <x:c r="O247" s="683"/>
      <x:c r="Z247" s="701"/>
    </x:row>
    <x:row r="248" spans="1:26" x14ac:dyDescent="0.25">
      <x:c r="B248" s="683"/>
      <x:c r="C248" s="683"/>
      <x:c r="D248" s="683"/>
      <x:c r="E248" s="683"/>
      <x:c r="F248" s="683"/>
      <x:c r="G248" s="683"/>
      <x:c r="H248" s="683"/>
      <x:c r="I248" s="683"/>
      <x:c r="J248" s="683"/>
      <x:c r="K248" s="683"/>
      <x:c r="L248" s="683"/>
      <x:c r="M248" s="683"/>
      <x:c r="N248" s="683"/>
      <x:c r="O248" s="683"/>
      <x:c r="Z248" s="701"/>
    </x:row>
    <x:row r="249" spans="1:26" x14ac:dyDescent="0.25">
      <x:c r="B249" s="683"/>
      <x:c r="C249" s="683"/>
      <x:c r="D249" s="683"/>
      <x:c r="E249" s="683"/>
      <x:c r="F249" s="683"/>
      <x:c r="G249" s="683"/>
      <x:c r="H249" s="683"/>
      <x:c r="I249" s="683"/>
      <x:c r="J249" s="683"/>
      <x:c r="K249" s="683"/>
      <x:c r="L249" s="683"/>
      <x:c r="M249" s="683"/>
      <x:c r="N249" s="683"/>
      <x:c r="O249" s="683"/>
      <x:c r="Z249" s="701"/>
    </x:row>
    <x:row r="250" spans="1:26" x14ac:dyDescent="0.25">
      <x:c r="B250" s="683"/>
      <x:c r="C250" s="683"/>
      <x:c r="D250" s="683"/>
      <x:c r="E250" s="683"/>
      <x:c r="F250" s="683"/>
      <x:c r="G250" s="683"/>
      <x:c r="H250" s="683"/>
      <x:c r="I250" s="683"/>
      <x:c r="J250" s="683"/>
      <x:c r="K250" s="683"/>
      <x:c r="L250" s="683"/>
      <x:c r="M250" s="683"/>
      <x:c r="N250" s="683"/>
      <x:c r="O250" s="683"/>
      <x:c r="Z250" s="701"/>
    </x:row>
    <x:row r="251" spans="1:26" x14ac:dyDescent="0.25">
      <x:c r="B251" s="683"/>
      <x:c r="C251" s="683"/>
      <x:c r="D251" s="683"/>
      <x:c r="E251" s="683"/>
      <x:c r="F251" s="683"/>
      <x:c r="G251" s="683"/>
      <x:c r="H251" s="683"/>
      <x:c r="I251" s="683"/>
      <x:c r="J251" s="683"/>
      <x:c r="K251" s="683"/>
      <x:c r="L251" s="683"/>
      <x:c r="M251" s="683"/>
      <x:c r="N251" s="683"/>
      <x:c r="O251" s="683"/>
      <x:c r="Z251" s="701"/>
    </x:row>
    <x:row r="252" spans="1:26" x14ac:dyDescent="0.25">
      <x:c r="B252" s="683"/>
      <x:c r="C252" s="683"/>
      <x:c r="D252" s="683"/>
      <x:c r="E252" s="683"/>
      <x:c r="F252" s="683"/>
      <x:c r="G252" s="683"/>
      <x:c r="H252" s="683"/>
      <x:c r="I252" s="683"/>
      <x:c r="J252" s="683"/>
      <x:c r="K252" s="683"/>
      <x:c r="L252" s="683"/>
      <x:c r="M252" s="683"/>
      <x:c r="N252" s="683"/>
      <x:c r="O252" s="683"/>
      <x:c r="Z252" s="701"/>
    </x:row>
    <x:row r="253" spans="1:26" x14ac:dyDescent="0.25">
      <x:c r="B253" s="683"/>
      <x:c r="C253" s="683"/>
      <x:c r="D253" s="683"/>
      <x:c r="E253" s="683"/>
      <x:c r="F253" s="683"/>
      <x:c r="G253" s="683"/>
      <x:c r="H253" s="683"/>
      <x:c r="I253" s="683"/>
      <x:c r="J253" s="683"/>
      <x:c r="K253" s="683"/>
      <x:c r="L253" s="683"/>
      <x:c r="M253" s="683"/>
      <x:c r="N253" s="683"/>
      <x:c r="O253" s="683"/>
      <x:c r="Z253" s="701"/>
    </x:row>
    <x:row r="254" spans="1:26" x14ac:dyDescent="0.25">
      <x:c r="B254" s="683"/>
      <x:c r="C254" s="683"/>
      <x:c r="D254" s="683"/>
      <x:c r="E254" s="683"/>
      <x:c r="F254" s="683"/>
      <x:c r="G254" s="683"/>
      <x:c r="H254" s="683"/>
      <x:c r="I254" s="683"/>
      <x:c r="J254" s="683"/>
      <x:c r="K254" s="683"/>
      <x:c r="L254" s="683"/>
      <x:c r="M254" s="683"/>
      <x:c r="N254" s="683"/>
      <x:c r="O254" s="683"/>
      <x:c r="Z254" s="701"/>
    </x:row>
    <x:row r="255" spans="1:26" x14ac:dyDescent="0.25">
      <x:c r="B255" s="683"/>
      <x:c r="C255" s="683"/>
      <x:c r="D255" s="683"/>
      <x:c r="E255" s="683"/>
      <x:c r="F255" s="683"/>
      <x:c r="G255" s="683"/>
      <x:c r="H255" s="683"/>
      <x:c r="I255" s="683"/>
      <x:c r="J255" s="683"/>
      <x:c r="K255" s="683"/>
      <x:c r="L255" s="683"/>
      <x:c r="M255" s="683"/>
      <x:c r="N255" s="683"/>
      <x:c r="O255" s="683"/>
      <x:c r="Z255" s="701"/>
    </x:row>
    <x:row r="256" spans="1:26" x14ac:dyDescent="0.25">
      <x:c r="B256" s="683"/>
      <x:c r="C256" s="683"/>
      <x:c r="D256" s="683"/>
      <x:c r="E256" s="683"/>
      <x:c r="F256" s="683"/>
      <x:c r="G256" s="683"/>
      <x:c r="H256" s="683"/>
      <x:c r="I256" s="683"/>
      <x:c r="J256" s="683"/>
      <x:c r="K256" s="683"/>
      <x:c r="L256" s="683"/>
      <x:c r="M256" s="683"/>
      <x:c r="N256" s="683"/>
      <x:c r="O256" s="683"/>
      <x:c r="Z256" s="701"/>
    </x:row>
    <x:row r="257" spans="2:26" x14ac:dyDescent="0.25">
      <x:c r="B257" s="683"/>
      <x:c r="C257" s="683"/>
      <x:c r="D257" s="683"/>
      <x:c r="E257" s="683"/>
      <x:c r="F257" s="683"/>
      <x:c r="G257" s="683"/>
      <x:c r="H257" s="683"/>
      <x:c r="I257" s="683"/>
      <x:c r="J257" s="683"/>
      <x:c r="K257" s="683"/>
      <x:c r="L257" s="683"/>
      <x:c r="M257" s="683"/>
      <x:c r="N257" s="683"/>
      <x:c r="O257" s="683"/>
      <x:c r="Z257" s="701"/>
    </x:row>
    <x:row r="258" spans="2:26" x14ac:dyDescent="0.25">
      <x:c r="B258" s="683"/>
      <x:c r="C258" s="683"/>
      <x:c r="D258" s="683"/>
      <x:c r="E258" s="683"/>
      <x:c r="F258" s="683"/>
      <x:c r="G258" s="683"/>
      <x:c r="H258" s="683"/>
      <x:c r="I258" s="683"/>
      <x:c r="J258" s="683"/>
      <x:c r="K258" s="683"/>
      <x:c r="L258" s="683"/>
      <x:c r="M258" s="683"/>
      <x:c r="N258" s="683"/>
      <x:c r="O258" s="683"/>
      <x:c r="Z258" s="701"/>
    </x:row>
    <x:row r="259" spans="2:26" x14ac:dyDescent="0.25">
      <x:c r="B259" s="683"/>
      <x:c r="C259" s="683"/>
      <x:c r="D259" s="683"/>
      <x:c r="E259" s="683"/>
      <x:c r="F259" s="683"/>
      <x:c r="G259" s="683"/>
      <x:c r="H259" s="683"/>
      <x:c r="I259" s="683"/>
      <x:c r="J259" s="683"/>
      <x:c r="K259" s="683"/>
      <x:c r="L259" s="683"/>
      <x:c r="M259" s="683"/>
      <x:c r="N259" s="683"/>
      <x:c r="O259" s="683"/>
      <x:c r="Z259" s="701"/>
    </x:row>
    <x:row r="260" spans="2:26" x14ac:dyDescent="0.25">
      <x:c r="B260" s="683"/>
      <x:c r="C260" s="683"/>
      <x:c r="D260" s="683"/>
      <x:c r="E260" s="683"/>
      <x:c r="F260" s="683"/>
      <x:c r="G260" s="683"/>
      <x:c r="H260" s="683"/>
      <x:c r="I260" s="683"/>
      <x:c r="J260" s="683"/>
      <x:c r="K260" s="683"/>
      <x:c r="L260" s="683"/>
      <x:c r="M260" s="683"/>
      <x:c r="N260" s="683"/>
      <x:c r="O260" s="683"/>
      <x:c r="Z260" s="701"/>
    </x:row>
    <x:row r="261" spans="2:26" x14ac:dyDescent="0.25">
      <x:c r="B261" s="683"/>
      <x:c r="C261" s="683"/>
      <x:c r="D261" s="683"/>
      <x:c r="E261" s="683"/>
      <x:c r="F261" s="683"/>
      <x:c r="G261" s="683"/>
      <x:c r="H261" s="683"/>
      <x:c r="I261" s="683"/>
      <x:c r="J261" s="683"/>
      <x:c r="K261" s="683"/>
      <x:c r="L261" s="683"/>
      <x:c r="M261" s="683"/>
      <x:c r="N261" s="683"/>
      <x:c r="O261" s="683"/>
      <x:c r="Z261" s="701"/>
    </x:row>
    <x:row r="262" spans="2:26" x14ac:dyDescent="0.25">
      <x:c r="B262" s="683"/>
      <x:c r="C262" s="683"/>
      <x:c r="D262" s="683"/>
      <x:c r="E262" s="683"/>
      <x:c r="F262" s="683"/>
      <x:c r="G262" s="683"/>
      <x:c r="H262" s="683"/>
      <x:c r="I262" s="683"/>
      <x:c r="J262" s="683"/>
      <x:c r="K262" s="683"/>
      <x:c r="L262" s="683"/>
      <x:c r="M262" s="683"/>
      <x:c r="N262" s="683"/>
      <x:c r="O262" s="683"/>
      <x:c r="Z262" s="701"/>
    </x:row>
    <x:row r="263" spans="2:26" x14ac:dyDescent="0.25">
      <x:c r="B263" s="683"/>
      <x:c r="C263" s="683"/>
      <x:c r="D263" s="683"/>
      <x:c r="E263" s="683"/>
      <x:c r="F263" s="683"/>
      <x:c r="G263" s="683"/>
      <x:c r="H263" s="683"/>
      <x:c r="I263" s="683"/>
      <x:c r="J263" s="683"/>
      <x:c r="K263" s="683"/>
      <x:c r="L263" s="683"/>
      <x:c r="M263" s="683"/>
      <x:c r="N263" s="683"/>
      <x:c r="O263" s="683"/>
      <x:c r="Z263" s="701"/>
    </x:row>
    <x:row r="264" spans="2:26" x14ac:dyDescent="0.25">
      <x:c r="B264" s="683"/>
      <x:c r="C264" s="683"/>
      <x:c r="D264" s="683"/>
      <x:c r="E264" s="683"/>
      <x:c r="F264" s="683"/>
      <x:c r="G264" s="683"/>
      <x:c r="H264" s="683"/>
      <x:c r="I264" s="683"/>
      <x:c r="J264" s="683"/>
      <x:c r="K264" s="683"/>
      <x:c r="L264" s="683"/>
      <x:c r="M264" s="683"/>
      <x:c r="N264" s="683"/>
      <x:c r="O264" s="683"/>
      <x:c r="Z264" s="701"/>
    </x:row>
    <x:row r="265" spans="2:26" x14ac:dyDescent="0.25">
      <x:c r="B265" s="683"/>
      <x:c r="C265" s="683"/>
      <x:c r="D265" s="683"/>
      <x:c r="E265" s="683"/>
      <x:c r="F265" s="683"/>
      <x:c r="G265" s="683"/>
      <x:c r="H265" s="683"/>
      <x:c r="I265" s="683"/>
      <x:c r="J265" s="683"/>
      <x:c r="K265" s="683"/>
      <x:c r="L265" s="683"/>
      <x:c r="M265" s="683"/>
      <x:c r="N265" s="683"/>
      <x:c r="O265" s="683"/>
      <x:c r="Z265" s="701"/>
    </x:row>
    <x:row r="266" spans="2:26" x14ac:dyDescent="0.25">
      <x:c r="B266" s="683"/>
      <x:c r="C266" s="683"/>
      <x:c r="D266" s="683"/>
      <x:c r="E266" s="683"/>
      <x:c r="F266" s="683"/>
      <x:c r="G266" s="683"/>
      <x:c r="H266" s="683"/>
      <x:c r="I266" s="683"/>
      <x:c r="J266" s="683"/>
      <x:c r="K266" s="683"/>
      <x:c r="L266" s="683"/>
      <x:c r="M266" s="683"/>
      <x:c r="N266" s="683"/>
      <x:c r="O266" s="683"/>
      <x:c r="Z266" s="701"/>
    </x:row>
    <x:row r="267" spans="2:26" x14ac:dyDescent="0.25">
      <x:c r="B267" s="683"/>
      <x:c r="C267" s="683"/>
      <x:c r="D267" s="683"/>
      <x:c r="E267" s="683"/>
      <x:c r="F267" s="683"/>
      <x:c r="G267" s="683"/>
      <x:c r="H267" s="683"/>
      <x:c r="I267" s="683"/>
      <x:c r="J267" s="683"/>
      <x:c r="K267" s="683"/>
      <x:c r="L267" s="683"/>
      <x:c r="M267" s="683"/>
      <x:c r="N267" s="683"/>
      <x:c r="O267" s="683"/>
      <x:c r="Z267" s="701"/>
    </x:row>
    <x:row r="268" spans="2:26" x14ac:dyDescent="0.25">
      <x:c r="B268" s="683"/>
      <x:c r="C268" s="683"/>
      <x:c r="D268" s="683"/>
      <x:c r="E268" s="683"/>
      <x:c r="F268" s="683"/>
      <x:c r="G268" s="683"/>
      <x:c r="H268" s="683"/>
      <x:c r="I268" s="683"/>
      <x:c r="J268" s="683"/>
      <x:c r="K268" s="683"/>
      <x:c r="L268" s="683"/>
      <x:c r="M268" s="683"/>
      <x:c r="N268" s="683"/>
      <x:c r="O268" s="683"/>
      <x:c r="Z268" s="701"/>
    </x:row>
    <x:row r="269" spans="2:26" x14ac:dyDescent="0.25">
      <x:c r="B269" s="683"/>
      <x:c r="C269" s="683"/>
      <x:c r="D269" s="683"/>
      <x:c r="E269" s="683"/>
      <x:c r="F269" s="683"/>
      <x:c r="G269" s="683"/>
      <x:c r="H269" s="683"/>
      <x:c r="I269" s="683"/>
      <x:c r="J269" s="683"/>
      <x:c r="K269" s="683"/>
      <x:c r="L269" s="683"/>
      <x:c r="M269" s="683"/>
      <x:c r="N269" s="683"/>
      <x:c r="O269" s="683"/>
      <x:c r="Z269" s="701"/>
    </x:row>
    <x:row r="270" spans="2:26" x14ac:dyDescent="0.25">
      <x:c r="B270" s="683"/>
      <x:c r="C270" s="683"/>
      <x:c r="D270" s="683"/>
      <x:c r="E270" s="683"/>
      <x:c r="F270" s="683"/>
      <x:c r="G270" s="683"/>
      <x:c r="H270" s="683"/>
      <x:c r="I270" s="683"/>
      <x:c r="J270" s="683"/>
      <x:c r="K270" s="683"/>
      <x:c r="L270" s="683"/>
      <x:c r="M270" s="683"/>
      <x:c r="N270" s="683"/>
      <x:c r="O270" s="683"/>
      <x:c r="Z270" s="701"/>
    </x:row>
    <x:row r="271" spans="2:26" x14ac:dyDescent="0.25">
      <x:c r="B271" s="683"/>
      <x:c r="C271" s="683"/>
      <x:c r="D271" s="683"/>
      <x:c r="E271" s="683"/>
      <x:c r="F271" s="683"/>
      <x:c r="G271" s="683"/>
      <x:c r="H271" s="683"/>
      <x:c r="I271" s="683"/>
      <x:c r="J271" s="683"/>
      <x:c r="K271" s="683"/>
      <x:c r="L271" s="683"/>
      <x:c r="M271" s="683"/>
      <x:c r="N271" s="683"/>
      <x:c r="O271" s="683"/>
      <x:c r="Z271" s="701"/>
    </x:row>
    <x:row r="272" spans="2:26" x14ac:dyDescent="0.25">
      <x:c r="B272" s="683"/>
      <x:c r="C272" s="683"/>
      <x:c r="D272" s="683"/>
      <x:c r="E272" s="683"/>
      <x:c r="F272" s="683"/>
      <x:c r="G272" s="683"/>
      <x:c r="H272" s="683"/>
      <x:c r="I272" s="683"/>
      <x:c r="J272" s="683"/>
      <x:c r="K272" s="683"/>
      <x:c r="L272" s="683"/>
      <x:c r="M272" s="683"/>
      <x:c r="N272" s="683"/>
      <x:c r="O272" s="683"/>
      <x:c r="Z272" s="701"/>
    </x:row>
    <x:row r="273" spans="2:26" x14ac:dyDescent="0.25">
      <x:c r="B273" s="683"/>
      <x:c r="C273" s="683"/>
      <x:c r="D273" s="683"/>
      <x:c r="E273" s="683"/>
      <x:c r="F273" s="683"/>
      <x:c r="G273" s="683"/>
      <x:c r="H273" s="683"/>
      <x:c r="I273" s="683"/>
      <x:c r="J273" s="683"/>
      <x:c r="K273" s="683"/>
      <x:c r="L273" s="683"/>
      <x:c r="M273" s="683"/>
      <x:c r="N273" s="683"/>
      <x:c r="O273" s="683"/>
      <x:c r="Z273" s="701"/>
    </x:row>
    <x:row r="274" spans="2:26" x14ac:dyDescent="0.25">
      <x:c r="B274" s="683"/>
      <x:c r="C274" s="683"/>
      <x:c r="D274" s="683"/>
      <x:c r="E274" s="683"/>
      <x:c r="F274" s="683"/>
      <x:c r="G274" s="683"/>
      <x:c r="H274" s="683"/>
      <x:c r="I274" s="683"/>
      <x:c r="J274" s="683"/>
      <x:c r="K274" s="683"/>
      <x:c r="L274" s="683"/>
      <x:c r="M274" s="683"/>
      <x:c r="N274" s="683"/>
      <x:c r="O274" s="683"/>
      <x:c r="Z274" s="701"/>
    </x:row>
    <x:row r="275" spans="2:26" x14ac:dyDescent="0.25">
      <x:c r="B275" s="683"/>
      <x:c r="C275" s="683"/>
      <x:c r="D275" s="683"/>
      <x:c r="E275" s="683"/>
      <x:c r="F275" s="683"/>
      <x:c r="G275" s="683"/>
      <x:c r="H275" s="683"/>
      <x:c r="I275" s="683"/>
      <x:c r="J275" s="683"/>
      <x:c r="K275" s="683"/>
      <x:c r="L275" s="683"/>
      <x:c r="M275" s="683"/>
      <x:c r="N275" s="683"/>
      <x:c r="O275" s="683"/>
      <x:c r="Z275" s="701"/>
    </x:row>
    <x:row r="276" spans="2:26" x14ac:dyDescent="0.25">
      <x:c r="B276" s="683"/>
      <x:c r="C276" s="683"/>
      <x:c r="D276" s="683"/>
      <x:c r="E276" s="683"/>
      <x:c r="F276" s="683"/>
      <x:c r="G276" s="683"/>
      <x:c r="H276" s="683"/>
      <x:c r="I276" s="683"/>
      <x:c r="J276" s="683"/>
      <x:c r="K276" s="683"/>
      <x:c r="L276" s="683"/>
      <x:c r="M276" s="683"/>
      <x:c r="N276" s="683"/>
      <x:c r="O276" s="683"/>
      <x:c r="Z276" s="701"/>
    </x:row>
    <x:row r="277" spans="2:26" x14ac:dyDescent="0.25">
      <x:c r="B277" s="683"/>
      <x:c r="C277" s="683"/>
      <x:c r="D277" s="683"/>
      <x:c r="E277" s="683"/>
      <x:c r="F277" s="683"/>
      <x:c r="G277" s="683"/>
      <x:c r="H277" s="683"/>
      <x:c r="I277" s="683"/>
      <x:c r="J277" s="683"/>
      <x:c r="K277" s="683"/>
      <x:c r="L277" s="683"/>
      <x:c r="M277" s="683"/>
      <x:c r="N277" s="683"/>
      <x:c r="O277" s="683"/>
      <x:c r="Z277" s="701"/>
    </x:row>
    <x:row r="278" spans="2:26" x14ac:dyDescent="0.25">
      <x:c r="B278" s="683"/>
      <x:c r="C278" s="683"/>
      <x:c r="D278" s="683"/>
      <x:c r="E278" s="683"/>
      <x:c r="F278" s="683"/>
      <x:c r="G278" s="683"/>
      <x:c r="H278" s="683"/>
      <x:c r="I278" s="683"/>
      <x:c r="J278" s="683"/>
      <x:c r="K278" s="683"/>
      <x:c r="L278" s="683"/>
      <x:c r="M278" s="683"/>
      <x:c r="N278" s="683"/>
      <x:c r="O278" s="683"/>
      <x:c r="Z278" s="701"/>
    </x:row>
    <x:row r="279" spans="2:26" x14ac:dyDescent="0.25">
      <x:c r="B279" s="683"/>
      <x:c r="C279" s="683"/>
      <x:c r="D279" s="683"/>
      <x:c r="E279" s="683"/>
      <x:c r="F279" s="683"/>
      <x:c r="G279" s="683"/>
      <x:c r="H279" s="683"/>
      <x:c r="I279" s="683"/>
      <x:c r="J279" s="683"/>
      <x:c r="K279" s="683"/>
      <x:c r="L279" s="683"/>
      <x:c r="M279" s="683"/>
      <x:c r="N279" s="683"/>
      <x:c r="O279" s="683"/>
      <x:c r="Z279" s="701"/>
    </x:row>
    <x:row r="280" spans="2:26" x14ac:dyDescent="0.25">
      <x:c r="B280" s="683"/>
      <x:c r="C280" s="683"/>
      <x:c r="D280" s="683"/>
      <x:c r="E280" s="683"/>
      <x:c r="F280" s="683"/>
      <x:c r="G280" s="683"/>
      <x:c r="H280" s="683"/>
      <x:c r="I280" s="683"/>
      <x:c r="J280" s="683"/>
      <x:c r="K280" s="683"/>
      <x:c r="L280" s="683"/>
      <x:c r="M280" s="683"/>
      <x:c r="N280" s="683"/>
      <x:c r="O280" s="683"/>
      <x:c r="Z280" s="701"/>
    </x:row>
    <x:row r="281" spans="2:26" x14ac:dyDescent="0.25">
      <x:c r="B281" s="683"/>
      <x:c r="C281" s="683"/>
      <x:c r="D281" s="683"/>
      <x:c r="E281" s="683"/>
      <x:c r="F281" s="683"/>
      <x:c r="G281" s="683"/>
      <x:c r="H281" s="683"/>
      <x:c r="I281" s="683"/>
      <x:c r="J281" s="683"/>
      <x:c r="K281" s="683"/>
      <x:c r="L281" s="683"/>
      <x:c r="M281" s="683"/>
      <x:c r="N281" s="683"/>
      <x:c r="O281" s="683"/>
      <x:c r="Z281" s="701"/>
    </x:row>
    <x:row r="282" spans="2:26" x14ac:dyDescent="0.25">
      <x:c r="B282" s="683"/>
      <x:c r="C282" s="683"/>
      <x:c r="D282" s="683"/>
      <x:c r="E282" s="683"/>
      <x:c r="F282" s="683"/>
      <x:c r="G282" s="683"/>
      <x:c r="H282" s="683"/>
      <x:c r="I282" s="683"/>
      <x:c r="J282" s="683"/>
      <x:c r="K282" s="683"/>
      <x:c r="L282" s="683"/>
      <x:c r="M282" s="683"/>
      <x:c r="N282" s="683"/>
      <x:c r="O282" s="683"/>
      <x:c r="Z282" s="701"/>
    </x:row>
    <x:row r="283" spans="2:26" x14ac:dyDescent="0.25">
      <x:c r="B283" s="683"/>
      <x:c r="C283" s="683"/>
      <x:c r="D283" s="683"/>
      <x:c r="E283" s="683"/>
      <x:c r="F283" s="683"/>
      <x:c r="G283" s="683"/>
      <x:c r="H283" s="683"/>
      <x:c r="I283" s="683"/>
      <x:c r="J283" s="683"/>
      <x:c r="K283" s="683"/>
      <x:c r="L283" s="683"/>
      <x:c r="M283" s="683"/>
      <x:c r="N283" s="683"/>
      <x:c r="O283" s="683"/>
      <x:c r="Z283" s="701"/>
    </x:row>
    <x:row r="284" spans="2:26" x14ac:dyDescent="0.25">
      <x:c r="B284" s="683"/>
      <x:c r="C284" s="683"/>
      <x:c r="D284" s="683"/>
      <x:c r="E284" s="683"/>
      <x:c r="F284" s="683"/>
      <x:c r="G284" s="683"/>
      <x:c r="H284" s="683"/>
      <x:c r="I284" s="683"/>
      <x:c r="J284" s="683"/>
      <x:c r="K284" s="683"/>
      <x:c r="L284" s="683"/>
      <x:c r="M284" s="683"/>
      <x:c r="N284" s="683"/>
      <x:c r="O284" s="683"/>
      <x:c r="Z284" s="701"/>
    </x:row>
    <x:row r="285" spans="2:26" x14ac:dyDescent="0.25">
      <x:c r="B285" s="683"/>
      <x:c r="C285" s="683"/>
      <x:c r="D285" s="683"/>
      <x:c r="E285" s="683"/>
      <x:c r="F285" s="683"/>
      <x:c r="G285" s="683"/>
      <x:c r="H285" s="683"/>
      <x:c r="I285" s="683"/>
      <x:c r="J285" s="683"/>
      <x:c r="K285" s="683"/>
      <x:c r="L285" s="683"/>
      <x:c r="M285" s="683"/>
      <x:c r="N285" s="683"/>
      <x:c r="O285" s="683"/>
      <x:c r="Z285" s="701"/>
    </x:row>
    <x:row r="286" spans="2:26" x14ac:dyDescent="0.25">
      <x:c r="B286" s="683"/>
      <x:c r="C286" s="683"/>
      <x:c r="D286" s="683"/>
      <x:c r="E286" s="683"/>
      <x:c r="F286" s="683"/>
      <x:c r="G286" s="683"/>
      <x:c r="H286" s="683"/>
      <x:c r="I286" s="683"/>
      <x:c r="J286" s="683"/>
      <x:c r="K286" s="683"/>
      <x:c r="L286" s="683"/>
      <x:c r="M286" s="683"/>
      <x:c r="N286" s="683"/>
      <x:c r="O286" s="683"/>
      <x:c r="Z286" s="701"/>
    </x:row>
    <x:row r="287" spans="2:26" x14ac:dyDescent="0.25">
      <x:c r="B287" s="683"/>
      <x:c r="C287" s="683"/>
      <x:c r="D287" s="683"/>
      <x:c r="E287" s="683"/>
      <x:c r="F287" s="683"/>
      <x:c r="G287" s="683"/>
      <x:c r="H287" s="683"/>
      <x:c r="I287" s="683"/>
      <x:c r="J287" s="683"/>
      <x:c r="K287" s="683"/>
      <x:c r="L287" s="683"/>
      <x:c r="M287" s="683"/>
      <x:c r="N287" s="683"/>
      <x:c r="O287" s="683"/>
      <x:c r="Z287" s="701"/>
    </x:row>
    <x:row r="288" spans="2:26" x14ac:dyDescent="0.25">
      <x:c r="B288" s="683"/>
      <x:c r="C288" s="683"/>
      <x:c r="D288" s="683"/>
      <x:c r="E288" s="683"/>
      <x:c r="F288" s="683"/>
      <x:c r="G288" s="683"/>
      <x:c r="H288" s="683"/>
      <x:c r="I288" s="683"/>
      <x:c r="J288" s="683"/>
      <x:c r="K288" s="683"/>
      <x:c r="L288" s="683"/>
      <x:c r="M288" s="683"/>
      <x:c r="N288" s="683"/>
      <x:c r="O288" s="683"/>
      <x:c r="Z288" s="701"/>
    </x:row>
    <x:row r="289" spans="2:26" x14ac:dyDescent="0.25">
      <x:c r="B289" s="683"/>
      <x:c r="C289" s="683"/>
      <x:c r="D289" s="683"/>
      <x:c r="E289" s="683"/>
      <x:c r="F289" s="683"/>
      <x:c r="G289" s="683"/>
      <x:c r="H289" s="683"/>
      <x:c r="I289" s="683"/>
      <x:c r="J289" s="683"/>
      <x:c r="K289" s="683"/>
      <x:c r="L289" s="683"/>
      <x:c r="M289" s="683"/>
      <x:c r="N289" s="683"/>
      <x:c r="O289" s="683"/>
      <x:c r="Z289" s="701"/>
    </x:row>
    <x:row r="290" spans="2:26" x14ac:dyDescent="0.25">
      <x:c r="B290" s="683"/>
      <x:c r="C290" s="683"/>
      <x:c r="D290" s="683"/>
      <x:c r="E290" s="683"/>
      <x:c r="F290" s="683"/>
      <x:c r="G290" s="683"/>
      <x:c r="H290" s="683"/>
      <x:c r="I290" s="683"/>
      <x:c r="J290" s="683"/>
      <x:c r="K290" s="683"/>
      <x:c r="L290" s="683"/>
      <x:c r="M290" s="683"/>
      <x:c r="N290" s="683"/>
      <x:c r="O290" s="683"/>
      <x:c r="Z290" s="701"/>
    </x:row>
    <x:row r="291" spans="2:26" x14ac:dyDescent="0.25">
      <x:c r="B291" s="683"/>
      <x:c r="C291" s="683"/>
      <x:c r="D291" s="683"/>
      <x:c r="E291" s="683"/>
      <x:c r="F291" s="683"/>
      <x:c r="G291" s="683"/>
      <x:c r="H291" s="683"/>
      <x:c r="I291" s="683"/>
      <x:c r="J291" s="683"/>
      <x:c r="K291" s="683"/>
      <x:c r="L291" s="683"/>
      <x:c r="M291" s="683"/>
      <x:c r="N291" s="683"/>
      <x:c r="O291" s="683"/>
      <x:c r="Z291" s="701"/>
    </x:row>
    <x:row r="292" spans="2:26" x14ac:dyDescent="0.25">
      <x:c r="B292" s="683"/>
      <x:c r="C292" s="683"/>
      <x:c r="D292" s="683"/>
      <x:c r="E292" s="683"/>
      <x:c r="F292" s="683"/>
      <x:c r="G292" s="683"/>
      <x:c r="H292" s="683"/>
      <x:c r="I292" s="683"/>
      <x:c r="J292" s="683"/>
      <x:c r="K292" s="683"/>
      <x:c r="L292" s="683"/>
      <x:c r="M292" s="683"/>
      <x:c r="N292" s="683"/>
      <x:c r="O292" s="683"/>
      <x:c r="Z292" s="701"/>
    </x:row>
    <x:row r="293" spans="2:26" x14ac:dyDescent="0.25">
      <x:c r="B293" s="683"/>
      <x:c r="C293" s="683"/>
      <x:c r="D293" s="683"/>
      <x:c r="E293" s="683"/>
      <x:c r="F293" s="683"/>
      <x:c r="G293" s="683"/>
      <x:c r="H293" s="683"/>
      <x:c r="I293" s="683"/>
      <x:c r="J293" s="683"/>
      <x:c r="K293" s="683"/>
      <x:c r="L293" s="683"/>
      <x:c r="M293" s="683"/>
      <x:c r="N293" s="683"/>
      <x:c r="O293" s="683"/>
      <x:c r="Z293" s="701"/>
    </x:row>
    <x:row r="294" spans="2:26" x14ac:dyDescent="0.25">
      <x:c r="B294" s="683"/>
      <x:c r="C294" s="683"/>
      <x:c r="D294" s="683"/>
      <x:c r="E294" s="683"/>
      <x:c r="F294" s="683"/>
      <x:c r="G294" s="683"/>
      <x:c r="H294" s="683"/>
      <x:c r="I294" s="683"/>
      <x:c r="J294" s="683"/>
      <x:c r="K294" s="683"/>
      <x:c r="L294" s="683"/>
      <x:c r="M294" s="683"/>
      <x:c r="N294" s="683"/>
      <x:c r="O294" s="683"/>
      <x:c r="Z294" s="701"/>
    </x:row>
    <x:row r="295" spans="2:26" x14ac:dyDescent="0.25">
      <x:c r="B295" s="683"/>
      <x:c r="C295" s="683"/>
      <x:c r="D295" s="683"/>
      <x:c r="E295" s="683"/>
      <x:c r="F295" s="683"/>
      <x:c r="G295" s="683"/>
      <x:c r="H295" s="683"/>
      <x:c r="I295" s="683"/>
      <x:c r="J295" s="683"/>
      <x:c r="K295" s="683"/>
      <x:c r="L295" s="683"/>
      <x:c r="M295" s="683"/>
      <x:c r="N295" s="683"/>
      <x:c r="O295" s="683"/>
      <x:c r="Z295" s="701"/>
    </x:row>
    <x:row r="296" spans="2:26" x14ac:dyDescent="0.25">
      <x:c r="B296" s="683"/>
      <x:c r="C296" s="683"/>
      <x:c r="D296" s="683"/>
      <x:c r="E296" s="683"/>
      <x:c r="F296" s="683"/>
      <x:c r="G296" s="683"/>
      <x:c r="H296" s="683"/>
      <x:c r="I296" s="683"/>
      <x:c r="J296" s="683"/>
      <x:c r="K296" s="683"/>
      <x:c r="L296" s="683"/>
      <x:c r="M296" s="683"/>
      <x:c r="N296" s="683"/>
      <x:c r="O296" s="683"/>
      <x:c r="Z296" s="701"/>
    </x:row>
    <x:row r="297" spans="2:26" x14ac:dyDescent="0.25">
      <x:c r="B297" s="683"/>
      <x:c r="C297" s="683"/>
      <x:c r="D297" s="683"/>
      <x:c r="E297" s="683"/>
      <x:c r="F297" s="683"/>
      <x:c r="G297" s="683"/>
      <x:c r="H297" s="683"/>
      <x:c r="I297" s="683"/>
      <x:c r="J297" s="683"/>
      <x:c r="K297" s="683"/>
      <x:c r="L297" s="683"/>
      <x:c r="M297" s="683"/>
      <x:c r="N297" s="683"/>
      <x:c r="O297" s="683"/>
      <x:c r="Z297" s="701"/>
    </x:row>
    <x:row r="298" spans="2:26" x14ac:dyDescent="0.25">
      <x:c r="B298" s="683"/>
      <x:c r="C298" s="683"/>
      <x:c r="D298" s="683"/>
      <x:c r="E298" s="683"/>
      <x:c r="F298" s="683"/>
      <x:c r="G298" s="683"/>
      <x:c r="H298" s="683"/>
      <x:c r="I298" s="683"/>
      <x:c r="J298" s="683"/>
      <x:c r="K298" s="683"/>
      <x:c r="L298" s="683"/>
      <x:c r="M298" s="683"/>
      <x:c r="N298" s="683"/>
      <x:c r="O298" s="683"/>
      <x:c r="Z298" s="701"/>
    </x:row>
    <x:row r="299" spans="2:26" x14ac:dyDescent="0.25">
      <x:c r="B299" s="683"/>
      <x:c r="C299" s="683"/>
      <x:c r="D299" s="683"/>
      <x:c r="E299" s="683"/>
      <x:c r="F299" s="683"/>
      <x:c r="G299" s="683"/>
      <x:c r="H299" s="683"/>
      <x:c r="I299" s="683"/>
      <x:c r="J299" s="683"/>
      <x:c r="K299" s="683"/>
      <x:c r="L299" s="683"/>
      <x:c r="M299" s="683"/>
      <x:c r="N299" s="683"/>
      <x:c r="O299" s="683"/>
      <x:c r="Z299" s="701"/>
    </x:row>
    <x:row r="300" spans="2:26" x14ac:dyDescent="0.25">
      <x:c r="B300" s="683"/>
      <x:c r="C300" s="683"/>
      <x:c r="D300" s="683"/>
      <x:c r="E300" s="683"/>
      <x:c r="F300" s="683"/>
      <x:c r="G300" s="683"/>
      <x:c r="H300" s="683"/>
      <x:c r="I300" s="683"/>
      <x:c r="J300" s="683"/>
      <x:c r="K300" s="683"/>
      <x:c r="L300" s="683"/>
      <x:c r="M300" s="683"/>
      <x:c r="N300" s="683"/>
      <x:c r="O300" s="683"/>
      <x:c r="Z300" s="701"/>
    </x:row>
    <x:row r="301" spans="2:26" x14ac:dyDescent="0.25">
      <x:c r="B301" s="683"/>
      <x:c r="C301" s="683"/>
      <x:c r="D301" s="683"/>
      <x:c r="E301" s="683"/>
      <x:c r="F301" s="683"/>
      <x:c r="G301" s="683"/>
      <x:c r="H301" s="683"/>
      <x:c r="I301" s="683"/>
      <x:c r="J301" s="683"/>
      <x:c r="K301" s="683"/>
      <x:c r="L301" s="683"/>
      <x:c r="M301" s="683"/>
      <x:c r="N301" s="683"/>
      <x:c r="O301" s="683"/>
      <x:c r="Z301" s="701"/>
    </x:row>
    <x:row r="302" spans="2:26" x14ac:dyDescent="0.25">
      <x:c r="B302" s="683"/>
      <x:c r="C302" s="683"/>
      <x:c r="D302" s="683"/>
      <x:c r="E302" s="683"/>
      <x:c r="F302" s="683"/>
      <x:c r="G302" s="683"/>
      <x:c r="H302" s="683"/>
      <x:c r="I302" s="683"/>
      <x:c r="J302" s="683"/>
      <x:c r="K302" s="683"/>
      <x:c r="L302" s="683"/>
      <x:c r="M302" s="683"/>
      <x:c r="N302" s="683"/>
      <x:c r="O302" s="683"/>
      <x:c r="Z302" s="701"/>
    </x:row>
    <x:row r="303" spans="2:26" x14ac:dyDescent="0.25">
      <x:c r="B303" s="683"/>
      <x:c r="C303" s="683"/>
      <x:c r="D303" s="683"/>
      <x:c r="E303" s="683"/>
      <x:c r="F303" s="683"/>
      <x:c r="G303" s="683"/>
      <x:c r="H303" s="683"/>
      <x:c r="I303" s="683"/>
      <x:c r="J303" s="683"/>
      <x:c r="K303" s="683"/>
      <x:c r="L303" s="683"/>
      <x:c r="M303" s="683"/>
      <x:c r="N303" s="683"/>
      <x:c r="O303" s="683"/>
      <x:c r="Z303" s="701"/>
    </x:row>
    <x:row r="304" spans="2:26" x14ac:dyDescent="0.25">
      <x:c r="B304" s="683"/>
      <x:c r="C304" s="683"/>
      <x:c r="D304" s="683"/>
      <x:c r="E304" s="683"/>
      <x:c r="F304" s="683"/>
      <x:c r="G304" s="683"/>
      <x:c r="H304" s="683"/>
      <x:c r="I304" s="683"/>
      <x:c r="J304" s="683"/>
      <x:c r="K304" s="683"/>
      <x:c r="L304" s="683"/>
      <x:c r="M304" s="683"/>
      <x:c r="N304" s="683"/>
      <x:c r="O304" s="683"/>
      <x:c r="Z304" s="701"/>
    </x:row>
    <x:row r="305" spans="1:26" x14ac:dyDescent="0.25">
      <x:c r="B305" s="683"/>
      <x:c r="C305" s="683"/>
      <x:c r="D305" s="683"/>
      <x:c r="E305" s="683"/>
      <x:c r="F305" s="683"/>
      <x:c r="G305" s="683"/>
      <x:c r="H305" s="683"/>
      <x:c r="I305" s="683"/>
      <x:c r="J305" s="683"/>
      <x:c r="K305" s="683"/>
      <x:c r="L305" s="683"/>
      <x:c r="M305" s="683"/>
      <x:c r="N305" s="683"/>
      <x:c r="O305" s="683"/>
      <x:c r="Z305" s="701"/>
    </x:row>
    <x:row r="306" spans="1:26" x14ac:dyDescent="0.25">
      <x:c r="B306" s="683"/>
      <x:c r="C306" s="683"/>
      <x:c r="D306" s="683"/>
      <x:c r="E306" s="683"/>
      <x:c r="F306" s="683"/>
      <x:c r="G306" s="683"/>
      <x:c r="H306" s="683"/>
      <x:c r="I306" s="683"/>
      <x:c r="J306" s="683"/>
      <x:c r="K306" s="683"/>
      <x:c r="L306" s="683"/>
      <x:c r="M306" s="683"/>
      <x:c r="N306" s="683"/>
      <x:c r="O306" s="683"/>
      <x:c r="Z306" s="701"/>
    </x:row>
    <x:row r="307" spans="1:26" x14ac:dyDescent="0.25">
      <x:c r="B307" s="683"/>
      <x:c r="C307" s="683"/>
      <x:c r="D307" s="683"/>
      <x:c r="E307" s="683"/>
      <x:c r="F307" s="683"/>
      <x:c r="G307" s="683"/>
      <x:c r="H307" s="683"/>
      <x:c r="I307" s="683"/>
      <x:c r="J307" s="683"/>
      <x:c r="K307" s="683"/>
      <x:c r="L307" s="683"/>
      <x:c r="M307" s="683"/>
      <x:c r="N307" s="683"/>
      <x:c r="O307" s="683"/>
      <x:c r="Z307" s="701"/>
    </x:row>
    <x:row r="308" spans="1:26" x14ac:dyDescent="0.25">
      <x:c r="B308" s="683"/>
      <x:c r="C308" s="683"/>
      <x:c r="D308" s="683"/>
      <x:c r="E308" s="683"/>
      <x:c r="F308" s="683"/>
      <x:c r="G308" s="683"/>
      <x:c r="H308" s="683"/>
      <x:c r="I308" s="683"/>
      <x:c r="J308" s="683"/>
      <x:c r="K308" s="683"/>
      <x:c r="L308" s="683"/>
      <x:c r="M308" s="683"/>
      <x:c r="N308" s="683"/>
      <x:c r="O308" s="683"/>
      <x:c r="Z308" s="701"/>
    </x:row>
    <x:row r="309" spans="1:26" x14ac:dyDescent="0.25">
      <x:c r="B309" s="683"/>
      <x:c r="C309" s="683"/>
      <x:c r="D309" s="683"/>
      <x:c r="E309" s="683"/>
      <x:c r="F309" s="683"/>
      <x:c r="G309" s="683"/>
      <x:c r="H309" s="683"/>
      <x:c r="I309" s="683"/>
      <x:c r="J309" s="683"/>
      <x:c r="K309" s="683"/>
      <x:c r="L309" s="683"/>
      <x:c r="M309" s="683"/>
      <x:c r="N309" s="683"/>
      <x:c r="O309" s="683"/>
      <x:c r="Z309" s="701"/>
    </x:row>
    <x:row r="310" spans="1:26" x14ac:dyDescent="0.25">
      <x:c r="B310" s="683"/>
      <x:c r="C310" s="683"/>
      <x:c r="D310" s="683"/>
      <x:c r="E310" s="683"/>
      <x:c r="F310" s="683"/>
      <x:c r="G310" s="683"/>
      <x:c r="H310" s="683"/>
      <x:c r="I310" s="683"/>
      <x:c r="J310" s="683"/>
      <x:c r="K310" s="683"/>
      <x:c r="L310" s="683"/>
      <x:c r="M310" s="683"/>
      <x:c r="N310" s="683"/>
      <x:c r="O310" s="683"/>
      <x:c r="Z310" s="701"/>
    </x:row>
    <x:row r="311" spans="1:26" x14ac:dyDescent="0.25">
      <x:c r="B311" s="683"/>
      <x:c r="C311" s="683"/>
      <x:c r="D311" s="683"/>
      <x:c r="E311" s="683"/>
      <x:c r="F311" s="683"/>
      <x:c r="G311" s="683"/>
      <x:c r="H311" s="683"/>
      <x:c r="I311" s="683"/>
      <x:c r="J311" s="683"/>
      <x:c r="K311" s="683"/>
      <x:c r="L311" s="683"/>
      <x:c r="M311" s="683"/>
      <x:c r="N311" s="683"/>
      <x:c r="O311" s="683"/>
      <x:c r="Z311" s="701"/>
    </x:row>
    <x:row r="312" spans="1:26" x14ac:dyDescent="0.25">
      <x:c r="B312" s="683"/>
      <x:c r="C312" s="683"/>
      <x:c r="D312" s="683"/>
      <x:c r="E312" s="683"/>
      <x:c r="F312" s="683"/>
      <x:c r="G312" s="683"/>
      <x:c r="H312" s="683"/>
      <x:c r="I312" s="683"/>
      <x:c r="J312" s="683"/>
      <x:c r="K312" s="683"/>
      <x:c r="L312" s="683"/>
      <x:c r="M312" s="683"/>
      <x:c r="N312" s="683"/>
      <x:c r="O312" s="683"/>
      <x:c r="Z312" s="701"/>
    </x:row>
    <x:row r="313" spans="1:26" x14ac:dyDescent="0.25">
      <x:c r="B313" s="683"/>
      <x:c r="C313" s="683"/>
      <x:c r="D313" s="683"/>
      <x:c r="E313" s="683"/>
      <x:c r="F313" s="683"/>
      <x:c r="G313" s="683"/>
      <x:c r="H313" s="683"/>
      <x:c r="I313" s="683"/>
      <x:c r="J313" s="683"/>
      <x:c r="K313" s="683"/>
      <x:c r="L313" s="683"/>
      <x:c r="M313" s="683"/>
      <x:c r="N313" s="683"/>
      <x:c r="O313" s="683"/>
      <x:c r="Z313" s="701"/>
    </x:row>
    <x:row r="314" spans="1:26" x14ac:dyDescent="0.25">
      <x:c r="B314" s="683"/>
      <x:c r="C314" s="683"/>
      <x:c r="D314" s="683"/>
      <x:c r="E314" s="683"/>
      <x:c r="F314" s="683"/>
      <x:c r="G314" s="683"/>
      <x:c r="H314" s="683"/>
      <x:c r="I314" s="683"/>
      <x:c r="J314" s="683"/>
      <x:c r="K314" s="683"/>
      <x:c r="L314" s="683"/>
      <x:c r="M314" s="683"/>
      <x:c r="N314" s="683"/>
      <x:c r="O314" s="683"/>
      <x:c r="Z314" s="701"/>
    </x:row>
    <x:row r="315" spans="1:26" x14ac:dyDescent="0.25">
      <x:c r="B315" s="683"/>
      <x:c r="C315" s="683"/>
      <x:c r="D315" s="683"/>
      <x:c r="E315" s="683"/>
      <x:c r="F315" s="683"/>
      <x:c r="G315" s="683"/>
      <x:c r="H315" s="683"/>
      <x:c r="I315" s="683"/>
      <x:c r="J315" s="683"/>
      <x:c r="K315" s="683"/>
      <x:c r="L315" s="683"/>
      <x:c r="M315" s="683"/>
      <x:c r="N315" s="683"/>
      <x:c r="O315" s="683"/>
      <x:c r="Z315" s="701"/>
    </x:row>
    <x:row r="316" spans="1:26" x14ac:dyDescent="0.25">
      <x:c r="B316" s="683"/>
      <x:c r="C316" s="683"/>
      <x:c r="D316" s="683"/>
      <x:c r="E316" s="683"/>
      <x:c r="F316" s="683"/>
      <x:c r="G316" s="683"/>
      <x:c r="H316" s="683"/>
      <x:c r="I316" s="683"/>
      <x:c r="J316" s="683"/>
      <x:c r="K316" s="683"/>
      <x:c r="L316" s="683"/>
      <x:c r="M316" s="683"/>
      <x:c r="N316" s="683"/>
      <x:c r="O316" s="683"/>
      <x:c r="Z316" s="701"/>
    </x:row>
    <x:row r="317" spans="1:26" x14ac:dyDescent="0.25">
      <x:c r="B317" s="683"/>
      <x:c r="C317" s="683"/>
      <x:c r="D317" s="683"/>
      <x:c r="E317" s="683"/>
      <x:c r="F317" s="683"/>
      <x:c r="G317" s="683"/>
      <x:c r="H317" s="683"/>
      <x:c r="I317" s="683"/>
      <x:c r="J317" s="683"/>
      <x:c r="K317" s="683"/>
      <x:c r="L317" s="683"/>
      <x:c r="M317" s="683"/>
      <x:c r="N317" s="683"/>
      <x:c r="O317" s="683"/>
      <x:c r="Z317" s="701"/>
    </x:row>
    <x:row r="318" spans="1:26" x14ac:dyDescent="0.25">
      <x:c r="B318" s="683"/>
      <x:c r="C318" s="683"/>
      <x:c r="D318" s="683"/>
      <x:c r="E318" s="683"/>
      <x:c r="F318" s="683"/>
      <x:c r="G318" s="683"/>
      <x:c r="H318" s="683"/>
      <x:c r="I318" s="683"/>
      <x:c r="J318" s="683"/>
      <x:c r="K318" s="683"/>
      <x:c r="L318" s="683"/>
      <x:c r="M318" s="683"/>
      <x:c r="N318" s="683"/>
      <x:c r="O318" s="683"/>
      <x:c r="Z318" s="701"/>
    </x:row>
    <x:row r="319" spans="1:26" x14ac:dyDescent="0.25">
      <x:c r="B319" s="683"/>
      <x:c r="C319" s="683"/>
      <x:c r="D319" s="683"/>
      <x:c r="E319" s="683"/>
      <x:c r="F319" s="683"/>
      <x:c r="G319" s="683"/>
      <x:c r="H319" s="683"/>
      <x:c r="I319" s="683"/>
      <x:c r="J319" s="683"/>
      <x:c r="K319" s="683"/>
      <x:c r="L319" s="683"/>
      <x:c r="M319" s="683"/>
      <x:c r="N319" s="683"/>
      <x:c r="O319" s="683"/>
      <x:c r="Z319" s="701"/>
    </x:row>
    <x:row r="320" spans="1:26" x14ac:dyDescent="0.25">
      <x:c r="A320" s="776" t="s">
        <x:v>2</x:v>
      </x:c>
      <x:c r="B320" s="775" t="s">
        <x:v>132</x:v>
      </x:c>
      <x:c r="C320" s="696" t="s">
        <x:v>70</x:v>
      </x:c>
      <x:c r="D320" s="696">
        <x:f>D243-P243</x:f>
        <x:v>0</x:v>
      </x:c>
      <x:c r="E320" s="696">
        <x:f>E239+E233+E227</x:f>
        <x:v>0</x:v>
      </x:c>
      <x:c r="F320" s="696">
        <x:f t="shared" ref="F320:R320" si="9">F239+F233+F227</x:f>
        <x:v>0</x:v>
      </x:c>
      <x:c r="G320" s="696">
        <x:f t="shared" si="9"/>
        <x:v>0</x:v>
      </x:c>
      <x:c r="H320" s="696">
        <x:f t="shared" si="9"/>
        <x:v>0</x:v>
      </x:c>
      <x:c r="I320" s="696">
        <x:f t="shared" si="9"/>
        <x:v>0</x:v>
      </x:c>
      <x:c r="J320" s="696">
        <x:f t="shared" si="9"/>
        <x:v>0</x:v>
      </x:c>
      <x:c r="K320" s="696">
        <x:f t="shared" si="9"/>
        <x:v>0</x:v>
      </x:c>
      <x:c r="L320" s="696">
        <x:f t="shared" si="9"/>
        <x:v>0</x:v>
      </x:c>
      <x:c r="M320" s="696">
        <x:f t="shared" si="9"/>
        <x:v>0</x:v>
      </x:c>
      <x:c r="N320" s="696">
        <x:f t="shared" si="9"/>
        <x:v>0</x:v>
      </x:c>
      <x:c r="O320" s="696">
        <x:f t="shared" si="9"/>
        <x:v>0</x:v>
      </x:c>
      <x:c r="P320" s="696">
        <x:f t="shared" si="9"/>
        <x:v>0</x:v>
      </x:c>
      <x:c r="Q320" s="696">
        <x:f t="shared" si="9"/>
        <x:v>0</x:v>
      </x:c>
      <x:c r="R320" s="696">
        <x:f t="shared" si="9"/>
        <x:v>0</x:v>
      </x:c>
      <x:c r="Z320" s="701"/>
    </x:row>
    <x:row r="321" spans="1:26" x14ac:dyDescent="0.25">
      <x:c r="A321" s="776"/>
      <x:c r="B321" s="775"/>
      <x:c r="C321" s="696" t="s">
        <x:v>73</x:v>
      </x:c>
      <x:c r="D321" s="696">
        <x:f>D241+D235+D229</x:f>
        <x:v>0</x:v>
      </x:c>
      <x:c r="E321" s="683"/>
      <x:c r="F321" s="683"/>
      <x:c r="G321" s="683"/>
      <x:c r="H321" s="683"/>
      <x:c r="I321" s="683"/>
      <x:c r="J321" s="683"/>
      <x:c r="K321" s="683"/>
      <x:c r="L321" s="683"/>
      <x:c r="M321" s="683"/>
      <x:c r="N321" s="683"/>
      <x:c r="O321" s="683"/>
      <x:c r="P321" s="683"/>
      <x:c r="Q321" s="683"/>
      <x:c r="R321" s="683"/>
      <x:c r="Z321" s="701"/>
    </x:row>
    <x:row r="322" spans="1:26" x14ac:dyDescent="0.25">
      <x:c r="A322" s="682"/>
      <x:c r="D322" s="683"/>
      <x:c r="E322" s="683"/>
      <x:c r="F322" s="683"/>
      <x:c r="G322" s="683"/>
      <x:c r="H322" s="683"/>
      <x:c r="I322" s="683"/>
      <x:c r="J322" s="683"/>
      <x:c r="K322" s="683"/>
      <x:c r="L322" s="683"/>
      <x:c r="M322" s="683"/>
      <x:c r="N322" s="683"/>
      <x:c r="O322" s="683"/>
      <x:c r="P322" s="683"/>
      <x:c r="Q322" s="683"/>
      <x:c r="R322" s="683"/>
      <x:c r="Z322" s="701"/>
    </x:row>
    <x:row r="323" spans="1:26" x14ac:dyDescent="0.25">
      <x:c r="A323" s="776" t="s">
        <x:v>160</x:v>
      </x:c>
      <x:c r="B323" s="775" t="s">
        <x:v>132</x:v>
      </x:c>
      <x:c r="C323" s="697" t="s">
        <x:v>70</x:v>
      </x:c>
      <x:c r="D323" s="697">
        <x:f>D236-P236</x:f>
        <x:v>0</x:v>
      </x:c>
      <x:c r="E323" s="697">
        <x:f>E233</x:f>
        <x:v>0</x:v>
      </x:c>
      <x:c r="F323" s="697">
        <x:f t="shared" ref="F323:R323" si="10">F233</x:f>
        <x:v>0</x:v>
      </x:c>
      <x:c r="G323" s="697">
        <x:f t="shared" si="10"/>
        <x:v>0</x:v>
      </x:c>
      <x:c r="H323" s="697">
        <x:f t="shared" si="10"/>
        <x:v>0</x:v>
      </x:c>
      <x:c r="I323" s="697">
        <x:f t="shared" si="10"/>
        <x:v>0</x:v>
      </x:c>
      <x:c r="J323" s="697">
        <x:f t="shared" si="10"/>
        <x:v>0</x:v>
      </x:c>
      <x:c r="K323" s="697">
        <x:f t="shared" si="10"/>
        <x:v>0</x:v>
      </x:c>
      <x:c r="L323" s="697">
        <x:f t="shared" si="10"/>
        <x:v>0</x:v>
      </x:c>
      <x:c r="M323" s="697">
        <x:f t="shared" si="10"/>
        <x:v>0</x:v>
      </x:c>
      <x:c r="N323" s="697">
        <x:f t="shared" si="10"/>
        <x:v>0</x:v>
      </x:c>
      <x:c r="O323" s="697">
        <x:f t="shared" si="10"/>
        <x:v>0</x:v>
      </x:c>
      <x:c r="P323" s="697">
        <x:f t="shared" si="10"/>
        <x:v>0</x:v>
      </x:c>
      <x:c r="Q323" s="697">
        <x:f t="shared" si="10"/>
        <x:v>0</x:v>
      </x:c>
      <x:c r="R323" s="697">
        <x:f t="shared" si="10"/>
        <x:v>0</x:v>
      </x:c>
      <x:c r="Z323" s="701"/>
    </x:row>
    <x:row r="324" spans="1:26" x14ac:dyDescent="0.25">
      <x:c r="A324" s="776"/>
      <x:c r="B324" s="775"/>
      <x:c r="C324" s="697" t="s">
        <x:v>73</x:v>
      </x:c>
      <x:c r="D324" s="697">
        <x:f>D235</x:f>
        <x:v>0</x:v>
      </x:c>
      <x:c r="E324" s="683"/>
      <x:c r="F324" s="683"/>
      <x:c r="G324" s="683"/>
      <x:c r="H324" s="683"/>
      <x:c r="I324" s="683"/>
      <x:c r="J324" s="683"/>
      <x:c r="K324" s="683"/>
      <x:c r="L324" s="683"/>
      <x:c r="M324" s="683"/>
      <x:c r="N324" s="683"/>
      <x:c r="O324" s="683"/>
      <x:c r="P324" s="683"/>
      <x:c r="Q324" s="683"/>
      <x:c r="R324" s="683"/>
      <x:c r="Z324" s="701"/>
    </x:row>
    <x:row r="325" spans="1:26" x14ac:dyDescent="0.25">
      <x:c r="A325" s="682"/>
      <x:c r="D325" s="683"/>
      <x:c r="E325" s="683"/>
      <x:c r="F325" s="683"/>
      <x:c r="G325" s="683"/>
      <x:c r="H325" s="683"/>
      <x:c r="I325" s="683"/>
      <x:c r="J325" s="683"/>
      <x:c r="K325" s="683"/>
      <x:c r="L325" s="683"/>
      <x:c r="M325" s="683"/>
      <x:c r="N325" s="683"/>
      <x:c r="O325" s="683"/>
      <x:c r="P325" s="683"/>
      <x:c r="Q325" s="683"/>
      <x:c r="R325" s="683"/>
      <x:c r="Z325" s="701"/>
    </x:row>
    <x:row r="326" spans="1:26" x14ac:dyDescent="0.25">
      <x:c r="A326" s="776" t="s">
        <x:v>155</x:v>
      </x:c>
      <x:c r="B326" s="775" t="s">
        <x:v>132</x:v>
      </x:c>
      <x:c r="C326" s="698" t="s">
        <x:v>70</x:v>
      </x:c>
      <x:c r="D326" s="698">
        <x:f>D230-P230</x:f>
        <x:v>0</x:v>
      </x:c>
      <x:c r="E326" s="698">
        <x:f>E227</x:f>
        <x:v>0</x:v>
      </x:c>
      <x:c r="F326" s="698">
        <x:f t="shared" ref="F326:R326" si="11">F227</x:f>
        <x:v>0</x:v>
      </x:c>
      <x:c r="G326" s="698">
        <x:f t="shared" si="11"/>
        <x:v>0</x:v>
      </x:c>
      <x:c r="H326" s="698">
        <x:f t="shared" si="11"/>
        <x:v>0</x:v>
      </x:c>
      <x:c r="I326" s="698">
        <x:f t="shared" si="11"/>
        <x:v>0</x:v>
      </x:c>
      <x:c r="J326" s="698">
        <x:f t="shared" si="11"/>
        <x:v>0</x:v>
      </x:c>
      <x:c r="K326" s="698">
        <x:f t="shared" si="11"/>
        <x:v>0</x:v>
      </x:c>
      <x:c r="L326" s="698">
        <x:f t="shared" si="11"/>
        <x:v>0</x:v>
      </x:c>
      <x:c r="M326" s="698">
        <x:f t="shared" si="11"/>
        <x:v>0</x:v>
      </x:c>
      <x:c r="N326" s="698">
        <x:f t="shared" si="11"/>
        <x:v>0</x:v>
      </x:c>
      <x:c r="O326" s="698">
        <x:f t="shared" si="11"/>
        <x:v>0</x:v>
      </x:c>
      <x:c r="P326" s="698">
        <x:f t="shared" si="11"/>
        <x:v>0</x:v>
      </x:c>
      <x:c r="Q326" s="698">
        <x:f t="shared" si="11"/>
        <x:v>0</x:v>
      </x:c>
      <x:c r="R326" s="698">
        <x:f t="shared" si="11"/>
        <x:v>0</x:v>
      </x:c>
      <x:c r="Z326" s="701"/>
    </x:row>
    <x:row r="327" spans="1:26" x14ac:dyDescent="0.25">
      <x:c r="A327" s="776"/>
      <x:c r="B327" s="775"/>
      <x:c r="C327" s="698" t="s">
        <x:v>73</x:v>
      </x:c>
      <x:c r="D327" s="698">
        <x:f>D229</x:f>
        <x:v>0</x:v>
      </x:c>
      <x:c r="E327" s="683"/>
      <x:c r="F327" s="683"/>
      <x:c r="G327" s="683"/>
      <x:c r="H327" s="683"/>
      <x:c r="I327" s="683"/>
      <x:c r="J327" s="683"/>
      <x:c r="K327" s="683"/>
      <x:c r="L327" s="683"/>
      <x:c r="M327" s="683"/>
      <x:c r="N327" s="683"/>
      <x:c r="O327" s="683"/>
      <x:c r="P327" s="683"/>
      <x:c r="Q327" s="683"/>
      <x:c r="R327" s="683"/>
      <x:c r="Z327" s="701"/>
    </x:row>
    <x:row r="328" spans="1:26" x14ac:dyDescent="0.25">
      <x:c r="A328" s="694"/>
      <x:c r="B328" s="695"/>
      <x:c r="C328" s="683"/>
      <x:c r="D328" s="683"/>
      <x:c r="E328" s="683"/>
      <x:c r="F328" s="683"/>
      <x:c r="G328" s="683"/>
      <x:c r="H328" s="683"/>
      <x:c r="I328" s="683"/>
      <x:c r="J328" s="683"/>
      <x:c r="K328" s="683"/>
      <x:c r="L328" s="683"/>
      <x:c r="M328" s="683"/>
      <x:c r="N328" s="683"/>
      <x:c r="O328" s="683"/>
      <x:c r="P328" s="683"/>
      <x:c r="Q328" s="683"/>
      <x:c r="R328" s="683"/>
      <x:c r="Z328" s="701"/>
    </x:row>
    <x:row r="329" spans="1:26" x14ac:dyDescent="0.25">
      <x:c r="A329" s="774" t="s">
        <x:v>326</x:v>
      </x:c>
      <x:c r="B329" s="775" t="s">
        <x:v>132</x:v>
      </x:c>
      <x:c r="C329" s="698" t="s">
        <x:v>70</x:v>
      </x:c>
      <x:c r="D329" s="699">
        <x:v>0</x:v>
      </x:c>
      <x:c r="E329" s="699">
        <x:v>0</x:v>
      </x:c>
      <x:c r="F329" s="699">
        <x:v>0</x:v>
      </x:c>
      <x:c r="G329" s="699">
        <x:v>0</x:v>
      </x:c>
      <x:c r="H329" s="699">
        <x:v>0</x:v>
      </x:c>
      <x:c r="I329" s="699">
        <x:v>0</x:v>
      </x:c>
      <x:c r="J329" s="699">
        <x:v>0</x:v>
      </x:c>
      <x:c r="K329" s="699">
        <x:v>0</x:v>
      </x:c>
      <x:c r="L329" s="699">
        <x:v>0</x:v>
      </x:c>
      <x:c r="M329" s="699">
        <x:v>0</x:v>
      </x:c>
      <x:c r="N329" s="699">
        <x:v>0</x:v>
      </x:c>
      <x:c r="O329" s="699">
        <x:v>0</x:v>
      </x:c>
      <x:c r="P329" s="699">
        <x:v>0</x:v>
      </x:c>
      <x:c r="Q329" s="699">
        <x:v>0</x:v>
      </x:c>
      <x:c r="R329" s="699">
        <x:v>0</x:v>
      </x:c>
      <x:c r="Z329" s="701"/>
    </x:row>
    <x:row r="330" spans="1:26" x14ac:dyDescent="0.25">
      <x:c r="A330" s="774"/>
      <x:c r="B330" s="775"/>
      <x:c r="C330" s="698" t="s">
        <x:v>73</x:v>
      </x:c>
      <x:c r="D330" s="699">
        <x:v>0</x:v>
      </x:c>
      <x:c r="E330" s="683"/>
      <x:c r="F330" s="683"/>
      <x:c r="G330" s="683"/>
      <x:c r="H330" s="683"/>
      <x:c r="I330" s="683"/>
      <x:c r="J330" s="683"/>
      <x:c r="K330" s="683"/>
      <x:c r="L330" s="683"/>
      <x:c r="M330" s="683"/>
      <x:c r="N330" s="683"/>
      <x:c r="O330" s="683"/>
      <x:c r="P330" s="683"/>
      <x:c r="Q330" s="683"/>
      <x:c r="Z330" s="701"/>
    </x:row>
    <x:row r="331" spans="1:26" x14ac:dyDescent="0.25">
      <x:c r="A331" s="682"/>
      <x:c r="D331" s="683"/>
      <x:c r="E331" s="683"/>
      <x:c r="F331" s="683"/>
      <x:c r="G331" s="683"/>
      <x:c r="H331" s="683"/>
      <x:c r="I331" s="683"/>
      <x:c r="J331" s="683"/>
      <x:c r="K331" s="683"/>
      <x:c r="L331" s="683"/>
      <x:c r="M331" s="683"/>
      <x:c r="N331" s="683"/>
      <x:c r="O331" s="683"/>
      <x:c r="P331" s="683"/>
      <x:c r="Q331" s="683"/>
      <x:c r="R331" s="683"/>
      <x:c r="Z331" s="701"/>
    </x:row>
    <x:row r="332" spans="1:26" x14ac:dyDescent="0.25">
      <x:c r="A332" s="776" t="s">
        <x:v>119</x:v>
      </x:c>
      <x:c r="B332" s="775" t="s">
        <x:v>132</x:v>
      </x:c>
      <x:c r="C332" s="691" t="s">
        <x:v>70</x:v>
      </x:c>
      <x:c r="D332" s="691">
        <x:f>D242-P242</x:f>
        <x:v>0</x:v>
      </x:c>
      <x:c r="E332" s="691">
        <x:f>E239</x:f>
        <x:v>0</x:v>
      </x:c>
      <x:c r="F332" s="691">
        <x:f t="shared" ref="F332:R332" si="12">F239</x:f>
        <x:v>0</x:v>
      </x:c>
      <x:c r="G332" s="691">
        <x:f t="shared" si="12"/>
        <x:v>0</x:v>
      </x:c>
      <x:c r="H332" s="691">
        <x:f t="shared" si="12"/>
        <x:v>0</x:v>
      </x:c>
      <x:c r="I332" s="691">
        <x:f t="shared" si="12"/>
        <x:v>0</x:v>
      </x:c>
      <x:c r="J332" s="691">
        <x:f t="shared" si="12"/>
        <x:v>0</x:v>
      </x:c>
      <x:c r="K332" s="691">
        <x:f t="shared" si="12"/>
        <x:v>0</x:v>
      </x:c>
      <x:c r="L332" s="691">
        <x:f t="shared" si="12"/>
        <x:v>0</x:v>
      </x:c>
      <x:c r="M332" s="691">
        <x:f t="shared" si="12"/>
        <x:v>0</x:v>
      </x:c>
      <x:c r="N332" s="691">
        <x:f t="shared" si="12"/>
        <x:v>0</x:v>
      </x:c>
      <x:c r="O332" s="691">
        <x:f t="shared" si="12"/>
        <x:v>0</x:v>
      </x:c>
      <x:c r="P332" s="691">
        <x:f t="shared" si="12"/>
        <x:v>0</x:v>
      </x:c>
      <x:c r="Q332" s="691">
        <x:f t="shared" si="12"/>
        <x:v>0</x:v>
      </x:c>
      <x:c r="R332" s="691">
        <x:f t="shared" si="12"/>
        <x:v>0</x:v>
      </x:c>
      <x:c r="Z332" s="701"/>
    </x:row>
    <x:row r="333" spans="1:26" x14ac:dyDescent="0.25">
      <x:c r="A333" s="776"/>
      <x:c r="B333" s="775"/>
      <x:c r="C333" s="691" t="s">
        <x:v>73</x:v>
      </x:c>
      <x:c r="D333" s="691">
        <x:f>D241</x:f>
        <x:v>0</x:v>
      </x:c>
      <x:c r="E333" s="683"/>
      <x:c r="F333" s="683"/>
      <x:c r="G333" s="683"/>
      <x:c r="H333" s="683"/>
      <x:c r="I333" s="683"/>
      <x:c r="J333" s="683"/>
      <x:c r="K333" s="683"/>
      <x:c r="L333" s="683"/>
      <x:c r="M333" s="683"/>
      <x:c r="N333" s="683"/>
      <x:c r="O333" s="683"/>
      <x:c r="P333" s="683"/>
      <x:c r="Q333" s="683"/>
      <x:c r="R333" s="683"/>
      <x:c r="Z333" s="701"/>
    </x:row>
    <x:row r="334" spans="1:26" x14ac:dyDescent="0.25">
      <x:c r="A334" s="682"/>
      <x:c r="D334" s="683"/>
      <x:c r="E334" s="683"/>
      <x:c r="F334" s="683"/>
      <x:c r="G334" s="683"/>
      <x:c r="H334" s="683"/>
      <x:c r="I334" s="683"/>
      <x:c r="J334" s="683"/>
      <x:c r="K334" s="683"/>
      <x:c r="L334" s="683"/>
      <x:c r="M334" s="683"/>
      <x:c r="N334" s="683"/>
      <x:c r="O334" s="683"/>
      <x:c r="P334" s="683"/>
      <x:c r="Q334" s="683"/>
      <x:c r="R334" s="683"/>
      <x:c r="Z334" s="701"/>
    </x:row>
    <x:row r="335" spans="1:26" x14ac:dyDescent="0.25">
      <x:c r="A335" s="777" t="s">
        <x:v>161</x:v>
      </x:c>
      <x:c r="B335" s="775" t="s">
        <x:v>132</x:v>
      </x:c>
      <x:c r="C335" s="700" t="s">
        <x:v>70</x:v>
      </x:c>
      <x:c r="D335" s="700">
        <x:v>0</x:v>
      </x:c>
      <x:c r="E335" s="700">
        <x:v>0</x:v>
      </x:c>
      <x:c r="F335" s="700">
        <x:v>0</x:v>
      </x:c>
      <x:c r="G335" s="700">
        <x:v>0</x:v>
      </x:c>
      <x:c r="H335" s="700">
        <x:v>0</x:v>
      </x:c>
      <x:c r="I335" s="700">
        <x:v>0</x:v>
      </x:c>
      <x:c r="J335" s="700">
        <x:v>0</x:v>
      </x:c>
      <x:c r="K335" s="700">
        <x:v>0</x:v>
      </x:c>
      <x:c r="L335" s="700">
        <x:v>0</x:v>
      </x:c>
      <x:c r="M335" s="700">
        <x:v>0</x:v>
      </x:c>
      <x:c r="N335" s="700">
        <x:v>0</x:v>
      </x:c>
      <x:c r="O335" s="700">
        <x:v>0</x:v>
      </x:c>
      <x:c r="P335" s="700">
        <x:v>0</x:v>
      </x:c>
      <x:c r="Q335" s="700">
        <x:v>0</x:v>
      </x:c>
      <x:c r="R335" s="700">
        <x:v>0</x:v>
      </x:c>
      <x:c r="Z335" s="701"/>
    </x:row>
    <x:row r="336" spans="1:26" x14ac:dyDescent="0.25">
      <x:c r="A336" s="777"/>
      <x:c r="B336" s="775"/>
      <x:c r="C336" s="700" t="s">
        <x:v>73</x:v>
      </x:c>
      <x:c r="D336" s="700">
        <x:v>0</x:v>
      </x:c>
      <x:c r="E336" s="683"/>
      <x:c r="F336" s="683"/>
      <x:c r="G336" s="683"/>
      <x:c r="H336" s="683"/>
      <x:c r="I336" s="683"/>
      <x:c r="J336" s="683"/>
      <x:c r="K336" s="683"/>
      <x:c r="L336" s="683"/>
      <x:c r="M336" s="683"/>
      <x:c r="N336" s="683"/>
      <x:c r="O336" s="683"/>
      <x:c r="P336" s="683"/>
      <x:c r="Q336" s="683"/>
      <x:c r="Z336" s="701"/>
    </x:row>
    <x:row r="337" spans="1:26" x14ac:dyDescent="0.25">
      <x:c r="A337" s="701"/>
      <x:c r="B337" s="701"/>
      <x:c r="C337" s="701"/>
      <x:c r="D337" s="701" t="n">
        <x:v>-5470988</x:v>
      </x:c>
      <x:c r="E337" s="701"/>
      <x:c r="F337" s="701"/>
      <x:c r="G337" s="701"/>
      <x:c r="H337" s="701"/>
      <x:c r="I337" s="701"/>
      <x:c r="J337" s="701"/>
      <x:c r="K337" s="701"/>
      <x:c r="L337" s="701"/>
      <x:c r="M337" s="701"/>
      <x:c r="N337" s="701"/>
      <x:c r="O337" s="701"/>
      <x:c r="P337" s="701" t="n">
        <x:v>0</x:v>
      </x:c>
      <x:c r="Q337" s="701"/>
      <x:c r="R337" s="701"/>
      <x:c r="S337" s="701"/>
      <x:c r="T337" s="701"/>
      <x:c r="U337" s="701"/>
      <x:c r="V337" s="701"/>
      <x:c r="W337" s="701"/>
      <x:c r="X337" s="701"/>
      <x:c r="Y337" s="701"/>
      <x:c r="Z337" s="701"/>
    </x:row>
    <x:row r="338" spans="1:26" x14ac:dyDescent="0.25">
      <x:c r="B338" s="707" t="s">
        <x:v>93</x:v>
      </x:c>
      <x:c r="Z338" s="701"/>
    </x:row>
    <x:row r="339" spans="1:26" s="682" customFormat="1" x14ac:dyDescent="0.25">
      <x:c r="D339" s="704" t="s">
        <x:v>70</x:v>
      </x:c>
      <x:c r="E339" s="704" t="s">
        <x:v>64</x:v>
      </x:c>
      <x:c r="F339" s="704" t="s">
        <x:v>65</x:v>
      </x:c>
      <x:c r="G339" s="705" t="s">
        <x:v>164</x:v>
      </x:c>
      <x:c r="H339" s="704" t="s">
        <x:v>69</x:v>
      </x:c>
      <x:c r="I339" s="704" t="s">
        <x:v>68</x:v>
      </x:c>
      <x:c r="J339" s="704" t="s">
        <x:v>66</x:v>
      </x:c>
      <x:c r="K339" s="704" t="s">
        <x:v>63</x:v>
      </x:c>
      <x:c r="L339" s="704" t="s">
        <x:v>61</x:v>
      </x:c>
      <x:c r="M339" s="704" t="s">
        <x:v>62</x:v>
      </x:c>
      <x:c r="N339" s="704" t="s">
        <x:v>67</x:v>
      </x:c>
      <x:c r="O339" s="704" t="s">
        <x:v>77</x:v>
      </x:c>
      <x:c r="P339" s="682" t="s">
        <x:v>71</x:v>
      </x:c>
      <x:c r="Q339" s="704" t="s">
        <x:v>80</x:v>
      </x:c>
      <x:c r="R339" s="682" t="s">
        <x:v>167</x:v>
      </x:c>
      <x:c r="Z339" s="706"/>
    </x:row>
    <x:row r="340" spans="1:26" x14ac:dyDescent="0.25">
      <x:c r="C340" s="683" t="s">
        <x:v>72</x:v>
      </x:c>
      <x:c r="D340" s="683">
        <x:v>0</x:v>
      </x:c>
      <x:c r="E340" s="683">
        <x:v>0</x:v>
      </x:c>
      <x:c r="F340" s="683">
        <x:v>0</x:v>
      </x:c>
      <x:c r="G340" s="683">
        <x:v>0</x:v>
      </x:c>
      <x:c r="H340" s="683">
        <x:v>0</x:v>
      </x:c>
      <x:c r="I340" s="683">
        <x:v>0</x:v>
      </x:c>
      <x:c r="J340" s="683">
        <x:v>0</x:v>
      </x:c>
      <x:c r="K340" s="683">
        <x:v>0</x:v>
      </x:c>
      <x:c r="L340" s="683">
        <x:v>0</x:v>
      </x:c>
      <x:c r="M340" s="683">
        <x:v>0</x:v>
      </x:c>
      <x:c r="N340" s="683">
        <x:v>0</x:v>
      </x:c>
      <x:c r="O340" s="683">
        <x:v>0</x:v>
      </x:c>
      <x:c r="P340" s="681">
        <x:v>0</x:v>
      </x:c>
      <x:c r="Q340" s="683">
        <x:v>0</x:v>
      </x:c>
      <x:c r="R340" s="681">
        <x:v>0</x:v>
      </x:c>
      <x:c r="Z340" s="701"/>
    </x:row>
    <x:row r="341" spans="1:26" x14ac:dyDescent="0.25">
      <x:c r="C341" s="683" t="s">
        <x:v>81</x:v>
      </x:c>
      <x:c r="D341" s="683">
        <x:v>0</x:v>
      </x:c>
      <x:c r="E341" s="683">
        <x:v>0</x:v>
      </x:c>
      <x:c r="F341" s="683">
        <x:v>0</x:v>
      </x:c>
      <x:c r="G341" s="683">
        <x:v>0</x:v>
      </x:c>
      <x:c r="H341" s="683">
        <x:v>0</x:v>
      </x:c>
      <x:c r="I341" s="683">
        <x:v>0</x:v>
      </x:c>
      <x:c r="J341" s="683">
        <x:v>0</x:v>
      </x:c>
      <x:c r="K341" s="683">
        <x:v>0</x:v>
      </x:c>
      <x:c r="L341" s="683">
        <x:v>0</x:v>
      </x:c>
      <x:c r="M341" s="683">
        <x:v>0</x:v>
      </x:c>
      <x:c r="N341" s="683">
        <x:v>0</x:v>
      </x:c>
      <x:c r="O341" s="683">
        <x:v>0</x:v>
      </x:c>
      <x:c r="P341" s="681">
        <x:v>0</x:v>
      </x:c>
      <x:c r="Q341" s="683">
        <x:v>0</x:v>
      </x:c>
      <x:c r="R341" s="681">
        <x:v>0</x:v>
      </x:c>
      <x:c r="Z341" s="701"/>
    </x:row>
    <x:row r="342" spans="1:26" x14ac:dyDescent="0.25">
      <x:c r="A342" s="684"/>
      <x:c r="B342" s="685" t="s">
        <x:v>78</x:v>
      </x:c>
      <x:c r="C342" s="685" t="s">
        <x:v>70</x:v>
      </x:c>
      <x:c r="D342" s="685">
        <x:v>0</x:v>
      </x:c>
      <x:c r="E342" s="685">
        <x:v>0</x:v>
      </x:c>
      <x:c r="F342" s="685">
        <x:v>0</x:v>
      </x:c>
      <x:c r="G342" s="685">
        <x:v>0</x:v>
      </x:c>
      <x:c r="H342" s="685">
        <x:v>0</x:v>
      </x:c>
      <x:c r="I342" s="685">
        <x:v>0</x:v>
      </x:c>
      <x:c r="J342" s="685">
        <x:v>0</x:v>
      </x:c>
      <x:c r="K342" s="685">
        <x:v>0</x:v>
      </x:c>
      <x:c r="L342" s="685">
        <x:v>0</x:v>
      </x:c>
      <x:c r="M342" s="685">
        <x:v>0</x:v>
      </x:c>
      <x:c r="N342" s="685">
        <x:v>0</x:v>
      </x:c>
      <x:c r="O342" s="685">
        <x:v>0</x:v>
      </x:c>
      <x:c r="P342" s="684">
        <x:v>0</x:v>
      </x:c>
      <x:c r="Q342" s="685">
        <x:v>0</x:v>
      </x:c>
      <x:c r="R342" s="685">
        <x:v>0</x:v>
      </x:c>
      <x:c r="S342" s="684"/>
      <x:c r="T342" s="684"/>
      <x:c r="U342" s="684"/>
      <x:c r="V342" s="684"/>
      <x:c r="W342" s="684"/>
      <x:c r="X342" s="684"/>
      <x:c r="Y342" s="684"/>
      <x:c r="Z342" s="701"/>
    </x:row>
    <x:row r="343" spans="1:26" x14ac:dyDescent="0.25">
      <x:c r="C343" s="683" t="s">
        <x:v>73</x:v>
      </x:c>
      <x:c r="D343" s="683" t="n">
        <x:v>-950286.68</x:v>
      </x:c>
      <x:c r="E343" s="683">
        <x:v>0</x:v>
      </x:c>
      <x:c r="F343" s="683">
        <x:v>0</x:v>
      </x:c>
      <x:c r="G343" s="683">
        <x:v>0</x:v>
      </x:c>
      <x:c r="H343" s="683">
        <x:v>0</x:v>
      </x:c>
      <x:c r="I343" s="683">
        <x:v>0</x:v>
      </x:c>
      <x:c r="J343" s="683">
        <x:v>0</x:v>
      </x:c>
      <x:c r="K343" s="683">
        <x:v>0</x:v>
      </x:c>
      <x:c r="L343" s="683">
        <x:v>0</x:v>
      </x:c>
      <x:c r="M343" s="683">
        <x:v>0</x:v>
      </x:c>
      <x:c r="N343" s="683">
        <x:v>0</x:v>
      </x:c>
      <x:c r="O343" s="683">
        <x:v>0</x:v>
      </x:c>
      <x:c r="P343" s="681" t="n">
        <x:v>0</x:v>
      </x:c>
      <x:c r="Q343" s="683">
        <x:v>0</x:v>
      </x:c>
      <x:c r="R343" s="681">
        <x:v>0</x:v>
      </x:c>
      <x:c r="Z343" s="701"/>
    </x:row>
    <x:row r="344" spans="1:26" x14ac:dyDescent="0.25">
      <x:c r="A344" s="686"/>
      <x:c r="B344" s="687" t="s">
        <x:v>79</x:v>
      </x:c>
      <x:c r="C344" s="687" t="s">
        <x:v>70</x:v>
      </x:c>
      <x:c r="D344" s="687" t="n">
        <x:v>-6421274.68</x:v>
      </x:c>
      <x:c r="E344" s="687">
        <x:v>0</x:v>
      </x:c>
      <x:c r="F344" s="687">
        <x:v>0</x:v>
      </x:c>
      <x:c r="G344" s="687">
        <x:v>0</x:v>
      </x:c>
      <x:c r="H344" s="687">
        <x:v>0</x:v>
      </x:c>
      <x:c r="I344" s="687">
        <x:v>0</x:v>
      </x:c>
      <x:c r="J344" s="687">
        <x:v>0</x:v>
      </x:c>
      <x:c r="K344" s="687">
        <x:v>0</x:v>
      </x:c>
      <x:c r="L344" s="687">
        <x:v>0</x:v>
      </x:c>
      <x:c r="M344" s="687">
        <x:v>0</x:v>
      </x:c>
      <x:c r="N344" s="687">
        <x:v>0</x:v>
      </x:c>
      <x:c r="O344" s="687">
        <x:v>0</x:v>
      </x:c>
      <x:c r="P344" s="686" t="n">
        <x:v>0</x:v>
      </x:c>
      <x:c r="Q344" s="687">
        <x:v>0</x:v>
      </x:c>
      <x:c r="R344" s="687">
        <x:v>0</x:v>
      </x:c>
      <x:c r="S344" s="686"/>
      <x:c r="T344" s="686"/>
      <x:c r="U344" s="686"/>
      <x:c r="V344" s="686"/>
      <x:c r="W344" s="686"/>
      <x:c r="X344" s="686"/>
      <x:c r="Y344" s="686"/>
      <x:c r="Z344" s="701"/>
    </x:row>
    <x:row r="345" spans="1:26" x14ac:dyDescent="0.25">
      <x:c r="A345" s="688" t="s">
        <x:v>155</x:v>
      </x:c>
      <x:c r="B345" s="688" t="s">
        <x:v>70</x:v>
      </x:c>
      <x:c r="C345" s="688"/>
      <x:c r="D345" s="689">
        <x:v>0</x:v>
      </x:c>
      <x:c r="E345" s="689">
        <x:v>0</x:v>
      </x:c>
      <x:c r="F345" s="689">
        <x:v>0</x:v>
      </x:c>
      <x:c r="G345" s="689">
        <x:v>0</x:v>
      </x:c>
      <x:c r="H345" s="689">
        <x:v>0</x:v>
      </x:c>
      <x:c r="I345" s="689">
        <x:v>0</x:v>
      </x:c>
      <x:c r="J345" s="689">
        <x:v>0</x:v>
      </x:c>
      <x:c r="K345" s="689">
        <x:v>0</x:v>
      </x:c>
      <x:c r="L345" s="689">
        <x:v>0</x:v>
      </x:c>
      <x:c r="M345" s="689">
        <x:v>0</x:v>
      </x:c>
      <x:c r="N345" s="689">
        <x:v>0</x:v>
      </x:c>
      <x:c r="O345" s="689">
        <x:v>0</x:v>
      </x:c>
      <x:c r="P345" s="689">
        <x:v>0</x:v>
      </x:c>
      <x:c r="Q345" s="689">
        <x:v>0</x:v>
      </x:c>
      <x:c r="R345" s="688">
        <x:v>0</x:v>
      </x:c>
      <x:c r="S345" s="688"/>
      <x:c r="T345" s="688"/>
      <x:c r="U345" s="688"/>
      <x:c r="V345" s="688"/>
      <x:c r="W345" s="688"/>
      <x:c r="X345" s="688"/>
      <x:c r="Y345" s="688"/>
      <x:c r="Z345" s="701"/>
    </x:row>
    <x:row r="346" spans="1:26" x14ac:dyDescent="0.25">
      <x:c r="C346" s="681" t="s">
        <x:v>72</x:v>
      </x:c>
      <x:c r="D346" s="683">
        <x:v>0</x:v>
      </x:c>
      <x:c r="E346" s="683">
        <x:v>0</x:v>
      </x:c>
      <x:c r="F346" s="683">
        <x:v>0</x:v>
      </x:c>
      <x:c r="G346" s="683">
        <x:v>0</x:v>
      </x:c>
      <x:c r="H346" s="683">
        <x:v>0</x:v>
      </x:c>
      <x:c r="I346" s="683">
        <x:v>0</x:v>
      </x:c>
      <x:c r="J346" s="683">
        <x:v>0</x:v>
      </x:c>
      <x:c r="K346" s="683">
        <x:v>0</x:v>
      </x:c>
      <x:c r="L346" s="683">
        <x:v>0</x:v>
      </x:c>
      <x:c r="M346" s="683">
        <x:v>0</x:v>
      </x:c>
      <x:c r="N346" s="683">
        <x:v>0</x:v>
      </x:c>
      <x:c r="O346" s="683">
        <x:v>0</x:v>
      </x:c>
      <x:c r="P346" s="683">
        <x:v>0</x:v>
      </x:c>
      <x:c r="Q346" s="683">
        <x:v>0</x:v>
      </x:c>
      <x:c r="R346" s="681">
        <x:v>0</x:v>
      </x:c>
      <x:c r="Z346" s="701"/>
    </x:row>
    <x:row r="347" spans="1:26" x14ac:dyDescent="0.25">
      <x:c r="C347" s="681" t="s">
        <x:v>81</x:v>
      </x:c>
      <x:c r="D347" s="683">
        <x:v>0</x:v>
      </x:c>
      <x:c r="E347" s="683">
        <x:v>0</x:v>
      </x:c>
      <x:c r="F347" s="683">
        <x:v>0</x:v>
      </x:c>
      <x:c r="G347" s="683">
        <x:v>0</x:v>
      </x:c>
      <x:c r="H347" s="683">
        <x:v>0</x:v>
      </x:c>
      <x:c r="I347" s="683">
        <x:v>0</x:v>
      </x:c>
      <x:c r="J347" s="683">
        <x:v>0</x:v>
      </x:c>
      <x:c r="K347" s="683">
        <x:v>0</x:v>
      </x:c>
      <x:c r="L347" s="683">
        <x:v>0</x:v>
      </x:c>
      <x:c r="M347" s="683">
        <x:v>0</x:v>
      </x:c>
      <x:c r="N347" s="683">
        <x:v>0</x:v>
      </x:c>
      <x:c r="O347" s="683">
        <x:v>0</x:v>
      </x:c>
      <x:c r="P347" s="683">
        <x:v>0</x:v>
      </x:c>
      <x:c r="Q347" s="683">
        <x:v>0</x:v>
      </x:c>
      <x:c r="R347" s="681">
        <x:v>0</x:v>
      </x:c>
      <x:c r="Z347" s="701"/>
    </x:row>
    <x:row r="348" spans="1:26" x14ac:dyDescent="0.25">
      <x:c r="A348" s="684"/>
      <x:c r="B348" s="685" t="s">
        <x:v>78</x:v>
      </x:c>
      <x:c r="C348" s="685" t="s">
        <x:v>70</x:v>
      </x:c>
      <x:c r="D348" s="685">
        <x:v>0</x:v>
      </x:c>
      <x:c r="E348" s="685">
        <x:v>0</x:v>
      </x:c>
      <x:c r="F348" s="685">
        <x:v>0</x:v>
      </x:c>
      <x:c r="G348" s="685">
        <x:v>0</x:v>
      </x:c>
      <x:c r="H348" s="685">
        <x:v>0</x:v>
      </x:c>
      <x:c r="I348" s="685">
        <x:v>0</x:v>
      </x:c>
      <x:c r="J348" s="685">
        <x:v>0</x:v>
      </x:c>
      <x:c r="K348" s="685">
        <x:v>0</x:v>
      </x:c>
      <x:c r="L348" s="685">
        <x:v>0</x:v>
      </x:c>
      <x:c r="M348" s="685">
        <x:v>0</x:v>
      </x:c>
      <x:c r="N348" s="685">
        <x:v>0</x:v>
      </x:c>
      <x:c r="O348" s="685">
        <x:v>0</x:v>
      </x:c>
      <x:c r="P348" s="684">
        <x:v>0</x:v>
      </x:c>
      <x:c r="Q348" s="685">
        <x:v>0</x:v>
      </x:c>
      <x:c r="R348" s="685">
        <x:v>0</x:v>
      </x:c>
      <x:c r="S348" s="684"/>
      <x:c r="T348" s="684"/>
      <x:c r="U348" s="684"/>
      <x:c r="V348" s="684"/>
      <x:c r="W348" s="684"/>
      <x:c r="X348" s="684"/>
      <x:c r="Y348" s="684"/>
      <x:c r="Z348" s="701"/>
    </x:row>
    <x:row r="349" spans="1:26" x14ac:dyDescent="0.25">
      <x:c r="C349" s="681" t="s">
        <x:v>73</x:v>
      </x:c>
      <x:c r="D349" s="683">
        <x:v>0</x:v>
      </x:c>
      <x:c r="E349" s="683">
        <x:v>0</x:v>
      </x:c>
      <x:c r="F349" s="683">
        <x:v>0</x:v>
      </x:c>
      <x:c r="G349" s="683">
        <x:v>0</x:v>
      </x:c>
      <x:c r="H349" s="683">
        <x:v>0</x:v>
      </x:c>
      <x:c r="I349" s="683">
        <x:v>0</x:v>
      </x:c>
      <x:c r="J349" s="683">
        <x:v>0</x:v>
      </x:c>
      <x:c r="K349" s="683">
        <x:v>0</x:v>
      </x:c>
      <x:c r="L349" s="683">
        <x:v>0</x:v>
      </x:c>
      <x:c r="M349" s="683">
        <x:v>0</x:v>
      </x:c>
      <x:c r="N349" s="683">
        <x:v>0</x:v>
      </x:c>
      <x:c r="O349" s="683">
        <x:v>0</x:v>
      </x:c>
      <x:c r="P349" s="683">
        <x:v>0</x:v>
      </x:c>
      <x:c r="Q349" s="683">
        <x:v>0</x:v>
      </x:c>
      <x:c r="R349" s="681">
        <x:v>0</x:v>
      </x:c>
      <x:c r="Z349" s="701"/>
    </x:row>
    <x:row r="350" spans="1:26" x14ac:dyDescent="0.25">
      <x:c r="A350" s="686"/>
      <x:c r="B350" s="687" t="s">
        <x:v>79</x:v>
      </x:c>
      <x:c r="C350" s="687" t="s">
        <x:v>70</x:v>
      </x:c>
      <x:c r="D350" s="687">
        <x:v>0</x:v>
      </x:c>
      <x:c r="E350" s="687">
        <x:v>0</x:v>
      </x:c>
      <x:c r="F350" s="687">
        <x:v>0</x:v>
      </x:c>
      <x:c r="G350" s="687">
        <x:v>0</x:v>
      </x:c>
      <x:c r="H350" s="687">
        <x:v>0</x:v>
      </x:c>
      <x:c r="I350" s="687">
        <x:v>0</x:v>
      </x:c>
      <x:c r="J350" s="687">
        <x:v>0</x:v>
      </x:c>
      <x:c r="K350" s="687">
        <x:v>0</x:v>
      </x:c>
      <x:c r="L350" s="687">
        <x:v>0</x:v>
      </x:c>
      <x:c r="M350" s="687">
        <x:v>0</x:v>
      </x:c>
      <x:c r="N350" s="687">
        <x:v>0</x:v>
      </x:c>
      <x:c r="O350" s="687">
        <x:v>0</x:v>
      </x:c>
      <x:c r="P350" s="686">
        <x:v>0</x:v>
      </x:c>
      <x:c r="Q350" s="687">
        <x:v>0</x:v>
      </x:c>
      <x:c r="R350" s="687">
        <x:v>0</x:v>
      </x:c>
      <x:c r="S350" s="686"/>
      <x:c r="T350" s="686"/>
      <x:c r="U350" s="686"/>
      <x:c r="V350" s="686"/>
      <x:c r="W350" s="686"/>
      <x:c r="X350" s="686"/>
      <x:c r="Y350" s="686"/>
      <x:c r="Z350" s="701"/>
    </x:row>
    <x:row r="351" spans="1:26" x14ac:dyDescent="0.25">
      <x:c r="A351" s="690" t="s">
        <x:v>119</x:v>
      </x:c>
      <x:c r="B351" s="690" t="s">
        <x:v>70</x:v>
      </x:c>
      <x:c r="C351" s="690"/>
      <x:c r="D351" s="691">
        <x:v>0</x:v>
      </x:c>
      <x:c r="E351" s="691">
        <x:v>0</x:v>
      </x:c>
      <x:c r="F351" s="691">
        <x:v>0</x:v>
      </x:c>
      <x:c r="G351" s="691">
        <x:v>0</x:v>
      </x:c>
      <x:c r="H351" s="691">
        <x:v>0</x:v>
      </x:c>
      <x:c r="I351" s="691">
        <x:v>0</x:v>
      </x:c>
      <x:c r="J351" s="691">
        <x:v>0</x:v>
      </x:c>
      <x:c r="K351" s="691">
        <x:v>0</x:v>
      </x:c>
      <x:c r="L351" s="691">
        <x:v>0</x:v>
      </x:c>
      <x:c r="M351" s="691">
        <x:v>0</x:v>
      </x:c>
      <x:c r="N351" s="691">
        <x:v>0</x:v>
      </x:c>
      <x:c r="O351" s="691">
        <x:v>0</x:v>
      </x:c>
      <x:c r="P351" s="691">
        <x:v>0</x:v>
      </x:c>
      <x:c r="Q351" s="691">
        <x:v>0</x:v>
      </x:c>
      <x:c r="R351" s="690">
        <x:v>0</x:v>
      </x:c>
      <x:c r="S351" s="690"/>
      <x:c r="T351" s="690"/>
      <x:c r="U351" s="690"/>
      <x:c r="V351" s="690"/>
      <x:c r="W351" s="690"/>
      <x:c r="X351" s="690"/>
      <x:c r="Y351" s="690"/>
      <x:c r="Z351" s="701"/>
    </x:row>
    <x:row r="352" spans="1:26" x14ac:dyDescent="0.25">
      <x:c r="A352" s="692" t="s">
        <x:v>70</x:v>
      </x:c>
      <x:c r="B352" s="693"/>
      <x:c r="C352" s="693"/>
      <x:c r="D352" s="692">
        <x:v>0</x:v>
      </x:c>
      <x:c r="E352" s="692">
        <x:v>0</x:v>
      </x:c>
      <x:c r="F352" s="692">
        <x:v>0</x:v>
      </x:c>
      <x:c r="G352" s="692">
        <x:v>0</x:v>
      </x:c>
      <x:c r="H352" s="692">
        <x:v>0</x:v>
      </x:c>
      <x:c r="I352" s="692">
        <x:v>0</x:v>
      </x:c>
      <x:c r="J352" s="692">
        <x:v>0</x:v>
      </x:c>
      <x:c r="K352" s="692">
        <x:v>0</x:v>
      </x:c>
      <x:c r="L352" s="692">
        <x:v>0</x:v>
      </x:c>
      <x:c r="M352" s="692">
        <x:v>0</x:v>
      </x:c>
      <x:c r="N352" s="692">
        <x:v>0</x:v>
      </x:c>
      <x:c r="O352" s="692">
        <x:v>0</x:v>
      </x:c>
      <x:c r="P352" s="693">
        <x:v>0</x:v>
      </x:c>
      <x:c r="Q352" s="692">
        <x:v>0</x:v>
      </x:c>
      <x:c r="R352" s="692">
        <x:v>0</x:v>
      </x:c>
      <x:c r="S352" s="693"/>
      <x:c r="T352" s="693"/>
      <x:c r="U352" s="693"/>
      <x:c r="V352" s="693"/>
      <x:c r="W352" s="693"/>
      <x:c r="X352" s="693"/>
      <x:c r="Y352" s="693"/>
      <x:c r="Z352" s="701"/>
    </x:row>
    <x:row r="353" spans="1:26" x14ac:dyDescent="0.25">
      <x:c r="C353" s="683"/>
      <x:c r="D353" s="683"/>
      <x:c r="E353" s="683"/>
      <x:c r="F353" s="683"/>
      <x:c r="G353" s="683"/>
      <x:c r="H353" s="683"/>
      <x:c r="I353" s="683"/>
      <x:c r="J353" s="683"/>
      <x:c r="K353" s="683"/>
      <x:c r="L353" s="683"/>
      <x:c r="M353" s="683"/>
      <x:c r="N353" s="683"/>
      <x:c r="O353" s="683"/>
      <x:c r="Q353" s="683"/>
      <x:c r="Z353" s="701"/>
    </x:row>
    <x:row r="354" spans="1:26" x14ac:dyDescent="0.25">
      <x:c r="C354" s="683"/>
      <x:c r="D354" s="683"/>
      <x:c r="E354" s="683"/>
      <x:c r="F354" s="683"/>
      <x:c r="G354" s="683"/>
      <x:c r="H354" s="683"/>
      <x:c r="I354" s="683"/>
      <x:c r="J354" s="683"/>
      <x:c r="K354" s="683"/>
      <x:c r="L354" s="683"/>
      <x:c r="M354" s="683"/>
      <x:c r="N354" s="683"/>
      <x:c r="O354" s="683"/>
      <x:c r="Q354" s="683"/>
      <x:c r="Z354" s="701"/>
    </x:row>
    <x:row r="355" spans="1:26" x14ac:dyDescent="0.25">
      <x:c r="A355" s="776" t="s">
        <x:v>2</x:v>
      </x:c>
      <x:c r="B355" s="775" t="s">
        <x:v>132</x:v>
      </x:c>
      <x:c r="C355" s="696" t="s">
        <x:v>70</x:v>
      </x:c>
      <x:c r="D355" s="696">
        <x:f>D352-P352</x:f>
        <x:v>0</x:v>
      </x:c>
      <x:c r="E355" s="696">
        <x:f>E342+E348</x:f>
        <x:v>0</x:v>
      </x:c>
      <x:c r="F355" s="696">
        <x:f t="shared" ref="F355:R355" si="13">F342+F348</x:f>
        <x:v>0</x:v>
      </x:c>
      <x:c r="G355" s="696">
        <x:f t="shared" si="13"/>
        <x:v>0</x:v>
      </x:c>
      <x:c r="H355" s="696">
        <x:f t="shared" si="13"/>
        <x:v>0</x:v>
      </x:c>
      <x:c r="I355" s="696">
        <x:f t="shared" si="13"/>
        <x:v>0</x:v>
      </x:c>
      <x:c r="J355" s="696">
        <x:f t="shared" si="13"/>
        <x:v>0</x:v>
      </x:c>
      <x:c r="K355" s="696">
        <x:f t="shared" si="13"/>
        <x:v>0</x:v>
      </x:c>
      <x:c r="L355" s="696">
        <x:f t="shared" si="13"/>
        <x:v>0</x:v>
      </x:c>
      <x:c r="M355" s="696">
        <x:f t="shared" si="13"/>
        <x:v>0</x:v>
      </x:c>
      <x:c r="N355" s="696">
        <x:f t="shared" si="13"/>
        <x:v>0</x:v>
      </x:c>
      <x:c r="O355" s="696">
        <x:f t="shared" si="13"/>
        <x:v>0</x:v>
      </x:c>
      <x:c r="P355" s="696">
        <x:f t="shared" si="13"/>
        <x:v>0</x:v>
      </x:c>
      <x:c r="Q355" s="696">
        <x:f t="shared" si="13"/>
        <x:v>0</x:v>
      </x:c>
      <x:c r="R355" s="696">
        <x:f t="shared" si="13"/>
        <x:v>0</x:v>
      </x:c>
      <x:c r="Z355" s="701"/>
    </x:row>
    <x:row r="356" spans="1:26" x14ac:dyDescent="0.25">
      <x:c r="A356" s="776"/>
      <x:c r="B356" s="775"/>
      <x:c r="C356" s="696" t="s">
        <x:v>73</x:v>
      </x:c>
      <x:c r="D356" s="696">
        <x:f>D344+D350</x:f>
        <x:v>0</x:v>
      </x:c>
      <x:c r="E356" s="683"/>
      <x:c r="F356" s="683"/>
      <x:c r="G356" s="683"/>
      <x:c r="H356" s="683"/>
      <x:c r="I356" s="683"/>
      <x:c r="J356" s="683"/>
      <x:c r="K356" s="683"/>
      <x:c r="L356" s="683"/>
      <x:c r="M356" s="683"/>
      <x:c r="N356" s="683"/>
      <x:c r="O356" s="683"/>
      <x:c r="P356" s="683"/>
      <x:c r="Q356" s="683"/>
      <x:c r="R356" s="683"/>
      <x:c r="Z356" s="701"/>
    </x:row>
    <x:row r="357" spans="1:26" x14ac:dyDescent="0.25">
      <x:c r="A357" s="682"/>
      <x:c r="D357" s="683"/>
      <x:c r="E357" s="683"/>
      <x:c r="F357" s="683"/>
      <x:c r="G357" s="683"/>
      <x:c r="H357" s="683"/>
      <x:c r="I357" s="683"/>
      <x:c r="J357" s="683"/>
      <x:c r="K357" s="683"/>
      <x:c r="L357" s="683"/>
      <x:c r="M357" s="683"/>
      <x:c r="N357" s="683"/>
      <x:c r="O357" s="683"/>
      <x:c r="P357" s="683"/>
      <x:c r="Q357" s="683"/>
      <x:c r="R357" s="683"/>
      <x:c r="Z357" s="701"/>
    </x:row>
    <x:row r="358" spans="1:26" x14ac:dyDescent="0.25">
      <x:c r="A358" s="776" t="s">
        <x:v>160</x:v>
      </x:c>
      <x:c r="B358" s="775" t="s">
        <x:v>132</x:v>
      </x:c>
      <x:c r="C358" s="697" t="s">
        <x:v>70</x:v>
      </x:c>
      <x:c r="D358" s="697">
        <x:v>0</x:v>
      </x:c>
      <x:c r="E358" s="697">
        <x:v>0</x:v>
      </x:c>
      <x:c r="F358" s="697">
        <x:v>0</x:v>
      </x:c>
      <x:c r="G358" s="697">
        <x:v>0</x:v>
      </x:c>
      <x:c r="H358" s="697">
        <x:v>0</x:v>
      </x:c>
      <x:c r="I358" s="697">
        <x:v>0</x:v>
      </x:c>
      <x:c r="J358" s="697">
        <x:v>0</x:v>
      </x:c>
      <x:c r="K358" s="697">
        <x:v>0</x:v>
      </x:c>
      <x:c r="L358" s="697">
        <x:v>0</x:v>
      </x:c>
      <x:c r="M358" s="697">
        <x:v>0</x:v>
      </x:c>
      <x:c r="N358" s="697">
        <x:v>0</x:v>
      </x:c>
      <x:c r="O358" s="697">
        <x:v>0</x:v>
      </x:c>
      <x:c r="P358" s="697">
        <x:v>0</x:v>
      </x:c>
      <x:c r="Q358" s="697">
        <x:v>0</x:v>
      </x:c>
      <x:c r="R358" s="697">
        <x:v>0</x:v>
      </x:c>
      <x:c r="Z358" s="701"/>
    </x:row>
    <x:row r="359" spans="1:26" x14ac:dyDescent="0.25">
      <x:c r="A359" s="776"/>
      <x:c r="B359" s="775"/>
      <x:c r="C359" s="697" t="s">
        <x:v>73</x:v>
      </x:c>
      <x:c r="D359" s="697">
        <x:v>0</x:v>
      </x:c>
      <x:c r="E359" s="683"/>
      <x:c r="F359" s="683"/>
      <x:c r="G359" s="683"/>
      <x:c r="H359" s="683"/>
      <x:c r="I359" s="683"/>
      <x:c r="J359" s="683"/>
      <x:c r="K359" s="683"/>
      <x:c r="L359" s="683"/>
      <x:c r="M359" s="683"/>
      <x:c r="N359" s="683"/>
      <x:c r="O359" s="683"/>
      <x:c r="P359" s="683"/>
      <x:c r="Q359" s="683"/>
      <x:c r="R359" s="683"/>
      <x:c r="Z359" s="701"/>
    </x:row>
    <x:row r="360" spans="1:26" x14ac:dyDescent="0.25">
      <x:c r="A360" s="682"/>
      <x:c r="D360" s="683"/>
      <x:c r="E360" s="683"/>
      <x:c r="F360" s="683"/>
      <x:c r="G360" s="683"/>
      <x:c r="H360" s="683"/>
      <x:c r="I360" s="683"/>
      <x:c r="J360" s="683"/>
      <x:c r="K360" s="683"/>
      <x:c r="L360" s="683"/>
      <x:c r="M360" s="683"/>
      <x:c r="N360" s="683"/>
      <x:c r="O360" s="683"/>
      <x:c r="P360" s="683"/>
      <x:c r="Q360" s="683"/>
      <x:c r="R360" s="683"/>
      <x:c r="Z360" s="701"/>
    </x:row>
    <x:row r="361" spans="1:26" x14ac:dyDescent="0.25">
      <x:c r="A361" s="776" t="s">
        <x:v>155</x:v>
      </x:c>
      <x:c r="B361" s="775" t="s">
        <x:v>132</x:v>
      </x:c>
      <x:c r="C361" s="698" t="s">
        <x:v>70</x:v>
      </x:c>
      <x:c r="D361" s="698">
        <x:f>D345-P345</x:f>
        <x:v>0</x:v>
      </x:c>
      <x:c r="E361" s="698">
        <x:f t="shared" ref="E361:R361" si="14">E342</x:f>
        <x:v>0</x:v>
      </x:c>
      <x:c r="F361" s="698">
        <x:f t="shared" si="14"/>
        <x:v>0</x:v>
      </x:c>
      <x:c r="G361" s="698">
        <x:f t="shared" si="14"/>
        <x:v>0</x:v>
      </x:c>
      <x:c r="H361" s="698">
        <x:f t="shared" si="14"/>
        <x:v>0</x:v>
      </x:c>
      <x:c r="I361" s="698">
        <x:f t="shared" si="14"/>
        <x:v>0</x:v>
      </x:c>
      <x:c r="J361" s="698">
        <x:f t="shared" si="14"/>
        <x:v>0</x:v>
      </x:c>
      <x:c r="K361" s="698">
        <x:f t="shared" si="14"/>
        <x:v>0</x:v>
      </x:c>
      <x:c r="L361" s="698">
        <x:f t="shared" si="14"/>
        <x:v>0</x:v>
      </x:c>
      <x:c r="M361" s="698">
        <x:f t="shared" si="14"/>
        <x:v>0</x:v>
      </x:c>
      <x:c r="N361" s="698">
        <x:f t="shared" si="14"/>
        <x:v>0</x:v>
      </x:c>
      <x:c r="O361" s="698">
        <x:f t="shared" si="14"/>
        <x:v>0</x:v>
      </x:c>
      <x:c r="P361" s="698">
        <x:f t="shared" si="14"/>
        <x:v>0</x:v>
      </x:c>
      <x:c r="Q361" s="698">
        <x:f t="shared" si="14"/>
        <x:v>0</x:v>
      </x:c>
      <x:c r="R361" s="698">
        <x:f t="shared" si="14"/>
        <x:v>0</x:v>
      </x:c>
      <x:c r="Z361" s="701"/>
    </x:row>
    <x:row r="362" spans="1:26" x14ac:dyDescent="0.25">
      <x:c r="A362" s="776"/>
      <x:c r="B362" s="775"/>
      <x:c r="C362" s="698" t="s">
        <x:v>73</x:v>
      </x:c>
      <x:c r="D362" s="698">
        <x:f>D344</x:f>
        <x:v>0</x:v>
      </x:c>
      <x:c r="E362" s="683"/>
      <x:c r="F362" s="683"/>
      <x:c r="G362" s="683"/>
      <x:c r="H362" s="683"/>
      <x:c r="I362" s="683"/>
      <x:c r="J362" s="683"/>
      <x:c r="K362" s="683"/>
      <x:c r="L362" s="683"/>
      <x:c r="M362" s="683"/>
      <x:c r="N362" s="683"/>
      <x:c r="O362" s="683"/>
      <x:c r="P362" s="683"/>
      <x:c r="Q362" s="683"/>
      <x:c r="Z362" s="701"/>
    </x:row>
    <x:row r="363" spans="1:26" x14ac:dyDescent="0.25">
      <x:c r="A363" s="682"/>
      <x:c r="D363" s="683"/>
      <x:c r="E363" s="683"/>
      <x:c r="F363" s="683"/>
      <x:c r="G363" s="683"/>
      <x:c r="H363" s="683"/>
      <x:c r="I363" s="683"/>
      <x:c r="J363" s="683"/>
      <x:c r="K363" s="683"/>
      <x:c r="L363" s="683"/>
      <x:c r="M363" s="683"/>
      <x:c r="N363" s="683"/>
      <x:c r="O363" s="683"/>
      <x:c r="P363" s="683"/>
      <x:c r="Q363" s="683"/>
      <x:c r="Z363" s="701"/>
    </x:row>
    <x:row r="364" spans="1:26" x14ac:dyDescent="0.25">
      <x:c r="A364" s="774" t="s">
        <x:v>326</x:v>
      </x:c>
      <x:c r="B364" s="775" t="s">
        <x:v>132</x:v>
      </x:c>
      <x:c r="C364" s="698" t="s">
        <x:v>70</x:v>
      </x:c>
      <x:c r="D364" s="699">
        <x:v>0</x:v>
      </x:c>
      <x:c r="E364" s="699">
        <x:v>0</x:v>
      </x:c>
      <x:c r="F364" s="699">
        <x:v>0</x:v>
      </x:c>
      <x:c r="G364" s="699">
        <x:v>0</x:v>
      </x:c>
      <x:c r="H364" s="699">
        <x:v>0</x:v>
      </x:c>
      <x:c r="I364" s="699">
        <x:v>0</x:v>
      </x:c>
      <x:c r="J364" s="699">
        <x:v>0</x:v>
      </x:c>
      <x:c r="K364" s="699">
        <x:v>0</x:v>
      </x:c>
      <x:c r="L364" s="699">
        <x:v>0</x:v>
      </x:c>
      <x:c r="M364" s="699">
        <x:v>0</x:v>
      </x:c>
      <x:c r="N364" s="699">
        <x:v>0</x:v>
      </x:c>
      <x:c r="O364" s="699">
        <x:v>0</x:v>
      </x:c>
      <x:c r="P364" s="699">
        <x:v>0</x:v>
      </x:c>
      <x:c r="Q364" s="699">
        <x:v>0</x:v>
      </x:c>
      <x:c r="R364" s="699">
        <x:v>0</x:v>
      </x:c>
      <x:c r="Z364" s="701"/>
    </x:row>
    <x:row r="365" spans="1:26" x14ac:dyDescent="0.25">
      <x:c r="A365" s="774"/>
      <x:c r="B365" s="775"/>
      <x:c r="C365" s="698" t="s">
        <x:v>73</x:v>
      </x:c>
      <x:c r="D365" s="699">
        <x:v>0</x:v>
      </x:c>
      <x:c r="E365" s="683"/>
      <x:c r="F365" s="683"/>
      <x:c r="G365" s="683"/>
      <x:c r="H365" s="683"/>
      <x:c r="I365" s="683"/>
      <x:c r="J365" s="683"/>
      <x:c r="K365" s="683"/>
      <x:c r="L365" s="683"/>
      <x:c r="M365" s="683"/>
      <x:c r="N365" s="683"/>
      <x:c r="O365" s="683"/>
      <x:c r="P365" s="683"/>
      <x:c r="Q365" s="683"/>
      <x:c r="Z365" s="701"/>
    </x:row>
    <x:row r="366" spans="1:26" x14ac:dyDescent="0.25">
      <x:c r="A366" s="682"/>
      <x:c r="D366" s="683"/>
      <x:c r="E366" s="683"/>
      <x:c r="F366" s="683"/>
      <x:c r="G366" s="683"/>
      <x:c r="H366" s="683"/>
      <x:c r="I366" s="683"/>
      <x:c r="J366" s="683"/>
      <x:c r="K366" s="683"/>
      <x:c r="L366" s="683"/>
      <x:c r="M366" s="683"/>
      <x:c r="N366" s="683"/>
      <x:c r="O366" s="683"/>
      <x:c r="P366" s="683"/>
      <x:c r="Q366" s="683"/>
      <x:c r="Z366" s="701"/>
    </x:row>
    <x:row r="367" spans="1:26" x14ac:dyDescent="0.25">
      <x:c r="A367" s="776" t="s">
        <x:v>119</x:v>
      </x:c>
      <x:c r="B367" s="775" t="s">
        <x:v>132</x:v>
      </x:c>
      <x:c r="C367" s="691" t="s">
        <x:v>70</x:v>
      </x:c>
      <x:c r="D367" s="691">
        <x:f>D351-P351</x:f>
        <x:v>0</x:v>
      </x:c>
      <x:c r="E367" s="691">
        <x:f>E348</x:f>
        <x:v>0</x:v>
      </x:c>
      <x:c r="F367" s="691">
        <x:f t="shared" ref="F367:R367" si="15">F348</x:f>
        <x:v>0</x:v>
      </x:c>
      <x:c r="G367" s="691">
        <x:f t="shared" si="15"/>
        <x:v>0</x:v>
      </x:c>
      <x:c r="H367" s="691">
        <x:f t="shared" si="15"/>
        <x:v>0</x:v>
      </x:c>
      <x:c r="I367" s="691">
        <x:f t="shared" si="15"/>
        <x:v>0</x:v>
      </x:c>
      <x:c r="J367" s="691">
        <x:f t="shared" si="15"/>
        <x:v>0</x:v>
      </x:c>
      <x:c r="K367" s="691">
        <x:f t="shared" si="15"/>
        <x:v>0</x:v>
      </x:c>
      <x:c r="L367" s="691">
        <x:f t="shared" si="15"/>
        <x:v>0</x:v>
      </x:c>
      <x:c r="M367" s="691">
        <x:f t="shared" si="15"/>
        <x:v>0</x:v>
      </x:c>
      <x:c r="N367" s="691">
        <x:f t="shared" si="15"/>
        <x:v>0</x:v>
      </x:c>
      <x:c r="O367" s="691">
        <x:f t="shared" si="15"/>
        <x:v>0</x:v>
      </x:c>
      <x:c r="P367" s="691">
        <x:f t="shared" si="15"/>
        <x:v>0</x:v>
      </x:c>
      <x:c r="Q367" s="691">
        <x:f t="shared" si="15"/>
        <x:v>0</x:v>
      </x:c>
      <x:c r="R367" s="691">
        <x:f t="shared" si="15"/>
        <x:v>0</x:v>
      </x:c>
      <x:c r="Z367" s="701"/>
    </x:row>
    <x:row r="368" spans="1:26" x14ac:dyDescent="0.25">
      <x:c r="A368" s="776"/>
      <x:c r="B368" s="775"/>
      <x:c r="C368" s="691" t="s">
        <x:v>73</x:v>
      </x:c>
      <x:c r="D368" s="691">
        <x:f>D350</x:f>
        <x:v>0</x:v>
      </x:c>
      <x:c r="E368" s="683"/>
      <x:c r="F368" s="683"/>
      <x:c r="G368" s="683"/>
      <x:c r="H368" s="683"/>
      <x:c r="I368" s="683"/>
      <x:c r="J368" s="683"/>
      <x:c r="K368" s="683"/>
      <x:c r="L368" s="683"/>
      <x:c r="M368" s="683"/>
      <x:c r="N368" s="683"/>
      <x:c r="O368" s="683"/>
      <x:c r="P368" s="683"/>
      <x:c r="Q368" s="683"/>
      <x:c r="Z368" s="701"/>
    </x:row>
    <x:row r="369" spans="1:26" x14ac:dyDescent="0.25">
      <x:c r="A369" s="682"/>
      <x:c r="D369" s="683"/>
      <x:c r="E369" s="683"/>
      <x:c r="F369" s="683"/>
      <x:c r="G369" s="683"/>
      <x:c r="H369" s="683"/>
      <x:c r="I369" s="683"/>
      <x:c r="J369" s="683"/>
      <x:c r="K369" s="683"/>
      <x:c r="L369" s="683"/>
      <x:c r="M369" s="683"/>
      <x:c r="N369" s="683"/>
      <x:c r="O369" s="683"/>
      <x:c r="P369" s="683"/>
      <x:c r="Q369" s="683"/>
      <x:c r="Z369" s="701"/>
    </x:row>
    <x:row r="370" spans="1:26" x14ac:dyDescent="0.25">
      <x:c r="A370" s="777" t="s">
        <x:v>161</x:v>
      </x:c>
      <x:c r="B370" s="775" t="s">
        <x:v>132</x:v>
      </x:c>
      <x:c r="C370" s="700" t="s">
        <x:v>70</x:v>
      </x:c>
      <x:c r="D370" s="700">
        <x:v>0</x:v>
      </x:c>
      <x:c r="E370" s="700">
        <x:v>0</x:v>
      </x:c>
      <x:c r="F370" s="700">
        <x:v>0</x:v>
      </x:c>
      <x:c r="G370" s="700">
        <x:v>0</x:v>
      </x:c>
      <x:c r="H370" s="700">
        <x:v>0</x:v>
      </x:c>
      <x:c r="I370" s="700">
        <x:v>0</x:v>
      </x:c>
      <x:c r="J370" s="700">
        <x:v>0</x:v>
      </x:c>
      <x:c r="K370" s="700">
        <x:v>0</x:v>
      </x:c>
      <x:c r="L370" s="700">
        <x:v>0</x:v>
      </x:c>
      <x:c r="M370" s="700">
        <x:v>0</x:v>
      </x:c>
      <x:c r="N370" s="700">
        <x:v>0</x:v>
      </x:c>
      <x:c r="O370" s="700">
        <x:v>0</x:v>
      </x:c>
      <x:c r="P370" s="700">
        <x:v>0</x:v>
      </x:c>
      <x:c r="Q370" s="700">
        <x:v>0</x:v>
      </x:c>
      <x:c r="R370" s="700">
        <x:v>0</x:v>
      </x:c>
      <x:c r="Z370" s="701"/>
    </x:row>
    <x:row r="371" spans="1:26" x14ac:dyDescent="0.25">
      <x:c r="A371" s="777"/>
      <x:c r="B371" s="775"/>
      <x:c r="C371" s="700" t="s">
        <x:v>73</x:v>
      </x:c>
      <x:c r="D371" s="700">
        <x:v>0</x:v>
      </x:c>
      <x:c r="E371" s="683"/>
      <x:c r="F371" s="683"/>
      <x:c r="G371" s="683"/>
      <x:c r="H371" s="683"/>
      <x:c r="I371" s="683"/>
      <x:c r="J371" s="683"/>
      <x:c r="K371" s="683"/>
      <x:c r="L371" s="683"/>
      <x:c r="M371" s="683"/>
      <x:c r="N371" s="683"/>
      <x:c r="O371" s="683"/>
      <x:c r="P371" s="683"/>
      <x:c r="Q371" s="683"/>
      <x:c r="Z371" s="701"/>
    </x:row>
    <x:row r="372" spans="1:26" x14ac:dyDescent="0.25">
      <x:c r="A372" s="701"/>
      <x:c r="B372" s="701"/>
      <x:c r="C372" s="701"/>
      <x:c r="D372" s="701"/>
      <x:c r="E372" s="701"/>
      <x:c r="F372" s="701"/>
      <x:c r="G372" s="701"/>
      <x:c r="H372" s="701"/>
      <x:c r="I372" s="701"/>
      <x:c r="J372" s="701"/>
      <x:c r="K372" s="701"/>
      <x:c r="L372" s="701"/>
      <x:c r="M372" s="701"/>
      <x:c r="N372" s="701"/>
      <x:c r="O372" s="701"/>
      <x:c r="P372" s="701"/>
      <x:c r="Q372" s="701"/>
      <x:c r="R372" s="701"/>
      <x:c r="S372" s="701"/>
      <x:c r="T372" s="701"/>
      <x:c r="U372" s="701"/>
      <x:c r="V372" s="701"/>
      <x:c r="W372" s="701"/>
      <x:c r="X372" s="701"/>
      <x:c r="Y372" s="701"/>
      <x:c r="Z372" s="701"/>
    </x:row>
    <x:row r="375" spans="1:26" x14ac:dyDescent="0.25">
      <x:c r="D375" s="681">
        <x:f t="shared" ref="D375:R375" si="16">D73+D168+D205+D320+D355</x:f>
        <x:v>0</x:v>
      </x:c>
      <x:c r="E375" s="681">
        <x:f t="shared" si="16"/>
        <x:v>0</x:v>
      </x:c>
      <x:c r="F375" s="681">
        <x:f t="shared" si="16"/>
        <x:v>0</x:v>
      </x:c>
      <x:c r="G375" s="681">
        <x:f t="shared" si="16"/>
        <x:v>0</x:v>
      </x:c>
      <x:c r="H375" s="681">
        <x:f t="shared" si="16"/>
        <x:v>0</x:v>
      </x:c>
      <x:c r="I375" s="681">
        <x:f t="shared" si="16"/>
        <x:v>0</x:v>
      </x:c>
      <x:c r="J375" s="681">
        <x:f t="shared" si="16"/>
        <x:v>0</x:v>
      </x:c>
      <x:c r="K375" s="681">
        <x:f t="shared" si="16"/>
        <x:v>0</x:v>
      </x:c>
      <x:c r="L375" s="681">
        <x:f t="shared" si="16"/>
        <x:v>0</x:v>
      </x:c>
      <x:c r="M375" s="681">
        <x:f t="shared" si="16"/>
        <x:v>0</x:v>
      </x:c>
      <x:c r="N375" s="681">
        <x:f t="shared" si="16"/>
        <x:v>0</x:v>
      </x:c>
      <x:c r="O375" s="681">
        <x:f t="shared" si="16"/>
        <x:v>0</x:v>
      </x:c>
      <x:c r="P375" s="681">
        <x:f t="shared" si="16"/>
        <x:v>0</x:v>
      </x:c>
      <x:c r="Q375" s="681">
        <x:f t="shared" si="16"/>
        <x:v>0</x:v>
      </x:c>
      <x:c r="R375" s="681">
        <x:f t="shared" si="16"/>
        <x:v>0</x:v>
      </x:c>
    </x:row>
    <x:row r="376" spans="1:26" x14ac:dyDescent="0.25">
      <x:c r="D376" s="681">
        <x:f>D74+D169+D206+D321+D356</x:f>
        <x:v>0</x:v>
      </x:c>
    </x:row>
  </x:sheetData>
  <x:mergeCells count="60">
    <x:mergeCell ref="A335:A336"/>
    <x:mergeCell ref="B335:B336"/>
    <x:mergeCell ref="A355:A356"/>
    <x:mergeCell ref="B355:B356"/>
    <x:mergeCell ref="A370:A371"/>
    <x:mergeCell ref="B370:B371"/>
    <x:mergeCell ref="A358:A359"/>
    <x:mergeCell ref="B358:B359"/>
    <x:mergeCell ref="A361:A362"/>
    <x:mergeCell ref="B361:B362"/>
    <x:mergeCell ref="A367:A368"/>
    <x:mergeCell ref="B367:B368"/>
    <x:mergeCell ref="A364:A365"/>
    <x:mergeCell ref="B364:B365"/>
    <x:mergeCell ref="A326:A327"/>
    <x:mergeCell ref="B326:B327"/>
    <x:mergeCell ref="A332:A333"/>
    <x:mergeCell ref="B332:B333"/>
    <x:mergeCell ref="A329:A330"/>
    <x:mergeCell ref="B329:B330"/>
    <x:mergeCell ref="A220:A221"/>
    <x:mergeCell ref="B220:B221"/>
    <x:mergeCell ref="A320:A321"/>
    <x:mergeCell ref="B320:B321"/>
    <x:mergeCell ref="A323:A324"/>
    <x:mergeCell ref="B323:B324"/>
    <x:mergeCell ref="A208:A209"/>
    <x:mergeCell ref="B208:B209"/>
    <x:mergeCell ref="A211:A212"/>
    <x:mergeCell ref="B211:B212"/>
    <x:mergeCell ref="A217:A218"/>
    <x:mergeCell ref="B217:B218"/>
    <x:mergeCell ref="A180:A181"/>
    <x:mergeCell ref="B180:B181"/>
    <x:mergeCell ref="A183:A184"/>
    <x:mergeCell ref="B183:B184"/>
    <x:mergeCell ref="A205:A206"/>
    <x:mergeCell ref="B205:B206"/>
    <x:mergeCell ref="A73:A74"/>
    <x:mergeCell ref="B73:B74"/>
    <x:mergeCell ref="A76:A77"/>
    <x:mergeCell ref="B76:B77"/>
    <x:mergeCell ref="A79:A80"/>
    <x:mergeCell ref="B79:B80"/>
    <x:mergeCell ref="A82:A83"/>
    <x:mergeCell ref="B82:B83"/>
    <x:mergeCell ref="A177:A178"/>
    <x:mergeCell ref="B177:B178"/>
    <x:mergeCell ref="A214:A215"/>
    <x:mergeCell ref="B214:B215"/>
    <x:mergeCell ref="A85:A86"/>
    <x:mergeCell ref="B85:B86"/>
    <x:mergeCell ref="A88:A89"/>
    <x:mergeCell ref="B88:B89"/>
    <x:mergeCell ref="A168:A169"/>
    <x:mergeCell ref="B168:B169"/>
    <x:mergeCell ref="A171:A172"/>
    <x:mergeCell ref="B171:B172"/>
    <x:mergeCell ref="A174:A175"/>
    <x:mergeCell ref="B174:B175"/>
  </x:mergeCells>
  <x:conditionalFormatting sqref="D75:D89 D168:D184 D205:D221 D320:D336 D355:D371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Z70"/>
  <x:sheetViews>
    <x:sheetView topLeftCell="K1" zoomScale="92" zoomScaleNormal="92" workbookViewId="0">
      <x:selection activeCell="U6" sqref="U6"/>
    </x:sheetView>
  </x:sheetViews>
  <x:sheetFormatPr baseColWidth="10" defaultColWidth="11.5546875" defaultRowHeight="13.8" x14ac:dyDescent="0.25"/>
  <x:cols>
    <x:col min="1" max="1" width="12.33203125" style="25" bestFit="1" customWidth="1"/>
    <x:col min="2" max="2" width="27.109375" style="25" bestFit="1" customWidth="1"/>
    <x:col min="3" max="3" width="11.6640625" style="675" bestFit="1" customWidth="1"/>
    <x:col min="4" max="4" width="18.109375" style="25" bestFit="1" customWidth="1"/>
    <x:col min="5" max="5" width="17.88671875" style="25" bestFit="1" customWidth="1"/>
    <x:col min="6" max="6" width="20.109375" style="25" bestFit="1" customWidth="1"/>
    <x:col min="7" max="7" width="18.44140625" style="25" bestFit="1" customWidth="1"/>
    <x:col min="8" max="8" width="19.44140625" style="25" bestFit="1" customWidth="1"/>
    <x:col min="9" max="9" width="11.5546875" style="25" bestFit="1" customWidth="1"/>
    <x:col min="10" max="10" width="18.33203125" style="25" bestFit="1" customWidth="1"/>
    <x:col min="11" max="13" width="18.109375" style="25" bestFit="1" customWidth="1"/>
    <x:col min="14" max="14" width="23.33203125" style="25" bestFit="1" customWidth="1"/>
    <x:col min="15" max="15" width="10.109375" style="25" bestFit="1" customWidth="1"/>
    <x:col min="16" max="16" width="4.88671875" style="25" bestFit="1" customWidth="1"/>
    <x:col min="17" max="25" width="11.5546875" style="25"/>
    <x:col min="26" max="26" width="1.44140625" style="25" customWidth="1"/>
    <x:col min="27" max="16384" width="11.5546875" style="25"/>
  </x:cols>
  <x:sheetData>
    <x:row r="1" spans="1:26" x14ac:dyDescent="0.25">
      <x:c r="B1" s="676" t="s">
        <x:v>74</x:v>
      </x:c>
      <x:c r="Z1" s="624"/>
    </x:row>
    <x:row r="2" spans="1:26" s="50" customFormat="1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5">
      <x:c r="B3" s="625" t="s">
        <x:v>72</x:v>
      </x:c>
      <x:c r="C3" s="627">
        <x:v>0</x:v>
      </x:c>
      <x:c r="D3" s="627">
        <x:v>0</x:v>
      </x:c>
      <x:c r="E3" s="627">
        <x:v>0</x:v>
      </x:c>
      <x:c r="F3" s="627">
        <x:v>0</x:v>
      </x:c>
      <x:c r="G3" s="627">
        <x:v>0</x:v>
      </x:c>
      <x:c r="H3" s="627">
        <x:v>0</x:v>
      </x:c>
      <x:c r="I3" s="627">
        <x:v>0</x:v>
      </x:c>
      <x:c r="J3" s="627">
        <x:v>0</x:v>
      </x:c>
      <x:c r="K3" s="627">
        <x:v>0</x:v>
      </x:c>
      <x:c r="L3" s="627">
        <x:v>0</x:v>
      </x:c>
      <x:c r="M3" s="627">
        <x:v>0</x:v>
      </x:c>
      <x:c r="N3" s="627">
        <x:v>0</x:v>
      </x:c>
      <x:c r="O3" s="627">
        <x:v>0</x:v>
      </x:c>
      <x:c r="Z3" s="624"/>
    </x:row>
    <x:row r="4" spans="1:26" x14ac:dyDescent="0.25">
      <x:c r="A4" s="636" t="s">
        <x:v>78</x:v>
      </x:c>
      <x:c r="B4" s="636" t="s">
        <x:v>70</x:v>
      </x:c>
      <x:c r="C4" s="637">
        <x:v>0</x:v>
      </x:c>
      <x:c r="D4" s="637">
        <x:v>0</x:v>
      </x:c>
      <x:c r="E4" s="637">
        <x:v>0</x:v>
      </x:c>
      <x:c r="F4" s="637">
        <x:v>0</x:v>
      </x:c>
      <x:c r="G4" s="637">
        <x:v>0</x:v>
      </x:c>
      <x:c r="H4" s="637">
        <x:v>0</x:v>
      </x:c>
      <x:c r="I4" s="637">
        <x:v>0</x:v>
      </x:c>
      <x:c r="J4" s="637">
        <x:v>0</x:v>
      </x:c>
      <x:c r="K4" s="637">
        <x:v>0</x:v>
      </x:c>
      <x:c r="L4" s="637">
        <x:v>0</x:v>
      </x:c>
      <x:c r="M4" s="637">
        <x:v>0</x:v>
      </x:c>
      <x:c r="N4" s="637">
        <x:v>0</x:v>
      </x:c>
      <x:c r="O4" s="637">
        <x:v>0</x:v>
      </x:c>
      <x:c r="P4" s="635"/>
      <x:c r="Z4" s="624"/>
    </x:row>
    <x:row r="5" spans="1:26" x14ac:dyDescent="0.25">
      <x:c r="B5" s="625" t="s">
        <x:v>73</x:v>
      </x:c>
      <x:c r="C5" s="627">
        <x:v>0</x:v>
      </x:c>
      <x:c r="D5" s="627">
        <x:v>0</x:v>
      </x:c>
      <x:c r="E5" s="627">
        <x:v>0</x:v>
      </x:c>
      <x:c r="F5" s="627">
        <x:v>0</x:v>
      </x:c>
      <x:c r="G5" s="627">
        <x:v>0</x:v>
      </x:c>
      <x:c r="H5" s="627">
        <x:v>0</x:v>
      </x:c>
      <x:c r="I5" s="627">
        <x:v>0</x:v>
      </x:c>
      <x:c r="J5" s="627">
        <x:v>0</x:v>
      </x:c>
      <x:c r="K5" s="627">
        <x:v>0</x:v>
      </x:c>
      <x:c r="L5" s="627">
        <x:v>0</x:v>
      </x:c>
      <x:c r="M5" s="627">
        <x:v>0</x:v>
      </x:c>
      <x:c r="N5" s="627">
        <x:v>0</x:v>
      </x:c>
      <x:c r="O5" s="627">
        <x:v>0</x:v>
      </x:c>
      <x:c r="Z5" s="624"/>
    </x:row>
    <x:row r="6" spans="1:26" x14ac:dyDescent="0.25">
      <x:c r="A6" s="654" t="s">
        <x:v>79</x:v>
      </x:c>
      <x:c r="B6" s="654" t="s">
        <x:v>70</x:v>
      </x:c>
      <x:c r="C6" s="655">
        <x:v>0</x:v>
      </x:c>
      <x:c r="D6" s="655">
        <x:v>0</x:v>
      </x:c>
      <x:c r="E6" s="655">
        <x:v>0</x:v>
      </x:c>
      <x:c r="F6" s="655">
        <x:v>0</x:v>
      </x:c>
      <x:c r="G6" s="655">
        <x:v>0</x:v>
      </x:c>
      <x:c r="H6" s="655">
        <x:v>0</x:v>
      </x:c>
      <x:c r="I6" s="655">
        <x:v>0</x:v>
      </x:c>
      <x:c r="J6" s="655">
        <x:v>0</x:v>
      </x:c>
      <x:c r="K6" s="655">
        <x:v>0</x:v>
      </x:c>
      <x:c r="L6" s="655">
        <x:v>0</x:v>
      </x:c>
      <x:c r="M6" s="655">
        <x:v>0</x:v>
      </x:c>
      <x:c r="N6" s="655">
        <x:v>0</x:v>
      </x:c>
      <x:c r="O6" s="655">
        <x:v>0</x:v>
      </x:c>
      <x:c r="P6" s="708"/>
      <x:c r="Z6" s="624"/>
    </x:row>
    <x:row r="7" spans="1:26" x14ac:dyDescent="0.25">
      <x:c r="A7" s="625" t="s">
        <x:v>70</x:v>
      </x:c>
      <x:c r="C7" s="627">
        <x:v>0</x:v>
      </x:c>
      <x:c r="D7" s="627">
        <x:v>0</x:v>
      </x:c>
      <x:c r="E7" s="627">
        <x:v>0</x:v>
      </x:c>
      <x:c r="F7" s="627">
        <x:v>0</x:v>
      </x:c>
      <x:c r="G7" s="627">
        <x:v>0</x:v>
      </x:c>
      <x:c r="H7" s="627">
        <x:v>0</x:v>
      </x:c>
      <x:c r="I7" s="627">
        <x:v>0</x:v>
      </x:c>
      <x:c r="J7" s="627">
        <x:v>0</x:v>
      </x:c>
      <x:c r="K7" s="627">
        <x:v>0</x:v>
      </x:c>
      <x:c r="L7" s="627">
        <x:v>0</x:v>
      </x:c>
      <x:c r="M7" s="627">
        <x:v>0</x:v>
      </x:c>
      <x:c r="N7" s="627">
        <x:v>0</x:v>
      </x:c>
      <x:c r="O7" s="627">
        <x:v>0</x:v>
      </x:c>
      <x:c r="Z7" s="624"/>
    </x:row>
    <x:row r="8" spans="1:26" x14ac:dyDescent="0.25">
      <x:c r="Z8" s="624"/>
    </x:row>
    <x:row r="9" spans="1:26" x14ac:dyDescent="0.25">
      <x:c r="B9" s="709" t="s">
        <x:v>70</x:v>
      </x:c>
      <x:c r="C9" s="679">
        <x:f>C7-I7</x:f>
        <x:v>0</x:v>
      </x:c>
      <x:c r="D9" s="679">
        <x:f>D4</x:f>
        <x:v>0</x:v>
      </x:c>
      <x:c r="E9" s="679">
        <x:f t="shared" ref="E9:P9" si="0">E4</x:f>
        <x:v>0</x:v>
      </x:c>
      <x:c r="F9" s="679">
        <x:f t="shared" si="0"/>
        <x:v>0</x:v>
      </x:c>
      <x:c r="G9" s="679">
        <x:f t="shared" si="0"/>
        <x:v>0</x:v>
      </x:c>
      <x:c r="H9" s="679">
        <x:f t="shared" si="0"/>
        <x:v>0</x:v>
      </x:c>
      <x:c r="I9" s="679">
        <x:f t="shared" si="0"/>
        <x:v>0</x:v>
      </x:c>
      <x:c r="J9" s="679">
        <x:f t="shared" si="0"/>
        <x:v>0</x:v>
      </x:c>
      <x:c r="K9" s="679">
        <x:f t="shared" si="0"/>
        <x:v>0</x:v>
      </x:c>
      <x:c r="L9" s="679">
        <x:f t="shared" si="0"/>
        <x:v>0</x:v>
      </x:c>
      <x:c r="M9" s="679">
        <x:f t="shared" si="0"/>
        <x:v>0</x:v>
      </x:c>
      <x:c r="N9" s="679">
        <x:f t="shared" si="0"/>
        <x:v>0</x:v>
      </x:c>
      <x:c r="O9" s="679">
        <x:f>O4</x:f>
        <x:v>0</x:v>
      </x:c>
      <x:c r="P9" s="679">
        <x:f t="shared" si="0"/>
        <x:v>0</x:v>
      </x:c>
      <x:c r="Z9" s="624"/>
    </x:row>
    <x:row r="10" spans="1:26" x14ac:dyDescent="0.25">
      <x:c r="B10" s="709" t="s">
        <x:v>73</x:v>
      </x:c>
      <x:c r="C10" s="679">
        <x:f>C6</x:f>
        <x:v>0</x:v>
      </x:c>
      <x:c r="D10" s="653"/>
      <x:c r="Z10" s="624"/>
    </x:row>
    <x:row r="11" spans="1:26" x14ac:dyDescent="0.25">
      <x:c r="D11" s="653"/>
      <x:c r="Z11" s="624"/>
    </x:row>
    <x:row r="12" spans="1:26" x14ac:dyDescent="0.25">
      <x:c r="A12" s="631"/>
      <x:c r="B12" s="631"/>
      <x:c r="C12" s="710"/>
      <x:c r="D12" s="631"/>
      <x:c r="E12" s="631"/>
      <x:c r="F12" s="631"/>
      <x:c r="G12" s="631"/>
      <x:c r="H12" s="631"/>
      <x:c r="I12" s="631"/>
      <x:c r="J12" s="631"/>
      <x:c r="K12" s="631"/>
      <x:c r="L12" s="631"/>
      <x:c r="M12" s="631"/>
      <x:c r="N12" s="631"/>
      <x:c r="O12" s="631"/>
      <x:c r="P12" s="631"/>
      <x:c r="Z12" s="624"/>
    </x:row>
    <x:row r="13" spans="1:26" x14ac:dyDescent="0.25">
      <x:c r="B13" s="676" t="s">
        <x:v>75</x:v>
      </x:c>
      <x:c r="Z13" s="624"/>
    </x:row>
    <x:row r="14" spans="1:26" s="50" customFormat="1" x14ac:dyDescent="0.25">
      <x:c r="C14" s="669" t="s">
        <x:v>70</x:v>
      </x:c>
      <x:c r="D14" s="669" t="s">
        <x:v>64</x:v>
      </x:c>
      <x:c r="E14" s="669" t="s">
        <x:v>65</x:v>
      </x:c>
      <x:c r="F14" s="674" t="s">
        <x:v>164</x:v>
      </x:c>
      <x:c r="G14" s="669" t="s">
        <x:v>69</x:v>
      </x:c>
      <x:c r="H14" s="669" t="s">
        <x:v>68</x:v>
      </x:c>
      <x:c r="I14" s="669" t="s">
        <x:v>83</x:v>
      </x:c>
      <x:c r="J14" s="669" t="s">
        <x:v>66</x:v>
      </x:c>
      <x:c r="K14" s="669" t="s">
        <x:v>63</x:v>
      </x:c>
      <x:c r="L14" s="669" t="s">
        <x:v>61</x:v>
      </x:c>
      <x:c r="M14" s="669" t="s">
        <x:v>62</x:v>
      </x:c>
      <x:c r="N14" s="669" t="s">
        <x:v>67</x:v>
      </x:c>
      <x:c r="O14" s="669" t="s">
        <x:v>84</x:v>
      </x:c>
      <x:c r="Z14" s="618"/>
    </x:row>
    <x:row r="15" spans="1:26" x14ac:dyDescent="0.25">
      <x:c r="B15" s="25" t="s">
        <x:v>72</x:v>
      </x:c>
      <x:c r="C15" s="627">
        <x:v>0</x:v>
      </x:c>
      <x:c r="D15" s="627">
        <x:v>0</x:v>
      </x:c>
      <x:c r="E15" s="627">
        <x:v>0</x:v>
      </x:c>
      <x:c r="F15" s="627">
        <x:v>0</x:v>
      </x:c>
      <x:c r="G15" s="627">
        <x:v>0</x:v>
      </x:c>
      <x:c r="H15" s="627">
        <x:v>0</x:v>
      </x:c>
      <x:c r="I15" s="627">
        <x:v>0</x:v>
      </x:c>
      <x:c r="J15" s="627">
        <x:v>0</x:v>
      </x:c>
      <x:c r="K15" s="627">
        <x:v>0</x:v>
      </x:c>
      <x:c r="L15" s="627">
        <x:v>0</x:v>
      </x:c>
      <x:c r="M15" s="627">
        <x:v>0</x:v>
      </x:c>
      <x:c r="N15" s="627">
        <x:v>0</x:v>
      </x:c>
      <x:c r="O15" s="627">
        <x:v>0</x:v>
      </x:c>
      <x:c r="Z15" s="624"/>
    </x:row>
    <x:row r="16" spans="1:26" x14ac:dyDescent="0.25">
      <x:c r="B16" s="625" t="s">
        <x:v>81</x:v>
      </x:c>
      <x:c r="C16" s="627">
        <x:v>0</x:v>
      </x:c>
      <x:c r="D16" s="627">
        <x:v>0</x:v>
      </x:c>
      <x:c r="E16" s="627">
        <x:v>0</x:v>
      </x:c>
      <x:c r="F16" s="627">
        <x:v>0</x:v>
      </x:c>
      <x:c r="G16" s="627">
        <x:v>0</x:v>
      </x:c>
      <x:c r="H16" s="627">
        <x:v>0</x:v>
      </x:c>
      <x:c r="I16" s="627">
        <x:v>0</x:v>
      </x:c>
      <x:c r="J16" s="627">
        <x:v>0</x:v>
      </x:c>
      <x:c r="K16" s="627">
        <x:v>0</x:v>
      </x:c>
      <x:c r="L16" s="627">
        <x:v>0</x:v>
      </x:c>
      <x:c r="M16" s="627">
        <x:v>0</x:v>
      </x:c>
      <x:c r="N16" s="627">
        <x:v>0</x:v>
      </x:c>
      <x:c r="O16" s="627">
        <x:v>0</x:v>
      </x:c>
      <x:c r="Z16" s="624"/>
    </x:row>
    <x:row r="17" spans="1:26" x14ac:dyDescent="0.25">
      <x:c r="A17" s="636" t="s">
        <x:v>78</x:v>
      </x:c>
      <x:c r="B17" s="636" t="s">
        <x:v>70</x:v>
      </x:c>
      <x:c r="C17" s="637">
        <x:v>0</x:v>
      </x:c>
      <x:c r="D17" s="637">
        <x:v>0</x:v>
      </x:c>
      <x:c r="E17" s="637">
        <x:v>0</x:v>
      </x:c>
      <x:c r="F17" s="637">
        <x:v>0</x:v>
      </x:c>
      <x:c r="G17" s="637">
        <x:v>0</x:v>
      </x:c>
      <x:c r="H17" s="637">
        <x:v>0</x:v>
      </x:c>
      <x:c r="I17" s="637">
        <x:v>0</x:v>
      </x:c>
      <x:c r="J17" s="637">
        <x:v>0</x:v>
      </x:c>
      <x:c r="K17" s="637">
        <x:v>0</x:v>
      </x:c>
      <x:c r="L17" s="637">
        <x:v>0</x:v>
      </x:c>
      <x:c r="M17" s="637">
        <x:v>0</x:v>
      </x:c>
      <x:c r="N17" s="637">
        <x:v>0</x:v>
      </x:c>
      <x:c r="O17" s="637">
        <x:v>0</x:v>
      </x:c>
      <x:c r="P17" s="635"/>
      <x:c r="Z17" s="624"/>
    </x:row>
    <x:row r="18" spans="1:26" x14ac:dyDescent="0.25">
      <x:c r="B18" s="625" t="s">
        <x:v>73</x:v>
      </x:c>
      <x:c r="C18" s="627">
        <x:v>0</x:v>
      </x:c>
      <x:c r="D18" s="627">
        <x:v>0</x:v>
      </x:c>
      <x:c r="E18" s="627">
        <x:v>0</x:v>
      </x:c>
      <x:c r="F18" s="627">
        <x:v>0</x:v>
      </x:c>
      <x:c r="G18" s="627">
        <x:v>0</x:v>
      </x:c>
      <x:c r="H18" s="627">
        <x:v>0</x:v>
      </x:c>
      <x:c r="I18" s="627">
        <x:v>0</x:v>
      </x:c>
      <x:c r="J18" s="627">
        <x:v>0</x:v>
      </x:c>
      <x:c r="K18" s="627">
        <x:v>0</x:v>
      </x:c>
      <x:c r="L18" s="627">
        <x:v>0</x:v>
      </x:c>
      <x:c r="M18" s="627">
        <x:v>0</x:v>
      </x:c>
      <x:c r="N18" s="627">
        <x:v>0</x:v>
      </x:c>
      <x:c r="O18" s="627">
        <x:v>0</x:v>
      </x:c>
      <x:c r="Z18" s="624"/>
    </x:row>
    <x:row r="19" spans="1:26" x14ac:dyDescent="0.25">
      <x:c r="A19" s="654" t="s">
        <x:v>79</x:v>
      </x:c>
      <x:c r="B19" s="654" t="s">
        <x:v>70</x:v>
      </x:c>
      <x:c r="C19" s="655">
        <x:v>0</x:v>
      </x:c>
      <x:c r="D19" s="655">
        <x:v>0</x:v>
      </x:c>
      <x:c r="E19" s="655">
        <x:v>0</x:v>
      </x:c>
      <x:c r="F19" s="655">
        <x:v>0</x:v>
      </x:c>
      <x:c r="G19" s="655">
        <x:v>0</x:v>
      </x:c>
      <x:c r="H19" s="655">
        <x:v>0</x:v>
      </x:c>
      <x:c r="I19" s="655">
        <x:v>0</x:v>
      </x:c>
      <x:c r="J19" s="655">
        <x:v>0</x:v>
      </x:c>
      <x:c r="K19" s="655">
        <x:v>0</x:v>
      </x:c>
      <x:c r="L19" s="655">
        <x:v>0</x:v>
      </x:c>
      <x:c r="M19" s="655">
        <x:v>0</x:v>
      </x:c>
      <x:c r="N19" s="655">
        <x:v>0</x:v>
      </x:c>
      <x:c r="O19" s="655">
        <x:v>0</x:v>
      </x:c>
      <x:c r="P19" s="708"/>
      <x:c r="Z19" s="624"/>
    </x:row>
    <x:row r="20" spans="1:26" x14ac:dyDescent="0.25">
      <x:c r="A20" s="625" t="s">
        <x:v>70</x:v>
      </x:c>
      <x:c r="C20" s="627">
        <x:v>0</x:v>
      </x:c>
      <x:c r="D20" s="627">
        <x:v>0</x:v>
      </x:c>
      <x:c r="E20" s="627">
        <x:v>0</x:v>
      </x:c>
      <x:c r="F20" s="627">
        <x:v>0</x:v>
      </x:c>
      <x:c r="G20" s="627">
        <x:v>0</x:v>
      </x:c>
      <x:c r="H20" s="627">
        <x:v>0</x:v>
      </x:c>
      <x:c r="I20" s="627">
        <x:v>0</x:v>
      </x:c>
      <x:c r="J20" s="627">
        <x:v>0</x:v>
      </x:c>
      <x:c r="K20" s="627">
        <x:v>0</x:v>
      </x:c>
      <x:c r="L20" s="627">
        <x:v>0</x:v>
      </x:c>
      <x:c r="M20" s="627">
        <x:v>0</x:v>
      </x:c>
      <x:c r="N20" s="627">
        <x:v>0</x:v>
      </x:c>
      <x:c r="O20" s="627">
        <x:v>0</x:v>
      </x:c>
      <x:c r="Z20" s="624"/>
    </x:row>
    <x:row r="21" spans="1:26" x14ac:dyDescent="0.25">
      <x:c r="A21" s="625"/>
      <x:c r="C21" s="627"/>
      <x:c r="D21" s="627"/>
      <x:c r="E21" s="627"/>
      <x:c r="F21" s="627"/>
      <x:c r="G21" s="627"/>
      <x:c r="H21" s="627"/>
      <x:c r="I21" s="627"/>
      <x:c r="J21" s="627"/>
      <x:c r="K21" s="627"/>
      <x:c r="L21" s="627"/>
      <x:c r="M21" s="627"/>
      <x:c r="N21" s="627"/>
      <x:c r="O21" s="627"/>
      <x:c r="P21" s="627"/>
      <x:c r="Z21" s="624"/>
    </x:row>
    <x:row r="22" spans="1:26" x14ac:dyDescent="0.25">
      <x:c r="B22" s="709" t="s">
        <x:v>70</x:v>
      </x:c>
      <x:c r="C22" s="679">
        <x:f>C20-I20</x:f>
        <x:v>0</x:v>
      </x:c>
      <x:c r="D22" s="679">
        <x:f>D17</x:f>
        <x:v>0</x:v>
      </x:c>
      <x:c r="E22" s="679">
        <x:f t="shared" ref="E22:P22" si="1">E17</x:f>
        <x:v>0</x:v>
      </x:c>
      <x:c r="F22" s="679">
        <x:f t="shared" si="1"/>
        <x:v>0</x:v>
      </x:c>
      <x:c r="G22" s="679">
        <x:f t="shared" si="1"/>
        <x:v>0</x:v>
      </x:c>
      <x:c r="H22" s="679">
        <x:f t="shared" si="1"/>
        <x:v>0</x:v>
      </x:c>
      <x:c r="I22" s="679">
        <x:f t="shared" si="1"/>
        <x:v>0</x:v>
      </x:c>
      <x:c r="J22" s="679">
        <x:f t="shared" si="1"/>
        <x:v>0</x:v>
      </x:c>
      <x:c r="K22" s="679">
        <x:f t="shared" si="1"/>
        <x:v>0</x:v>
      </x:c>
      <x:c r="L22" s="679">
        <x:f t="shared" si="1"/>
        <x:v>0</x:v>
      </x:c>
      <x:c r="M22" s="679">
        <x:f t="shared" si="1"/>
        <x:v>0</x:v>
      </x:c>
      <x:c r="N22" s="679">
        <x:f t="shared" si="1"/>
        <x:v>0</x:v>
      </x:c>
      <x:c r="O22" s="679">
        <x:f>O17</x:f>
        <x:v>0</x:v>
      </x:c>
      <x:c r="P22" s="679">
        <x:f t="shared" si="1"/>
        <x:v>0</x:v>
      </x:c>
      <x:c r="Z22" s="624"/>
    </x:row>
    <x:row r="23" spans="1:26" x14ac:dyDescent="0.25">
      <x:c r="B23" s="709" t="s">
        <x:v>73</x:v>
      </x:c>
      <x:c r="C23" s="679">
        <x:f>C19</x:f>
        <x:v>0</x:v>
      </x:c>
      <x:c r="Z23" s="624"/>
    </x:row>
    <x:row r="24" spans="1:26" x14ac:dyDescent="0.25">
      <x:c r="Z24" s="624"/>
    </x:row>
    <x:row r="25" spans="1:26" x14ac:dyDescent="0.25">
      <x:c r="A25" s="631"/>
      <x:c r="B25" s="631"/>
      <x:c r="C25" s="710"/>
      <x:c r="D25" s="631"/>
      <x:c r="E25" s="631"/>
      <x:c r="F25" s="631"/>
      <x:c r="G25" s="631"/>
      <x:c r="H25" s="631"/>
      <x:c r="I25" s="631"/>
      <x:c r="J25" s="631"/>
      <x:c r="K25" s="631"/>
      <x:c r="L25" s="631"/>
      <x:c r="M25" s="631"/>
      <x:c r="N25" s="631"/>
      <x:c r="O25" s="631"/>
      <x:c r="P25" s="631"/>
      <x:c r="Z25" s="624"/>
    </x:row>
    <x:row r="26" spans="1:26" x14ac:dyDescent="0.25">
      <x:c r="B26" s="676" t="s">
        <x:v>76</x:v>
      </x:c>
      <x:c r="Z26" s="624"/>
    </x:row>
    <x:row r="27" spans="1:26" s="50" customFormat="1" x14ac:dyDescent="0.25">
      <x:c r="C27" s="669" t="s">
        <x:v>70</x:v>
      </x:c>
      <x:c r="D27" s="669" t="s">
        <x:v>64</x:v>
      </x:c>
      <x:c r="E27" s="669" t="s">
        <x:v>65</x:v>
      </x:c>
      <x:c r="F27" s="674" t="s">
        <x:v>164</x:v>
      </x:c>
      <x:c r="G27" s="669" t="s">
        <x:v>69</x:v>
      </x:c>
      <x:c r="H27" s="669" t="s">
        <x:v>68</x:v>
      </x:c>
      <x:c r="I27" s="669" t="s">
        <x:v>83</x:v>
      </x:c>
      <x:c r="J27" s="669" t="s">
        <x:v>66</x:v>
      </x:c>
      <x:c r="K27" s="669" t="s">
        <x:v>63</x:v>
      </x:c>
      <x:c r="L27" s="669" t="s">
        <x:v>61</x:v>
      </x:c>
      <x:c r="M27" s="669" t="s">
        <x:v>62</x:v>
      </x:c>
      <x:c r="N27" s="669" t="s">
        <x:v>67</x:v>
      </x:c>
      <x:c r="O27" s="669" t="s">
        <x:v>84</x:v>
      </x:c>
      <x:c r="Z27" s="618"/>
    </x:row>
    <x:row r="28" spans="1:26" x14ac:dyDescent="0.25">
      <x:c r="B28" s="625" t="s">
        <x:v>72</x:v>
      </x:c>
      <x:c r="C28" s="627">
        <x:v>0</x:v>
      </x:c>
      <x:c r="D28" s="627">
        <x:v>0</x:v>
      </x:c>
      <x:c r="E28" s="627">
        <x:v>0</x:v>
      </x:c>
      <x:c r="F28" s="627">
        <x:v>0</x:v>
      </x:c>
      <x:c r="G28" s="627">
        <x:v>0</x:v>
      </x:c>
      <x:c r="H28" s="627">
        <x:v>0</x:v>
      </x:c>
      <x:c r="I28" s="627">
        <x:v>0</x:v>
      </x:c>
      <x:c r="J28" s="627">
        <x:v>0</x:v>
      </x:c>
      <x:c r="K28" s="627">
        <x:v>0</x:v>
      </x:c>
      <x:c r="L28" s="627">
        <x:v>0</x:v>
      </x:c>
      <x:c r="M28" s="627">
        <x:v>0</x:v>
      </x:c>
      <x:c r="N28" s="627">
        <x:v>0</x:v>
      </x:c>
      <x:c r="O28" s="627">
        <x:v>0</x:v>
      </x:c>
      <x:c r="Z28" s="624"/>
    </x:row>
    <x:row r="29" spans="1:26" x14ac:dyDescent="0.25">
      <x:c r="A29" s="636" t="s">
        <x:v>78</x:v>
      </x:c>
      <x:c r="B29" s="636" t="s">
        <x:v>70</x:v>
      </x:c>
      <x:c r="C29" s="637">
        <x:v>0</x:v>
      </x:c>
      <x:c r="D29" s="637">
        <x:v>0</x:v>
      </x:c>
      <x:c r="E29" s="637">
        <x:v>0</x:v>
      </x:c>
      <x:c r="F29" s="637">
        <x:v>0</x:v>
      </x:c>
      <x:c r="G29" s="637">
        <x:v>0</x:v>
      </x:c>
      <x:c r="H29" s="637">
        <x:v>0</x:v>
      </x:c>
      <x:c r="I29" s="637">
        <x:v>0</x:v>
      </x:c>
      <x:c r="J29" s="637">
        <x:v>0</x:v>
      </x:c>
      <x:c r="K29" s="637">
        <x:v>0</x:v>
      </x:c>
      <x:c r="L29" s="637">
        <x:v>0</x:v>
      </x:c>
      <x:c r="M29" s="637">
        <x:v>0</x:v>
      </x:c>
      <x:c r="N29" s="637">
        <x:v>0</x:v>
      </x:c>
      <x:c r="O29" s="637">
        <x:v>0</x:v>
      </x:c>
      <x:c r="P29" s="635"/>
      <x:c r="Z29" s="624"/>
    </x:row>
    <x:row r="30" spans="1:26" x14ac:dyDescent="0.25">
      <x:c r="B30" s="625" t="s">
        <x:v>73</x:v>
      </x:c>
      <x:c r="C30" s="627">
        <x:v>0</x:v>
      </x:c>
      <x:c r="D30" s="627">
        <x:v>0</x:v>
      </x:c>
      <x:c r="E30" s="627">
        <x:v>0</x:v>
      </x:c>
      <x:c r="F30" s="627">
        <x:v>0</x:v>
      </x:c>
      <x:c r="G30" s="627">
        <x:v>0</x:v>
      </x:c>
      <x:c r="H30" s="627">
        <x:v>0</x:v>
      </x:c>
      <x:c r="I30" s="627">
        <x:v>0</x:v>
      </x:c>
      <x:c r="J30" s="627">
        <x:v>0</x:v>
      </x:c>
      <x:c r="K30" s="627">
        <x:v>0</x:v>
      </x:c>
      <x:c r="L30" s="627">
        <x:v>0</x:v>
      </x:c>
      <x:c r="M30" s="627">
        <x:v>0</x:v>
      </x:c>
      <x:c r="N30" s="627">
        <x:v>0</x:v>
      </x:c>
      <x:c r="O30" s="627">
        <x:v>0</x:v>
      </x:c>
      <x:c r="Z30" s="624"/>
    </x:row>
    <x:row r="31" spans="1:26" x14ac:dyDescent="0.25">
      <x:c r="A31" s="654" t="s">
        <x:v>79</x:v>
      </x:c>
      <x:c r="B31" s="654" t="s">
        <x:v>70</x:v>
      </x:c>
      <x:c r="C31" s="655">
        <x:v>0</x:v>
      </x:c>
      <x:c r="D31" s="655">
        <x:v>0</x:v>
      </x:c>
      <x:c r="E31" s="655">
        <x:v>0</x:v>
      </x:c>
      <x:c r="F31" s="655">
        <x:v>0</x:v>
      </x:c>
      <x:c r="G31" s="655">
        <x:v>0</x:v>
      </x:c>
      <x:c r="H31" s="655">
        <x:v>0</x:v>
      </x:c>
      <x:c r="I31" s="655">
        <x:v>0</x:v>
      </x:c>
      <x:c r="J31" s="655">
        <x:v>0</x:v>
      </x:c>
      <x:c r="K31" s="655">
        <x:v>0</x:v>
      </x:c>
      <x:c r="L31" s="655">
        <x:v>0</x:v>
      </x:c>
      <x:c r="M31" s="655">
        <x:v>0</x:v>
      </x:c>
      <x:c r="N31" s="655">
        <x:v>0</x:v>
      </x:c>
      <x:c r="O31" s="655">
        <x:v>0</x:v>
      </x:c>
      <x:c r="P31" s="708"/>
      <x:c r="Z31" s="624"/>
    </x:row>
    <x:row r="32" spans="1:26" x14ac:dyDescent="0.25">
      <x:c r="A32" s="625" t="s">
        <x:v>70</x:v>
      </x:c>
      <x:c r="C32" s="627">
        <x:v>0</x:v>
      </x:c>
      <x:c r="D32" s="627">
        <x:v>0</x:v>
      </x:c>
      <x:c r="E32" s="627">
        <x:v>0</x:v>
      </x:c>
      <x:c r="F32" s="627">
        <x:v>0</x:v>
      </x:c>
      <x:c r="G32" s="627">
        <x:v>0</x:v>
      </x:c>
      <x:c r="H32" s="627">
        <x:v>0</x:v>
      </x:c>
      <x:c r="I32" s="627">
        <x:v>0</x:v>
      </x:c>
      <x:c r="J32" s="627">
        <x:v>0</x:v>
      </x:c>
      <x:c r="K32" s="627">
        <x:v>0</x:v>
      </x:c>
      <x:c r="L32" s="627">
        <x:v>0</x:v>
      </x:c>
      <x:c r="M32" s="627">
        <x:v>0</x:v>
      </x:c>
      <x:c r="N32" s="627">
        <x:v>0</x:v>
      </x:c>
      <x:c r="O32" s="627">
        <x:v>0</x:v>
      </x:c>
      <x:c r="Z32" s="624"/>
    </x:row>
    <x:row r="33" spans="1:26" x14ac:dyDescent="0.25">
      <x:c r="A33" s="625"/>
      <x:c r="C33" s="627"/>
      <x:c r="D33" s="627"/>
      <x:c r="E33" s="627"/>
      <x:c r="F33" s="627"/>
      <x:c r="G33" s="627"/>
      <x:c r="H33" s="627"/>
      <x:c r="I33" s="627"/>
      <x:c r="J33" s="627"/>
      <x:c r="L33" s="627"/>
      <x:c r="M33" s="627"/>
      <x:c r="N33" s="627"/>
      <x:c r="O33" s="627"/>
      <x:c r="P33" s="627"/>
      <x:c r="Z33" s="624"/>
    </x:row>
    <x:row r="34" spans="1:26" x14ac:dyDescent="0.25">
      <x:c r="B34" s="709" t="s">
        <x:v>70</x:v>
      </x:c>
      <x:c r="C34" s="679">
        <x:f>C32-I32</x:f>
        <x:v>0</x:v>
      </x:c>
      <x:c r="D34" s="679">
        <x:f>D29</x:f>
        <x:v>0</x:v>
      </x:c>
      <x:c r="E34" s="679">
        <x:f t="shared" ref="E34:P34" si="2">E29</x:f>
        <x:v>0</x:v>
      </x:c>
      <x:c r="F34" s="679">
        <x:f t="shared" si="2"/>
        <x:v>0</x:v>
      </x:c>
      <x:c r="G34" s="679">
        <x:f t="shared" si="2"/>
        <x:v>0</x:v>
      </x:c>
      <x:c r="H34" s="679">
        <x:f t="shared" si="2"/>
        <x:v>0</x:v>
      </x:c>
      <x:c r="I34" s="679">
        <x:f t="shared" si="2"/>
        <x:v>0</x:v>
      </x:c>
      <x:c r="J34" s="679">
        <x:f t="shared" si="2"/>
        <x:v>0</x:v>
      </x:c>
      <x:c r="K34" s="679">
        <x:f t="shared" si="2"/>
        <x:v>0</x:v>
      </x:c>
      <x:c r="L34" s="679">
        <x:f t="shared" si="2"/>
        <x:v>0</x:v>
      </x:c>
      <x:c r="M34" s="679">
        <x:f t="shared" si="2"/>
        <x:v>0</x:v>
      </x:c>
      <x:c r="N34" s="679">
        <x:f t="shared" si="2"/>
        <x:v>0</x:v>
      </x:c>
      <x:c r="O34" s="679">
        <x:f>O29</x:f>
        <x:v>0</x:v>
      </x:c>
      <x:c r="P34" s="679">
        <x:f t="shared" si="2"/>
        <x:v>0</x:v>
      </x:c>
      <x:c r="Z34" s="624"/>
    </x:row>
    <x:row r="35" spans="1:26" x14ac:dyDescent="0.25">
      <x:c r="B35" s="709" t="s">
        <x:v>73</x:v>
      </x:c>
      <x:c r="C35" s="679">
        <x:f>C31</x:f>
        <x:v>0</x:v>
      </x:c>
      <x:c r="Z35" s="624"/>
    </x:row>
    <x:row r="36" spans="1:26" x14ac:dyDescent="0.25">
      <x:c r="Z36" s="624"/>
    </x:row>
    <x:row r="37" spans="1:26" x14ac:dyDescent="0.25">
      <x:c r="A37" s="631"/>
      <x:c r="B37" s="631"/>
      <x:c r="C37" s="710"/>
      <x:c r="D37" s="631"/>
      <x:c r="E37" s="631"/>
      <x:c r="F37" s="631"/>
      <x:c r="G37" s="631"/>
      <x:c r="H37" s="631"/>
      <x:c r="I37" s="631"/>
      <x:c r="J37" s="631"/>
      <x:c r="K37" s="631"/>
      <x:c r="L37" s="631"/>
      <x:c r="M37" s="631"/>
      <x:c r="N37" s="631"/>
      <x:c r="O37" s="631"/>
      <x:c r="P37" s="631"/>
      <x:c r="Z37" s="624"/>
    </x:row>
    <x:row r="38" spans="1:26" x14ac:dyDescent="0.25">
      <x:c r="B38" s="676" t="s">
        <x:v>88</x:v>
      </x:c>
      <x:c r="Z38" s="624"/>
    </x:row>
    <x:row r="39" spans="1:26" s="50" customFormat="1" x14ac:dyDescent="0.25">
      <x:c r="C39" s="669" t="s">
        <x:v>70</x:v>
      </x:c>
      <x:c r="D39" s="669" t="s">
        <x:v>64</x:v>
      </x:c>
      <x:c r="E39" s="669" t="s">
        <x:v>65</x:v>
      </x:c>
      <x:c r="F39" s="674" t="s">
        <x:v>164</x:v>
      </x:c>
      <x:c r="G39" s="669" t="s">
        <x:v>69</x:v>
      </x:c>
      <x:c r="H39" s="669" t="s">
        <x:v>68</x:v>
      </x:c>
      <x:c r="I39" s="669" t="s">
        <x:v>83</x:v>
      </x:c>
      <x:c r="J39" s="669" t="s">
        <x:v>66</x:v>
      </x:c>
      <x:c r="K39" s="669" t="s">
        <x:v>63</x:v>
      </x:c>
      <x:c r="L39" s="669" t="s">
        <x:v>61</x:v>
      </x:c>
      <x:c r="M39" s="669" t="s">
        <x:v>62</x:v>
      </x:c>
      <x:c r="N39" s="669" t="s">
        <x:v>67</x:v>
      </x:c>
      <x:c r="O39" s="669" t="s">
        <x:v>84</x:v>
      </x:c>
      <x:c r="Z39" s="618"/>
    </x:row>
    <x:row r="40" spans="1:26" x14ac:dyDescent="0.25">
      <x:c r="B40" s="25" t="s">
        <x:v>72</x:v>
      </x:c>
      <x:c r="C40" s="627">
        <x:v>0</x:v>
      </x:c>
      <x:c r="D40" s="627">
        <x:v>0</x:v>
      </x:c>
      <x:c r="E40" s="627">
        <x:v>0</x:v>
      </x:c>
      <x:c r="F40" s="627">
        <x:v>0</x:v>
      </x:c>
      <x:c r="G40" s="627">
        <x:v>0</x:v>
      </x:c>
      <x:c r="H40" s="627">
        <x:v>0</x:v>
      </x:c>
      <x:c r="I40" s="627">
        <x:v>0</x:v>
      </x:c>
      <x:c r="J40" s="627">
        <x:v>0</x:v>
      </x:c>
      <x:c r="K40" s="627">
        <x:v>0</x:v>
      </x:c>
      <x:c r="L40" s="627">
        <x:v>0</x:v>
      </x:c>
      <x:c r="M40" s="627">
        <x:v>0</x:v>
      </x:c>
      <x:c r="N40" s="627">
        <x:v>0</x:v>
      </x:c>
      <x:c r="O40" s="627">
        <x:v>0</x:v>
      </x:c>
      <x:c r="Z40" s="624"/>
    </x:row>
    <x:row r="41" spans="1:26" x14ac:dyDescent="0.25">
      <x:c r="B41" s="625" t="s">
        <x:v>81</x:v>
      </x:c>
      <x:c r="C41" s="627">
        <x:v>0</x:v>
      </x:c>
      <x:c r="D41" s="627">
        <x:v>0</x:v>
      </x:c>
      <x:c r="E41" s="627">
        <x:v>0</x:v>
      </x:c>
      <x:c r="F41" s="627">
        <x:v>0</x:v>
      </x:c>
      <x:c r="G41" s="627">
        <x:v>0</x:v>
      </x:c>
      <x:c r="H41" s="627">
        <x:v>0</x:v>
      </x:c>
      <x:c r="I41" s="627">
        <x:v>0</x:v>
      </x:c>
      <x:c r="J41" s="627">
        <x:v>0</x:v>
      </x:c>
      <x:c r="K41" s="627">
        <x:v>0</x:v>
      </x:c>
      <x:c r="L41" s="627">
        <x:v>0</x:v>
      </x:c>
      <x:c r="M41" s="627">
        <x:v>0</x:v>
      </x:c>
      <x:c r="N41" s="627">
        <x:v>0</x:v>
      </x:c>
      <x:c r="O41" s="627">
        <x:v>0</x:v>
      </x:c>
      <x:c r="Z41" s="624"/>
    </x:row>
    <x:row r="42" spans="1:26" x14ac:dyDescent="0.25">
      <x:c r="A42" s="636" t="s">
        <x:v>78</x:v>
      </x:c>
      <x:c r="B42" s="636" t="s">
        <x:v>70</x:v>
      </x:c>
      <x:c r="C42" s="637">
        <x:v>0</x:v>
      </x:c>
      <x:c r="D42" s="637">
        <x:v>0</x:v>
      </x:c>
      <x:c r="E42" s="637">
        <x:v>0</x:v>
      </x:c>
      <x:c r="F42" s="637">
        <x:v>0</x:v>
      </x:c>
      <x:c r="G42" s="637">
        <x:v>0</x:v>
      </x:c>
      <x:c r="H42" s="637">
        <x:v>0</x:v>
      </x:c>
      <x:c r="I42" s="637">
        <x:v>0</x:v>
      </x:c>
      <x:c r="J42" s="637">
        <x:v>0</x:v>
      </x:c>
      <x:c r="K42" s="637">
        <x:v>0</x:v>
      </x:c>
      <x:c r="L42" s="637">
        <x:v>0</x:v>
      </x:c>
      <x:c r="M42" s="637">
        <x:v>0</x:v>
      </x:c>
      <x:c r="N42" s="637">
        <x:v>0</x:v>
      </x:c>
      <x:c r="O42" s="637">
        <x:v>0</x:v>
      </x:c>
      <x:c r="P42" s="635"/>
      <x:c r="Z42" s="624"/>
    </x:row>
    <x:row r="43" spans="1:26" x14ac:dyDescent="0.25">
      <x:c r="B43" s="625" t="s">
        <x:v>73</x:v>
      </x:c>
      <x:c r="C43" s="627">
        <x:v>0</x:v>
      </x:c>
      <x:c r="D43" s="627">
        <x:v>0</x:v>
      </x:c>
      <x:c r="E43" s="627">
        <x:v>0</x:v>
      </x:c>
      <x:c r="F43" s="627">
        <x:v>0</x:v>
      </x:c>
      <x:c r="G43" s="627">
        <x:v>0</x:v>
      </x:c>
      <x:c r="H43" s="627">
        <x:v>0</x:v>
      </x:c>
      <x:c r="I43" s="627">
        <x:v>0</x:v>
      </x:c>
      <x:c r="J43" s="627">
        <x:v>0</x:v>
      </x:c>
      <x:c r="K43" s="627">
        <x:v>0</x:v>
      </x:c>
      <x:c r="L43" s="627">
        <x:v>0</x:v>
      </x:c>
      <x:c r="M43" s="627">
        <x:v>0</x:v>
      </x:c>
      <x:c r="N43" s="627">
        <x:v>0</x:v>
      </x:c>
      <x:c r="O43" s="627">
        <x:v>0</x:v>
      </x:c>
      <x:c r="Z43" s="624"/>
    </x:row>
    <x:row r="44" spans="1:26" x14ac:dyDescent="0.25">
      <x:c r="A44" s="654" t="s">
        <x:v>79</x:v>
      </x:c>
      <x:c r="B44" s="654" t="s">
        <x:v>70</x:v>
      </x:c>
      <x:c r="C44" s="655">
        <x:v>0</x:v>
      </x:c>
      <x:c r="D44" s="655">
        <x:v>0</x:v>
      </x:c>
      <x:c r="E44" s="655">
        <x:v>0</x:v>
      </x:c>
      <x:c r="F44" s="655">
        <x:v>0</x:v>
      </x:c>
      <x:c r="G44" s="655">
        <x:v>0</x:v>
      </x:c>
      <x:c r="H44" s="655">
        <x:v>0</x:v>
      </x:c>
      <x:c r="I44" s="655">
        <x:v>0</x:v>
      </x:c>
      <x:c r="J44" s="655">
        <x:v>0</x:v>
      </x:c>
      <x:c r="K44" s="655">
        <x:v>0</x:v>
      </x:c>
      <x:c r="L44" s="655">
        <x:v>0</x:v>
      </x:c>
      <x:c r="M44" s="655">
        <x:v>0</x:v>
      </x:c>
      <x:c r="N44" s="655">
        <x:v>0</x:v>
      </x:c>
      <x:c r="O44" s="655">
        <x:v>0</x:v>
      </x:c>
      <x:c r="P44" s="708"/>
      <x:c r="Z44" s="624"/>
    </x:row>
    <x:row r="45" spans="1:26" x14ac:dyDescent="0.25">
      <x:c r="A45" s="625" t="s">
        <x:v>70</x:v>
      </x:c>
      <x:c r="C45" s="627">
        <x:v>0</x:v>
      </x:c>
      <x:c r="D45" s="627">
        <x:v>0</x:v>
      </x:c>
      <x:c r="E45" s="627">
        <x:v>0</x:v>
      </x:c>
      <x:c r="F45" s="627">
        <x:v>0</x:v>
      </x:c>
      <x:c r="G45" s="627">
        <x:v>0</x:v>
      </x:c>
      <x:c r="H45" s="627">
        <x:v>0</x:v>
      </x:c>
      <x:c r="I45" s="627">
        <x:v>0</x:v>
      </x:c>
      <x:c r="J45" s="627">
        <x:v>0</x:v>
      </x:c>
      <x:c r="K45" s="627">
        <x:v>0</x:v>
      </x:c>
      <x:c r="L45" s="627">
        <x:v>0</x:v>
      </x:c>
      <x:c r="M45" s="627">
        <x:v>0</x:v>
      </x:c>
      <x:c r="N45" s="627">
        <x:v>0</x:v>
      </x:c>
      <x:c r="O45" s="627">
        <x:v>0</x:v>
      </x:c>
      <x:c r="Z45" s="624"/>
    </x:row>
    <x:row r="46" spans="1:26" x14ac:dyDescent="0.25">
      <x:c r="A46" s="625"/>
      <x:c r="C46" s="627"/>
      <x:c r="D46" s="627"/>
      <x:c r="E46" s="627"/>
      <x:c r="F46" s="627"/>
      <x:c r="G46" s="627"/>
      <x:c r="H46" s="627"/>
      <x:c r="I46" s="627"/>
      <x:c r="J46" s="627"/>
      <x:c r="K46" s="627"/>
      <x:c r="L46" s="627"/>
      <x:c r="M46" s="627"/>
      <x:c r="N46" s="627"/>
      <x:c r="O46" s="627"/>
      <x:c r="P46" s="627"/>
      <x:c r="Z46" s="624"/>
    </x:row>
    <x:row r="47" spans="1:26" x14ac:dyDescent="0.25">
      <x:c r="B47" s="709" t="s">
        <x:v>70</x:v>
      </x:c>
      <x:c r="C47" s="679">
        <x:f>C45-I45</x:f>
        <x:v>0</x:v>
      </x:c>
      <x:c r="D47" s="679">
        <x:f>D42</x:f>
        <x:v>0</x:v>
      </x:c>
      <x:c r="E47" s="679">
        <x:f t="shared" ref="E47:P47" si="3">E42</x:f>
        <x:v>0</x:v>
      </x:c>
      <x:c r="F47" s="679">
        <x:f t="shared" si="3"/>
        <x:v>0</x:v>
      </x:c>
      <x:c r="G47" s="679">
        <x:f t="shared" si="3"/>
        <x:v>0</x:v>
      </x:c>
      <x:c r="H47" s="679">
        <x:f t="shared" si="3"/>
        <x:v>0</x:v>
      </x:c>
      <x:c r="I47" s="679">
        <x:f t="shared" si="3"/>
        <x:v>0</x:v>
      </x:c>
      <x:c r="J47" s="679">
        <x:f t="shared" si="3"/>
        <x:v>0</x:v>
      </x:c>
      <x:c r="K47" s="679">
        <x:f t="shared" si="3"/>
        <x:v>0</x:v>
      </x:c>
      <x:c r="L47" s="679">
        <x:f t="shared" si="3"/>
        <x:v>0</x:v>
      </x:c>
      <x:c r="M47" s="679">
        <x:f t="shared" si="3"/>
        <x:v>0</x:v>
      </x:c>
      <x:c r="N47" s="679">
        <x:f t="shared" si="3"/>
        <x:v>0</x:v>
      </x:c>
      <x:c r="O47" s="679">
        <x:f>O42</x:f>
        <x:v>0</x:v>
      </x:c>
      <x:c r="P47" s="679">
        <x:f t="shared" si="3"/>
        <x:v>0</x:v>
      </x:c>
      <x:c r="Z47" s="624"/>
    </x:row>
    <x:row r="48" spans="1:26" x14ac:dyDescent="0.25">
      <x:c r="B48" s="709" t="s">
        <x:v>73</x:v>
      </x:c>
      <x:c r="C48" s="679">
        <x:f>C44</x:f>
        <x:v>0</x:v>
      </x:c>
      <x:c r="Z48" s="624"/>
    </x:row>
    <x:row r="49" spans="1:26" x14ac:dyDescent="0.25">
      <x:c r="Z49" s="624"/>
    </x:row>
    <x:row r="50" spans="1:26" x14ac:dyDescent="0.25">
      <x:c r="A50" s="631"/>
      <x:c r="B50" s="631"/>
      <x:c r="C50" s="710"/>
      <x:c r="D50" s="631"/>
      <x:c r="E50" s="631"/>
      <x:c r="F50" s="631"/>
      <x:c r="G50" s="631"/>
      <x:c r="H50" s="631"/>
      <x:c r="I50" s="631"/>
      <x:c r="J50" s="631"/>
      <x:c r="K50" s="631"/>
      <x:c r="L50" s="631"/>
      <x:c r="M50" s="631"/>
      <x:c r="N50" s="631"/>
      <x:c r="O50" s="631"/>
      <x:c r="P50" s="631"/>
      <x:c r="Z50" s="624"/>
    </x:row>
    <x:row r="51" spans="1:26" x14ac:dyDescent="0.25">
      <x:c r="B51" s="676" t="s">
        <x:v>93</x:v>
      </x:c>
      <x:c r="Z51" s="624"/>
    </x:row>
    <x:row r="52" spans="1:26" s="50" customFormat="1" x14ac:dyDescent="0.25">
      <x:c r="C52" s="669" t="s">
        <x:v>70</x:v>
      </x:c>
      <x:c r="D52" s="669" t="s">
        <x:v>64</x:v>
      </x:c>
      <x:c r="E52" s="669" t="s">
        <x:v>65</x:v>
      </x:c>
      <x:c r="F52" s="674" t="s">
        <x:v>164</x:v>
      </x:c>
      <x:c r="G52" s="669" t="s">
        <x:v>69</x:v>
      </x:c>
      <x:c r="H52" s="669" t="s">
        <x:v>68</x:v>
      </x:c>
      <x:c r="I52" s="669" t="s">
        <x:v>83</x:v>
      </x:c>
      <x:c r="J52" s="669" t="s">
        <x:v>66</x:v>
      </x:c>
      <x:c r="K52" s="669" t="s">
        <x:v>63</x:v>
      </x:c>
      <x:c r="L52" s="669" t="s">
        <x:v>61</x:v>
      </x:c>
      <x:c r="M52" s="669" t="s">
        <x:v>62</x:v>
      </x:c>
      <x:c r="N52" s="669" t="s">
        <x:v>67</x:v>
      </x:c>
      <x:c r="O52" s="669" t="s">
        <x:v>84</x:v>
      </x:c>
      <x:c r="Z52" s="618"/>
    </x:row>
    <x:row r="53" spans="1:26" x14ac:dyDescent="0.25">
      <x:c r="B53" s="625" t="s">
        <x:v>72</x:v>
      </x:c>
      <x:c r="C53" s="627">
        <x:v>0</x:v>
      </x:c>
      <x:c r="D53" s="627">
        <x:v>0</x:v>
      </x:c>
      <x:c r="E53" s="627">
        <x:v>0</x:v>
      </x:c>
      <x:c r="F53" s="627">
        <x:v>0</x:v>
      </x:c>
      <x:c r="G53" s="627">
        <x:v>0</x:v>
      </x:c>
      <x:c r="H53" s="627">
        <x:v>0</x:v>
      </x:c>
      <x:c r="I53" s="653">
        <x:v>0</x:v>
      </x:c>
      <x:c r="J53" s="627">
        <x:v>0</x:v>
      </x:c>
      <x:c r="K53" s="627">
        <x:v>0</x:v>
      </x:c>
      <x:c r="L53" s="627">
        <x:v>0</x:v>
      </x:c>
      <x:c r="M53" s="627">
        <x:v>0</x:v>
      </x:c>
      <x:c r="N53" s="627">
        <x:v>0</x:v>
      </x:c>
      <x:c r="O53" s="627">
        <x:v>0</x:v>
      </x:c>
      <x:c r="Z53" s="624"/>
    </x:row>
    <x:row r="54" spans="1:26" x14ac:dyDescent="0.25">
      <x:c r="B54" s="625" t="s">
        <x:v>81</x:v>
      </x:c>
      <x:c r="C54" s="627">
        <x:v>0</x:v>
      </x:c>
      <x:c r="D54" s="627">
        <x:v>0</x:v>
      </x:c>
      <x:c r="E54" s="627">
        <x:v>0</x:v>
      </x:c>
      <x:c r="F54" s="627">
        <x:v>0</x:v>
      </x:c>
      <x:c r="G54" s="627">
        <x:v>0</x:v>
      </x:c>
      <x:c r="H54" s="627">
        <x:v>0</x:v>
      </x:c>
      <x:c r="I54" s="653">
        <x:v>0</x:v>
      </x:c>
      <x:c r="J54" s="627">
        <x:v>0</x:v>
      </x:c>
      <x:c r="K54" s="627">
        <x:v>0</x:v>
      </x:c>
      <x:c r="L54" s="627">
        <x:v>0</x:v>
      </x:c>
      <x:c r="M54" s="627">
        <x:v>0</x:v>
      </x:c>
      <x:c r="N54" s="627">
        <x:v>0</x:v>
      </x:c>
      <x:c r="O54" s="627">
        <x:v>0</x:v>
      </x:c>
      <x:c r="Z54" s="624"/>
    </x:row>
    <x:row r="55" spans="1:26" x14ac:dyDescent="0.25">
      <x:c r="A55" s="636" t="s">
        <x:v>78</x:v>
      </x:c>
      <x:c r="B55" s="636" t="s">
        <x:v>70</x:v>
      </x:c>
      <x:c r="C55" s="637">
        <x:v>0</x:v>
      </x:c>
      <x:c r="D55" s="637">
        <x:v>0</x:v>
      </x:c>
      <x:c r="E55" s="637">
        <x:v>0</x:v>
      </x:c>
      <x:c r="F55" s="637">
        <x:v>0</x:v>
      </x:c>
      <x:c r="G55" s="637">
        <x:v>0</x:v>
      </x:c>
      <x:c r="H55" s="637">
        <x:v>0</x:v>
      </x:c>
      <x:c r="I55" s="712">
        <x:v>0</x:v>
      </x:c>
      <x:c r="J55" s="637">
        <x:v>0</x:v>
      </x:c>
      <x:c r="K55" s="637">
        <x:v>0</x:v>
      </x:c>
      <x:c r="L55" s="637">
        <x:v>0</x:v>
      </x:c>
      <x:c r="M55" s="637">
        <x:v>0</x:v>
      </x:c>
      <x:c r="N55" s="637">
        <x:v>0</x:v>
      </x:c>
      <x:c r="O55" s="637">
        <x:v>0</x:v>
      </x:c>
      <x:c r="P55" s="635"/>
      <x:c r="Z55" s="624"/>
    </x:row>
    <x:row r="56" spans="1:26" x14ac:dyDescent="0.25">
      <x:c r="B56" s="625" t="s">
        <x:v>73</x:v>
      </x:c>
      <x:c r="C56" s="627">
        <x:v>0</x:v>
      </x:c>
      <x:c r="D56" s="627">
        <x:v>0</x:v>
      </x:c>
      <x:c r="E56" s="627">
        <x:v>0</x:v>
      </x:c>
      <x:c r="F56" s="627">
        <x:v>0</x:v>
      </x:c>
      <x:c r="G56" s="627">
        <x:v>0</x:v>
      </x:c>
      <x:c r="H56" s="627">
        <x:v>0</x:v>
      </x:c>
      <x:c r="I56" s="653">
        <x:v>0</x:v>
      </x:c>
      <x:c r="J56" s="627">
        <x:v>0</x:v>
      </x:c>
      <x:c r="K56" s="627">
        <x:v>0</x:v>
      </x:c>
      <x:c r="L56" s="627">
        <x:v>0</x:v>
      </x:c>
      <x:c r="M56" s="627">
        <x:v>0</x:v>
      </x:c>
      <x:c r="N56" s="627">
        <x:v>0</x:v>
      </x:c>
      <x:c r="O56" s="627">
        <x:v>0</x:v>
      </x:c>
      <x:c r="Z56" s="624"/>
    </x:row>
    <x:row r="57" spans="1:26" x14ac:dyDescent="0.25">
      <x:c r="A57" s="654" t="s">
        <x:v>79</x:v>
      </x:c>
      <x:c r="B57" s="654" t="s">
        <x:v>70</x:v>
      </x:c>
      <x:c r="C57" s="655">
        <x:v>0</x:v>
      </x:c>
      <x:c r="D57" s="655">
        <x:v>0</x:v>
      </x:c>
      <x:c r="E57" s="655">
        <x:v>0</x:v>
      </x:c>
      <x:c r="F57" s="655">
        <x:v>0</x:v>
      </x:c>
      <x:c r="G57" s="655">
        <x:v>0</x:v>
      </x:c>
      <x:c r="H57" s="655">
        <x:v>0</x:v>
      </x:c>
      <x:c r="I57" s="713">
        <x:v>0</x:v>
      </x:c>
      <x:c r="J57" s="655">
        <x:v>0</x:v>
      </x:c>
      <x:c r="K57" s="655">
        <x:v>0</x:v>
      </x:c>
      <x:c r="L57" s="655">
        <x:v>0</x:v>
      </x:c>
      <x:c r="M57" s="655">
        <x:v>0</x:v>
      </x:c>
      <x:c r="N57" s="655">
        <x:v>0</x:v>
      </x:c>
      <x:c r="O57" s="655">
        <x:v>0</x:v>
      </x:c>
      <x:c r="P57" s="708"/>
      <x:c r="Z57" s="624"/>
    </x:row>
    <x:row r="58" spans="1:26" x14ac:dyDescent="0.25">
      <x:c r="A58" s="625" t="s">
        <x:v>70</x:v>
      </x:c>
      <x:c r="C58" s="627">
        <x:v>0</x:v>
      </x:c>
      <x:c r="D58" s="627">
        <x:v>0</x:v>
      </x:c>
      <x:c r="E58" s="627">
        <x:v>0</x:v>
      </x:c>
      <x:c r="F58" s="627">
        <x:v>0</x:v>
      </x:c>
      <x:c r="G58" s="627">
        <x:v>0</x:v>
      </x:c>
      <x:c r="H58" s="627">
        <x:v>0</x:v>
      </x:c>
      <x:c r="I58" s="653">
        <x:v>0</x:v>
      </x:c>
      <x:c r="J58" s="627">
        <x:v>0</x:v>
      </x:c>
      <x:c r="K58" s="627">
        <x:v>0</x:v>
      </x:c>
      <x:c r="L58" s="627">
        <x:v>0</x:v>
      </x:c>
      <x:c r="M58" s="627">
        <x:v>0</x:v>
      </x:c>
      <x:c r="N58" s="627">
        <x:v>0</x:v>
      </x:c>
      <x:c r="O58" s="627">
        <x:v>0</x:v>
      </x:c>
      <x:c r="Z58" s="624"/>
    </x:row>
    <x:row r="59" spans="1:26" x14ac:dyDescent="0.25">
      <x:c r="Z59" s="624"/>
    </x:row>
    <x:row r="60" spans="1:26" x14ac:dyDescent="0.25">
      <x:c r="B60" s="709" t="s">
        <x:v>70</x:v>
      </x:c>
      <x:c r="C60" s="679">
        <x:f>C58-I58</x:f>
        <x:v>0</x:v>
      </x:c>
      <x:c r="D60" s="679">
        <x:f>D55</x:f>
        <x:v>0</x:v>
      </x:c>
      <x:c r="E60" s="679">
        <x:f t="shared" ref="E60:P60" si="4">E55</x:f>
        <x:v>0</x:v>
      </x:c>
      <x:c r="F60" s="679">
        <x:f t="shared" si="4"/>
        <x:v>0</x:v>
      </x:c>
      <x:c r="G60" s="679">
        <x:f t="shared" si="4"/>
        <x:v>0</x:v>
      </x:c>
      <x:c r="H60" s="679">
        <x:f t="shared" si="4"/>
        <x:v>0</x:v>
      </x:c>
      <x:c r="I60" s="679">
        <x:f t="shared" si="4"/>
        <x:v>0</x:v>
      </x:c>
      <x:c r="J60" s="679">
        <x:f t="shared" si="4"/>
        <x:v>0</x:v>
      </x:c>
      <x:c r="K60" s="679">
        <x:f t="shared" si="4"/>
        <x:v>0</x:v>
      </x:c>
      <x:c r="L60" s="679">
        <x:f t="shared" si="4"/>
        <x:v>0</x:v>
      </x:c>
      <x:c r="M60" s="679">
        <x:f t="shared" si="4"/>
        <x:v>0</x:v>
      </x:c>
      <x:c r="N60" s="679">
        <x:f t="shared" si="4"/>
        <x:v>0</x:v>
      </x:c>
      <x:c r="O60" s="679">
        <x:f t="shared" si="4"/>
        <x:v>0</x:v>
      </x:c>
      <x:c r="P60" s="679">
        <x:f t="shared" si="4"/>
        <x:v>0</x:v>
      </x:c>
      <x:c r="Z60" s="624"/>
    </x:row>
    <x:row r="61" spans="1:26" x14ac:dyDescent="0.25">
      <x:c r="B61" s="709" t="s">
        <x:v>73</x:v>
      </x:c>
      <x:c r="C61" s="679">
        <x:f>C57</x:f>
        <x:v>0</x:v>
      </x:c>
      <x:c r="Z61" s="624"/>
    </x:row>
    <x:row r="62" spans="1:26" x14ac:dyDescent="0.25">
      <x:c r="Z62" s="624"/>
    </x:row>
    <x:row r="63" spans="1:26" x14ac:dyDescent="0.25">
      <x:c r="Z63" s="624"/>
    </x:row>
    <x:row r="64" spans="1:26" x14ac:dyDescent="0.25">
      <x:c r="Z64" s="624"/>
    </x:row>
    <x:row r="65" spans="1:26" x14ac:dyDescent="0.25">
      <x:c r="Z65" s="624"/>
    </x:row>
    <x:row r="66" spans="1:26" x14ac:dyDescent="0.25">
      <x:c r="Z66" s="624"/>
    </x:row>
    <x:row r="67" spans="1:26" x14ac:dyDescent="0.25">
      <x:c r="Z67" s="624"/>
    </x:row>
    <x:row r="68" spans="1:26" x14ac:dyDescent="0.25">
      <x:c r="Z68" s="624"/>
    </x:row>
    <x:row r="69" spans="1:26" x14ac:dyDescent="0.25">
      <x:c r="Z69" s="624"/>
    </x:row>
    <x:row r="70" spans="1:26" x14ac:dyDescent="0.25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Z70"/>
  <x:sheetViews>
    <x:sheetView topLeftCell="I1" zoomScale="79" zoomScaleNormal="79" workbookViewId="0">
      <x:pane ySplit="2" topLeftCell="A3" activePane="bottomLeft" state="frozen"/>
      <x:selection activeCell="C50" sqref="C50"/>
      <x:selection pane="bottomLeft" activeCell="C1" sqref="C1:Y1048576"/>
    </x:sheetView>
  </x:sheetViews>
  <x:sheetFormatPr baseColWidth="10" defaultColWidth="11.5546875" defaultRowHeight="13.8" x14ac:dyDescent="0.25"/>
  <x:cols>
    <x:col min="1" max="1" width="12.6640625" style="25" bestFit="1" customWidth="1"/>
    <x:col min="2" max="2" width="27.5546875" style="25" bestFit="1" customWidth="1"/>
    <x:col min="3" max="3" width="6" style="675" bestFit="1" customWidth="1"/>
    <x:col min="4" max="4" width="18.6640625" style="25" bestFit="1" customWidth="1"/>
    <x:col min="5" max="5" width="18.5546875" style="25" bestFit="1" customWidth="1"/>
    <x:col min="6" max="6" width="20.33203125" style="25" bestFit="1" customWidth="1"/>
    <x:col min="7" max="7" width="18.5546875" style="25" bestFit="1" customWidth="1"/>
    <x:col min="8" max="8" width="19.6640625" style="25" bestFit="1" customWidth="1"/>
    <x:col min="9" max="9" width="11.6640625" style="25" bestFit="1" customWidth="1"/>
    <x:col min="10" max="13" width="18.6640625" style="25" bestFit="1" customWidth="1"/>
    <x:col min="14" max="14" width="23.88671875" style="25" bestFit="1" customWidth="1"/>
    <x:col min="15" max="15" width="10.5546875" style="25" bestFit="1" customWidth="1"/>
    <x:col min="16" max="25" width="11.5546875" style="25"/>
    <x:col min="26" max="26" width="3.5546875" style="25" customWidth="1"/>
    <x:col min="27" max="16384" width="11.5546875" style="25"/>
  </x:cols>
  <x:sheetData>
    <x:row r="1" spans="1:26" x14ac:dyDescent="0.25">
      <x:c r="B1" s="676" t="s">
        <x:v>74</x:v>
      </x:c>
      <x:c r="Z1" s="624"/>
    </x:row>
    <x:row r="2" spans="1:26" s="50" customFormat="1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5">
      <x:c r="B3" s="25" t="s">
        <x:v>81</x:v>
      </x:c>
      <x:c r="C3" s="627">
        <x:v>0</x:v>
      </x:c>
      <x:c r="D3" s="627">
        <x:v>0</x:v>
      </x:c>
      <x:c r="E3" s="627">
        <x:v>0</x:v>
      </x:c>
      <x:c r="F3" s="627">
        <x:v>0</x:v>
      </x:c>
      <x:c r="G3" s="627">
        <x:v>0</x:v>
      </x:c>
      <x:c r="H3" s="627">
        <x:v>0</x:v>
      </x:c>
      <x:c r="I3" s="627">
        <x:v>0</x:v>
      </x:c>
      <x:c r="J3" s="627">
        <x:v>0</x:v>
      </x:c>
      <x:c r="K3" s="627">
        <x:v>0</x:v>
      </x:c>
      <x:c r="L3" s="627">
        <x:v>0</x:v>
      </x:c>
      <x:c r="M3" s="627">
        <x:v>0</x:v>
      </x:c>
      <x:c r="N3" s="627">
        <x:v>0</x:v>
      </x:c>
      <x:c r="O3" s="627">
        <x:v>0</x:v>
      </x:c>
      <x:c r="Z3" s="624"/>
    </x:row>
    <x:row r="4" spans="1:26" x14ac:dyDescent="0.25">
      <x:c r="B4" s="625" t="s">
        <x:v>72</x:v>
      </x:c>
      <x:c r="C4" s="627">
        <x:v>0</x:v>
      </x:c>
      <x:c r="D4" s="627">
        <x:v>0</x:v>
      </x:c>
      <x:c r="E4" s="627">
        <x:v>0</x:v>
      </x:c>
      <x:c r="F4" s="627">
        <x:v>0</x:v>
      </x:c>
      <x:c r="G4" s="627">
        <x:v>0</x:v>
      </x:c>
      <x:c r="H4" s="627">
        <x:v>0</x:v>
      </x:c>
      <x:c r="I4" s="627">
        <x:v>0</x:v>
      </x:c>
      <x:c r="J4" s="627">
        <x:v>0</x:v>
      </x:c>
      <x:c r="K4" s="627">
        <x:v>0</x:v>
      </x:c>
      <x:c r="L4" s="627">
        <x:v>0</x:v>
      </x:c>
      <x:c r="M4" s="627">
        <x:v>0</x:v>
      </x:c>
      <x:c r="N4" s="627">
        <x:v>0</x:v>
      </x:c>
      <x:c r="O4" s="627">
        <x:v>0</x:v>
      </x:c>
      <x:c r="Z4" s="624"/>
    </x:row>
    <x:row r="5" spans="1:26" x14ac:dyDescent="0.25">
      <x:c r="A5" s="636" t="s">
        <x:v>78</x:v>
      </x:c>
      <x:c r="B5" s="636" t="s">
        <x:v>70</x:v>
      </x:c>
      <x:c r="C5" s="637">
        <x:v>0</x:v>
      </x:c>
      <x:c r="D5" s="637">
        <x:v>0</x:v>
      </x:c>
      <x:c r="E5" s="637">
        <x:v>0</x:v>
      </x:c>
      <x:c r="F5" s="637">
        <x:v>0</x:v>
      </x:c>
      <x:c r="G5" s="637">
        <x:v>0</x:v>
      </x:c>
      <x:c r="H5" s="637">
        <x:v>0</x:v>
      </x:c>
      <x:c r="I5" s="637">
        <x:v>0</x:v>
      </x:c>
      <x:c r="J5" s="637">
        <x:v>0</x:v>
      </x:c>
      <x:c r="K5" s="637">
        <x:v>0</x:v>
      </x:c>
      <x:c r="L5" s="637">
        <x:v>0</x:v>
      </x:c>
      <x:c r="M5" s="637">
        <x:v>0</x:v>
      </x:c>
      <x:c r="N5" s="637">
        <x:v>0</x:v>
      </x:c>
      <x:c r="O5" s="637">
        <x:v>0</x:v>
      </x:c>
      <x:c r="P5" s="635"/>
      <x:c r="Q5" s="635"/>
      <x:c r="R5" s="635"/>
      <x:c r="S5" s="635"/>
      <x:c r="T5" s="635"/>
      <x:c r="U5" s="635"/>
      <x:c r="V5" s="635"/>
      <x:c r="W5" s="635"/>
      <x:c r="X5" s="635"/>
      <x:c r="Y5" s="635"/>
      <x:c r="Z5" s="624"/>
    </x:row>
    <x:row r="6" spans="1:26" x14ac:dyDescent="0.25">
      <x:c r="B6" s="625" t="s">
        <x:v>73</x:v>
      </x:c>
      <x:c r="C6" s="627">
        <x:v>0</x:v>
      </x:c>
      <x:c r="D6" s="627">
        <x:v>0</x:v>
      </x:c>
      <x:c r="E6" s="627">
        <x:v>0</x:v>
      </x:c>
      <x:c r="F6" s="627">
        <x:v>0</x:v>
      </x:c>
      <x:c r="G6" s="627">
        <x:v>0</x:v>
      </x:c>
      <x:c r="H6" s="627">
        <x:v>0</x:v>
      </x:c>
      <x:c r="I6" s="627">
        <x:v>0</x:v>
      </x:c>
      <x:c r="J6" s="627">
        <x:v>0</x:v>
      </x:c>
      <x:c r="K6" s="627">
        <x:v>0</x:v>
      </x:c>
      <x:c r="L6" s="627">
        <x:v>0</x:v>
      </x:c>
      <x:c r="M6" s="627">
        <x:v>0</x:v>
      </x:c>
      <x:c r="N6" s="627">
        <x:v>0</x:v>
      </x:c>
      <x:c r="O6" s="627">
        <x:v>0</x:v>
      </x:c>
      <x:c r="Z6" s="624"/>
    </x:row>
    <x:row r="7" spans="1:26" x14ac:dyDescent="0.25">
      <x:c r="A7" s="654" t="s">
        <x:v>79</x:v>
      </x:c>
      <x:c r="B7" s="654" t="s">
        <x:v>70</x:v>
      </x:c>
      <x:c r="C7" s="655">
        <x:v>0</x:v>
      </x:c>
      <x:c r="D7" s="655">
        <x:v>0</x:v>
      </x:c>
      <x:c r="E7" s="655">
        <x:v>0</x:v>
      </x:c>
      <x:c r="F7" s="655">
        <x:v>0</x:v>
      </x:c>
      <x:c r="G7" s="655">
        <x:v>0</x:v>
      </x:c>
      <x:c r="H7" s="655">
        <x:v>0</x:v>
      </x:c>
      <x:c r="I7" s="655">
        <x:v>0</x:v>
      </x:c>
      <x:c r="J7" s="655">
        <x:v>0</x:v>
      </x:c>
      <x:c r="K7" s="655">
        <x:v>0</x:v>
      </x:c>
      <x:c r="L7" s="655">
        <x:v>0</x:v>
      </x:c>
      <x:c r="M7" s="655">
        <x:v>0</x:v>
      </x:c>
      <x:c r="N7" s="655">
        <x:v>0</x:v>
      </x:c>
      <x:c r="O7" s="655">
        <x:v>0</x:v>
      </x:c>
      <x:c r="P7" s="708"/>
      <x:c r="Q7" s="708"/>
      <x:c r="R7" s="708"/>
      <x:c r="S7" s="708"/>
      <x:c r="T7" s="708"/>
      <x:c r="U7" s="708"/>
      <x:c r="V7" s="708"/>
      <x:c r="W7" s="708"/>
      <x:c r="X7" s="708"/>
      <x:c r="Y7" s="708"/>
      <x:c r="Z7" s="624"/>
    </x:row>
    <x:row r="8" spans="1:26" x14ac:dyDescent="0.25">
      <x:c r="A8" s="625" t="s">
        <x:v>70</x:v>
      </x:c>
      <x:c r="C8" s="627">
        <x:v>0</x:v>
      </x:c>
      <x:c r="D8" s="627">
        <x:v>0</x:v>
      </x:c>
      <x:c r="E8" s="627">
        <x:v>0</x:v>
      </x:c>
      <x:c r="F8" s="627">
        <x:v>0</x:v>
      </x:c>
      <x:c r="G8" s="627">
        <x:v>0</x:v>
      </x:c>
      <x:c r="H8" s="627">
        <x:v>0</x:v>
      </x:c>
      <x:c r="I8" s="627">
        <x:v>0</x:v>
      </x:c>
      <x:c r="J8" s="627">
        <x:v>0</x:v>
      </x:c>
      <x:c r="K8" s="627">
        <x:v>0</x:v>
      </x:c>
      <x:c r="L8" s="627">
        <x:v>0</x:v>
      </x:c>
      <x:c r="M8" s="627">
        <x:v>0</x:v>
      </x:c>
      <x:c r="N8" s="627">
        <x:v>0</x:v>
      </x:c>
      <x:c r="O8" s="627">
        <x:v>0</x:v>
      </x:c>
      <x:c r="Z8" s="624"/>
    </x:row>
    <x:row r="9" spans="1:26" x14ac:dyDescent="0.25">
      <x:c r="C9" s="627"/>
      <x:c r="D9" s="627"/>
      <x:c r="E9" s="627"/>
      <x:c r="F9" s="627"/>
      <x:c r="G9" s="627"/>
      <x:c r="H9" s="627"/>
      <x:c r="I9" s="627"/>
      <x:c r="J9" s="627"/>
      <x:c r="K9" s="627"/>
      <x:c r="L9" s="627"/>
      <x:c r="M9" s="627"/>
      <x:c r="O9" s="627"/>
      <x:c r="Z9" s="624"/>
    </x:row>
    <x:row r="10" spans="1:26" x14ac:dyDescent="0.25">
      <x:c r="B10" s="709" t="s">
        <x:v>70</x:v>
      </x:c>
      <x:c r="C10" s="679">
        <x:f>C8-I8</x:f>
        <x:v>0</x:v>
      </x:c>
      <x:c r="D10" s="679">
        <x:f>D5</x:f>
        <x:v>0</x:v>
      </x:c>
      <x:c r="E10" s="679">
        <x:f t="shared" ref="E10:O10" si="0">E5</x:f>
        <x:v>0</x:v>
      </x:c>
      <x:c r="F10" s="679">
        <x:f t="shared" si="0"/>
        <x:v>0</x:v>
      </x:c>
      <x:c r="G10" s="679">
        <x:f t="shared" si="0"/>
        <x:v>0</x:v>
      </x:c>
      <x:c r="H10" s="679">
        <x:f t="shared" si="0"/>
        <x:v>0</x:v>
      </x:c>
      <x:c r="I10" s="679">
        <x:f t="shared" si="0"/>
        <x:v>0</x:v>
      </x:c>
      <x:c r="J10" s="679">
        <x:f t="shared" si="0"/>
        <x:v>0</x:v>
      </x:c>
      <x:c r="K10" s="679">
        <x:f t="shared" si="0"/>
        <x:v>0</x:v>
      </x:c>
      <x:c r="L10" s="679">
        <x:f t="shared" si="0"/>
        <x:v>0</x:v>
      </x:c>
      <x:c r="M10" s="679">
        <x:f t="shared" si="0"/>
        <x:v>0</x:v>
      </x:c>
      <x:c r="N10" s="679">
        <x:f t="shared" si="0"/>
        <x:v>0</x:v>
      </x:c>
      <x:c r="O10" s="679">
        <x:f t="shared" si="0"/>
        <x:v>0</x:v>
      </x:c>
      <x:c r="Z10" s="624"/>
    </x:row>
    <x:row r="11" spans="1:26" x14ac:dyDescent="0.25">
      <x:c r="B11" s="709" t="s">
        <x:v>73</x:v>
      </x:c>
      <x:c r="C11" s="679">
        <x:f>C7</x:f>
        <x:v>0</x:v>
      </x:c>
      <x:c r="Z11" s="624"/>
    </x:row>
    <x:row r="12" spans="1:26" x14ac:dyDescent="0.25">
      <x:c r="Z12" s="624"/>
    </x:row>
    <x:row r="13" spans="1:26" x14ac:dyDescent="0.25">
      <x:c r="A13" s="631"/>
      <x:c r="B13" s="631"/>
      <x:c r="C13" s="710"/>
      <x:c r="D13" s="631"/>
      <x:c r="E13" s="631"/>
      <x:c r="F13" s="631"/>
      <x:c r="G13" s="631"/>
      <x:c r="H13" s="631"/>
      <x:c r="I13" s="631"/>
      <x:c r="J13" s="631"/>
      <x:c r="K13" s="631"/>
      <x:c r="L13" s="631"/>
      <x:c r="M13" s="631"/>
      <x:c r="N13" s="631"/>
      <x:c r="O13" s="631"/>
      <x:c r="Z13" s="624"/>
    </x:row>
    <x:row r="14" spans="1:26" x14ac:dyDescent="0.25">
      <x:c r="B14" s="676" t="s">
        <x:v>75</x:v>
      </x:c>
      <x:c r="Z14" s="624"/>
    </x:row>
    <x:row r="15" spans="1:26" s="50" customFormat="1" x14ac:dyDescent="0.25">
      <x:c r="C15" s="669" t="s">
        <x:v>70</x:v>
      </x:c>
      <x:c r="D15" s="669" t="s">
        <x:v>64</x:v>
      </x:c>
      <x:c r="E15" s="669" t="s">
        <x:v>65</x:v>
      </x:c>
      <x:c r="F15" s="674" t="s">
        <x:v>164</x:v>
      </x:c>
      <x:c r="G15" s="669" t="s">
        <x:v>69</x:v>
      </x:c>
      <x:c r="H15" s="669" t="s">
        <x:v>68</x:v>
      </x:c>
      <x:c r="I15" s="669" t="s">
        <x:v>83</x:v>
      </x:c>
      <x:c r="J15" s="669" t="s">
        <x:v>66</x:v>
      </x:c>
      <x:c r="K15" s="669" t="s">
        <x:v>63</x:v>
      </x:c>
      <x:c r="L15" s="669" t="s">
        <x:v>61</x:v>
      </x:c>
      <x:c r="M15" s="669" t="s">
        <x:v>62</x:v>
      </x:c>
      <x:c r="N15" s="669" t="s">
        <x:v>67</x:v>
      </x:c>
      <x:c r="O15" s="669" t="s">
        <x:v>84</x:v>
      </x:c>
      <x:c r="Z15" s="618"/>
    </x:row>
    <x:row r="16" spans="1:26" x14ac:dyDescent="0.25">
      <x:c r="B16" s="625" t="s">
        <x:v>81</x:v>
      </x:c>
      <x:c r="C16" s="627">
        <x:v>0</x:v>
      </x:c>
      <x:c r="D16" s="627">
        <x:v>0</x:v>
      </x:c>
      <x:c r="E16" s="627">
        <x:v>0</x:v>
      </x:c>
      <x:c r="F16" s="627">
        <x:v>0</x:v>
      </x:c>
      <x:c r="G16" s="627">
        <x:v>0</x:v>
      </x:c>
      <x:c r="H16" s="627">
        <x:v>0</x:v>
      </x:c>
      <x:c r="I16" s="653">
        <x:v>0</x:v>
      </x:c>
      <x:c r="J16" s="627">
        <x:v>0</x:v>
      </x:c>
      <x:c r="K16" s="627">
        <x:v>0</x:v>
      </x:c>
      <x:c r="L16" s="627">
        <x:v>0</x:v>
      </x:c>
      <x:c r="M16" s="627">
        <x:v>0</x:v>
      </x:c>
      <x:c r="N16" s="627">
        <x:v>0</x:v>
      </x:c>
      <x:c r="O16" s="627">
        <x:v>0</x:v>
      </x:c>
      <x:c r="Z16" s="624"/>
    </x:row>
    <x:row r="17" spans="1:26" x14ac:dyDescent="0.25">
      <x:c r="B17" s="625" t="s">
        <x:v>72</x:v>
      </x:c>
      <x:c r="C17" s="627">
        <x:v>0</x:v>
      </x:c>
      <x:c r="D17" s="627">
        <x:v>0</x:v>
      </x:c>
      <x:c r="E17" s="627">
        <x:v>0</x:v>
      </x:c>
      <x:c r="F17" s="627">
        <x:v>0</x:v>
      </x:c>
      <x:c r="G17" s="627">
        <x:v>0</x:v>
      </x:c>
      <x:c r="H17" s="627">
        <x:v>0</x:v>
      </x:c>
      <x:c r="I17" s="653">
        <x:v>0</x:v>
      </x:c>
      <x:c r="J17" s="627">
        <x:v>0</x:v>
      </x:c>
      <x:c r="K17" s="627">
        <x:v>0</x:v>
      </x:c>
      <x:c r="L17" s="627">
        <x:v>0</x:v>
      </x:c>
      <x:c r="M17" s="627">
        <x:v>0</x:v>
      </x:c>
      <x:c r="N17" s="627">
        <x:v>0</x:v>
      </x:c>
      <x:c r="O17" s="627">
        <x:v>0</x:v>
      </x:c>
      <x:c r="Z17" s="624"/>
    </x:row>
    <x:row r="18" spans="1:26" x14ac:dyDescent="0.25">
      <x:c r="A18" s="636" t="s">
        <x:v>78</x:v>
      </x:c>
      <x:c r="B18" s="636" t="s">
        <x:v>70</x:v>
      </x:c>
      <x:c r="C18" s="637">
        <x:v>0</x:v>
      </x:c>
      <x:c r="D18" s="637">
        <x:v>0</x:v>
      </x:c>
      <x:c r="E18" s="637">
        <x:v>0</x:v>
      </x:c>
      <x:c r="F18" s="637">
        <x:v>0</x:v>
      </x:c>
      <x:c r="G18" s="637">
        <x:v>0</x:v>
      </x:c>
      <x:c r="H18" s="637">
        <x:v>0</x:v>
      </x:c>
      <x:c r="I18" s="637">
        <x:v>0</x:v>
      </x:c>
      <x:c r="J18" s="637">
        <x:v>0</x:v>
      </x:c>
      <x:c r="K18" s="637">
        <x:v>0</x:v>
      </x:c>
      <x:c r="L18" s="637">
        <x:v>0</x:v>
      </x:c>
      <x:c r="M18" s="637">
        <x:v>0</x:v>
      </x:c>
      <x:c r="N18" s="637">
        <x:v>0</x:v>
      </x:c>
      <x:c r="O18" s="637">
        <x:v>0</x:v>
      </x:c>
      <x:c r="P18" s="635"/>
      <x:c r="Q18" s="635"/>
      <x:c r="R18" s="635"/>
      <x:c r="S18" s="635"/>
      <x:c r="T18" s="635"/>
      <x:c r="U18" s="635"/>
      <x:c r="V18" s="635"/>
      <x:c r="W18" s="635"/>
      <x:c r="X18" s="635"/>
      <x:c r="Y18" s="635"/>
      <x:c r="Z18" s="624"/>
    </x:row>
    <x:row r="19" spans="1:26" x14ac:dyDescent="0.25">
      <x:c r="B19" s="625" t="s">
        <x:v>73</x:v>
      </x:c>
      <x:c r="C19" s="627">
        <x:v>0</x:v>
      </x:c>
      <x:c r="D19" s="627">
        <x:v>0</x:v>
      </x:c>
      <x:c r="E19" s="627">
        <x:v>0</x:v>
      </x:c>
      <x:c r="F19" s="627">
        <x:v>0</x:v>
      </x:c>
      <x:c r="G19" s="627">
        <x:v>0</x:v>
      </x:c>
      <x:c r="H19" s="627">
        <x:v>0</x:v>
      </x:c>
      <x:c r="I19" s="653">
        <x:v>0</x:v>
      </x:c>
      <x:c r="J19" s="627">
        <x:v>0</x:v>
      </x:c>
      <x:c r="K19" s="627">
        <x:v>0</x:v>
      </x:c>
      <x:c r="L19" s="627">
        <x:v>0</x:v>
      </x:c>
      <x:c r="M19" s="627">
        <x:v>0</x:v>
      </x:c>
      <x:c r="N19" s="627">
        <x:v>0</x:v>
      </x:c>
      <x:c r="O19" s="627">
        <x:v>0</x:v>
      </x:c>
      <x:c r="Z19" s="624"/>
    </x:row>
    <x:row r="20" spans="1:26" x14ac:dyDescent="0.25">
      <x:c r="A20" s="654" t="s">
        <x:v>79</x:v>
      </x:c>
      <x:c r="B20" s="654" t="s">
        <x:v>70</x:v>
      </x:c>
      <x:c r="C20" s="655">
        <x:v>0</x:v>
      </x:c>
      <x:c r="D20" s="655">
        <x:v>0</x:v>
      </x:c>
      <x:c r="E20" s="655">
        <x:v>0</x:v>
      </x:c>
      <x:c r="F20" s="655">
        <x:v>0</x:v>
      </x:c>
      <x:c r="G20" s="655">
        <x:v>0</x:v>
      </x:c>
      <x:c r="H20" s="655">
        <x:v>0</x:v>
      </x:c>
      <x:c r="I20" s="655">
        <x:v>0</x:v>
      </x:c>
      <x:c r="J20" s="655">
        <x:v>0</x:v>
      </x:c>
      <x:c r="K20" s="655">
        <x:v>0</x:v>
      </x:c>
      <x:c r="L20" s="655">
        <x:v>0</x:v>
      </x:c>
      <x:c r="M20" s="655">
        <x:v>0</x:v>
      </x:c>
      <x:c r="N20" s="655">
        <x:v>0</x:v>
      </x:c>
      <x:c r="O20" s="655">
        <x:v>0</x:v>
      </x:c>
      <x:c r="P20" s="708"/>
      <x:c r="Q20" s="708"/>
      <x:c r="R20" s="708"/>
      <x:c r="S20" s="708"/>
      <x:c r="T20" s="708"/>
      <x:c r="U20" s="708"/>
      <x:c r="V20" s="708"/>
      <x:c r="W20" s="708"/>
      <x:c r="X20" s="708"/>
      <x:c r="Y20" s="708"/>
      <x:c r="Z20" s="624"/>
    </x:row>
    <x:row r="21" spans="1:26" x14ac:dyDescent="0.25">
      <x:c r="A21" s="625" t="s">
        <x:v>70</x:v>
      </x:c>
      <x:c r="C21" s="627">
        <x:v>0</x:v>
      </x:c>
      <x:c r="D21" s="627">
        <x:v>0</x:v>
      </x:c>
      <x:c r="E21" s="627">
        <x:v>0</x:v>
      </x:c>
      <x:c r="F21" s="627">
        <x:v>0</x:v>
      </x:c>
      <x:c r="G21" s="627">
        <x:v>0</x:v>
      </x:c>
      <x:c r="H21" s="627">
        <x:v>0</x:v>
      </x:c>
      <x:c r="I21" s="653">
        <x:v>0</x:v>
      </x:c>
      <x:c r="J21" s="627">
        <x:v>0</x:v>
      </x:c>
      <x:c r="K21" s="627">
        <x:v>0</x:v>
      </x:c>
      <x:c r="L21" s="627">
        <x:v>0</x:v>
      </x:c>
      <x:c r="M21" s="627">
        <x:v>0</x:v>
      </x:c>
      <x:c r="N21" s="627">
        <x:v>0</x:v>
      </x:c>
      <x:c r="O21" s="627">
        <x:v>0</x:v>
      </x:c>
      <x:c r="Z21" s="624"/>
    </x:row>
    <x:row r="22" spans="1:26" x14ac:dyDescent="0.25">
      <x:c r="A22" s="625"/>
      <x:c r="C22" s="627"/>
      <x:c r="D22" s="627"/>
      <x:c r="E22" s="627"/>
      <x:c r="F22" s="627"/>
      <x:c r="G22" s="627"/>
      <x:c r="H22" s="627"/>
      <x:c r="J22" s="627"/>
      <x:c r="K22" s="627"/>
      <x:c r="L22" s="627"/>
      <x:c r="M22" s="627"/>
      <x:c r="N22" s="627"/>
      <x:c r="Z22" s="624"/>
    </x:row>
    <x:row r="23" spans="1:26" x14ac:dyDescent="0.25">
      <x:c r="B23" s="709" t="s">
        <x:v>70</x:v>
      </x:c>
      <x:c r="C23" s="679">
        <x:f>C21-I21</x:f>
        <x:v>0</x:v>
      </x:c>
      <x:c r="D23" s="679">
        <x:f>D18</x:f>
        <x:v>0</x:v>
      </x:c>
      <x:c r="E23" s="679">
        <x:f t="shared" ref="E23:O23" si="1">E18</x:f>
        <x:v>0</x:v>
      </x:c>
      <x:c r="F23" s="679">
        <x:f t="shared" si="1"/>
        <x:v>0</x:v>
      </x:c>
      <x:c r="G23" s="679">
        <x:f t="shared" si="1"/>
        <x:v>0</x:v>
      </x:c>
      <x:c r="H23" s="679">
        <x:f t="shared" si="1"/>
        <x:v>0</x:v>
      </x:c>
      <x:c r="I23" s="679">
        <x:f t="shared" si="1"/>
        <x:v>0</x:v>
      </x:c>
      <x:c r="J23" s="679">
        <x:f t="shared" si="1"/>
        <x:v>0</x:v>
      </x:c>
      <x:c r="K23" s="679">
        <x:f t="shared" si="1"/>
        <x:v>0</x:v>
      </x:c>
      <x:c r="L23" s="679">
        <x:f t="shared" si="1"/>
        <x:v>0</x:v>
      </x:c>
      <x:c r="M23" s="679">
        <x:f t="shared" si="1"/>
        <x:v>0</x:v>
      </x:c>
      <x:c r="N23" s="679">
        <x:f t="shared" si="1"/>
        <x:v>0</x:v>
      </x:c>
      <x:c r="O23" s="679">
        <x:f t="shared" si="1"/>
        <x:v>0</x:v>
      </x:c>
      <x:c r="Z23" s="624"/>
    </x:row>
    <x:row r="24" spans="1:26" x14ac:dyDescent="0.25">
      <x:c r="B24" s="709" t="s">
        <x:v>73</x:v>
      </x:c>
      <x:c r="C24" s="679">
        <x:f>C20</x:f>
        <x:v>0</x:v>
      </x:c>
      <x:c r="Z24" s="624"/>
    </x:row>
    <x:row r="25" spans="1:26" x14ac:dyDescent="0.25">
      <x:c r="Z25" s="624"/>
    </x:row>
    <x:row r="26" spans="1:26" x14ac:dyDescent="0.25">
      <x:c r="A26" s="631"/>
      <x:c r="B26" s="631"/>
      <x:c r="C26" s="710"/>
      <x:c r="D26" s="631"/>
      <x:c r="E26" s="631"/>
      <x:c r="F26" s="631"/>
      <x:c r="G26" s="631"/>
      <x:c r="H26" s="631"/>
      <x:c r="I26" s="631"/>
      <x:c r="J26" s="631"/>
      <x:c r="K26" s="631"/>
      <x:c r="L26" s="631"/>
      <x:c r="M26" s="631"/>
      <x:c r="N26" s="631"/>
      <x:c r="O26" s="631"/>
      <x:c r="Z26" s="624"/>
    </x:row>
    <x:row r="27" spans="1:26" x14ac:dyDescent="0.25">
      <x:c r="B27" s="676" t="s">
        <x:v>76</x:v>
      </x:c>
      <x:c r="Z27" s="624"/>
    </x:row>
    <x:row r="28" spans="1:26" s="50" customFormat="1" x14ac:dyDescent="0.25">
      <x:c r="C28" s="669" t="s">
        <x:v>70</x:v>
      </x:c>
      <x:c r="D28" s="669" t="s">
        <x:v>64</x:v>
      </x:c>
      <x:c r="E28" s="669" t="s">
        <x:v>65</x:v>
      </x:c>
      <x:c r="F28" s="674" t="s">
        <x:v>164</x:v>
      </x:c>
      <x:c r="G28" s="669" t="s">
        <x:v>69</x:v>
      </x:c>
      <x:c r="H28" s="669" t="s">
        <x:v>68</x:v>
      </x:c>
      <x:c r="I28" s="669" t="s">
        <x:v>83</x:v>
      </x:c>
      <x:c r="J28" s="669" t="s">
        <x:v>66</x:v>
      </x:c>
      <x:c r="K28" s="669" t="s">
        <x:v>63</x:v>
      </x:c>
      <x:c r="L28" s="669" t="s">
        <x:v>61</x:v>
      </x:c>
      <x:c r="M28" s="669" t="s">
        <x:v>62</x:v>
      </x:c>
      <x:c r="N28" s="669" t="s">
        <x:v>67</x:v>
      </x:c>
      <x:c r="O28" s="669" t="s">
        <x:v>84</x:v>
      </x:c>
      <x:c r="Z28" s="618"/>
    </x:row>
    <x:row r="29" spans="1:26" x14ac:dyDescent="0.25">
      <x:c r="B29" s="25" t="s">
        <x:v>81</x:v>
      </x:c>
      <x:c r="C29" s="627">
        <x:v>0</x:v>
      </x:c>
      <x:c r="D29" s="627">
        <x:v>0</x:v>
      </x:c>
      <x:c r="E29" s="627">
        <x:v>0</x:v>
      </x:c>
      <x:c r="F29" s="627">
        <x:v>0</x:v>
      </x:c>
      <x:c r="G29" s="627">
        <x:v>0</x:v>
      </x:c>
      <x:c r="H29" s="627">
        <x:v>0</x:v>
      </x:c>
      <x:c r="I29" s="627">
        <x:v>0</x:v>
      </x:c>
      <x:c r="J29" s="627">
        <x:v>0</x:v>
      </x:c>
      <x:c r="K29" s="627">
        <x:v>0</x:v>
      </x:c>
      <x:c r="L29" s="627">
        <x:v>0</x:v>
      </x:c>
      <x:c r="M29" s="627">
        <x:v>0</x:v>
      </x:c>
      <x:c r="N29" s="627">
        <x:v>0</x:v>
      </x:c>
      <x:c r="O29" s="627">
        <x:v>0</x:v>
      </x:c>
      <x:c r="Z29" s="624"/>
    </x:row>
    <x:row r="30" spans="1:26" x14ac:dyDescent="0.25">
      <x:c r="B30" s="625" t="s">
        <x:v>72</x:v>
      </x:c>
      <x:c r="C30" s="627">
        <x:v>0</x:v>
      </x:c>
      <x:c r="D30" s="627">
        <x:v>0</x:v>
      </x:c>
      <x:c r="E30" s="627">
        <x:v>0</x:v>
      </x:c>
      <x:c r="F30" s="627">
        <x:v>0</x:v>
      </x:c>
      <x:c r="G30" s="627">
        <x:v>0</x:v>
      </x:c>
      <x:c r="H30" s="627">
        <x:v>0</x:v>
      </x:c>
      <x:c r="I30" s="627">
        <x:v>0</x:v>
      </x:c>
      <x:c r="J30" s="627">
        <x:v>0</x:v>
      </x:c>
      <x:c r="K30" s="627">
        <x:v>0</x:v>
      </x:c>
      <x:c r="L30" s="627">
        <x:v>0</x:v>
      </x:c>
      <x:c r="M30" s="627">
        <x:v>0</x:v>
      </x:c>
      <x:c r="N30" s="627">
        <x:v>0</x:v>
      </x:c>
      <x:c r="O30" s="627">
        <x:v>0</x:v>
      </x:c>
      <x:c r="Z30" s="624"/>
    </x:row>
    <x:row r="31" spans="1:26" x14ac:dyDescent="0.25">
      <x:c r="A31" s="636" t="s">
        <x:v>78</x:v>
      </x:c>
      <x:c r="B31" s="636" t="s">
        <x:v>70</x:v>
      </x:c>
      <x:c r="C31" s="637">
        <x:v>0</x:v>
      </x:c>
      <x:c r="D31" s="637">
        <x:v>0</x:v>
      </x:c>
      <x:c r="E31" s="637">
        <x:v>0</x:v>
      </x:c>
      <x:c r="F31" s="637">
        <x:v>0</x:v>
      </x:c>
      <x:c r="G31" s="637">
        <x:v>0</x:v>
      </x:c>
      <x:c r="H31" s="637">
        <x:v>0</x:v>
      </x:c>
      <x:c r="I31" s="637">
        <x:v>0</x:v>
      </x:c>
      <x:c r="J31" s="637">
        <x:v>0</x:v>
      </x:c>
      <x:c r="K31" s="637">
        <x:v>0</x:v>
      </x:c>
      <x:c r="L31" s="637">
        <x:v>0</x:v>
      </x:c>
      <x:c r="M31" s="637">
        <x:v>0</x:v>
      </x:c>
      <x:c r="N31" s="637">
        <x:v>0</x:v>
      </x:c>
      <x:c r="O31" s="637">
        <x:v>0</x:v>
      </x:c>
      <x:c r="P31" s="635"/>
      <x:c r="Q31" s="635"/>
      <x:c r="R31" s="635"/>
      <x:c r="S31" s="635"/>
      <x:c r="T31" s="635"/>
      <x:c r="U31" s="635"/>
      <x:c r="V31" s="635"/>
      <x:c r="W31" s="635"/>
      <x:c r="X31" s="635"/>
      <x:c r="Y31" s="635"/>
      <x:c r="Z31" s="624"/>
    </x:row>
    <x:row r="32" spans="1:26" x14ac:dyDescent="0.25">
      <x:c r="B32" s="625" t="s">
        <x:v>73</x:v>
      </x:c>
      <x:c r="C32" s="627">
        <x:v>0</x:v>
      </x:c>
      <x:c r="D32" s="627">
        <x:v>0</x:v>
      </x:c>
      <x:c r="E32" s="627">
        <x:v>0</x:v>
      </x:c>
      <x:c r="F32" s="627">
        <x:v>0</x:v>
      </x:c>
      <x:c r="G32" s="627">
        <x:v>0</x:v>
      </x:c>
      <x:c r="H32" s="627">
        <x:v>0</x:v>
      </x:c>
      <x:c r="I32" s="627">
        <x:v>0</x:v>
      </x:c>
      <x:c r="J32" s="627">
        <x:v>0</x:v>
      </x:c>
      <x:c r="K32" s="627">
        <x:v>0</x:v>
      </x:c>
      <x:c r="L32" s="627">
        <x:v>0</x:v>
      </x:c>
      <x:c r="M32" s="627">
        <x:v>0</x:v>
      </x:c>
      <x:c r="N32" s="627">
        <x:v>0</x:v>
      </x:c>
      <x:c r="O32" s="627">
        <x:v>0</x:v>
      </x:c>
      <x:c r="Z32" s="624"/>
    </x:row>
    <x:row r="33" spans="1:26" x14ac:dyDescent="0.25">
      <x:c r="A33" s="654" t="s">
        <x:v>79</x:v>
      </x:c>
      <x:c r="B33" s="654" t="s">
        <x:v>70</x:v>
      </x:c>
      <x:c r="C33" s="655">
        <x:v>0</x:v>
      </x:c>
      <x:c r="D33" s="655">
        <x:v>0</x:v>
      </x:c>
      <x:c r="E33" s="655">
        <x:v>0</x:v>
      </x:c>
      <x:c r="F33" s="655">
        <x:v>0</x:v>
      </x:c>
      <x:c r="G33" s="655">
        <x:v>0</x:v>
      </x:c>
      <x:c r="H33" s="655">
        <x:v>0</x:v>
      </x:c>
      <x:c r="I33" s="655">
        <x:v>0</x:v>
      </x:c>
      <x:c r="J33" s="655">
        <x:v>0</x:v>
      </x:c>
      <x:c r="K33" s="655">
        <x:v>0</x:v>
      </x:c>
      <x:c r="L33" s="655">
        <x:v>0</x:v>
      </x:c>
      <x:c r="M33" s="655">
        <x:v>0</x:v>
      </x:c>
      <x:c r="N33" s="655">
        <x:v>0</x:v>
      </x:c>
      <x:c r="O33" s="655">
        <x:v>0</x:v>
      </x:c>
      <x:c r="P33" s="708"/>
      <x:c r="Q33" s="708"/>
      <x:c r="R33" s="708"/>
      <x:c r="S33" s="708"/>
      <x:c r="T33" s="708"/>
      <x:c r="U33" s="708"/>
      <x:c r="V33" s="708"/>
      <x:c r="W33" s="708"/>
      <x:c r="X33" s="708"/>
      <x:c r="Y33" s="708"/>
      <x:c r="Z33" s="624"/>
    </x:row>
    <x:row r="34" spans="1:26" x14ac:dyDescent="0.25">
      <x:c r="A34" s="625" t="s">
        <x:v>70</x:v>
      </x:c>
      <x:c r="C34" s="627">
        <x:v>0</x:v>
      </x:c>
      <x:c r="D34" s="627">
        <x:v>0</x:v>
      </x:c>
      <x:c r="E34" s="627">
        <x:v>0</x:v>
      </x:c>
      <x:c r="F34" s="627">
        <x:v>0</x:v>
      </x:c>
      <x:c r="G34" s="627">
        <x:v>0</x:v>
      </x:c>
      <x:c r="H34" s="627">
        <x:v>0</x:v>
      </x:c>
      <x:c r="I34" s="627">
        <x:v>0</x:v>
      </x:c>
      <x:c r="J34" s="627">
        <x:v>0</x:v>
      </x:c>
      <x:c r="K34" s="627">
        <x:v>0</x:v>
      </x:c>
      <x:c r="L34" s="627">
        <x:v>0</x:v>
      </x:c>
      <x:c r="M34" s="627">
        <x:v>0</x:v>
      </x:c>
      <x:c r="N34" s="627">
        <x:v>0</x:v>
      </x:c>
      <x:c r="O34" s="627">
        <x:v>0</x:v>
      </x:c>
      <x:c r="Z34" s="624"/>
    </x:row>
    <x:row r="35" spans="1:26" x14ac:dyDescent="0.25">
      <x:c r="A35" s="625"/>
      <x:c r="C35" s="627"/>
      <x:c r="D35" s="627"/>
      <x:c r="E35" s="627"/>
      <x:c r="F35" s="627"/>
      <x:c r="G35" s="627"/>
      <x:c r="H35" s="627"/>
      <x:c r="I35" s="627"/>
      <x:c r="J35" s="627"/>
      <x:c r="K35" s="627"/>
      <x:c r="L35" s="627"/>
      <x:c r="M35" s="627"/>
      <x:c r="O35" s="627"/>
      <x:c r="Z35" s="624"/>
    </x:row>
    <x:row r="36" spans="1:26" x14ac:dyDescent="0.25">
      <x:c r="B36" s="709" t="s">
        <x:v>70</x:v>
      </x:c>
      <x:c r="C36" s="679">
        <x:f>C34-I34</x:f>
        <x:v>0</x:v>
      </x:c>
      <x:c r="D36" s="679">
        <x:f>D31</x:f>
        <x:v>0</x:v>
      </x:c>
      <x:c r="E36" s="679">
        <x:f t="shared" ref="E36:O36" si="2">E31</x:f>
        <x:v>0</x:v>
      </x:c>
      <x:c r="F36" s="679">
        <x:f t="shared" si="2"/>
        <x:v>0</x:v>
      </x:c>
      <x:c r="G36" s="679">
        <x:f t="shared" si="2"/>
        <x:v>0</x:v>
      </x:c>
      <x:c r="H36" s="679">
        <x:f t="shared" si="2"/>
        <x:v>0</x:v>
      </x:c>
      <x:c r="I36" s="679">
        <x:f t="shared" si="2"/>
        <x:v>0</x:v>
      </x:c>
      <x:c r="J36" s="679">
        <x:f t="shared" si="2"/>
        <x:v>0</x:v>
      </x:c>
      <x:c r="K36" s="679">
        <x:f t="shared" si="2"/>
        <x:v>0</x:v>
      </x:c>
      <x:c r="L36" s="679">
        <x:f t="shared" si="2"/>
        <x:v>0</x:v>
      </x:c>
      <x:c r="M36" s="679">
        <x:f t="shared" si="2"/>
        <x:v>0</x:v>
      </x:c>
      <x:c r="N36" s="679">
        <x:f t="shared" si="2"/>
        <x:v>0</x:v>
      </x:c>
      <x:c r="O36" s="679">
        <x:f t="shared" si="2"/>
        <x:v>0</x:v>
      </x:c>
      <x:c r="Z36" s="624"/>
    </x:row>
    <x:row r="37" spans="1:26" x14ac:dyDescent="0.25">
      <x:c r="B37" s="709" t="s">
        <x:v>73</x:v>
      </x:c>
      <x:c r="C37" s="679">
        <x:f>C33</x:f>
        <x:v>0</x:v>
      </x:c>
      <x:c r="Z37" s="624"/>
    </x:row>
    <x:row r="38" spans="1:26" x14ac:dyDescent="0.25">
      <x:c r="Z38" s="624"/>
    </x:row>
    <x:row r="39" spans="1:26" x14ac:dyDescent="0.25">
      <x:c r="A39" s="631"/>
      <x:c r="B39" s="631"/>
      <x:c r="C39" s="710"/>
      <x:c r="D39" s="631"/>
      <x:c r="E39" s="631"/>
      <x:c r="F39" s="631"/>
      <x:c r="G39" s="631"/>
      <x:c r="H39" s="631"/>
      <x:c r="I39" s="631"/>
      <x:c r="J39" s="631"/>
      <x:c r="K39" s="631"/>
      <x:c r="L39" s="631"/>
      <x:c r="M39" s="631"/>
      <x:c r="N39" s="631"/>
      <x:c r="O39" s="631"/>
      <x:c r="Z39" s="624"/>
    </x:row>
    <x:row r="40" spans="1:26" x14ac:dyDescent="0.25">
      <x:c r="B40" s="676" t="s">
        <x:v>88</x:v>
      </x:c>
      <x:c r="Z40" s="624"/>
    </x:row>
    <x:row r="41" spans="1:26" s="50" customFormat="1" x14ac:dyDescent="0.25">
      <x:c r="C41" s="669" t="s">
        <x:v>70</x:v>
      </x:c>
      <x:c r="D41" s="669" t="s">
        <x:v>64</x:v>
      </x:c>
      <x:c r="E41" s="669" t="s">
        <x:v>65</x:v>
      </x:c>
      <x:c r="F41" s="674" t="s">
        <x:v>164</x:v>
      </x:c>
      <x:c r="G41" s="669" t="s">
        <x:v>69</x:v>
      </x:c>
      <x:c r="H41" s="669" t="s">
        <x:v>68</x:v>
      </x:c>
      <x:c r="I41" s="669" t="s">
        <x:v>83</x:v>
      </x:c>
      <x:c r="J41" s="669" t="s">
        <x:v>66</x:v>
      </x:c>
      <x:c r="K41" s="669" t="s">
        <x:v>63</x:v>
      </x:c>
      <x:c r="L41" s="669" t="s">
        <x:v>61</x:v>
      </x:c>
      <x:c r="M41" s="669" t="s">
        <x:v>62</x:v>
      </x:c>
      <x:c r="N41" s="669" t="s">
        <x:v>67</x:v>
      </x:c>
      <x:c r="O41" s="669" t="s">
        <x:v>84</x:v>
      </x:c>
      <x:c r="Z41" s="618"/>
    </x:row>
    <x:row r="42" spans="1:26" x14ac:dyDescent="0.25">
      <x:c r="B42" s="25" t="s">
        <x:v>81</x:v>
      </x:c>
      <x:c r="C42" s="627">
        <x:v>0</x:v>
      </x:c>
      <x:c r="D42" s="627">
        <x:v>0</x:v>
      </x:c>
      <x:c r="E42" s="627">
        <x:v>0</x:v>
      </x:c>
      <x:c r="F42" s="627">
        <x:v>0</x:v>
      </x:c>
      <x:c r="G42" s="627">
        <x:v>0</x:v>
      </x:c>
      <x:c r="H42" s="627">
        <x:v>0</x:v>
      </x:c>
      <x:c r="I42" s="627">
        <x:v>0</x:v>
      </x:c>
      <x:c r="J42" s="627">
        <x:v>0</x:v>
      </x:c>
      <x:c r="K42" s="627">
        <x:v>0</x:v>
      </x:c>
      <x:c r="L42" s="627">
        <x:v>0</x:v>
      </x:c>
      <x:c r="M42" s="627">
        <x:v>0</x:v>
      </x:c>
      <x:c r="N42" s="627">
        <x:v>0</x:v>
      </x:c>
      <x:c r="O42" s="627">
        <x:v>0</x:v>
      </x:c>
      <x:c r="Z42" s="624"/>
    </x:row>
    <x:row r="43" spans="1:26" x14ac:dyDescent="0.25">
      <x:c r="A43" s="625"/>
      <x:c r="B43" s="625" t="s">
        <x:v>72</x:v>
      </x:c>
      <x:c r="C43" s="627">
        <x:v>0</x:v>
      </x:c>
      <x:c r="D43" s="627">
        <x:v>0</x:v>
      </x:c>
      <x:c r="E43" s="627">
        <x:v>0</x:v>
      </x:c>
      <x:c r="F43" s="627">
        <x:v>0</x:v>
      </x:c>
      <x:c r="G43" s="627">
        <x:v>0</x:v>
      </x:c>
      <x:c r="H43" s="627">
        <x:v>0</x:v>
      </x:c>
      <x:c r="I43" s="627">
        <x:v>0</x:v>
      </x:c>
      <x:c r="J43" s="627">
        <x:v>0</x:v>
      </x:c>
      <x:c r="K43" s="627">
        <x:v>0</x:v>
      </x:c>
      <x:c r="L43" s="627">
        <x:v>0</x:v>
      </x:c>
      <x:c r="M43" s="627">
        <x:v>0</x:v>
      </x:c>
      <x:c r="N43" s="627">
        <x:v>0</x:v>
      </x:c>
      <x:c r="O43" s="627">
        <x:v>0</x:v>
      </x:c>
      <x:c r="Z43" s="624"/>
    </x:row>
    <x:row r="44" spans="1:26" x14ac:dyDescent="0.25">
      <x:c r="A44" s="636" t="s">
        <x:v>78</x:v>
      </x:c>
      <x:c r="B44" s="636" t="s">
        <x:v>70</x:v>
      </x:c>
      <x:c r="C44" s="637">
        <x:v>0</x:v>
      </x:c>
      <x:c r="D44" s="637">
        <x:v>0</x:v>
      </x:c>
      <x:c r="E44" s="637">
        <x:v>0</x:v>
      </x:c>
      <x:c r="F44" s="637">
        <x:v>0</x:v>
      </x:c>
      <x:c r="G44" s="637">
        <x:v>0</x:v>
      </x:c>
      <x:c r="H44" s="637">
        <x:v>0</x:v>
      </x:c>
      <x:c r="I44" s="637">
        <x:v>0</x:v>
      </x:c>
      <x:c r="J44" s="637">
        <x:v>0</x:v>
      </x:c>
      <x:c r="K44" s="637">
        <x:v>0</x:v>
      </x:c>
      <x:c r="L44" s="637">
        <x:v>0</x:v>
      </x:c>
      <x:c r="M44" s="637">
        <x:v>0</x:v>
      </x:c>
      <x:c r="N44" s="637">
        <x:v>0</x:v>
      </x:c>
      <x:c r="O44" s="637">
        <x:v>0</x:v>
      </x:c>
      <x:c r="P44" s="635"/>
      <x:c r="Q44" s="635"/>
      <x:c r="R44" s="635"/>
      <x:c r="S44" s="635"/>
      <x:c r="T44" s="635"/>
      <x:c r="U44" s="635"/>
      <x:c r="V44" s="635"/>
      <x:c r="W44" s="635"/>
      <x:c r="X44" s="635"/>
      <x:c r="Y44" s="635"/>
      <x:c r="Z44" s="624"/>
    </x:row>
    <x:row r="45" spans="1:26" x14ac:dyDescent="0.25">
      <x:c r="A45" s="625"/>
      <x:c r="B45" s="625" t="s">
        <x:v>73</x:v>
      </x:c>
      <x:c r="C45" s="627">
        <x:v>0</x:v>
      </x:c>
      <x:c r="D45" s="627">
        <x:v>0</x:v>
      </x:c>
      <x:c r="E45" s="627">
        <x:v>0</x:v>
      </x:c>
      <x:c r="F45" s="627">
        <x:v>0</x:v>
      </x:c>
      <x:c r="G45" s="627">
        <x:v>0</x:v>
      </x:c>
      <x:c r="H45" s="627">
        <x:v>0</x:v>
      </x:c>
      <x:c r="I45" s="627">
        <x:v>0</x:v>
      </x:c>
      <x:c r="J45" s="627">
        <x:v>0</x:v>
      </x:c>
      <x:c r="K45" s="627">
        <x:v>0</x:v>
      </x:c>
      <x:c r="L45" s="627">
        <x:v>0</x:v>
      </x:c>
      <x:c r="M45" s="627">
        <x:v>0</x:v>
      </x:c>
      <x:c r="N45" s="627">
        <x:v>0</x:v>
      </x:c>
      <x:c r="O45" s="627">
        <x:v>0</x:v>
      </x:c>
      <x:c r="Z45" s="624"/>
    </x:row>
    <x:row r="46" spans="1:26" x14ac:dyDescent="0.25">
      <x:c r="A46" s="654" t="s">
        <x:v>79</x:v>
      </x:c>
      <x:c r="B46" s="654" t="s">
        <x:v>70</x:v>
      </x:c>
      <x:c r="C46" s="655">
        <x:v>0</x:v>
      </x:c>
      <x:c r="D46" s="655">
        <x:v>0</x:v>
      </x:c>
      <x:c r="E46" s="655">
        <x:v>0</x:v>
      </x:c>
      <x:c r="F46" s="655">
        <x:v>0</x:v>
      </x:c>
      <x:c r="G46" s="655">
        <x:v>0</x:v>
      </x:c>
      <x:c r="H46" s="655">
        <x:v>0</x:v>
      </x:c>
      <x:c r="I46" s="655">
        <x:v>0</x:v>
      </x:c>
      <x:c r="J46" s="655">
        <x:v>0</x:v>
      </x:c>
      <x:c r="K46" s="655">
        <x:v>0</x:v>
      </x:c>
      <x:c r="L46" s="655">
        <x:v>0</x:v>
      </x:c>
      <x:c r="M46" s="655">
        <x:v>0</x:v>
      </x:c>
      <x:c r="N46" s="655">
        <x:v>0</x:v>
      </x:c>
      <x:c r="O46" s="655">
        <x:v>0</x:v>
      </x:c>
      <x:c r="P46" s="708"/>
      <x:c r="Q46" s="708"/>
      <x:c r="R46" s="708"/>
      <x:c r="S46" s="708"/>
      <x:c r="T46" s="708"/>
      <x:c r="U46" s="708"/>
      <x:c r="V46" s="708"/>
      <x:c r="W46" s="708"/>
      <x:c r="X46" s="708"/>
      <x:c r="Y46" s="708"/>
      <x:c r="Z46" s="624"/>
    </x:row>
    <x:row r="47" spans="1:26" x14ac:dyDescent="0.25">
      <x:c r="A47" s="625" t="s">
        <x:v>70</x:v>
      </x:c>
      <x:c r="C47" s="627">
        <x:v>0</x:v>
      </x:c>
      <x:c r="D47" s="627">
        <x:v>0</x:v>
      </x:c>
      <x:c r="E47" s="627">
        <x:v>0</x:v>
      </x:c>
      <x:c r="F47" s="627">
        <x:v>0</x:v>
      </x:c>
      <x:c r="G47" s="627">
        <x:v>0</x:v>
      </x:c>
      <x:c r="H47" s="627">
        <x:v>0</x:v>
      </x:c>
      <x:c r="I47" s="627">
        <x:v>0</x:v>
      </x:c>
      <x:c r="J47" s="627">
        <x:v>0</x:v>
      </x:c>
      <x:c r="K47" s="627">
        <x:v>0</x:v>
      </x:c>
      <x:c r="L47" s="627">
        <x:v>0</x:v>
      </x:c>
      <x:c r="M47" s="627">
        <x:v>0</x:v>
      </x:c>
      <x:c r="N47" s="627">
        <x:v>0</x:v>
      </x:c>
      <x:c r="O47" s="627">
        <x:v>0</x:v>
      </x:c>
      <x:c r="Z47" s="624"/>
    </x:row>
    <x:row r="48" spans="1:26" x14ac:dyDescent="0.25">
      <x:c r="A48" s="625"/>
      <x:c r="C48" s="627"/>
      <x:c r="D48" s="627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Z48" s="624"/>
    </x:row>
    <x:row r="49" spans="1:26" x14ac:dyDescent="0.25">
      <x:c r="B49" s="709" t="s">
        <x:v>70</x:v>
      </x:c>
      <x:c r="C49" s="679">
        <x:f>C47-I47</x:f>
        <x:v>0</x:v>
      </x:c>
      <x:c r="D49" s="679">
        <x:f>D44</x:f>
        <x:v>0</x:v>
      </x:c>
      <x:c r="E49" s="679">
        <x:f t="shared" ref="E49:O49" si="3">E44</x:f>
        <x:v>0</x:v>
      </x:c>
      <x:c r="F49" s="679">
        <x:f t="shared" si="3"/>
        <x:v>0</x:v>
      </x:c>
      <x:c r="G49" s="679">
        <x:f t="shared" si="3"/>
        <x:v>0</x:v>
      </x:c>
      <x:c r="H49" s="679">
        <x:f t="shared" si="3"/>
        <x:v>0</x:v>
      </x:c>
      <x:c r="I49" s="679">
        <x:f t="shared" si="3"/>
        <x:v>0</x:v>
      </x:c>
      <x:c r="J49" s="679">
        <x:f t="shared" si="3"/>
        <x:v>0</x:v>
      </x:c>
      <x:c r="K49" s="679">
        <x:f t="shared" si="3"/>
        <x:v>0</x:v>
      </x:c>
      <x:c r="L49" s="679">
        <x:f t="shared" si="3"/>
        <x:v>0</x:v>
      </x:c>
      <x:c r="M49" s="679">
        <x:f t="shared" si="3"/>
        <x:v>0</x:v>
      </x:c>
      <x:c r="N49" s="679">
        <x:f t="shared" si="3"/>
        <x:v>0</x:v>
      </x:c>
      <x:c r="O49" s="679">
        <x:f t="shared" si="3"/>
        <x:v>0</x:v>
      </x:c>
      <x:c r="Z49" s="624"/>
    </x:row>
    <x:row r="50" spans="1:26" x14ac:dyDescent="0.25">
      <x:c r="B50" s="709" t="s">
        <x:v>73</x:v>
      </x:c>
      <x:c r="C50" s="679">
        <x:f>C46</x:f>
        <x:v>0</x:v>
      </x:c>
      <x:c r="Z50" s="624"/>
    </x:row>
    <x:row r="51" spans="1:26" x14ac:dyDescent="0.25">
      <x:c r="Z51" s="624"/>
    </x:row>
    <x:row r="52" spans="1:26" x14ac:dyDescent="0.25">
      <x:c r="A52" s="631"/>
      <x:c r="B52" s="631"/>
      <x:c r="C52" s="710"/>
      <x:c r="D52" s="631"/>
      <x:c r="E52" s="631"/>
      <x:c r="F52" s="631"/>
      <x:c r="G52" s="631"/>
      <x:c r="H52" s="631"/>
      <x:c r="I52" s="631"/>
      <x:c r="J52" s="631"/>
      <x:c r="K52" s="631"/>
      <x:c r="L52" s="631"/>
      <x:c r="M52" s="631"/>
      <x:c r="N52" s="631"/>
      <x:c r="O52" s="631"/>
      <x:c r="Z52" s="624"/>
    </x:row>
    <x:row r="53" spans="1:26" x14ac:dyDescent="0.25">
      <x:c r="B53" s="676" t="s">
        <x:v>93</x:v>
      </x:c>
      <x:c r="Z53" s="624"/>
    </x:row>
    <x:row r="54" spans="1:26" s="50" customFormat="1" x14ac:dyDescent="0.25">
      <x:c r="C54" s="669" t="s">
        <x:v>70</x:v>
      </x:c>
      <x:c r="D54" s="669" t="s">
        <x:v>64</x:v>
      </x:c>
      <x:c r="E54" s="669" t="s">
        <x:v>65</x:v>
      </x:c>
      <x:c r="F54" s="674" t="s">
        <x:v>164</x:v>
      </x:c>
      <x:c r="G54" s="669" t="s">
        <x:v>69</x:v>
      </x:c>
      <x:c r="H54" s="669" t="s">
        <x:v>68</x:v>
      </x:c>
      <x:c r="I54" s="669" t="s">
        <x:v>83</x:v>
      </x:c>
      <x:c r="J54" s="669" t="s">
        <x:v>66</x:v>
      </x:c>
      <x:c r="K54" s="669" t="s">
        <x:v>63</x:v>
      </x:c>
      <x:c r="L54" s="669" t="s">
        <x:v>61</x:v>
      </x:c>
      <x:c r="M54" s="669" t="s">
        <x:v>62</x:v>
      </x:c>
      <x:c r="N54" s="669" t="s">
        <x:v>67</x:v>
      </x:c>
      <x:c r="O54" s="669" t="s">
        <x:v>84</x:v>
      </x:c>
      <x:c r="Z54" s="618"/>
    </x:row>
    <x:row r="55" spans="1:26" x14ac:dyDescent="0.25">
      <x:c r="B55" s="625" t="s">
        <x:v>72</x:v>
      </x:c>
      <x:c r="C55" s="627">
        <x:v>0</x:v>
      </x:c>
      <x:c r="D55" s="627">
        <x:v>0</x:v>
      </x:c>
      <x:c r="E55" s="627">
        <x:v>0</x:v>
      </x:c>
      <x:c r="F55" s="627">
        <x:v>0</x:v>
      </x:c>
      <x:c r="G55" s="627">
        <x:v>0</x:v>
      </x:c>
      <x:c r="H55" s="627">
        <x:v>0</x:v>
      </x:c>
      <x:c r="I55" s="653">
        <x:v>0</x:v>
      </x:c>
      <x:c r="J55" s="627">
        <x:v>0</x:v>
      </x:c>
      <x:c r="K55" s="627">
        <x:v>0</x:v>
      </x:c>
      <x:c r="L55" s="627">
        <x:v>0</x:v>
      </x:c>
      <x:c r="M55" s="627">
        <x:v>0</x:v>
      </x:c>
      <x:c r="N55" s="627">
        <x:v>0</x:v>
      </x:c>
      <x:c r="O55" s="627">
        <x:v>0</x:v>
      </x:c>
      <x:c r="Z55" s="624"/>
    </x:row>
    <x:row r="56" spans="1:26" x14ac:dyDescent="0.25">
      <x:c r="A56" s="636" t="s">
        <x:v>78</x:v>
      </x:c>
      <x:c r="B56" s="636" t="s">
        <x:v>70</x:v>
      </x:c>
      <x:c r="C56" s="637">
        <x:v>0</x:v>
      </x:c>
      <x:c r="D56" s="637">
        <x:v>0</x:v>
      </x:c>
      <x:c r="E56" s="637">
        <x:v>0</x:v>
      </x:c>
      <x:c r="F56" s="637">
        <x:v>0</x:v>
      </x:c>
      <x:c r="G56" s="637">
        <x:v>0</x:v>
      </x:c>
      <x:c r="H56" s="637">
        <x:v>0</x:v>
      </x:c>
      <x:c r="I56" s="637">
        <x:v>0</x:v>
      </x:c>
      <x:c r="J56" s="637">
        <x:v>0</x:v>
      </x:c>
      <x:c r="K56" s="637">
        <x:v>0</x:v>
      </x:c>
      <x:c r="L56" s="637">
        <x:v>0</x:v>
      </x:c>
      <x:c r="M56" s="637">
        <x:v>0</x:v>
      </x:c>
      <x:c r="N56" s="637">
        <x:v>0</x:v>
      </x:c>
      <x:c r="O56" s="637">
        <x:v>0</x:v>
      </x:c>
      <x:c r="P56" s="635"/>
      <x:c r="Q56" s="635"/>
      <x:c r="R56" s="635"/>
      <x:c r="S56" s="635"/>
      <x:c r="T56" s="635"/>
      <x:c r="U56" s="635"/>
      <x:c r="V56" s="635"/>
      <x:c r="W56" s="635"/>
      <x:c r="X56" s="635"/>
      <x:c r="Y56" s="635"/>
      <x:c r="Z56" s="624"/>
    </x:row>
    <x:row r="57" spans="1:26" x14ac:dyDescent="0.25">
      <x:c r="B57" s="625" t="s">
        <x:v>73</x:v>
      </x:c>
      <x:c r="C57" s="627">
        <x:v>0</x:v>
      </x:c>
      <x:c r="D57" s="627">
        <x:v>0</x:v>
      </x:c>
      <x:c r="E57" s="627">
        <x:v>0</x:v>
      </x:c>
      <x:c r="F57" s="627">
        <x:v>0</x:v>
      </x:c>
      <x:c r="G57" s="627">
        <x:v>0</x:v>
      </x:c>
      <x:c r="H57" s="627">
        <x:v>0</x:v>
      </x:c>
      <x:c r="I57" s="653">
        <x:v>0</x:v>
      </x:c>
      <x:c r="J57" s="627">
        <x:v>0</x:v>
      </x:c>
      <x:c r="K57" s="627">
        <x:v>0</x:v>
      </x:c>
      <x:c r="L57" s="627">
        <x:v>0</x:v>
      </x:c>
      <x:c r="M57" s="627">
        <x:v>0</x:v>
      </x:c>
      <x:c r="N57" s="627">
        <x:v>0</x:v>
      </x:c>
      <x:c r="O57" s="627">
        <x:v>0</x:v>
      </x:c>
      <x:c r="Z57" s="624"/>
    </x:row>
    <x:row r="58" spans="1:26" x14ac:dyDescent="0.25">
      <x:c r="A58" s="654" t="s">
        <x:v>79</x:v>
      </x:c>
      <x:c r="B58" s="654" t="s">
        <x:v>70</x:v>
      </x:c>
      <x:c r="C58" s="655">
        <x:v>0</x:v>
      </x:c>
      <x:c r="D58" s="655">
        <x:v>0</x:v>
      </x:c>
      <x:c r="E58" s="655">
        <x:v>0</x:v>
      </x:c>
      <x:c r="F58" s="655">
        <x:v>0</x:v>
      </x:c>
      <x:c r="G58" s="655">
        <x:v>0</x:v>
      </x:c>
      <x:c r="H58" s="655">
        <x:v>0</x:v>
      </x:c>
      <x:c r="I58" s="655">
        <x:v>0</x:v>
      </x:c>
      <x:c r="J58" s="655">
        <x:v>0</x:v>
      </x:c>
      <x:c r="K58" s="655">
        <x:v>0</x:v>
      </x:c>
      <x:c r="L58" s="655">
        <x:v>0</x:v>
      </x:c>
      <x:c r="M58" s="655">
        <x:v>0</x:v>
      </x:c>
      <x:c r="N58" s="655">
        <x:v>0</x:v>
      </x:c>
      <x:c r="O58" s="655">
        <x:v>0</x:v>
      </x:c>
      <x:c r="P58" s="708"/>
      <x:c r="Q58" s="708"/>
      <x:c r="R58" s="708"/>
      <x:c r="S58" s="708"/>
      <x:c r="T58" s="708"/>
      <x:c r="U58" s="708"/>
      <x:c r="V58" s="708"/>
      <x:c r="W58" s="708"/>
      <x:c r="X58" s="708"/>
      <x:c r="Y58" s="708"/>
      <x:c r="Z58" s="624"/>
    </x:row>
    <x:row r="59" spans="1:26" x14ac:dyDescent="0.25">
      <x:c r="A59" s="625" t="s">
        <x:v>70</x:v>
      </x:c>
      <x:c r="C59" s="627">
        <x:v>0</x:v>
      </x:c>
      <x:c r="D59" s="627">
        <x:v>0</x:v>
      </x:c>
      <x:c r="E59" s="627">
        <x:v>0</x:v>
      </x:c>
      <x:c r="F59" s="627">
        <x:v>0</x:v>
      </x:c>
      <x:c r="G59" s="627">
        <x:v>0</x:v>
      </x:c>
      <x:c r="H59" s="627">
        <x:v>0</x:v>
      </x:c>
      <x:c r="I59" s="653">
        <x:v>0</x:v>
      </x:c>
      <x:c r="J59" s="627">
        <x:v>0</x:v>
      </x:c>
      <x:c r="K59" s="627">
        <x:v>0</x:v>
      </x:c>
      <x:c r="L59" s="627">
        <x:v>0</x:v>
      </x:c>
      <x:c r="M59" s="627">
        <x:v>0</x:v>
      </x:c>
      <x:c r="N59" s="627">
        <x:v>0</x:v>
      </x:c>
      <x:c r="O59" s="627">
        <x:v>0</x:v>
      </x:c>
      <x:c r="Z59" s="624"/>
    </x:row>
    <x:row r="60" spans="1:26" x14ac:dyDescent="0.25">
      <x:c r="Z60" s="624"/>
    </x:row>
    <x:row r="61" spans="1:26" x14ac:dyDescent="0.25">
      <x:c r="B61" s="709" t="s">
        <x:v>70</x:v>
      </x:c>
      <x:c r="C61" s="679">
        <x:f>C59-I59</x:f>
        <x:v>0</x:v>
      </x:c>
      <x:c r="D61" s="679">
        <x:f>D56</x:f>
        <x:v>0</x:v>
      </x:c>
      <x:c r="E61" s="679">
        <x:f t="shared" ref="E61:O61" si="4">E56</x:f>
        <x:v>0</x:v>
      </x:c>
      <x:c r="F61" s="679">
        <x:f t="shared" si="4"/>
        <x:v>0</x:v>
      </x:c>
      <x:c r="G61" s="679">
        <x:f t="shared" si="4"/>
        <x:v>0</x:v>
      </x:c>
      <x:c r="H61" s="679">
        <x:f t="shared" si="4"/>
        <x:v>0</x:v>
      </x:c>
      <x:c r="I61" s="679">
        <x:f t="shared" si="4"/>
        <x:v>0</x:v>
      </x:c>
      <x:c r="J61" s="679">
        <x:f t="shared" si="4"/>
        <x:v>0</x:v>
      </x:c>
      <x:c r="K61" s="679">
        <x:f t="shared" si="4"/>
        <x:v>0</x:v>
      </x:c>
      <x:c r="L61" s="679">
        <x:f t="shared" si="4"/>
        <x:v>0</x:v>
      </x:c>
      <x:c r="M61" s="679">
        <x:f t="shared" si="4"/>
        <x:v>0</x:v>
      </x:c>
      <x:c r="N61" s="679">
        <x:f t="shared" si="4"/>
        <x:v>0</x:v>
      </x:c>
      <x:c r="O61" s="679">
        <x:f t="shared" si="4"/>
        <x:v>0</x:v>
      </x:c>
      <x:c r="Z61" s="624"/>
    </x:row>
    <x:row r="62" spans="1:26" x14ac:dyDescent="0.25">
      <x:c r="B62" s="709" t="s">
        <x:v>73</x:v>
      </x:c>
      <x:c r="C62" s="679">
        <x:f>C58</x:f>
        <x:v>0</x:v>
      </x:c>
      <x:c r="Z62" s="624"/>
    </x:row>
    <x:row r="63" spans="1:26" x14ac:dyDescent="0.25">
      <x:c r="Z63" s="624"/>
    </x:row>
    <x:row r="64" spans="1:26" x14ac:dyDescent="0.25">
      <x:c r="Z64" s="624"/>
    </x:row>
    <x:row r="65" spans="1:26" x14ac:dyDescent="0.25">
      <x:c r="Z65" s="624"/>
    </x:row>
    <x:row r="66" spans="1:26" x14ac:dyDescent="0.25">
      <x:c r="Z66" s="624"/>
    </x:row>
    <x:row r="67" spans="1:26" x14ac:dyDescent="0.25">
      <x:c r="Z67" s="624"/>
    </x:row>
    <x:row r="68" spans="1:26" x14ac:dyDescent="0.25">
      <x:c r="Z68" s="624"/>
    </x:row>
    <x:row r="69" spans="1:26" x14ac:dyDescent="0.25">
      <x:c r="Z69" s="624"/>
    </x:row>
    <x:row r="70" spans="1:26" x14ac:dyDescent="0.25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abSelected="1" topLeftCell="A36" zoomScaleNormal="100" workbookViewId="0">
      <x:selection activeCell="H61" sqref="H61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6640625" style="1" customWidth="1"/>
    <x:col min="14" max="14" width="19.33203125" style="1" bestFit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8" width="16.6640625" style="1" customWidth="1"/>
    <x:col min="29" max="30" width="15.6640625" style="1" bestFit="1" customWidth="1"/>
    <x:col min="31" max="31" width="16.33203125" style="1" customWidth="1"/>
    <x:col min="32" max="32" width="18.33203125" style="1" customWidth="1"/>
    <x:col min="33" max="33" width="13.6640625" style="1" customWidth="1"/>
    <x:col min="34" max="34" width="3.44140625" style="1" customWidth="1"/>
    <x:col min="35" max="35" width="13.6640625" style="1" bestFit="1" customWidth="1"/>
    <x:col min="36" max="16384" width="11.44140625" style="1"/>
  </x:cols>
  <x:sheetData>
    <x:row r="1" spans="1:34" ht="12" thickBot="1" x14ac:dyDescent="0.25">
      <x:c r="A1" s="1" t="s">
        <x:v>1</x:v>
      </x:c>
      <x:c r="Q1" s="4"/>
      <x:c r="AH1" s="4"/>
    </x:row>
    <x:row r="2" spans="1:34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6" x14ac:dyDescent="0.3">
      <x:c r="B6" s="8"/>
      <x:c r="C6" s="2" t="s">
        <x:v>17</x:v>
      </x:c>
      <x:c r="D6" s="9">
        <x:f>'CONSOLIDADO_TOTAL RECAUDO'!D6</x:f>
        <x:v>46238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6" thickBot="1" x14ac:dyDescent="0.3">
      <x:c r="B7" s="8"/>
      <x:c r="C7" s="2" t="s">
        <x:v>0</x:v>
      </x:c>
      <x:c r="D7" s="198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08" t="s">
        <x:v>46</x:v>
      </x:c>
      <x:c r="AB8" s="65" t="s">
        <x:v>7</x:v>
      </x:c>
      <x:c r="AC8" s="114" t="s">
        <x:v>107</x:v>
      </x:c>
      <x:c r="AD8" s="114" t="s">
        <x:v>106</x:v>
      </x:c>
      <x:c r="AE8" s="39" t="s">
        <x:v>23</x:v>
      </x:c>
      <x:c r="AF8" s="13"/>
      <x:c r="AH8" s="4"/>
    </x:row>
    <x:row r="9" spans="1:34" ht="12" x14ac:dyDescent="0.25">
      <x:c r="B9" s="14">
        <x:v>1</x:v>
      </x:c>
      <x:c r="C9" s="61" t="s">
        <x:v>10</x:v>
      </x:c>
      <x:c r="D9" s="66">
        <x:f>'SALDOS POR NOTA'!C9</x:f>
        <x:v>0</x:v>
      </x:c>
      <x:c r="E9" s="66">
        <x:f>'SALDOS POR NOTA'!D9</x:f>
        <x:v>0</x:v>
      </x:c>
      <x:c r="F9" s="66">
        <x:f>'SALDOS POR NOTA'!E9</x:f>
        <x:v>0</x:v>
      </x:c>
      <x:c r="G9" s="66">
        <x:f>'SALDOS POR NOTA'!F9</x:f>
        <x:v>0</x:v>
      </x:c>
      <x:c r="H9" s="66">
        <x:f>'SALDOS POR NOTA'!G9</x:f>
        <x:v>0</x:v>
      </x:c>
      <x:c r="I9" s="66">
        <x:f>'SALDOS POR NOTA'!H9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NOTA'!I9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NOTA'!J9</x:f>
        <x:v>0</x:v>
      </x:c>
      <x:c r="V9" s="66">
        <x:f>'SALDOS POR NOTA'!K9</x:f>
        <x:v>0</x:v>
      </x:c>
      <x:c r="W9" s="66">
        <x:f>'SALDOS POR NOTA'!L9</x:f>
        <x:v>0</x:v>
      </x:c>
      <x:c r="X9" s="66">
        <x:f>'SALDOS POR NOTA'!M9</x:f>
        <x:v>0</x:v>
      </x:c>
      <x:c r="Y9" s="66">
        <x:f>'SALDOS POR NOTA'!N9</x:f>
        <x:v>0</x:v>
      </x:c>
      <x:c r="Z9" s="307">
        <x:f>L9*-1</x:f>
        <x:v>0</x:v>
      </x:c>
      <x:c r="AA9" s="75">
        <x:f>'SALDOS POR NOTA'!O9</x:f>
        <x:v>0</x:v>
      </x:c>
      <x:c r="AB9" s="37">
        <x:f>N9</x:f>
        <x:v>0</x:v>
      </x:c>
      <x:c r="AC9" s="66">
        <x:f>-J9+AD9</x:f>
        <x:v>0</x:v>
      </x:c>
      <x:c r="AD9" s="66">
        <x:f>'SALDOS POR NOTA'!C10</x:f>
        <x:v>0</x:v>
      </x:c>
      <x:c r="AE9" s="108">
        <x:f>SUM(U9:AC9)</x:f>
        <x:v>0</x:v>
      </x:c>
      <x:c r="AF9" s="110">
        <x:f>(AE9-O9)</x:f>
        <x:v>0</x:v>
      </x:c>
      <x:c r="AG9" s="1" t="b">
        <x:f>AF9=0</x:f>
        <x:v>1</x:v>
      </x:c>
      <x:c r="AH9" s="4"/>
    </x:row>
    <x:row r="10" spans="1:34" ht="12" x14ac:dyDescent="0.25">
      <x:c r="B10" s="16">
        <x:v>2</x:v>
      </x:c>
      <x:c r="C10" s="62" t="s">
        <x:v>11</x:v>
      </x:c>
      <x:c r="D10" s="66">
        <x:f>'SALDOS POR NOTA'!C22</x:f>
        <x:v>0</x:v>
      </x:c>
      <x:c r="E10" s="66">
        <x:f>'SALDOS POR NOTA'!D22</x:f>
        <x:v>0</x:v>
      </x:c>
      <x:c r="F10" s="66">
        <x:f>'SALDOS POR NOTA'!E22</x:f>
        <x:v>0</x:v>
      </x:c>
      <x:c r="G10" s="66">
        <x:f>'SALDOS POR NOTA'!F22</x:f>
        <x:v>0</x:v>
      </x:c>
      <x:c r="H10" s="66">
        <x:f>'SALDOS POR NOTA'!G22</x:f>
        <x:v>0</x:v>
      </x:c>
      <x:c r="I10" s="66">
        <x:f>'SALDOS POR NOTA'!H22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NOTA'!I22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NOTA'!J22</x:f>
        <x:v>0</x:v>
      </x:c>
      <x:c r="V10" s="66">
        <x:f>'SALDOS POR NOTA'!K22</x:f>
        <x:v>0</x:v>
      </x:c>
      <x:c r="W10" s="66">
        <x:f>'SALDOS POR NOTA'!L22</x:f>
        <x:v>0</x:v>
      </x:c>
      <x:c r="X10" s="66">
        <x:f>'SALDOS POR NOTA'!M22</x:f>
        <x:v>0</x:v>
      </x:c>
      <x:c r="Y10" s="66">
        <x:f>'SALDOS POR NOTA'!N22</x:f>
        <x:v>0</x:v>
      </x:c>
      <x:c r="Z10" s="38">
        <x:f>L10*-1</x:f>
        <x:v>0</x:v>
      </x:c>
      <x:c r="AA10" s="310">
        <x:f>'SALDOS POR NOTA'!O22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NOTA'!C23</x:f>
        <x:v>0</x:v>
      </x:c>
      <x:c r="AE10" s="109">
        <x:f>SUM(U10:AC10)</x:f>
        <x:v>0</x:v>
      </x:c>
      <x:c r="AF10" s="111">
        <x:f>(AE10-O10)</x:f>
        <x:v>0</x:v>
      </x:c>
      <x:c r="AG10" s="1" t="b">
        <x:f t="shared" ref="AG10:AG14" si="3">AF10=0</x:f>
        <x:v>1</x:v>
      </x:c>
      <x:c r="AH10" s="4"/>
    </x:row>
    <x:row r="11" spans="1:34" ht="12" x14ac:dyDescent="0.25">
      <x:c r="B11" s="16">
        <x:v>3</x:v>
      </x:c>
      <x:c r="C11" s="62" t="s">
        <x:v>12</x:v>
      </x:c>
      <x:c r="D11" s="66">
        <x:f>'SALDOS POR NOTA'!C34</x:f>
        <x:v>0</x:v>
      </x:c>
      <x:c r="E11" s="66">
        <x:f>'SALDOS POR NOTA'!D34</x:f>
        <x:v>0</x:v>
      </x:c>
      <x:c r="F11" s="66">
        <x:f>'SALDOS POR NOTA'!E34</x:f>
        <x:v>0</x:v>
      </x:c>
      <x:c r="G11" s="66">
        <x:f>'SALDOS POR NOTA'!F34</x:f>
        <x:v>0</x:v>
      </x:c>
      <x:c r="H11" s="66">
        <x:f>'SALDOS POR NOTA'!G34</x:f>
        <x:v>0</x:v>
      </x:c>
      <x:c r="I11" s="66">
        <x:f>'SALDOS POR NOTA'!H34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NOTA'!I34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NOTA'!J34</x:f>
        <x:v>0</x:v>
      </x:c>
      <x:c r="V11" s="66">
        <x:f>'SALDOS POR NOTA'!K34</x:f>
        <x:v>0</x:v>
      </x:c>
      <x:c r="W11" s="66">
        <x:f>'SALDOS POR NOTA'!L34</x:f>
        <x:v>0</x:v>
      </x:c>
      <x:c r="X11" s="66">
        <x:f>'SALDOS POR NOTA'!M34</x:f>
        <x:v>0</x:v>
      </x:c>
      <x:c r="Y11" s="66">
        <x:f>'SALDOS POR NOTA'!N34</x:f>
        <x:v>0</x:v>
      </x:c>
      <x:c r="Z11" s="38">
        <x:f>L11*-1</x:f>
        <x:v>0</x:v>
      </x:c>
      <x:c r="AA11" s="310">
        <x:f>'SALDOS POR NOTA'!O34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NOTA'!C35</x:f>
        <x:v>0</x:v>
      </x:c>
      <x:c r="AE11" s="109">
        <x:f>SUM(U11:AC11)</x:f>
        <x:v>0</x:v>
      </x:c>
      <x:c r="AF11" s="111">
        <x:f>(AE11-O11)</x:f>
        <x:v>0</x:v>
      </x:c>
      <x:c r="AG11" s="1" t="b">
        <x:f t="shared" si="3"/>
        <x:v>1</x:v>
      </x:c>
      <x:c r="AH11" s="4"/>
    </x:row>
    <x:row r="12" spans="1:34" ht="12" x14ac:dyDescent="0.25">
      <x:c r="B12" s="16">
        <x:v>4</x:v>
      </x:c>
      <x:c r="C12" s="62" t="s">
        <x:v>13</x:v>
      </x:c>
      <x:c r="D12" s="66">
        <x:f>'SALDOS POR NOTA'!C47</x:f>
        <x:v>0</x:v>
      </x:c>
      <x:c r="E12" s="66">
        <x:f>'SALDOS POR NOTA'!D47</x:f>
        <x:v>0</x:v>
      </x:c>
      <x:c r="F12" s="66">
        <x:f>'SALDOS POR NOTA'!E47</x:f>
        <x:v>0</x:v>
      </x:c>
      <x:c r="G12" s="66">
        <x:f>'SALDOS POR NOTA'!F47</x:f>
        <x:v>0</x:v>
      </x:c>
      <x:c r="H12" s="66">
        <x:f>'SALDOS POR NOTA'!G47</x:f>
        <x:v>0</x:v>
      </x:c>
      <x:c r="I12" s="66">
        <x:f>'SALDOS POR NOTA'!H47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NOTA'!J47</x:f>
        <x:v>0</x:v>
      </x:c>
      <x:c r="V12" s="66">
        <x:f>'SALDOS POR NOTA'!K47</x:f>
        <x:v>0</x:v>
      </x:c>
      <x:c r="W12" s="66">
        <x:f>'SALDOS POR NOTA'!L47</x:f>
        <x:v>0</x:v>
      </x:c>
      <x:c r="X12" s="66">
        <x:f>'SALDOS POR NOTA'!M47</x:f>
        <x:v>0</x:v>
      </x:c>
      <x:c r="Y12" s="66">
        <x:f>'SALDOS POR NOTA'!N47</x:f>
        <x:v>0</x:v>
      </x:c>
      <x:c r="Z12" s="38">
        <x:f>L12*-1</x:f>
        <x:v>0</x:v>
      </x:c>
      <x:c r="AA12" s="310">
        <x:f>'SALDOS POR NOTA'!O47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NOTA'!C48</x:f>
        <x:v>0</x:v>
      </x:c>
      <x:c r="AE12" s="109">
        <x:f>SUM(U12:AC12)</x:f>
        <x:v>0</x:v>
      </x:c>
      <x:c r="AF12" s="111">
        <x:f>(AE12-O12)</x:f>
        <x:v>0</x:v>
      </x:c>
      <x:c r="AG12" s="1" t="b">
        <x:f t="shared" si="3"/>
        <x:v>1</x:v>
      </x:c>
      <x:c r="AH12" s="4"/>
    </x:row>
    <x:row r="13" spans="1:34" ht="12.6" thickBot="1" x14ac:dyDescent="0.3">
      <x:c r="B13" s="19">
        <x:v>5</x:v>
      </x:c>
      <x:c r="C13" s="63" t="s">
        <x:v>14</x:v>
      </x:c>
      <x:c r="D13" s="66">
        <x:f>'SALDOS POR NOTA'!C60</x:f>
        <x:v>0</x:v>
      </x:c>
      <x:c r="E13" s="66">
        <x:f>'SALDOS POR NOTA'!D60</x:f>
        <x:v>0</x:v>
      </x:c>
      <x:c r="F13" s="66">
        <x:f>'SALDOS POR NOTA'!E60</x:f>
        <x:v>0</x:v>
      </x:c>
      <x:c r="G13" s="66">
        <x:f>'SALDOS POR NOTA'!F60</x:f>
        <x:v>0</x:v>
      </x:c>
      <x:c r="H13" s="66">
        <x:f>'SALDOS POR NOTA'!G60</x:f>
        <x:v>0</x:v>
      </x:c>
      <x:c r="I13" s="66">
        <x:f>'SALDOS POR NOTA'!H60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NOTA'!I60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NOTA'!J60</x:f>
        <x:v>0</x:v>
      </x:c>
      <x:c r="V13" s="66">
        <x:f>'SALDOS POR NOTA'!K60</x:f>
        <x:v>0</x:v>
      </x:c>
      <x:c r="W13" s="66">
        <x:f>'SALDOS POR NOTA'!L60</x:f>
        <x:v>0</x:v>
      </x:c>
      <x:c r="X13" s="66">
        <x:f>'SALDOS POR NOTA'!M60</x:f>
        <x:v>0</x:v>
      </x:c>
      <x:c r="Y13" s="66">
        <x:f>'SALDOS POR NOTA'!N60</x:f>
        <x:v>0</x:v>
      </x:c>
      <x:c r="Z13" s="38">
        <x:f>L13*-1</x:f>
        <x:v>0</x:v>
      </x:c>
      <x:c r="AA13" s="311">
        <x:f>'SALDOS POR NOTA'!O60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NOTA'!C61</x:f>
        <x:v>0</x:v>
      </x:c>
      <x:c r="AE13" s="109">
        <x:f>SUM(U13:AC13)</x:f>
        <x:v>0</x:v>
      </x:c>
      <x:c r="AF13" s="112">
        <x:f>(AE13-O13)</x:f>
        <x:v>0</x:v>
      </x:c>
      <x:c r="AG13" s="1" t="b">
        <x:f t="shared" si="3"/>
        <x:v>1</x:v>
      </x:c>
      <x:c r="AH13" s="4"/>
    </x:row>
    <x:row r="14" spans="1:34" ht="13.8" thickBot="1" x14ac:dyDescent="0.3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09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13">
        <x:f>SUM(AF9:AF13)</x:f>
        <x:v>0</x:v>
      </x:c>
      <x:c r="AG14" s="1" t="b">
        <x:f t="shared" si="3"/>
        <x:v>1</x:v>
      </x:c>
      <x:c r="AH14" s="4"/>
    </x:row>
    <x:row r="15" spans="1:34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" thickBot="1" x14ac:dyDescent="0.25">
      <x:c r="Q20" s="4"/>
      <x:c r="AH20" s="4"/>
    </x:row>
    <x:row r="21" spans="1:34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6" x14ac:dyDescent="0.3">
      <x:c r="B25" s="8"/>
      <x:c r="C25" s="2" t="s">
        <x:v>17</x:v>
      </x:c>
      <x:c r="D25" s="9">
        <x:f>D6</x:f>
        <x:v>46238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6" thickBot="1" x14ac:dyDescent="0.3">
      <x:c r="B26" s="8"/>
      <x:c r="C26" s="2" t="s">
        <x:v>0</x:v>
      </x:c>
      <x:c r="D26" s="198">
        <x:f>D7</x:f>
        <x:v>0.58333333333333337</x:v>
      </x:c>
      <x:c r="F26" s="2" t="s">
        <x:v>27</x:v>
      </x:c>
      <x:c r="G26" s="2"/>
      <x:c r="H26" s="9">
        <x:f>H7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14" t="s">
        <x:v>107</x:v>
      </x:c>
      <x:c r="AD27" s="114" t="s">
        <x:v>106</x:v>
      </x:c>
      <x:c r="AE27" s="39" t="s">
        <x:v>23</x:v>
      </x:c>
      <x:c r="AF27" s="13"/>
      <x:c r="AH27" s="4"/>
    </x:row>
    <x:row r="28" spans="1:34" s="241" customFormat="1" ht="12" x14ac:dyDescent="0.25">
      <x:c r="B28" s="239">
        <x:v>1</x:v>
      </x:c>
      <x:c r="C28" s="240" t="s">
        <x:v>10</x:v>
      </x:c>
      <x:c r="D28" s="227">
        <x:f>'RETRIBUCION NEGATIVA'!C10</x:f>
        <x:v>0</x:v>
      </x:c>
      <x:c r="E28" s="228">
        <x:f>'RETRIBUCION NEGATIVA'!D10</x:f>
        <x:v>0</x:v>
      </x:c>
      <x:c r="F28" s="228">
        <x:f>'RETRIBUCION NEGATIVA'!E10</x:f>
        <x:v>0</x:v>
      </x:c>
      <x:c r="G28" s="228">
        <x:f>'RETRIBUCION NEGATIVA'!F10</x:f>
        <x:v>0</x:v>
      </x:c>
      <x:c r="H28" s="228">
        <x:f>'RETRIBUCION NEGATIVA'!G10</x:f>
        <x:v>0</x:v>
      </x:c>
      <x:c r="I28" s="228">
        <x:f>'RETRIBUCION NEGATIVA'!H10</x:f>
        <x:v>0</x:v>
      </x:c>
      <x:c r="J28" s="224">
        <x:v>0</x:v>
      </x:c>
      <x:c r="K28" s="229">
        <x:f>D28-E28-F28-H28-I28-J28-G28</x:f>
        <x:v>0</x:v>
      </x:c>
      <x:c r="L28" s="230">
        <x:v>0</x:v>
      </x:c>
      <x:c r="M28" s="229">
        <x:f>K28-L28</x:f>
        <x:v>0</x:v>
      </x:c>
      <x:c r="N28" s="230">
        <x:f>'RETRIBUCION NEGATIVA'!I10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27">
        <x:f>'RETRIBUCION NEGATIVA'!J10</x:f>
        <x:v>0</x:v>
      </x:c>
      <x:c r="V28" s="227">
        <x:f>'RETRIBUCION NEGATIVA'!K10</x:f>
        <x:v>0</x:v>
      </x:c>
      <x:c r="W28" s="227">
        <x:f>'RETRIBUCION NEGATIVA'!L10</x:f>
        <x:v>0</x:v>
      </x:c>
      <x:c r="X28" s="227">
        <x:f>'RETRIBUCION NEGATIVA'!M10</x:f>
        <x:v>0</x:v>
      </x:c>
      <x:c r="Y28" s="227">
        <x:f>'RETRIBUCION NEGATIVA'!N10</x:f>
        <x:v>0</x:v>
      </x:c>
      <x:c r="Z28" s="246">
        <x:f>L28*-1</x:f>
        <x:v>0</x:v>
      </x:c>
      <x:c r="AA28" s="248">
        <x:f>'RETRIBUCION NEGATIVA'!O10</x:f>
        <x:v>0</x:v>
      </x:c>
      <x:c r="AB28" s="230">
        <x:f>N28</x:f>
        <x:v>0</x:v>
      </x:c>
      <x:c r="AC28" s="227">
        <x:f>-J28+AD28</x:f>
        <x:v>0</x:v>
      </x:c>
      <x:c r="AD28" s="227">
        <x:f>'RETRIBUCION NEGATIVA'!C11</x:f>
        <x:v>0</x:v>
      </x:c>
      <x:c r="AE28" s="299">
        <x:f>SUM(U28:AC28)</x:f>
        <x:v>0</x:v>
      </x:c>
      <x:c r="AF28" s="247">
        <x:f>(AE28-O28)</x:f>
        <x:v>0</x:v>
      </x:c>
      <x:c r="AG28" s="241" t="b">
        <x:f>AF28=0</x:f>
        <x:v>1</x:v>
      </x:c>
      <x:c r="AH28" s="242"/>
    </x:row>
    <x:row r="29" spans="1:34" s="241" customFormat="1" ht="12" x14ac:dyDescent="0.25">
      <x:c r="B29" s="250">
        <x:v>2</x:v>
      </x:c>
      <x:c r="C29" s="251" t="s">
        <x:v>11</x:v>
      </x:c>
      <x:c r="D29" s="227">
        <x:f>'RETRIBUCION NEGATIVA'!C23</x:f>
        <x:v>0</x:v>
      </x:c>
      <x:c r="E29" s="228">
        <x:f>'RETRIBUCION NEGATIVA'!D23</x:f>
        <x:v>0</x:v>
      </x:c>
      <x:c r="F29" s="228">
        <x:f>'RETRIBUCION NEGATIVA'!E23</x:f>
        <x:v>0</x:v>
      </x:c>
      <x:c r="G29" s="228">
        <x:f>'RETRIBUCION NEGATIVA'!F23</x:f>
        <x:v>0</x:v>
      </x:c>
      <x:c r="H29" s="228">
        <x:f>'RETRIBUCION NEGATIVA'!G23</x:f>
        <x:v>0</x:v>
      </x:c>
      <x:c r="I29" s="228">
        <x:f>'RETRIBUCION NEGATIVA'!H23</x:f>
        <x:v>0</x:v>
      </x:c>
      <x:c r="J29" s="224">
        <x:v>0</x:v>
      </x:c>
      <x:c r="K29" s="231">
        <x:f t="shared" ref="K29:K32" si="6">D29-E29-F29-H29-I29-J29-G29</x:f>
        <x:v>0</x:v>
      </x:c>
      <x:c r="L29" s="235">
        <x:v>0</x:v>
      </x:c>
      <x:c r="M29" s="231">
        <x:f>K29-L29</x:f>
        <x:v>0</x:v>
      </x:c>
      <x:c r="N29" s="230">
        <x:f>'RETRIBUCION NEGATIVA'!I23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'RETRIBUCION NEGATIVA'!J23</x:f>
        <x:v>0</x:v>
      </x:c>
      <x:c r="V29" s="252">
        <x:f>'RETRIBUCION NEGATIVA'!K23</x:f>
        <x:v>0</x:v>
      </x:c>
      <x:c r="W29" s="252">
        <x:f>'RETRIBUCION NEGATIVA'!L23</x:f>
        <x:v>0</x:v>
      </x:c>
      <x:c r="X29" s="252">
        <x:f>'RETRIBUCION NEGATIVA'!M23</x:f>
        <x:v>0</x:v>
      </x:c>
      <x:c r="Y29" s="252">
        <x:f>'RETRIBUCION NEGATIVA'!N23</x:f>
        <x:v>0</x:v>
      </x:c>
      <x:c r="Z29" s="255">
        <x:f>L29*-1</x:f>
        <x:v>0</x:v>
      </x:c>
      <x:c r="AA29" s="256">
        <x:f>'RETRIBUCION NEGATIVA'!O23</x:f>
        <x:v>0</x:v>
      </x:c>
      <x:c r="AB29" s="230">
        <x:f>N29</x:f>
        <x:v>0</x:v>
      </x:c>
      <x:c r="AC29" s="227">
        <x:f>-J29+AD29</x:f>
        <x:v>0</x:v>
      </x:c>
      <x:c r="AD29" s="227">
        <x:f>'RETRIBUCION NEGATIVA'!C24</x:f>
        <x:v>0</x:v>
      </x:c>
      <x:c r="AE29" s="301">
        <x:f>SUM(U29:AC29)</x:f>
        <x:v>0</x:v>
      </x:c>
      <x:c r="AF29" s="259">
        <x:f>(AE29-O29)</x:f>
        <x:v>0</x:v>
      </x:c>
      <x:c r="AG29" s="241" t="b">
        <x:f t="shared" ref="AG29:AG33" si="8">AF29=0</x:f>
        <x:v>1</x:v>
      </x:c>
      <x:c r="AH29" s="242"/>
    </x:row>
    <x:row r="30" spans="1:34" s="241" customFormat="1" ht="12" x14ac:dyDescent="0.25">
      <x:c r="B30" s="250">
        <x:v>3</x:v>
      </x:c>
      <x:c r="C30" s="251" t="s">
        <x:v>12</x:v>
      </x:c>
      <x:c r="D30" s="227">
        <x:f>'RETRIBUCION NEGATIVA'!C36</x:f>
        <x:v>0</x:v>
      </x:c>
      <x:c r="E30" s="228">
        <x:f>'RETRIBUCION NEGATIVA'!D36</x:f>
        <x:v>0</x:v>
      </x:c>
      <x:c r="F30" s="228">
        <x:f>'RETRIBUCION NEGATIVA'!E36</x:f>
        <x:v>0</x:v>
      </x:c>
      <x:c r="G30" s="228">
        <x:f>'RETRIBUCION NEGATIVA'!F36</x:f>
        <x:v>0</x:v>
      </x:c>
      <x:c r="H30" s="228">
        <x:f>'RETRIBUCION NEGATIVA'!G36</x:f>
        <x:v>0</x:v>
      </x:c>
      <x:c r="I30" s="228">
        <x:f>'RETRIBUCION NEGATIVA'!H36</x:f>
        <x:v>0</x:v>
      </x:c>
      <x:c r="J30" s="224">
        <x:v>0</x:v>
      </x:c>
      <x:c r="K30" s="231">
        <x:f t="shared" si="6"/>
        <x:v>0</x:v>
      </x:c>
      <x:c r="L30" s="235">
        <x:v>0</x:v>
      </x:c>
      <x:c r="M30" s="231">
        <x:f>K30-L30</x:f>
        <x:v>0</x:v>
      </x:c>
      <x:c r="N30" s="230">
        <x:f>'RETRIBUCION NEGATIVA'!I36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'RETRIBUCION NEGATIVA'!J36</x:f>
        <x:v>0</x:v>
      </x:c>
      <x:c r="V30" s="252">
        <x:f>'RETRIBUCION NEGATIVA'!K36</x:f>
        <x:v>0</x:v>
      </x:c>
      <x:c r="W30" s="252">
        <x:f>'RETRIBUCION NEGATIVA'!L36</x:f>
        <x:v>0</x:v>
      </x:c>
      <x:c r="X30" s="252">
        <x:f>'RETRIBUCION NEGATIVA'!M36</x:f>
        <x:v>0</x:v>
      </x:c>
      <x:c r="Y30" s="252">
        <x:f>'RETRIBUCION NEGATIVA'!N36</x:f>
        <x:v>0</x:v>
      </x:c>
      <x:c r="Z30" s="255">
        <x:f>L30*-1</x:f>
        <x:v>0</x:v>
      </x:c>
      <x:c r="AA30" s="256">
        <x:f>'RETRIBUCION NEGATIVA'!O36</x:f>
        <x:v>0</x:v>
      </x:c>
      <x:c r="AB30" s="230">
        <x:f>N30</x:f>
        <x:v>0</x:v>
      </x:c>
      <x:c r="AC30" s="227">
        <x:f t="shared" ref="AC30:AC32" si="9">-J30+AD30</x:f>
        <x:v>0</x:v>
      </x:c>
      <x:c r="AD30" s="227">
        <x:f>'RETRIBUCION NEGATIVA'!C37</x:f>
        <x:v>0</x:v>
      </x:c>
      <x:c r="AE30" s="301">
        <x:f>SUM(U30:AC30)</x:f>
        <x:v>0</x:v>
      </x:c>
      <x:c r="AF30" s="259">
        <x:f t="shared" ref="AF30:AF31" si="10">(AE30-O30)</x:f>
        <x:v>0</x:v>
      </x:c>
      <x:c r="AG30" s="241" t="b">
        <x:f t="shared" si="8"/>
        <x:v>1</x:v>
      </x:c>
      <x:c r="AH30" s="242"/>
    </x:row>
    <x:row r="31" spans="1:34" s="241" customFormat="1" ht="12" x14ac:dyDescent="0.25">
      <x:c r="B31" s="250">
        <x:v>4</x:v>
      </x:c>
      <x:c r="C31" s="251" t="s">
        <x:v>13</x:v>
      </x:c>
      <x:c r="D31" s="227">
        <x:f>'RETRIBUCION NEGATIVA'!C49</x:f>
        <x:v>0</x:v>
      </x:c>
      <x:c r="E31" s="228">
        <x:f>'RETRIBUCION NEGATIVA'!D49</x:f>
        <x:v>0</x:v>
      </x:c>
      <x:c r="F31" s="228">
        <x:f>'RETRIBUCION NEGATIVA'!E49</x:f>
        <x:v>0</x:v>
      </x:c>
      <x:c r="G31" s="228">
        <x:f>'RETRIBUCION NEGATIVA'!F49</x:f>
        <x:v>0</x:v>
      </x:c>
      <x:c r="H31" s="228">
        <x:f>'RETRIBUCION NEGATIVA'!G49</x:f>
        <x:v>0</x:v>
      </x:c>
      <x:c r="I31" s="228">
        <x:f>'RETRIBUCION NEGATIVA'!H49</x:f>
        <x:v>0</x:v>
      </x:c>
      <x:c r="J31" s="224">
        <x:v>0</x:v>
      </x:c>
      <x:c r="K31" s="231">
        <x:f t="shared" si="6"/>
        <x:v>0</x:v>
      </x:c>
      <x:c r="L31" s="235">
        <x:v>0</x:v>
      </x:c>
      <x:c r="M31" s="231">
        <x:f>K31-L31</x:f>
        <x:v>0</x:v>
      </x:c>
      <x:c r="N31" s="230">
        <x:f>'RETRIBUCION NEGATIVA'!I49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'RETRIBUCION NEGATIVA'!J49</x:f>
        <x:v>0</x:v>
      </x:c>
      <x:c r="V31" s="252">
        <x:f>'RETRIBUCION NEGATIVA'!K49</x:f>
        <x:v>0</x:v>
      </x:c>
      <x:c r="W31" s="252">
        <x:f>'RETRIBUCION NEGATIVA'!L49</x:f>
        <x:v>0</x:v>
      </x:c>
      <x:c r="X31" s="252">
        <x:f>'RETRIBUCION NEGATIVA'!M49</x:f>
        <x:v>0</x:v>
      </x:c>
      <x:c r="Y31" s="252">
        <x:f>'RETRIBUCION NEGATIVA'!N49</x:f>
        <x:v>0</x:v>
      </x:c>
      <x:c r="Z31" s="255">
        <x:f>L31*-1</x:f>
        <x:v>0</x:v>
      </x:c>
      <x:c r="AA31" s="256">
        <x:f>'RETRIBUCION NEGATIVA'!O49</x:f>
        <x:v>0</x:v>
      </x:c>
      <x:c r="AB31" s="230">
        <x:f>N31</x:f>
        <x:v>0</x:v>
      </x:c>
      <x:c r="AC31" s="227">
        <x:f t="shared" si="9"/>
        <x:v>0</x:v>
      </x:c>
      <x:c r="AD31" s="227">
        <x:f>'RETRIBUCION NEGATIVA'!C50</x:f>
        <x:v>0</x:v>
      </x:c>
      <x:c r="AE31" s="301">
        <x:f>SUM(U31:AC31)</x:f>
        <x:v>0</x:v>
      </x:c>
      <x:c r="AF31" s="259">
        <x:f t="shared" si="10"/>
        <x:v>0</x:v>
      </x:c>
      <x:c r="AG31" s="241" t="b">
        <x:f t="shared" si="8"/>
        <x:v>1</x:v>
      </x:c>
      <x:c r="AH31" s="242"/>
    </x:row>
    <x:row r="32" spans="1:34" s="241" customFormat="1" ht="12.6" thickBot="1" x14ac:dyDescent="0.3">
      <x:c r="B32" s="260">
        <x:v>5</x:v>
      </x:c>
      <x:c r="C32" s="261" t="s">
        <x:v>14</x:v>
      </x:c>
      <x:c r="D32" s="232">
        <x:f>'RETRIBUCION NEGATIVA'!C61</x:f>
        <x:v>0</x:v>
      </x:c>
      <x:c r="E32" s="233">
        <x:f>'RETRIBUCION NEGATIVA'!D61</x:f>
        <x:v>0</x:v>
      </x:c>
      <x:c r="F32" s="233">
        <x:f>'RETRIBUCION NEGATIVA'!E61</x:f>
        <x:v>0</x:v>
      </x:c>
      <x:c r="G32" s="233">
        <x:f>'RETRIBUCION NEGATIVA'!F61</x:f>
        <x:v>0</x:v>
      </x:c>
      <x:c r="H32" s="233">
        <x:f>'RETRIBUCION NEGATIVA'!G61</x:f>
        <x:v>0</x:v>
      </x:c>
      <x:c r="I32" s="233">
        <x:f>'RETRIBUCION NEGATIVA'!H61</x:f>
        <x:v>0</x:v>
      </x:c>
      <x:c r="J32" s="225">
        <x:v>0</x:v>
      </x:c>
      <x:c r="K32" s="231">
        <x:f t="shared" si="6"/>
        <x:v>0</x:v>
      </x:c>
      <x:c r="L32" s="235">
        <x:v>0</x:v>
      </x:c>
      <x:c r="M32" s="234">
        <x:f>K32-L32</x:f>
        <x:v>0</x:v>
      </x:c>
      <x:c r="N32" s="235">
        <x:f>'RETRIBUCION NEGATIVA'!I61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'RETRIBUCION NEGATIVA'!J61</x:f>
        <x:v>0</x:v>
      </x:c>
      <x:c r="V32" s="232">
        <x:f>'RETRIBUCION NEGATIVA'!K61</x:f>
        <x:v>0</x:v>
      </x:c>
      <x:c r="W32" s="232">
        <x:f>'RETRIBUCION NEGATIVA'!L61</x:f>
        <x:v>0</x:v>
      </x:c>
      <x:c r="X32" s="232">
        <x:f>'RETRIBUCION NEGATIVA'!M61</x:f>
        <x:v>0</x:v>
      </x:c>
      <x:c r="Y32" s="232">
        <x:f>'RETRIBUCION NEGATIVA'!N61</x:f>
        <x:v>0</x:v>
      </x:c>
      <x:c r="Z32" s="255">
        <x:f>L32*-1</x:f>
        <x:v>0</x:v>
      </x:c>
      <x:c r="AA32" s="256">
        <x:f>'RETRIBUCION NEGATIVA'!O61</x:f>
        <x:v>0</x:v>
      </x:c>
      <x:c r="AB32" s="230">
        <x:f>N32</x:f>
        <x:v>0</x:v>
      </x:c>
      <x:c r="AC32" s="227">
        <x:f t="shared" si="9"/>
        <x:v>0</x:v>
      </x:c>
      <x:c r="AD32" s="227">
        <x:f>'RETRIBUCION NEGATIVA'!C62</x:f>
        <x:v>0</x:v>
      </x:c>
      <x:c r="AE32" s="301">
        <x:f>SUM(U32:AC32)</x:f>
        <x:v>0</x:v>
      </x:c>
      <x:c r="AF32" s="262">
        <x:f>(AE32-O32)</x:f>
        <x:v>0</x:v>
      </x:c>
      <x:c r="AG32" s="241" t="b">
        <x:f t="shared" si="8"/>
        <x:v>1</x:v>
      </x:c>
      <x:c r="AH32" s="242"/>
    </x:row>
    <x:row r="33" spans="1:34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 t="shared" ref="E33:O33" si="11">SUM(E28:E32)</x:f>
        <x:v>0</x:v>
      </x:c>
      <x:c r="F33" s="226">
        <x:f t="shared" si="11"/>
        <x:v>0</x:v>
      </x:c>
      <x:c r="G33" s="226">
        <x:f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26">
        <x:f>SUM(U28:U32)</x:f>
        <x:v>0</x:v>
      </x:c>
      <x:c r="V33" s="226">
        <x:f t="shared" ref="V33:AF33" si="12">SUM(V28:V32)</x:f>
        <x:v>0</x:v>
      </x:c>
      <x:c r="W33" s="226">
        <x:f t="shared" si="12"/>
        <x:v>0</x:v>
      </x:c>
      <x:c r="X33" s="226">
        <x:f t="shared" si="12"/>
        <x:v>0</x:v>
      </x:c>
      <x:c r="Y33" s="226">
        <x:f t="shared" si="12"/>
        <x:v>0</x:v>
      </x:c>
      <x:c r="Z33" s="226">
        <x:f t="shared" si="12"/>
        <x:v>0</x:v>
      </x:c>
      <x:c r="AA33" s="226">
        <x:f t="shared" si="12"/>
        <x:v>0</x:v>
      </x:c>
      <x:c r="AB33" s="226">
        <x:f t="shared" si="12"/>
        <x:v>0</x:v>
      </x:c>
      <x:c r="AC33" s="226">
        <x:f>SUM(AC28:AC32)</x:f>
        <x:v>0</x:v>
      </x:c>
      <x:c r="AD33" s="226">
        <x:f>SUM(AD28:AD32)</x:f>
        <x:v>0</x:v>
      </x:c>
      <x:c r="AE33" s="267">
        <x:f t="shared" si="12"/>
        <x:v>0</x:v>
      </x:c>
      <x:c r="AF33" s="268">
        <x:f t="shared" si="12"/>
        <x:v>0</x:v>
      </x:c>
      <x:c r="AG33" s="241" t="b">
        <x:f t="shared" si="8"/>
        <x:v>1</x:v>
      </x:c>
      <x:c r="AH33" s="242"/>
    </x:row>
    <x:row r="34" spans="1:34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266</x:v>
      </x:c>
      <x:c r="M35" s="523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" thickBot="1" x14ac:dyDescent="0.25">
      <x:c r="Q39" s="4"/>
      <x:c r="AH39" s="4"/>
    </x:row>
    <x:row r="40" spans="1:34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6" x14ac:dyDescent="0.3">
      <x:c r="B44" s="8"/>
      <x:c r="C44" s="2" t="s">
        <x:v>17</x:v>
      </x:c>
      <x:c r="D44" s="9">
        <x:f>D6</x:f>
        <x:v>46238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6" thickBot="1" x14ac:dyDescent="0.3">
      <x:c r="B45" s="8"/>
      <x:c r="C45" s="2" t="s">
        <x:v>0</x:v>
      </x:c>
      <x:c r="D45" s="198">
        <x:f>D7</x:f>
        <x:v>0.58333333333333337</x:v>
      </x:c>
      <x:c r="F45" s="2" t="s">
        <x:v>27</x:v>
      </x:c>
      <x:c r="G45" s="2"/>
      <x:c r="H45" s="9">
        <x:f>H7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14" t="s">
        <x:v>107</x:v>
      </x:c>
      <x:c r="AD46" s="114" t="s">
        <x:v>106</x:v>
      </x:c>
      <x:c r="AE46" s="39" t="s">
        <x:v>23</x:v>
      </x:c>
      <x:c r="AF46" s="13"/>
      <x:c r="AH46" s="4"/>
    </x:row>
    <x:row r="47" spans="1:34" ht="12" x14ac:dyDescent="0.25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29">
        <x:f t="shared" ref="U47:Y51" si="16">U9+U28</x:f>
        <x:v>0</x:v>
      </x:c>
      <x:c r="V47" s="129">
        <x:f t="shared" si="16"/>
        <x:v>0</x:v>
      </x:c>
      <x:c r="W47" s="129">
        <x:f t="shared" si="16"/>
        <x:v>0</x:v>
      </x:c>
      <x:c r="X47" s="129">
        <x:f t="shared" si="16"/>
        <x:v>0</x:v>
      </x:c>
      <x:c r="Y47" s="129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0">
        <x:f>(AE47-O47)</x:f>
        <x:v>0</x:v>
      </x:c>
      <x:c r="AG47" s="1" t="b">
        <x:f>AF47=0</x:f>
        <x:v>1</x:v>
      </x:c>
      <x:c r="AH47" s="4"/>
    </x:row>
    <x:row r="48" spans="1:34" ht="12" x14ac:dyDescent="0.25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1">
        <x:f>(AE48-O48)</x:f>
        <x:v>0</x:v>
      </x:c>
      <x:c r="AG48" s="1" t="b">
        <x:f t="shared" ref="AG48:AG52" si="21">AF48=0</x:f>
        <x:v>1</x:v>
      </x:c>
      <x:c r="AH48" s="4"/>
    </x:row>
    <x:row r="49" spans="1:34" ht="12" x14ac:dyDescent="0.25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1">
        <x:f>(AE49-O49)</x:f>
        <x:v>0</x:v>
      </x:c>
      <x:c r="AG49" s="1" t="b">
        <x:f t="shared" si="21"/>
        <x:v>1</x:v>
      </x:c>
      <x:c r="AH49" s="4"/>
    </x:row>
    <x:row r="50" spans="1:34" ht="12" x14ac:dyDescent="0.25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1">
        <x:f>(AE50-O50)</x:f>
        <x:v>0</x:v>
      </x:c>
      <x:c r="AG50" s="1" t="b">
        <x:f t="shared" si="21"/>
        <x:v>1</x:v>
      </x:c>
      <x:c r="AH50" s="4"/>
    </x:row>
    <x:row r="51" spans="1:34" ht="12.6" thickBot="1" x14ac:dyDescent="0.3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2">
        <x:f>(AE51-O51)</x:f>
        <x:v>0</x:v>
      </x:c>
      <x:c r="AG51" s="1" t="b">
        <x:f t="shared" si="21"/>
        <x:v>1</x:v>
      </x:c>
      <x:c r="AH51" s="4"/>
    </x:row>
    <x:row r="52" spans="1:34" ht="13.8" thickBot="1" x14ac:dyDescent="0.3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13">
        <x:f>SUM(AF47:AF51)</x:f>
        <x:v>0</x:v>
      </x:c>
      <x:c r="AG52" s="1" t="b">
        <x:f t="shared" si="21"/>
        <x:v>1</x:v>
      </x:c>
      <x:c r="AH52" s="4"/>
    </x:row>
    <x:row r="53" spans="1:34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F8" zoomScaleNormal="100" workbookViewId="0">
      <x:selection activeCell="N34" sqref="N34"/>
    </x:sheetView>
  </x:sheetViews>
  <x:sheetFormatPr baseColWidth="10" defaultRowHeight="13.8" x14ac:dyDescent="0.3"/>
  <x:cols>
    <x:col min="1" max="1" width="2.6640625" customWidth="1"/>
    <x:col min="2" max="2" width="17.44140625" bestFit="1" customWidth="1"/>
    <x:col min="3" max="3" width="4.6640625" style="135" bestFit="1" customWidth="1"/>
    <x:col min="4" max="4" width="42.6640625" style="135" bestFit="1" customWidth="1"/>
    <x:col min="5" max="5" width="9" customWidth="1"/>
    <x:col min="6" max="6" width="15.6640625" customWidth="1"/>
    <x:col min="7" max="7" width="17.44140625" bestFit="1" customWidth="1"/>
    <x:col min="8" max="8" width="14.33203125" customWidth="1"/>
    <x:col min="9" max="9" width="16.33203125" bestFit="1" customWidth="1"/>
    <x:col min="10" max="10" width="16.6640625" customWidth="1"/>
    <x:col min="11" max="11" width="17.5546875" customWidth="1"/>
    <x:col min="12" max="12" width="15.5546875" bestFit="1" customWidth="1"/>
    <x:col min="13" max="13" width="15.6640625" bestFit="1" customWidth="1"/>
    <x:col min="14" max="14" width="17" customWidth="1"/>
    <x:col min="15" max="15" width="17.6640625" customWidth="1"/>
    <x:col min="16" max="16" width="16.6640625" customWidth="1"/>
    <x:col min="17" max="17" width="18" customWidth="1"/>
    <x:col min="18" max="18" width="14.33203125" bestFit="1" customWidth="1"/>
    <x:col min="19" max="19" width="15.6640625" bestFit="1" customWidth="1"/>
    <x:col min="20" max="20" width="14.33203125" bestFit="1" customWidth="1"/>
  </x:cols>
  <x:sheetData>
    <x:row r="1" spans="2:19" ht="14.4" thickBot="1" x14ac:dyDescent="0.35"/>
    <x:row r="2" spans="2:19" s="135" customFormat="1" ht="14.4" thickBot="1" x14ac:dyDescent="0.35">
      <x:c r="B2" s="544"/>
      <x:c r="E2" s="135" t="s">
        <x:v>1</x:v>
      </x:c>
      <x:c r="F2" s="498" t="s">
        <x:v>276</x:v>
      </x:c>
      <x:c r="G2" s="499" t="s">
        <x:v>277</x:v>
      </x:c>
      <x:c r="H2" s="500" t="s">
        <x:v>278</x:v>
      </x:c>
      <x:c r="I2" s="500" t="s">
        <x:v>279</x:v>
      </x:c>
      <x:c r="J2" s="500" t="s">
        <x:v>280</x:v>
      </x:c>
      <x:c r="K2" s="499" t="s">
        <x:v>281</x:v>
      </x:c>
      <x:c r="L2" s="499" t="s">
        <x:v>282</x:v>
      </x:c>
      <x:c r="M2" s="500" t="s">
        <x:v>283</x:v>
      </x:c>
      <x:c r="N2" s="500" t="s">
        <x:v>284</x:v>
      </x:c>
      <x:c r="O2" s="500" t="s">
        <x:v>285</x:v>
      </x:c>
      <x:c r="P2" s="607" t="s">
        <x:v>286</x:v>
      </x:c>
      <x:c r="Q2" s="500" t="s">
        <x:v>287</x:v>
      </x:c>
    </x:row>
    <x:row r="3" spans="2:19" s="135" customFormat="1" ht="28.2" thickBot="1" x14ac:dyDescent="0.35">
      <x:c r="B3" s="545" t="s">
        <x:v>134</x:v>
      </x:c>
      <x:c r="C3" s="136" t="s">
        <x:v>3</x:v>
      </x:c>
      <x:c r="D3" s="137" t="s">
        <x:v>9</x:v>
      </x:c>
      <x:c r="E3" s="478" t="s">
        <x:v>108</x:v>
      </x:c>
      <x:c r="F3" s="501" t="s">
        <x:v>288</x:v>
      </x:c>
      <x:c r="G3" s="502" t="s">
        <x:v>289</x:v>
      </x:c>
      <x:c r="H3" s="503" t="s">
        <x:v>290</x:v>
      </x:c>
      <x:c r="I3" s="504" t="s">
        <x:v>291</x:v>
      </x:c>
      <x:c r="J3" s="501" t="s">
        <x:v>292</x:v>
      </x:c>
      <x:c r="K3" s="502" t="s">
        <x:v>293</x:v>
      </x:c>
      <x:c r="L3" s="503" t="s">
        <x:v>294</x:v>
      </x:c>
      <x:c r="M3" s="504" t="s">
        <x:v>295</x:v>
      </x:c>
      <x:c r="N3" s="501" t="s">
        <x:v>296</x:v>
      </x:c>
      <x:c r="O3" s="502" t="s">
        <x:v>297</x:v>
      </x:c>
      <x:c r="P3" s="503" t="s">
        <x:v>298</x:v>
      </x:c>
      <x:c r="Q3" s="504" t="s">
        <x:v>299</x:v>
      </x:c>
    </x:row>
    <x:row r="4" spans="2:19" s="135" customFormat="1" x14ac:dyDescent="0.3">
      <x:c r="B4" s="546">
        <x:v>378371975</x:v>
      </x:c>
      <x:c r="C4" s="479">
        <x:v>1</x:v>
      </x:c>
      <x:c r="D4" s="145" t="s">
        <x:v>10</x:v>
      </x:c>
      <x:c r="E4" s="547">
        <x:v>0.22</x:v>
      </x:c>
      <x:c r="F4" s="548">
        <x:v>189185988</x:v>
      </x:c>
      <x:c r="G4" s="549">
        <x:v>189185987</x:v>
      </x:c>
      <x:c r="H4" s="550">
        <x:v>189185988</x:v>
      </x:c>
      <x:c r="I4" s="551">
        <x:v>189185987</x:v>
      </x:c>
      <x:c r="J4" s="548">
        <x:v>189185988</x:v>
      </x:c>
      <x:c r="K4" s="549">
        <x:v>189185987</x:v>
      </x:c>
      <x:c r="L4" s="550">
        <x:v>189185988</x:v>
      </x:c>
      <x:c r="M4" s="551">
        <x:v>189185987</x:v>
      </x:c>
      <x:c r="N4" s="548">
        <x:v>189185988</x:v>
      </x:c>
      <x:c r="O4" s="549">
        <x:v>189185987</x:v>
      </x:c>
      <x:c r="P4" s="550">
        <x:v>189185988</x:v>
      </x:c>
      <x:c r="Q4" s="551">
        <x:v>189185987</x:v>
      </x:c>
      <x:c r="S4" s="608"/>
    </x:row>
    <x:row r="5" spans="2:19" s="135" customFormat="1" x14ac:dyDescent="0.3">
      <x:c r="B5" s="546">
        <x:v>533160511</x:v>
      </x:c>
      <x:c r="C5" s="480">
        <x:v>2</x:v>
      </x:c>
      <x:c r="D5" s="140" t="s">
        <x:v>11</x:v>
      </x:c>
      <x:c r="E5" s="552">
        <x:v>0.31</x:v>
      </x:c>
      <x:c r="F5" s="553">
        <x:v>266580256</x:v>
      </x:c>
      <x:c r="G5" s="554">
        <x:v>266580255</x:v>
      </x:c>
      <x:c r="H5" s="555">
        <x:v>266580256</x:v>
      </x:c>
      <x:c r="I5" s="551">
        <x:v>266580255</x:v>
      </x:c>
      <x:c r="J5" s="553">
        <x:v>266580256</x:v>
      </x:c>
      <x:c r="K5" s="554">
        <x:v>266580255</x:v>
      </x:c>
      <x:c r="L5" s="555">
        <x:v>266580256</x:v>
      </x:c>
      <x:c r="M5" s="551">
        <x:v>266580255</x:v>
      </x:c>
      <x:c r="N5" s="553">
        <x:v>266580256</x:v>
      </x:c>
      <x:c r="O5" s="554">
        <x:v>266580255</x:v>
      </x:c>
      <x:c r="P5" s="555">
        <x:v>266580256</x:v>
      </x:c>
      <x:c r="Q5" s="551">
        <x:v>266580255</x:v>
      </x:c>
      <x:c r="S5" s="608"/>
    </x:row>
    <x:row r="6" spans="2:19" s="135" customFormat="1" x14ac:dyDescent="0.3">
      <x:c r="B6" s="546">
        <x:v>309577071</x:v>
      </x:c>
      <x:c r="C6" s="480">
        <x:v>3</x:v>
      </x:c>
      <x:c r="D6" s="140" t="s">
        <x:v>12</x:v>
      </x:c>
      <x:c r="E6" s="552">
        <x:v>0.18</x:v>
      </x:c>
      <x:c r="F6" s="553">
        <x:v>154788536</x:v>
      </x:c>
      <x:c r="G6" s="554">
        <x:v>154788535</x:v>
      </x:c>
      <x:c r="H6" s="555">
        <x:v>154788536</x:v>
      </x:c>
      <x:c r="I6" s="551">
        <x:v>154788535</x:v>
      </x:c>
      <x:c r="J6" s="553">
        <x:v>154788536</x:v>
      </x:c>
      <x:c r="K6" s="554">
        <x:v>154788535</x:v>
      </x:c>
      <x:c r="L6" s="555">
        <x:v>154788536</x:v>
      </x:c>
      <x:c r="M6" s="551">
        <x:v>154788535</x:v>
      </x:c>
      <x:c r="N6" s="553">
        <x:v>154788536</x:v>
      </x:c>
      <x:c r="O6" s="554">
        <x:v>154788535</x:v>
      </x:c>
      <x:c r="P6" s="555">
        <x:v>154788536</x:v>
      </x:c>
      <x:c r="Q6" s="551">
        <x:v>154788535</x:v>
      </x:c>
      <x:c r="S6" s="608"/>
    </x:row>
    <x:row r="7" spans="2:19" s="135" customFormat="1" x14ac:dyDescent="0.3">
      <x:c r="B7" s="546">
        <x:v>240782166</x:v>
      </x:c>
      <x:c r="C7" s="480">
        <x:v>4</x:v>
      </x:c>
      <x:c r="D7" s="140" t="s">
        <x:v>13</x:v>
      </x:c>
      <x:c r="E7" s="552">
        <x:v>0.14000000000000001</x:v>
      </x:c>
      <x:c r="F7" s="553">
        <x:v>120391083</x:v>
      </x:c>
      <x:c r="G7" s="554">
        <x:v>120391083</x:v>
      </x:c>
      <x:c r="H7" s="555">
        <x:v>120391083</x:v>
      </x:c>
      <x:c r="I7" s="551">
        <x:v>120391083</x:v>
      </x:c>
      <x:c r="J7" s="553">
        <x:v>120391083</x:v>
      </x:c>
      <x:c r="K7" s="554">
        <x:v>120391083</x:v>
      </x:c>
      <x:c r="L7" s="555">
        <x:v>120391083</x:v>
      </x:c>
      <x:c r="M7" s="551">
        <x:v>120391083</x:v>
      </x:c>
      <x:c r="N7" s="553">
        <x:v>120391083</x:v>
      </x:c>
      <x:c r="O7" s="554">
        <x:v>120391083</x:v>
      </x:c>
      <x:c r="P7" s="555">
        <x:v>120391083</x:v>
      </x:c>
      <x:c r="Q7" s="551">
        <x:v>120391083</x:v>
      </x:c>
      <x:c r="S7" s="608"/>
    </x:row>
    <x:row r="8" spans="2:19" s="135" customFormat="1" ht="14.4" thickBot="1" x14ac:dyDescent="0.35">
      <x:c r="B8" s="546">
        <x:v>257980891</x:v>
      </x:c>
      <x:c r="C8" s="481">
        <x:v>5</x:v>
      </x:c>
      <x:c r="D8" s="142" t="s">
        <x:v>14</x:v>
      </x:c>
      <x:c r="E8" s="556">
        <x:v>0.15</x:v>
      </x:c>
      <x:c r="F8" s="557">
        <x:v>128990446</x:v>
      </x:c>
      <x:c r="G8" s="558">
        <x:v>128990445</x:v>
      </x:c>
      <x:c r="H8" s="559">
        <x:v>128990446</x:v>
      </x:c>
      <x:c r="I8" s="560">
        <x:v>128990445</x:v>
      </x:c>
      <x:c r="J8" s="557">
        <x:v>128990446</x:v>
      </x:c>
      <x:c r="K8" s="558">
        <x:v>128990445</x:v>
      </x:c>
      <x:c r="L8" s="559">
        <x:v>128990446</x:v>
      </x:c>
      <x:c r="M8" s="560">
        <x:v>128990445</x:v>
      </x:c>
      <x:c r="N8" s="557">
        <x:v>128990446</x:v>
      </x:c>
      <x:c r="O8" s="558">
        <x:v>128990445</x:v>
      </x:c>
      <x:c r="P8" s="559">
        <x:v>128990446</x:v>
      </x:c>
      <x:c r="Q8" s="560">
        <x:v>128990445</x:v>
      </x:c>
      <x:c r="S8" s="608"/>
    </x:row>
    <x:row r="9" spans="2:19" s="135" customFormat="1" ht="14.4" thickBot="1" x14ac:dyDescent="0.35">
      <x:c r="B9" s="561">
        <x:v>1719872614</x:v>
      </x:c>
      <x:c r="C9" s="143"/>
      <x:c r="D9" s="144" t="s">
        <x:v>2</x:v>
      </x:c>
      <x:c r="E9" s="482">
        <x:v>1</x:v>
      </x:c>
      <x:c r="F9" s="562">
        <x:v>859936309</x:v>
      </x:c>
      <x:c r="G9" s="562">
        <x:v>859936305</x:v>
      </x:c>
      <x:c r="H9" s="563">
        <x:v>859936309</x:v>
      </x:c>
      <x:c r="I9" s="563">
        <x:v>859936305</x:v>
      </x:c>
      <x:c r="J9" s="562">
        <x:v>859936309</x:v>
      </x:c>
      <x:c r="K9" s="562">
        <x:v>859936305</x:v>
      </x:c>
      <x:c r="L9" s="563">
        <x:v>859936309</x:v>
      </x:c>
      <x:c r="M9" s="563">
        <x:v>859936305</x:v>
      </x:c>
      <x:c r="N9" s="562">
        <x:v>859936309</x:v>
      </x:c>
      <x:c r="O9" s="562">
        <x:v>859936305</x:v>
      </x:c>
      <x:c r="P9" s="563">
        <x:v>859936309</x:v>
      </x:c>
      <x:c r="Q9" s="563">
        <x:v>859936305</x:v>
      </x:c>
      <x:c r="S9" s="608"/>
    </x:row>
    <x:row r="10" spans="2:19" s="135" customFormat="1" ht="15.75" customHeight="1" thickBot="1" x14ac:dyDescent="0.35">
      <x:c r="B10" s="544"/>
      <x:c r="F10" s="767">
        <x:f>SUM(F9:G9)</x:f>
        <x:v>1719872614</x:v>
      </x:c>
      <x:c r="G10" s="768"/>
      <x:c r="H10" s="767">
        <x:f>SUM(H9:I9)</x:f>
        <x:v>1719872614</x:v>
      </x:c>
      <x:c r="I10" s="768"/>
      <x:c r="J10" s="767">
        <x:f>SUM(J9:K9)</x:f>
        <x:v>1719872614</x:v>
      </x:c>
      <x:c r="K10" s="768"/>
      <x:c r="L10" s="767">
        <x:f>SUM(L9:M9)</x:f>
        <x:v>1719872614</x:v>
      </x:c>
      <x:c r="M10" s="768"/>
      <x:c r="N10" s="767">
        <x:f>SUM(N9:O9)</x:f>
        <x:v>1719872614</x:v>
      </x:c>
      <x:c r="O10" s="768"/>
      <x:c r="P10" s="767">
        <x:f>SUM(P9:Q9)</x:f>
        <x:v>1719872614</x:v>
      </x:c>
      <x:c r="Q10" s="768"/>
    </x:row>
    <x:row r="12" spans="2:19" ht="14.4" thickBot="1" x14ac:dyDescent="0.35"/>
    <x:row r="13" spans="2:19" s="135" customFormat="1" ht="14.4" thickBot="1" x14ac:dyDescent="0.35">
      <x:c r="B13" s="544"/>
      <x:c r="E13" s="135" t="s">
        <x:v>1</x:v>
      </x:c>
      <x:c r="F13" s="609" t="s">
        <x:v>300</x:v>
      </x:c>
      <x:c r="G13" s="499" t="s">
        <x:v>301</x:v>
      </x:c>
      <x:c r="H13" s="499" t="s">
        <x:v>302</x:v>
      </x:c>
      <x:c r="I13" s="500" t="s">
        <x:v>303</x:v>
      </x:c>
      <x:c r="J13" s="500" t="s">
        <x:v>304</x:v>
      </x:c>
      <x:c r="K13" s="499" t="s">
        <x:v>305</x:v>
      </x:c>
      <x:c r="L13" s="499" t="s">
        <x:v>306</x:v>
      </x:c>
      <x:c r="M13" s="500" t="s">
        <x:v>307</x:v>
      </x:c>
      <x:c r="N13" s="500" t="s">
        <x:v>308</x:v>
      </x:c>
      <x:c r="O13" s="499" t="s">
        <x:v>309</x:v>
      </x:c>
      <x:c r="P13" s="499" t="s">
        <x:v>310</x:v>
      </x:c>
      <x:c r="Q13" s="500" t="s">
        <x:v>311</x:v>
      </x:c>
    </x:row>
    <x:row r="14" spans="2:19" s="135" customFormat="1" ht="28.2" thickBot="1" x14ac:dyDescent="0.35">
      <x:c r="B14" s="544"/>
      <x:c r="C14" s="136" t="s">
        <x:v>3</x:v>
      </x:c>
      <x:c r="D14" s="137" t="s">
        <x:v>9</x:v>
      </x:c>
      <x:c r="E14" s="478" t="s">
        <x:v>108</x:v>
      </x:c>
      <x:c r="F14" s="501" t="s">
        <x:v>312</x:v>
      </x:c>
      <x:c r="G14" s="502" t="s">
        <x:v>313</x:v>
      </x:c>
      <x:c r="H14" s="503" t="s">
        <x:v>314</x:v>
      </x:c>
      <x:c r="I14" s="504" t="s">
        <x:v>315</x:v>
      </x:c>
      <x:c r="J14" s="501" t="s">
        <x:v>316</x:v>
      </x:c>
      <x:c r="K14" s="502" t="s">
        <x:v>317</x:v>
      </x:c>
      <x:c r="L14" s="503" t="s">
        <x:v>318</x:v>
      </x:c>
      <x:c r="M14" s="504" t="s">
        <x:v>319</x:v>
      </x:c>
      <x:c r="N14" s="501" t="s">
        <x:v>320</x:v>
      </x:c>
      <x:c r="O14" s="502" t="s">
        <x:v>321</x:v>
      </x:c>
      <x:c r="P14" s="503" t="s">
        <x:v>322</x:v>
      </x:c>
      <x:c r="Q14" s="504" t="s">
        <x:v>323</x:v>
      </x:c>
    </x:row>
    <x:row r="15" spans="2:19" s="135" customFormat="1" x14ac:dyDescent="0.3">
      <x:c r="B15" s="544"/>
      <x:c r="C15" s="138">
        <x:v>1</x:v>
      </x:c>
      <x:c r="D15" s="145" t="s">
        <x:v>10</x:v>
      </x:c>
      <x:c r="E15" s="564">
        <x:v>0.22</x:v>
      </x:c>
      <x:c r="F15" s="548">
        <x:v>189185988</x:v>
      </x:c>
      <x:c r="G15" s="549">
        <x:v>189185987</x:v>
      </x:c>
      <x:c r="H15" s="550">
        <x:v>189185988</x:v>
      </x:c>
      <x:c r="I15" s="551">
        <x:v>189185987</x:v>
      </x:c>
      <x:c r="J15" s="548">
        <x:v>189185988</x:v>
      </x:c>
      <x:c r="K15" s="549">
        <x:v>189185987</x:v>
      </x:c>
      <x:c r="L15" s="550">
        <x:v>189185988</x:v>
      </x:c>
      <x:c r="M15" s="551">
        <x:v>189185987</x:v>
      </x:c>
      <x:c r="N15" s="548">
        <x:v>189185988</x:v>
      </x:c>
      <x:c r="O15" s="549">
        <x:v>189185987</x:v>
      </x:c>
      <x:c r="P15" s="550">
        <x:v>189185988</x:v>
      </x:c>
      <x:c r="Q15" s="551">
        <x:v>189185987</x:v>
      </x:c>
    </x:row>
    <x:row r="16" spans="2:19" s="135" customFormat="1" x14ac:dyDescent="0.3">
      <x:c r="B16" s="544"/>
      <x:c r="C16" s="139">
        <x:v>2</x:v>
      </x:c>
      <x:c r="D16" s="140" t="s">
        <x:v>11</x:v>
      </x:c>
      <x:c r="E16" s="565">
        <x:v>0.31</x:v>
      </x:c>
      <x:c r="F16" s="553">
        <x:v>266580256</x:v>
      </x:c>
      <x:c r="G16" s="554">
        <x:v>266580255</x:v>
      </x:c>
      <x:c r="H16" s="555">
        <x:v>266580256</x:v>
      </x:c>
      <x:c r="I16" s="551">
        <x:v>266580255</x:v>
      </x:c>
      <x:c r="J16" s="553">
        <x:v>266580256</x:v>
      </x:c>
      <x:c r="K16" s="554">
        <x:v>266580255</x:v>
      </x:c>
      <x:c r="L16" s="555">
        <x:v>266580256</x:v>
      </x:c>
      <x:c r="M16" s="551">
        <x:v>266580255</x:v>
      </x:c>
      <x:c r="N16" s="553">
        <x:v>266580256</x:v>
      </x:c>
      <x:c r="O16" s="554">
        <x:v>266580255</x:v>
      </x:c>
      <x:c r="P16" s="555">
        <x:v>266580256</x:v>
      </x:c>
      <x:c r="Q16" s="551">
        <x:v>266580255</x:v>
      </x:c>
    </x:row>
    <x:row r="17" spans="2:19" s="135" customFormat="1" x14ac:dyDescent="0.3">
      <x:c r="B17" s="544"/>
      <x:c r="C17" s="139">
        <x:v>3</x:v>
      </x:c>
      <x:c r="D17" s="140" t="s">
        <x:v>12</x:v>
      </x:c>
      <x:c r="E17" s="565">
        <x:v>0.18</x:v>
      </x:c>
      <x:c r="F17" s="553">
        <x:v>154788536</x:v>
      </x:c>
      <x:c r="G17" s="554">
        <x:v>154788535</x:v>
      </x:c>
      <x:c r="H17" s="555">
        <x:v>154788536</x:v>
      </x:c>
      <x:c r="I17" s="551">
        <x:v>154788535</x:v>
      </x:c>
      <x:c r="J17" s="553">
        <x:v>154788536</x:v>
      </x:c>
      <x:c r="K17" s="554">
        <x:v>154788535</x:v>
      </x:c>
      <x:c r="L17" s="555">
        <x:v>154788536</x:v>
      </x:c>
      <x:c r="M17" s="551">
        <x:v>154788535</x:v>
      </x:c>
      <x:c r="N17" s="553">
        <x:v>154788536</x:v>
      </x:c>
      <x:c r="O17" s="554">
        <x:v>154788535</x:v>
      </x:c>
      <x:c r="P17" s="555">
        <x:v>154788536</x:v>
      </x:c>
      <x:c r="Q17" s="551">
        <x:v>154788535</x:v>
      </x:c>
    </x:row>
    <x:row r="18" spans="2:19" s="135" customFormat="1" x14ac:dyDescent="0.3">
      <x:c r="B18" s="544"/>
      <x:c r="C18" s="139">
        <x:v>4</x:v>
      </x:c>
      <x:c r="D18" s="140" t="s">
        <x:v>13</x:v>
      </x:c>
      <x:c r="E18" s="565">
        <x:v>0.14000000000000001</x:v>
      </x:c>
      <x:c r="F18" s="553">
        <x:v>120391083</x:v>
      </x:c>
      <x:c r="G18" s="554">
        <x:v>120391083</x:v>
      </x:c>
      <x:c r="H18" s="555">
        <x:v>120391083</x:v>
      </x:c>
      <x:c r="I18" s="551">
        <x:v>120391083</x:v>
      </x:c>
      <x:c r="J18" s="553">
        <x:v>120391083</x:v>
      </x:c>
      <x:c r="K18" s="554">
        <x:v>120391083</x:v>
      </x:c>
      <x:c r="L18" s="555">
        <x:v>120391083</x:v>
      </x:c>
      <x:c r="M18" s="551">
        <x:v>120391083</x:v>
      </x:c>
      <x:c r="N18" s="553">
        <x:v>120391083</x:v>
      </x:c>
      <x:c r="O18" s="554">
        <x:v>120391083</x:v>
      </x:c>
      <x:c r="P18" s="555">
        <x:v>120391083</x:v>
      </x:c>
      <x:c r="Q18" s="551">
        <x:v>120391083</x:v>
      </x:c>
    </x:row>
    <x:row r="19" spans="2:19" s="135" customFormat="1" ht="14.4" thickBot="1" x14ac:dyDescent="0.35">
      <x:c r="B19" s="544"/>
      <x:c r="C19" s="141">
        <x:v>5</x:v>
      </x:c>
      <x:c r="D19" s="142" t="s">
        <x:v>14</x:v>
      </x:c>
      <x:c r="E19" s="566">
        <x:v>0.15</x:v>
      </x:c>
      <x:c r="F19" s="557">
        <x:v>128990446</x:v>
      </x:c>
      <x:c r="G19" s="558">
        <x:v>128990445</x:v>
      </x:c>
      <x:c r="H19" s="559">
        <x:v>128990446</x:v>
      </x:c>
      <x:c r="I19" s="560">
        <x:v>128990445</x:v>
      </x:c>
      <x:c r="J19" s="557">
        <x:v>128990446</x:v>
      </x:c>
      <x:c r="K19" s="558">
        <x:v>128990445</x:v>
      </x:c>
      <x:c r="L19" s="559">
        <x:v>128990446</x:v>
      </x:c>
      <x:c r="M19" s="560">
        <x:v>128990445</x:v>
      </x:c>
      <x:c r="N19" s="557">
        <x:v>128990446</x:v>
      </x:c>
      <x:c r="O19" s="558">
        <x:v>128990445</x:v>
      </x:c>
      <x:c r="P19" s="559">
        <x:v>128990446</x:v>
      </x:c>
      <x:c r="Q19" s="560">
        <x:v>128990445</x:v>
      </x:c>
    </x:row>
    <x:row r="20" spans="2:19" s="135" customFormat="1" ht="14.4" thickBot="1" x14ac:dyDescent="0.35">
      <x:c r="B20" s="544"/>
      <x:c r="C20" s="143"/>
      <x:c r="D20" s="144" t="s">
        <x:v>2</x:v>
      </x:c>
      <x:c r="E20" s="483">
        <x:v>1</x:v>
      </x:c>
      <x:c r="F20" s="562">
        <x:v>859936309</x:v>
      </x:c>
      <x:c r="G20" s="562">
        <x:v>859936305</x:v>
      </x:c>
      <x:c r="H20" s="563">
        <x:v>859936309</x:v>
      </x:c>
      <x:c r="I20" s="563">
        <x:v>859936305</x:v>
      </x:c>
      <x:c r="J20" s="562">
        <x:v>859936309</x:v>
      </x:c>
      <x:c r="K20" s="562">
        <x:v>859936305</x:v>
      </x:c>
      <x:c r="L20" s="563">
        <x:v>859936309</x:v>
      </x:c>
      <x:c r="M20" s="563">
        <x:v>859936305</x:v>
      </x:c>
      <x:c r="N20" s="562">
        <x:v>859936309</x:v>
      </x:c>
      <x:c r="O20" s="562">
        <x:v>859936305</x:v>
      </x:c>
      <x:c r="P20" s="563">
        <x:v>859936309</x:v>
      </x:c>
      <x:c r="Q20" s="563">
        <x:v>859936305</x:v>
      </x:c>
    </x:row>
    <x:row r="21" spans="2:19" s="135" customFormat="1" ht="14.4" thickBot="1" x14ac:dyDescent="0.35">
      <x:c r="B21" s="544"/>
      <x:c r="F21" s="767">
        <x:f>SUM(F20:G20)</x:f>
        <x:v>1719872614</x:v>
      </x:c>
      <x:c r="G21" s="768">
        <x:v>1191383498</x:v>
      </x:c>
      <x:c r="H21" s="767">
        <x:f>SUM(H20:I20)</x:f>
        <x:v>1719872614</x:v>
      </x:c>
      <x:c r="I21" s="768">
        <x:v>1191383498</x:v>
      </x:c>
      <x:c r="J21" s="767">
        <x:f>SUM(J20:K20)</x:f>
        <x:v>1719872614</x:v>
      </x:c>
      <x:c r="K21" s="768">
        <x:v>1191383498</x:v>
      </x:c>
      <x:c r="L21" s="767">
        <x:f>SUM(L20:M20)</x:f>
        <x:v>1719872614</x:v>
      </x:c>
      <x:c r="M21" s="768">
        <x:v>1191383498</x:v>
      </x:c>
      <x:c r="N21" s="767">
        <x:f>SUM(N20:O20)</x:f>
        <x:v>1719872614</x:v>
      </x:c>
      <x:c r="O21" s="768">
        <x:v>1191383498</x:v>
      </x:c>
      <x:c r="P21" s="767">
        <x:f>SUM(P20:Q20)</x:f>
        <x:v>1719872614</x:v>
      </x:c>
      <x:c r="Q21" s="768">
        <x:v>1191383498</x:v>
      </x:c>
    </x:row>
    <x:row r="24" spans="2:19" ht="14.4" thickBot="1" x14ac:dyDescent="0.35">
      <x:c r="B24" s="197"/>
      <x:c r="C24" s="437"/>
      <x:c r="D24" s="437"/>
      <x:c r="E24" s="197"/>
      <x:c r="F24" s="197"/>
      <x:c r="G24" s="197"/>
      <x:c r="H24" s="197"/>
      <x:c r="I24" s="197"/>
      <x:c r="J24" s="197"/>
      <x:c r="K24" s="197"/>
      <x:c r="L24" s="197"/>
      <x:c r="M24" s="197"/>
      <x:c r="N24" s="197"/>
      <x:c r="O24" s="197"/>
      <x:c r="P24" s="197"/>
      <x:c r="Q24" s="197"/>
      <x:c r="R24" s="197"/>
    </x:row>
    <x:row r="25" spans="2:19" ht="24.75" customHeight="1" thickBot="1" x14ac:dyDescent="0.35">
      <x:c r="K25" s="588" t="s">
        <x:v>269</x:v>
      </x:c>
      <x:c r="L25" s="136" t="s">
        <x:v>3</x:v>
      </x:c>
      <x:c r="M25" s="527" t="s">
        <x:v>267</x:v>
      </x:c>
      <x:c r="N25" s="527" t="s">
        <x:v>268</x:v>
      </x:c>
      <x:c r="Q25" s="438" t="s">
        <x:v>1</x:v>
      </x:c>
      <x:c r="R25" s="29" t="s">
        <x:v>200</x:v>
      </x:c>
    </x:row>
    <x:row r="26" spans="2:19" x14ac:dyDescent="0.3">
      <x:c r="G26" s="191"/>
      <x:c r="H26" s="191"/>
      <x:c r="I26" s="191"/>
      <x:c r="J26" s="526"/>
      <x:c r="K26" s="567">
        <x:v>378371975</x:v>
      </x:c>
      <x:c r="L26" s="138">
        <x:v>1</x:v>
      </x:c>
      <x:c r="M26" s="586">
        <x:v>189185988</x:v>
      </x:c>
      <x:c r="N26" s="164">
        <x:v>189185987</x:v>
      </x:c>
      <x:c r="O26" s="151" t="b">
        <x:f>M26=R26</x:f>
        <x:v>1</x:v>
      </x:c>
      <x:c r="P26" s="151"/>
      <x:c r="Q26" s="587">
        <x:f>'CONSOLIDADO_TOTAL RECAUDO'!L104</x:f>
        <x:v>189185987</x:v>
      </x:c>
      <x:c r="R26" s="575">
        <x:f>F15</x:f>
        <x:v>189185988</x:v>
      </x:c>
      <x:c r="S26" t="b">
        <x:f>Q26=R26</x:f>
        <x:v>0</x:v>
      </x:c>
    </x:row>
    <x:row r="27" spans="2:19" x14ac:dyDescent="0.3">
      <x:c r="G27" s="191"/>
      <x:c r="H27" s="191"/>
      <x:c r="I27" s="191"/>
      <x:c r="J27" s="526"/>
      <x:c r="K27" s="568">
        <x:v>533160511</x:v>
      </x:c>
      <x:c r="L27" s="139">
        <x:v>2</x:v>
      </x:c>
      <x:c r="M27" s="586">
        <x:v>266580256</x:v>
      </x:c>
      <x:c r="N27" s="164">
        <x:v>266580255</x:v>
      </x:c>
      <x:c r="O27" s="151" t="b">
        <x:f t="shared" ref="O27:O31" si="0">M27=R27</x:f>
        <x:v>1</x:v>
      </x:c>
      <x:c r="P27" s="151"/>
      <x:c r="Q27" s="587">
        <x:f>'CONSOLIDADO_TOTAL RECAUDO'!L105</x:f>
        <x:v>266580255</x:v>
      </x:c>
      <x:c r="R27" s="575">
        <x:f t="shared" ref="R27:R31" si="1">F16</x:f>
        <x:v>266580256</x:v>
      </x:c>
      <x:c r="S27" t="b">
        <x:f>Q27=R27</x:f>
        <x:v>0</x:v>
      </x:c>
    </x:row>
    <x:row r="28" spans="2:19" x14ac:dyDescent="0.3">
      <x:c r="G28" s="151"/>
      <x:c r="H28" s="191"/>
      <x:c r="I28" s="191"/>
      <x:c r="J28" s="526"/>
      <x:c r="K28" s="568">
        <x:v>309577071</x:v>
      </x:c>
      <x:c r="L28" s="139">
        <x:v>3</x:v>
      </x:c>
      <x:c r="M28" s="586">
        <x:v>154788536</x:v>
      </x:c>
      <x:c r="N28" s="164">
        <x:v>154788535</x:v>
      </x:c>
      <x:c r="O28" s="151" t="b">
        <x:f t="shared" si="0"/>
        <x:v>1</x:v>
      </x:c>
      <x:c r="P28" s="151"/>
      <x:c r="Q28" s="587">
        <x:f>'CONSOLIDADO_TOTAL RECAUDO'!L106</x:f>
        <x:v>154788535</x:v>
      </x:c>
      <x:c r="R28" s="575">
        <x:f t="shared" si="1"/>
        <x:v>154788536</x:v>
      </x:c>
      <x:c r="S28" t="b">
        <x:f t="shared" ref="S28:S31" si="2">Q28=R28</x:f>
        <x:v>0</x:v>
      </x:c>
    </x:row>
    <x:row r="29" spans="2:19" x14ac:dyDescent="0.3">
      <x:c r="G29" s="514"/>
      <x:c r="H29" s="191"/>
      <x:c r="I29" s="191"/>
      <x:c r="J29" s="526"/>
      <x:c r="K29" s="568">
        <x:v>240782166</x:v>
      </x:c>
      <x:c r="L29" s="139">
        <x:v>4</x:v>
      </x:c>
      <x:c r="M29" s="586">
        <x:v>120391083</x:v>
      </x:c>
      <x:c r="N29" s="569">
        <x:v>120391083</x:v>
      </x:c>
      <x:c r="O29" s="151" t="b">
        <x:f t="shared" si="0"/>
        <x:v>1</x:v>
      </x:c>
      <x:c r="P29" s="151"/>
      <x:c r="Q29" s="587">
        <x:f>'CONSOLIDADO_TOTAL RECAUDO'!L107</x:f>
        <x:v>120391083</x:v>
      </x:c>
      <x:c r="R29" s="575">
        <x:f t="shared" si="1"/>
        <x:v>120391083</x:v>
      </x:c>
      <x:c r="S29" t="b">
        <x:f t="shared" si="2"/>
        <x:v>1</x:v>
      </x:c>
    </x:row>
    <x:row r="30" spans="2:19" ht="14.4" thickBot="1" x14ac:dyDescent="0.35">
      <x:c r="G30" s="514"/>
      <x:c r="H30" s="191"/>
      <x:c r="I30" s="191"/>
      <x:c r="J30" s="526"/>
      <x:c r="K30" s="570">
        <x:v>257980891</x:v>
      </x:c>
      <x:c r="L30" s="141">
        <x:v>5</x:v>
      </x:c>
      <x:c r="M30" s="586">
        <x:v>128990446</x:v>
      </x:c>
      <x:c r="N30" s="571">
        <x:v>128990445</x:v>
      </x:c>
      <x:c r="O30" s="151" t="b">
        <x:f t="shared" si="0"/>
        <x:v>1</x:v>
      </x:c>
      <x:c r="P30" s="151"/>
      <x:c r="Q30" s="587">
        <x:f>'CONSOLIDADO_TOTAL RECAUDO'!L108</x:f>
        <x:v>128990445</x:v>
      </x:c>
      <x:c r="R30" s="575">
        <x:f t="shared" si="1"/>
        <x:v>128990446</x:v>
      </x:c>
      <x:c r="S30" t="b">
        <x:f t="shared" si="2"/>
        <x:v>0</x:v>
      </x:c>
    </x:row>
    <x:row r="31" spans="2:19" ht="14.4" thickBot="1" x14ac:dyDescent="0.35">
      <x:c r="G31" s="514"/>
      <x:c r="H31" s="151"/>
      <x:c r="I31" s="151"/>
      <x:c r="J31" s="211"/>
      <x:c r="K31" s="572">
        <x:f>SUM(K26:K30)</x:f>
        <x:v>1719872614</x:v>
      </x:c>
      <x:c r="L31" s="143"/>
      <x:c r="M31" s="573">
        <x:f>SUM(M26:M30)</x:f>
        <x:v>859936309</x:v>
      </x:c>
      <x:c r="N31" s="573">
        <x:f>SUM(N26:N30)</x:f>
        <x:v>859936305</x:v>
      </x:c>
      <x:c r="O31" s="151" t="b">
        <x:f t="shared" si="0"/>
        <x:v>1</x:v>
      </x:c>
      <x:c r="P31" s="151"/>
      <x:c r="Q31" s="587">
        <x:f>'CONSOLIDADO_TOTAL RECAUDO'!L109</x:f>
        <x:v>859936305</x:v>
      </x:c>
      <x:c r="R31" s="575">
        <x:f t="shared" si="1"/>
        <x:v>859936309</x:v>
      </x:c>
      <x:c r="S31" t="b">
        <x:f t="shared" si="2"/>
        <x:v>0</x:v>
      </x:c>
    </x:row>
    <x:row r="32" spans="2:19" x14ac:dyDescent="0.3">
      <x:c r="G32" s="514"/>
      <x:c r="H32" s="151"/>
      <x:c r="I32" s="151"/>
      <x:c r="K32" s="528">
        <x:f>SUM(M31:N31)</x:f>
        <x:v>1719872614</x:v>
      </x:c>
      <x:c r="L32" s="211"/>
    </x:row>
    <x:row r="33" spans="7:17" x14ac:dyDescent="0.3">
      <x:c r="G33" s="514"/>
      <x:c r="H33" s="151"/>
      <x:c r="J33" s="211"/>
      <x:c r="K33" s="211"/>
      <x:c r="Q33" s="191"/>
    </x:row>
    <x:row r="34" spans="7:17" x14ac:dyDescent="0.3">
      <x:c r="G34" s="514"/>
      <x:c r="H34" s="151"/>
      <x:c r="Q34" s="191"/>
    </x:row>
    <x:row r="35" spans="7:17" x14ac:dyDescent="0.3">
      <x:c r="H35" s="151"/>
      <x:c r="K35" s="574"/>
      <x:c r="Q35" s="191"/>
    </x:row>
    <x:row r="36" spans="7:17" x14ac:dyDescent="0.3">
      <x:c r="H36" s="151"/>
      <x:c r="K36" s="574"/>
      <x:c r="Q36" s="191"/>
    </x:row>
    <x:row r="37" spans="7:17" x14ac:dyDescent="0.3">
      <x:c r="H37" s="151"/>
      <x:c r="K37" s="574"/>
      <x:c r="Q37" s="191"/>
    </x:row>
    <x:row r="38" spans="7:17" x14ac:dyDescent="0.3">
      <x:c r="H38" s="151"/>
      <x:c r="K38" s="574"/>
      <x:c r="Q38" s="191"/>
    </x:row>
    <x:row r="39" spans="7:17" x14ac:dyDescent="0.3">
      <x:c r="H39" s="151"/>
      <x:c r="K39" s="574"/>
    </x:row>
    <x:row r="40" spans="7:17" x14ac:dyDescent="0.3">
      <x:c r="H40" s="151"/>
      <x:c r="K40" s="574"/>
    </x:row>
    <x:row r="41" spans="7:17" x14ac:dyDescent="0.3">
      <x:c r="H41" s="151"/>
    </x:row>
    <x:row r="42" spans="7:17" x14ac:dyDescent="0.3">
      <x:c r="H42" s="151"/>
    </x:row>
    <x:row r="43" spans="7:17" x14ac:dyDescent="0.3">
      <x:c r="H43" s="151"/>
    </x:row>
    <x:row r="44" spans="7:17" x14ac:dyDescent="0.3">
      <x:c r="H44" s="151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A19" sqref="A19"/>
    </x:sheetView>
  </x:sheetViews>
  <x:sheetFormatPr baseColWidth="10" defaultColWidth="11.44140625" defaultRowHeight="11.4" x14ac:dyDescent="0.2"/>
  <x:cols>
    <x:col min="1" max="1" width="3" style="315" customWidth="1"/>
    <x:col min="2" max="2" width="4.44140625" style="315" bestFit="1" customWidth="1"/>
    <x:col min="3" max="3" width="38.33203125" style="315" customWidth="1"/>
    <x:col min="4" max="4" width="15.33203125" style="315" customWidth="1"/>
    <x:col min="5" max="5" width="16" style="315" customWidth="1"/>
    <x:col min="6" max="7" width="14.6640625" style="315" customWidth="1"/>
    <x:col min="8" max="9" width="16" style="315" customWidth="1"/>
    <x:col min="10" max="10" width="17.5546875" style="315" customWidth="1"/>
    <x:col min="11" max="11" width="3.6640625" style="315" customWidth="1"/>
    <x:col min="12" max="12" width="2.6640625" style="315" customWidth="1"/>
    <x:col min="13" max="13" width="4.5546875" style="315" customWidth="1"/>
    <x:col min="14" max="14" width="11.33203125" style="315" customWidth="1"/>
    <x:col min="15" max="15" width="37.5546875" style="315" bestFit="1" customWidth="1"/>
    <x:col min="16" max="16" width="19.33203125" style="315" customWidth="1"/>
    <x:col min="17" max="17" width="17.6640625" style="315" customWidth="1"/>
    <x:col min="18" max="18" width="16.44140625" style="315" customWidth="1"/>
    <x:col min="19" max="19" width="17.33203125" style="315" customWidth="1"/>
    <x:col min="20" max="20" width="15.6640625" style="315" customWidth="1"/>
    <x:col min="21" max="21" width="16.33203125" style="315" customWidth="1"/>
    <x:col min="22" max="22" width="13.33203125" style="317" customWidth="1"/>
    <x:col min="23" max="23" width="13.6640625" style="315" customWidth="1"/>
    <x:col min="24" max="24" width="3.44140625" style="315" customWidth="1"/>
    <x:col min="25" max="25" width="13.6640625" style="315" bestFit="1" customWidth="1"/>
    <x:col min="26" max="27" width="11.44140625" style="315"/>
    <x:col min="28" max="28" width="15.6640625" style="315" bestFit="1" customWidth="1"/>
    <x:col min="29" max="16384" width="11.44140625" style="315"/>
  </x:cols>
  <x:sheetData>
    <x:row r="1" spans="2:28" x14ac:dyDescent="0.2">
      <x:c r="L1" s="316"/>
      <x:c r="X1" s="316"/>
    </x:row>
    <x:row r="2" spans="2:28" x14ac:dyDescent="0.2">
      <x:c r="L2" s="316"/>
      <x:c r="X2" s="316"/>
    </x:row>
    <x:row r="3" spans="2:28" ht="12" thickBot="1" x14ac:dyDescent="0.25">
      <x:c r="L3" s="316"/>
      <x:c r="X3" s="316"/>
    </x:row>
    <x:row r="4" spans="2:28" ht="12" x14ac:dyDescent="0.25">
      <x:c r="B4" s="318"/>
      <x:c r="C4" s="319" t="s">
        <x:v>1</x:v>
      </x:c>
      <x:c r="D4" s="320" t="s">
        <x:v>1</x:v>
      </x:c>
      <x:c r="E4" s="319"/>
      <x:c r="F4" s="321"/>
      <x:c r="G4" s="319"/>
      <x:c r="H4" s="319" t="s">
        <x:v>1</x:v>
      </x:c>
      <x:c r="I4" s="319"/>
      <x:c r="J4" s="322"/>
      <x:c r="K4" s="323"/>
      <x:c r="L4" s="316"/>
      <x:c r="N4" s="318"/>
      <x:c r="O4" s="319" t="s">
        <x:v>1</x:v>
      </x:c>
      <x:c r="P4" s="320" t="s">
        <x:v>1</x:v>
      </x:c>
      <x:c r="Q4" s="319"/>
      <x:c r="R4" s="319"/>
      <x:c r="S4" s="319" t="s">
        <x:v>1</x:v>
      </x:c>
      <x:c r="T4" s="319"/>
      <x:c r="U4" s="322"/>
      <x:c r="V4" s="324"/>
      <x:c r="X4" s="316"/>
    </x:row>
    <x:row r="5" spans="2:28" ht="15.6" x14ac:dyDescent="0.3">
      <x:c r="B5" s="325"/>
      <x:c r="D5" s="326" t="s">
        <x:v>8</x:v>
      </x:c>
      <x:c r="E5" s="327"/>
      <x:c r="G5" s="327"/>
      <x:c r="I5" s="327" t="s">
        <x:v>16</x:v>
      </x:c>
      <x:c r="J5" s="328"/>
      <x:c r="K5" s="323"/>
      <x:c r="L5" s="316"/>
      <x:c r="N5" s="325"/>
      <x:c r="P5" s="326" t="s">
        <x:v>8</x:v>
      </x:c>
      <x:c r="R5" s="327"/>
      <x:c r="T5" s="327" t="s">
        <x:v>16</x:v>
      </x:c>
      <x:c r="U5" s="329"/>
      <x:c r="V5" s="324"/>
      <x:c r="X5" s="316"/>
    </x:row>
    <x:row r="6" spans="2:28" ht="15.6" x14ac:dyDescent="0.3">
      <x:c r="B6" s="325"/>
      <x:c r="D6" s="330" t="s">
        <x:v>184</x:v>
      </x:c>
      <x:c r="E6" s="331"/>
      <x:c r="G6" s="331"/>
      <x:c r="J6" s="328"/>
      <x:c r="K6" s="323"/>
      <x:c r="L6" s="316"/>
      <x:c r="N6" s="325"/>
      <x:c r="O6" s="327" t="s">
        <x:v>1</x:v>
      </x:c>
      <x:c r="P6" s="330" t="s">
        <x:v>173</x:v>
      </x:c>
      <x:c r="R6" s="331"/>
      <x:c r="U6" s="332" t="s">
        <x:v>1</x:v>
      </x:c>
      <x:c r="V6" s="324"/>
      <x:c r="X6" s="316"/>
    </x:row>
    <x:row r="7" spans="2:28" ht="15.6" x14ac:dyDescent="0.3">
      <x:c r="B7" s="325"/>
      <x:c r="D7" s="330" t="s">
        <x:v>174</x:v>
      </x:c>
      <x:c r="E7" s="331"/>
      <x:c r="G7" s="331"/>
      <x:c r="J7" s="328"/>
      <x:c r="K7" s="323"/>
      <x:c r="L7" s="316"/>
      <x:c r="N7" s="325"/>
      <x:c r="O7" s="327"/>
      <x:c r="P7" s="330" t="s">
        <x:v>174</x:v>
      </x:c>
      <x:c r="R7" s="331"/>
      <x:c r="U7" s="332"/>
      <x:c r="V7" s="324"/>
      <x:c r="X7" s="316"/>
    </x:row>
    <x:row r="8" spans="2:28" ht="15.6" x14ac:dyDescent="0.3">
      <x:c r="B8" s="325"/>
      <x:c r="D8" s="330" t="s">
        <x:v>175</x:v>
      </x:c>
      <x:c r="E8" s="331"/>
      <x:c r="G8" s="323"/>
      <x:c r="J8" s="328"/>
      <x:c r="K8" s="323"/>
      <x:c r="L8" s="316"/>
      <x:c r="N8" s="325"/>
      <x:c r="O8" s="333" t="s">
        <x:v>1</x:v>
      </x:c>
      <x:c r="P8" s="330" t="s">
        <x:v>175</x:v>
      </x:c>
      <x:c r="R8" s="323"/>
      <x:c r="U8" s="328"/>
      <x:c r="V8" s="324"/>
      <x:c r="X8" s="316"/>
    </x:row>
    <x:row r="9" spans="2:28" ht="15.6" x14ac:dyDescent="0.3">
      <x:c r="B9" s="325"/>
      <x:c r="C9" s="323"/>
      <x:c r="D9" s="334"/>
      <x:c r="E9" s="335"/>
      <x:c r="G9" s="335"/>
      <x:c r="H9" s="323"/>
      <x:c r="J9" s="328"/>
      <x:c r="K9" s="323"/>
      <x:c r="L9" s="316"/>
      <x:c r="N9" s="325"/>
      <x:c r="O9" s="335" t="s">
        <x:v>1</x:v>
      </x:c>
      <x:c r="P9" s="335"/>
      <x:c r="R9" s="335"/>
      <x:c r="S9" s="323"/>
      <x:c r="U9" s="329"/>
      <x:c r="V9" s="324"/>
      <x:c r="X9" s="316"/>
    </x:row>
    <x:row r="10" spans="2:28" ht="19.8" thickBot="1" x14ac:dyDescent="0.5">
      <x:c r="B10" s="325"/>
      <x:c r="C10" s="323"/>
      <x:c r="D10" s="336"/>
      <x:c r="E10" s="323" t="s">
        <x:v>27</x:v>
      </x:c>
      <x:c r="F10" s="383">
        <x:f>'CONSOLIDADO_TOTAL RECAUDO'!G102</x:f>
        <x:v>46219</x:v>
      </x:c>
      <x:c r="G10" s="334"/>
      <x:c r="H10" s="323" t="s">
        <x:v>28</x:v>
      </x:c>
      <x:c r="I10" s="383">
        <x:f>'CONSOLIDADO_TOTAL RECAUDO'!K102</x:f>
        <x:v>46234</x:v>
      </x:c>
      <x:c r="J10" s="329"/>
      <x:c r="K10" s="323"/>
      <x:c r="L10" s="316"/>
      <x:c r="N10" s="325"/>
      <x:c r="Q10" s="334"/>
      <x:c r="R10" s="315" t="s">
        <x:v>1</x:v>
      </x:c>
      <x:c r="T10" s="334"/>
      <x:c r="U10" s="329"/>
      <x:c r="V10" s="324"/>
      <x:c r="X10" s="316"/>
      <x:c r="Y10" s="337" t="s">
        <x:v>1</x:v>
      </x:c>
    </x:row>
    <x:row r="11" spans="2:28" ht="72.599999999999994" thickBot="1" x14ac:dyDescent="0.25">
      <x:c r="B11" s="338" t="s">
        <x:v>3</x:v>
      </x:c>
      <x:c r="C11" s="339" t="s">
        <x:v>9</x:v>
      </x:c>
      <x:c r="D11" s="338" t="s">
        <x:v>176</x:v>
      </x:c>
      <x:c r="E11" s="340" t="s">
        <x:v>177</x:v>
      </x:c>
      <x:c r="F11" s="339" t="s">
        <x:v>178</x:v>
      </x:c>
      <x:c r="G11" s="341" t="s">
        <x:v>179</x:v>
      </x:c>
      <x:c r="H11" s="339" t="s">
        <x:v>180</x:v>
      </x:c>
      <x:c r="I11" s="340" t="s">
        <x:v>181</x:v>
      </x:c>
      <x:c r="J11" s="342" t="s">
        <x:v>182</x:v>
      </x:c>
      <x:c r="K11" s="343"/>
      <x:c r="L11" s="316"/>
      <x:c r="N11" s="338" t="s">
        <x:v>3</x:v>
      </x:c>
      <x:c r="O11" s="339" t="s">
        <x:v>9</x:v>
      </x:c>
      <x:c r="P11" s="344" t="s">
        <x:v>39</x:v>
      </x:c>
      <x:c r="Q11" s="345" t="s">
        <x:v>40</x:v>
      </x:c>
      <x:c r="R11" s="345" t="s">
        <x:v>41</x:v>
      </x:c>
      <x:c r="S11" s="345" t="s">
        <x:v>42</x:v>
      </x:c>
      <x:c r="T11" s="346" t="s">
        <x:v>183</x:v>
      </x:c>
      <x:c r="U11" s="384" t="s">
        <x:v>182</x:v>
      </x:c>
      <x:c r="V11" s="347"/>
      <x:c r="X11" s="316"/>
    </x:row>
    <x:row r="12" spans="2:28" s="353" customFormat="1" ht="12" x14ac:dyDescent="0.25">
      <x:c r="B12" s="348">
        <x:v>1</x:v>
      </x:c>
      <x:c r="C12" s="349" t="s">
        <x:v>10</x:v>
      </x:c>
      <x:c r="D12" s="350">
        <x:f>'Reporte Componentes R1'!F76*$D$24</x:f>
        <x:v>0</x:v>
      </x:c>
      <x:c r="E12" s="350">
        <x:f>'Reporte Componentes R1'!G76*$D$24</x:f>
        <x:v>0</x:v>
      </x:c>
      <x:c r="F12" s="351">
        <x:f>'Reporte Componentes R1'!H76*$D$24</x:f>
        <x:v>0</x:v>
      </x:c>
      <x:c r="G12" s="351">
        <x:f>'Reporte Componentes R1'!I76*$D$24</x:f>
        <x:v>0</x:v>
      </x:c>
      <x:c r="H12" s="351">
        <x:f>'Reporte Componentes R1'!J76*$D$24</x:f>
        <x:v>0</x:v>
      </x:c>
      <x:c r="I12" s="351">
        <x:f>'Reporte Componentes R1'!K76*$D$24</x:f>
        <x:v>0</x:v>
      </x:c>
      <x:c r="J12" s="352">
        <x:f t="shared" ref="J12:J16" si="0">D12-E12-F12-G12-H12-I12</x:f>
        <x:v>0</x:v>
      </x:c>
      <x:c r="L12" s="354"/>
      <x:c r="N12" s="348">
        <x:v>1</x:v>
      </x:c>
      <x:c r="O12" s="349" t="s">
        <x:v>10</x:v>
      </x:c>
      <x:c r="P12" s="355">
        <x:f>'Reporte Componentes R1'!M76*$P$24</x:f>
        <x:v>0</x:v>
      </x:c>
      <x:c r="Q12" s="356">
        <x:f>'Reporte Componentes R1'!N76*$P$24</x:f>
        <x:v>0</x:v>
      </x:c>
      <x:c r="R12" s="356">
        <x:f>'Reporte Componentes R1'!O76*$P$24</x:f>
        <x:v>0</x:v>
      </x:c>
      <x:c r="S12" s="356">
        <x:f>'Reporte Componentes R1'!P76*$P$24</x:f>
        <x:v>0</x:v>
      </x:c>
      <x:c r="T12" s="356">
        <x:f>'Reporte Componentes R1'!Q76*$P$24</x:f>
        <x:v>0</x:v>
      </x:c>
      <x:c r="U12" s="387">
        <x:f>SUM(P12:T12)</x:f>
        <x:v>0</x:v>
      </x:c>
      <x:c r="V12" s="388">
        <x:f>J12-U12</x:f>
        <x:v>0</x:v>
      </x:c>
      <x:c r="W12" s="353" t="b">
        <x:f t="shared" ref="W12:W17" si="1">V12=0</x:f>
        <x:v>1</x:v>
      </x:c>
      <x:c r="X12" s="354"/>
      <x:c r="AB12" s="357"/>
    </x:row>
    <x:row r="13" spans="2:28" s="353" customFormat="1" ht="12" x14ac:dyDescent="0.25">
      <x:c r="B13" s="358">
        <x:v>2</x:v>
      </x:c>
      <x:c r="C13" s="359" t="s">
        <x:v>11</x:v>
      </x:c>
      <x:c r="D13" s="350">
        <x:f>'Reporte Componentes R1'!F206*$D$24</x:f>
        <x:v>0</x:v>
      </x:c>
      <x:c r="E13" s="351">
        <x:f>'Reporte Componentes R1'!G206*$D$24</x:f>
        <x:v>0</x:v>
      </x:c>
      <x:c r="F13" s="351">
        <x:f>'Reporte Componentes R1'!H206*$D$24</x:f>
        <x:v>0</x:v>
      </x:c>
      <x:c r="G13" s="351">
        <x:f>'Reporte Componentes R1'!I206*$D$24</x:f>
        <x:v>0</x:v>
      </x:c>
      <x:c r="H13" s="351">
        <x:f>'Reporte Componentes R1'!J206*$D$24</x:f>
        <x:v>0</x:v>
      </x:c>
      <x:c r="I13" s="351">
        <x:f>'Reporte Componentes R1'!K206*$D$24</x:f>
        <x:v>0</x:v>
      </x:c>
      <x:c r="J13" s="352">
        <x:f t="shared" si="0"/>
        <x:v>0</x:v>
      </x:c>
      <x:c r="L13" s="354"/>
      <x:c r="N13" s="358">
        <x:v>2</x:v>
      </x:c>
      <x:c r="O13" s="359" t="s">
        <x:v>11</x:v>
      </x:c>
      <x:c r="P13" s="360">
        <x:f>'Reporte Componentes R1'!M206*$P$24</x:f>
        <x:v>0</x:v>
      </x:c>
      <x:c r="Q13" s="361">
        <x:f>'Reporte Componentes R1'!N206*$P$24</x:f>
        <x:v>0</x:v>
      </x:c>
      <x:c r="R13" s="361">
        <x:f>'Reporte Componentes R1'!O206*$P$24</x:f>
        <x:v>0</x:v>
      </x:c>
      <x:c r="S13" s="361">
        <x:f>'Reporte Componentes R1'!P206*$P$24</x:f>
        <x:v>0</x:v>
      </x:c>
      <x:c r="T13" s="361">
        <x:f>'Reporte Componentes R1'!Q206*$P$24</x:f>
        <x:v>0</x:v>
      </x:c>
      <x:c r="U13" s="386">
        <x:f>SUM(P13:T13)</x:f>
        <x:v>0</x:v>
      </x:c>
      <x:c r="V13" s="389">
        <x:f t="shared" ref="V13:V16" si="2">J13-U13</x:f>
        <x:v>0</x:v>
      </x:c>
      <x:c r="W13" s="353" t="b">
        <x:f t="shared" si="1"/>
        <x:v>1</x:v>
      </x:c>
      <x:c r="X13" s="354"/>
      <x:c r="AB13" s="357"/>
    </x:row>
    <x:row r="14" spans="2:28" s="353" customFormat="1" ht="12" x14ac:dyDescent="0.25">
      <x:c r="B14" s="358">
        <x:v>3</x:v>
      </x:c>
      <x:c r="C14" s="359" t="s">
        <x:v>12</x:v>
      </x:c>
      <x:c r="D14" s="350">
        <x:f>'Reporte Componentes R1'!F346*$D$24</x:f>
        <x:v>0</x:v>
      </x:c>
      <x:c r="E14" s="350">
        <x:f>'Reporte Componentes R1'!G346*$D$24</x:f>
        <x:v>0</x:v>
      </x:c>
      <x:c r="F14" s="350">
        <x:f>'Reporte Componentes R1'!H346*$D$24</x:f>
        <x:v>0</x:v>
      </x:c>
      <x:c r="G14" s="350">
        <x:f>'Reporte Componentes R1'!I346*$D$24</x:f>
        <x:v>0</x:v>
      </x:c>
      <x:c r="H14" s="350">
        <x:f>'Reporte Componentes R1'!J346*$D$24</x:f>
        <x:v>0</x:v>
      </x:c>
      <x:c r="I14" s="350">
        <x:f>'Reporte Componentes R1'!K346*$D$24</x:f>
        <x:v>0</x:v>
      </x:c>
      <x:c r="J14" s="352">
        <x:f t="shared" si="0"/>
        <x:v>0</x:v>
      </x:c>
      <x:c r="L14" s="354"/>
      <x:c r="N14" s="358">
        <x:v>3</x:v>
      </x:c>
      <x:c r="O14" s="359" t="s">
        <x:v>12</x:v>
      </x:c>
      <x:c r="P14" s="360">
        <x:f>'Reporte Componentes R1'!M346*$P$24</x:f>
        <x:v>0</x:v>
      </x:c>
      <x:c r="Q14" s="361">
        <x:f>'Reporte Componentes R1'!N346*$P$24</x:f>
        <x:v>0</x:v>
      </x:c>
      <x:c r="R14" s="361">
        <x:f>'Reporte Componentes R1'!O346*$P$24</x:f>
        <x:v>0</x:v>
      </x:c>
      <x:c r="S14" s="361">
        <x:f>'Reporte Componentes R1'!P346*$P$24</x:f>
        <x:v>0</x:v>
      </x:c>
      <x:c r="T14" s="361">
        <x:f>'Reporte Componentes R1'!Q346*$P$24</x:f>
        <x:v>0</x:v>
      </x:c>
      <x:c r="U14" s="386">
        <x:f>SUM(P14:T14)</x:f>
        <x:v>0</x:v>
      </x:c>
      <x:c r="V14" s="389">
        <x:f t="shared" si="2"/>
        <x:v>0</x:v>
      </x:c>
      <x:c r="W14" s="353" t="b">
        <x:f t="shared" si="1"/>
        <x:v>1</x:v>
      </x:c>
      <x:c r="X14" s="354"/>
      <x:c r="AB14" s="357"/>
    </x:row>
    <x:row r="15" spans="2:28" s="353" customFormat="1" ht="12" x14ac:dyDescent="0.25">
      <x:c r="B15" s="358">
        <x:v>4</x:v>
      </x:c>
      <x:c r="C15" s="359" t="s">
        <x:v>13</x:v>
      </x:c>
      <x:c r="D15" s="350">
        <x:f>'Reporte Componentes R1'!F467*$D$24</x:f>
        <x:v>0</x:v>
      </x:c>
      <x:c r="E15" s="351">
        <x:f>'Reporte Componentes R1'!G467*$D$24</x:f>
        <x:v>0</x:v>
      </x:c>
      <x:c r="F15" s="351">
        <x:f>'Reporte Componentes R1'!H467*$D$24</x:f>
        <x:v>0</x:v>
      </x:c>
      <x:c r="G15" s="351">
        <x:f>'Reporte Componentes R1'!I467*$D$24</x:f>
        <x:v>0</x:v>
      </x:c>
      <x:c r="H15" s="351">
        <x:f>'Reporte Componentes R1'!J467*$D$24</x:f>
        <x:v>0</x:v>
      </x:c>
      <x:c r="I15" s="351">
        <x:f>'Reporte Componentes R1'!K467*$D$24</x:f>
        <x:v>0</x:v>
      </x:c>
      <x:c r="J15" s="352">
        <x:f t="shared" si="0"/>
        <x:v>0</x:v>
      </x:c>
      <x:c r="L15" s="354"/>
      <x:c r="N15" s="358">
        <x:v>4</x:v>
      </x:c>
      <x:c r="O15" s="359" t="s">
        <x:v>13</x:v>
      </x:c>
      <x:c r="P15" s="360">
        <x:f>'Reporte Componentes R1'!M467*$P$24</x:f>
        <x:v>0</x:v>
      </x:c>
      <x:c r="Q15" s="361">
        <x:f>'Reporte Componentes R1'!N467*$P$24</x:f>
        <x:v>0</x:v>
      </x:c>
      <x:c r="R15" s="361">
        <x:f>'Reporte Componentes R1'!O467*$P$24</x:f>
        <x:v>0</x:v>
      </x:c>
      <x:c r="S15" s="361">
        <x:f>'Reporte Componentes R1'!P467*$P$24</x:f>
        <x:v>0</x:v>
      </x:c>
      <x:c r="T15" s="361">
        <x:f>'Reporte Componentes R1'!Q467*$P$24</x:f>
        <x:v>0</x:v>
      </x:c>
      <x:c r="U15" s="386">
        <x:f>SUM(P15:T15)</x:f>
        <x:v>0</x:v>
      </x:c>
      <x:c r="V15" s="389">
        <x:f t="shared" si="2"/>
        <x:v>0</x:v>
      </x:c>
      <x:c r="W15" s="353" t="b">
        <x:f t="shared" si="1"/>
        <x:v>1</x:v>
      </x:c>
      <x:c r="X15" s="354"/>
      <x:c r="AB15" s="357"/>
    </x:row>
    <x:row r="16" spans="2:28" s="353" customFormat="1" ht="12.6" thickBot="1" x14ac:dyDescent="0.3">
      <x:c r="B16" s="362">
        <x:v>5</x:v>
      </x:c>
      <x:c r="C16" s="363" t="s">
        <x:v>14</x:v>
      </x:c>
      <x:c r="D16" s="364">
        <x:f>'Reporte Componentes R1'!F549*$D$24</x:f>
        <x:v>0</x:v>
      </x:c>
      <x:c r="E16" s="365">
        <x:f>'Reporte Componentes R1'!G549*$D$24</x:f>
        <x:v>0</x:v>
      </x:c>
      <x:c r="F16" s="365">
        <x:f>'Reporte Componentes R1'!H549*$D$24</x:f>
        <x:v>0</x:v>
      </x:c>
      <x:c r="G16" s="365">
        <x:f>'Reporte Componentes R1'!I549*$D$24</x:f>
        <x:v>0</x:v>
      </x:c>
      <x:c r="H16" s="365">
        <x:f>'Reporte Componentes R1'!J549*$D$24</x:f>
        <x:v>0</x:v>
      </x:c>
      <x:c r="I16" s="365">
        <x:f>'Reporte Componentes R1'!K549*$D$24</x:f>
        <x:v>0</x:v>
      </x:c>
      <x:c r="J16" s="352">
        <x:f t="shared" si="0"/>
        <x:v>0</x:v>
      </x:c>
      <x:c r="L16" s="354"/>
      <x:c r="N16" s="362">
        <x:v>5</x:v>
      </x:c>
      <x:c r="O16" s="363" t="s">
        <x:v>14</x:v>
      </x:c>
      <x:c r="P16" s="364">
        <x:f>'Reporte Componentes R1'!M549*$P$24</x:f>
        <x:v>0</x:v>
      </x:c>
      <x:c r="Q16" s="365">
        <x:f>'Reporte Componentes R1'!N549*$P$24</x:f>
        <x:v>0</x:v>
      </x:c>
      <x:c r="R16" s="365">
        <x:f>'Reporte Componentes R1'!O549*$P$24</x:f>
        <x:v>0</x:v>
      </x:c>
      <x:c r="S16" s="365">
        <x:f>'Reporte Componentes R1'!P549*$P$24</x:f>
        <x:v>0</x:v>
      </x:c>
      <x:c r="T16" s="365">
        <x:f>'Reporte Componentes R1'!Q549*$P$24</x:f>
        <x:v>0</x:v>
      </x:c>
      <x:c r="U16" s="390">
        <x:f>SUM(P16:T16)</x:f>
        <x:v>0</x:v>
      </x:c>
      <x:c r="V16" s="391">
        <x:f t="shared" si="2"/>
        <x:v>0</x:v>
      </x:c>
      <x:c r="W16" s="353" t="b">
        <x:f t="shared" si="1"/>
        <x:v>1</x:v>
      </x:c>
      <x:c r="X16" s="354"/>
      <x:c r="AB16" s="357"/>
    </x:row>
    <x:row r="17" spans="1:28" s="353" customFormat="1" ht="12.6" thickBot="1" x14ac:dyDescent="0.3">
      <x:c r="B17" s="366"/>
      <x:c r="C17" s="367" t="s">
        <x:v>2</x:v>
      </x:c>
      <x:c r="D17" s="368">
        <x:f t="shared" ref="D17:J17" si="3">SUM(D12:D16)</x:f>
        <x:v>0</x:v>
      </x:c>
      <x:c r="E17" s="368">
        <x:f t="shared" si="3"/>
        <x:v>0</x:v>
      </x:c>
      <x:c r="F17" s="368">
        <x:f t="shared" si="3"/>
        <x:v>0</x:v>
      </x:c>
      <x:c r="G17" s="368">
        <x:f t="shared" si="3"/>
        <x:v>0</x:v>
      </x:c>
      <x:c r="H17" s="368">
        <x:f t="shared" si="3"/>
        <x:v>0</x:v>
      </x:c>
      <x:c r="I17" s="368">
        <x:f t="shared" si="3"/>
        <x:v>0</x:v>
      </x:c>
      <x:c r="J17" s="369">
        <x:f t="shared" si="3"/>
        <x:v>0</x:v>
      </x:c>
      <x:c r="K17" s="370"/>
      <x:c r="L17" s="354"/>
      <x:c r="N17" s="366"/>
      <x:c r="O17" s="367" t="s">
        <x:v>2</x:v>
      </x:c>
      <x:c r="P17" s="371">
        <x:f>SUM(P12:P16)</x:f>
        <x:v>0</x:v>
      </x:c>
      <x:c r="Q17" s="371">
        <x:f t="shared" ref="Q17:U17" si="4">SUM(Q12:Q16)</x:f>
        <x:v>0</x:v>
      </x:c>
      <x:c r="R17" s="371">
        <x:f t="shared" si="4"/>
        <x:v>0</x:v>
      </x:c>
      <x:c r="S17" s="371">
        <x:f t="shared" si="4"/>
        <x:v>0</x:v>
      </x:c>
      <x:c r="T17" s="371">
        <x:f t="shared" si="4"/>
        <x:v>0</x:v>
      </x:c>
      <x:c r="U17" s="385">
        <x:f t="shared" si="4"/>
        <x:v>0</x:v>
      </x:c>
      <x:c r="V17" s="372">
        <x:f>SUM(V12:V16)</x:f>
        <x:v>0</x:v>
      </x:c>
      <x:c r="W17" s="353" t="b">
        <x:f t="shared" si="1"/>
        <x:v>1</x:v>
      </x:c>
      <x:c r="X17" s="354"/>
      <x:c r="AB17" s="357"/>
    </x:row>
    <x:row r="18" spans="1:28" ht="12.6" thickBot="1" x14ac:dyDescent="0.3">
      <x:c r="B18" s="323"/>
      <x:c r="C18" s="323"/>
      <x:c r="D18" s="373"/>
      <x:c r="E18" s="374"/>
      <x:c r="F18" s="374"/>
      <x:c r="G18" s="374"/>
      <x:c r="H18" s="374"/>
      <x:c r="I18" s="374"/>
      <x:c r="J18" s="374"/>
      <x:c r="L18" s="316"/>
      <x:c r="N18" s="323"/>
      <x:c r="O18" s="323"/>
      <x:c r="P18" s="374"/>
      <x:c r="Q18" s="374"/>
      <x:c r="R18" s="374"/>
      <x:c r="S18" s="374"/>
      <x:c r="T18" s="374"/>
      <x:c r="U18" s="374"/>
      <x:c r="X18" s="316"/>
    </x:row>
    <x:row r="19" spans="1:28" ht="12.6" thickBot="1" x14ac:dyDescent="0.3">
      <x:c r="B19" s="323"/>
      <x:c r="C19" s="323"/>
      <x:c r="D19" s="374"/>
      <x:c r="E19" s="374"/>
      <x:c r="F19" s="374"/>
      <x:c r="G19" s="374"/>
      <x:c r="H19" s="374"/>
      <x:c r="I19" s="374"/>
      <x:c r="J19" s="374"/>
      <x:c r="L19" s="316"/>
      <x:c r="T19" s="375">
        <x:f>SUM(P17:T17)</x:f>
        <x:v>0</x:v>
      </x:c>
      <x:c r="U19" s="315" t="s">
        <x:v>1</x:v>
      </x:c>
      <x:c r="X19" s="316"/>
    </x:row>
    <x:row r="20" spans="1:28" ht="12.6" thickBot="1" x14ac:dyDescent="0.3">
      <x:c r="B20" s="323"/>
      <x:c r="C20" s="323"/>
      <x:c r="D20" s="374" t="s">
        <x:v>1</x:v>
      </x:c>
      <x:c r="E20" s="376"/>
      <x:c r="F20" s="376"/>
      <x:c r="G20" s="376"/>
      <x:c r="H20" s="376"/>
      <x:c r="I20" s="374"/>
      <x:c r="J20" s="524" t="b">
        <x:f>+IF(MAX(J12:J17)&gt;500000,"VALIDAR",TRUE)</x:f>
        <x:v>1</x:v>
      </x:c>
      <x:c r="L20" s="316"/>
      <x:c r="U20" s="377"/>
      <x:c r="X20" s="316"/>
    </x:row>
    <x:row r="21" spans="1:28" ht="12" x14ac:dyDescent="0.25">
      <x:c r="B21" s="323"/>
      <x:c r="C21" s="323"/>
      <x:c r="D21" s="374" t="s">
        <x:v>1</x:v>
      </x:c>
      <x:c r="E21" s="374" t="s">
        <x:v>1</x:v>
      </x:c>
      <x:c r="F21" s="374" t="s">
        <x:v>25</x:v>
      </x:c>
      <x:c r="G21" s="374"/>
      <x:c r="H21" s="374"/>
      <x:c r="I21" s="374"/>
      <x:c r="J21" s="374"/>
      <x:c r="L21" s="316"/>
      <x:c r="X21" s="316"/>
    </x:row>
    <x:row r="22" spans="1:28" ht="12" x14ac:dyDescent="0.25">
      <x:c r="A22" s="378"/>
      <x:c r="B22" s="379"/>
      <x:c r="C22" s="379"/>
      <x:c r="D22" s="380"/>
      <x:c r="E22" s="380"/>
      <x:c r="F22" s="380"/>
      <x:c r="G22" s="380"/>
      <x:c r="H22" s="380"/>
      <x:c r="I22" s="380"/>
      <x:c r="J22" s="380"/>
      <x:c r="K22" s="378"/>
      <x:c r="L22" s="378"/>
      <x:c r="M22" s="378"/>
      <x:c r="N22" s="378"/>
      <x:c r="O22" s="378"/>
      <x:c r="P22" s="378"/>
      <x:c r="Q22" s="378"/>
      <x:c r="R22" s="378"/>
      <x:c r="S22" s="378"/>
      <x:c r="T22" s="378"/>
      <x:c r="U22" s="378"/>
      <x:c r="V22" s="381"/>
      <x:c r="W22" s="378"/>
      <x:c r="X22" s="378"/>
    </x:row>
    <x:row r="24" spans="1:28" x14ac:dyDescent="0.2">
      <x:c r="D24" s="382">
        <x:v>-1</x:v>
      </x:c>
      <x:c r="P24" s="382">
        <x:v>-1</x:v>
      </x:c>
    </x:row>
    <x:row r="25" spans="1:28" ht="15.6" x14ac:dyDescent="0.3">
      <x:c r="E25" s="331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opLeftCell="E1" zoomScaleNormal="100" workbookViewId="0">
      <x:selection activeCell="L14" sqref="L1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7.6640625" style="1" customWidth="1"/>
    <x:col min="4" max="4" width="15.33203125" style="1" customWidth="1"/>
    <x:col min="5" max="5" width="16" style="1" customWidth="1"/>
    <x:col min="6" max="7" width="14.664062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6640625" style="1" customWidth="1"/>
    <x:col min="13" max="13" width="20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4.6640625" style="212" bestFit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38" width="11.44140625" style="1"/>
    <x:col min="39" max="39" width="15.6640625" style="1" bestFit="1" customWidth="1"/>
    <x:col min="40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13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13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13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13"/>
      <x:c r="AI5" s="4"/>
    </x:row>
    <x:row r="6" spans="2:35" ht="15.6" x14ac:dyDescent="0.3">
      <x:c r="B6" s="8"/>
      <x:c r="C6" s="511" t="s">
        <x:v>17</x:v>
      </x:c>
      <x:c r="D6" s="9"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13"/>
      <x:c r="AI6" s="4"/>
    </x:row>
    <x:row r="7" spans="2:35" ht="12.6" thickBot="1" x14ac:dyDescent="0.3">
      <x:c r="B7" s="8"/>
      <x:c r="C7" s="511" t="s">
        <x:v>0</x:v>
      </x:c>
      <x:c r="D7" s="198">
        <x:v>0.58333333333333337</x:v>
      </x:c>
      <x:c r="F7" s="2" t="s">
        <x:v>27</x:v>
      </x:c>
      <x:c r="G7" s="9" t="n">
        <x:v>46204</x:v>
      </x:c>
      <x:c r="J7" s="2" t="s">
        <x:v>28</x:v>
      </x:c>
      <x:c r="K7" s="9" t="n">
        <x:v>46218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13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214"/>
      <x:c r="AI8" s="4"/>
    </x:row>
    <x:row r="9" spans="2:35" s="241" customFormat="1" ht="12" x14ac:dyDescent="0.25">
      <x:c r="B9" s="239">
        <x:v>1</x:v>
      </x:c>
      <x:c r="C9" s="240" t="s">
        <x:v>10</x:v>
      </x:c>
      <x:c r="D9" s="313">
        <x:f>'Reporte Componentes R1'!F46</x:f>
        <x:v>0</x:v>
      </x:c>
      <x:c r="E9" s="228">
        <x:f>'Reporte Componentes R1'!G46</x:f>
        <x:v>0</x:v>
      </x:c>
      <x:c r="F9" s="228">
        <x:f>'Reporte Componentes R1'!H46</x:f>
        <x:v>0</x:v>
      </x:c>
      <x:c r="G9" s="228">
        <x:f>'Reporte Componentes R1'!I46</x:f>
        <x:v>0</x:v>
      </x:c>
      <x:c r="H9" s="228">
        <x:f>'Reporte Componentes R1'!J46</x:f>
        <x:v>0</x:v>
      </x:c>
      <x:c r="I9" s="228">
        <x:f>'Reporte Componentes R1'!K46</x:f>
        <x:v>0</x:v>
      </x:c>
      <x:c r="J9" s="224">
        <x:f>'BCE SC POR FACT.'!F3</x:f>
        <x:v>0</x:v>
      </x:c>
      <x:c r="K9" s="229">
        <x:f>D9-E9-F9-G9-H9-I9-J9</x:f>
        <x:v>0</x:v>
      </x:c>
      <x:c r="L9" s="230">
        <x:f>INTERVENTORIA!Q4</x:f>
        <x:v>189185987</x:v>
      </x:c>
      <x:c r="M9" s="229">
        <x:f>K9-L9</x:f>
        <x:v>-189185987</x:v>
      </x:c>
      <x:c r="N9" s="314">
        <x:f>'Reporte Componentes R1'!L46</x:f>
        <x:v>0</x:v>
      </x:c>
      <x:c r="O9" s="229">
        <x:f>M9+N9</x:f>
        <x:v>-189185987</x:v>
      </x:c>
      <x:c r="Q9" s="242"/>
      <x:c r="S9" s="239">
        <x:v>1</x:v>
      </x:c>
      <x:c r="T9" s="240" t="s">
        <x:v>10</x:v>
      </x:c>
      <x:c r="U9" s="243">
        <x:f>'Reporte Componentes R1'!M46</x:f>
        <x:v>0</x:v>
      </x:c>
      <x:c r="V9" s="244">
        <x:f>'Reporte Componentes R1'!N46</x:f>
        <x:v>0</x:v>
      </x:c>
      <x:c r="W9" s="244">
        <x:f>'Reporte Componentes R1'!O46</x:f>
        <x:v>0</x:v>
      </x:c>
      <x:c r="X9" s="244">
        <x:f>'Reporte Componentes R1'!P46</x:f>
        <x:v>0</x:v>
      </x:c>
      <x:c r="Y9" s="245">
        <x:f>'Reporte Componentes R1'!Q46</x:f>
        <x:v>0</x:v>
      </x:c>
      <x:c r="Z9" s="246">
        <x:f>L9*-1</x:f>
        <x:v>-189185987</x:v>
      </x:c>
      <x:c r="AA9" s="247">
        <x:f>'Reporte Componentes R1'!R46+'Reporte Componentes R1'!U46+'Reporte Componentes R1'!V46</x:f>
        <x:v>0</x:v>
      </x:c>
      <x:c r="AB9" s="248">
        <x:f>N9</x:f>
        <x:v>0</x:v>
      </x:c>
      <x:c r="AC9" s="256">
        <x:f>'Reporte Componentes R1'!T46+'Reporte Componentes R1'!W46+'Reporte Componentes R1'!X46+'Reporte Componentes R1'!Y46+'Reporte Componentes R1'!Z46+'Reporte Componentes R1'!S46</x:f>
        <x:v>0</x:v>
      </x:c>
      <x:c r="AD9" s="227">
        <x:f>-J9+AE9</x:f>
        <x:v>0</x:v>
      </x:c>
      <x:c r="AE9" s="227">
        <x:f>'Reporte Componentes R1'!F47</x:f>
        <x:v>0</x:v>
      </x:c>
      <x:c r="AF9" s="249">
        <x:f>SUM(U9:AD9)</x:f>
        <x:v>-189185987</x:v>
      </x:c>
      <x:c r="AG9" s="439">
        <x:f>(AF9-O9)</x:f>
        <x:v>0</x:v>
      </x:c>
      <x:c r="AH9" s="241" t="b">
        <x:f>INT(AG9)=0</x:f>
        <x:v>1</x:v>
      </x:c>
      <x:c r="AI9" s="242"/>
    </x:row>
    <x:row r="10" spans="2:35" s="241" customFormat="1" ht="12" x14ac:dyDescent="0.25">
      <x:c r="B10" s="250">
        <x:v>2</x:v>
      </x:c>
      <x:c r="C10" s="251" t="s">
        <x:v>11</x:v>
      </x:c>
      <x:c r="D10" s="227">
        <x:f>'Reporte Componentes R1'!F176</x:f>
        <x:v>0</x:v>
      </x:c>
      <x:c r="E10" s="228">
        <x:f>'Reporte Componentes R1'!G176</x:f>
        <x:v>0</x:v>
      </x:c>
      <x:c r="F10" s="228">
        <x:f>'Reporte Componentes R1'!H176</x:f>
        <x:v>0</x:v>
      </x:c>
      <x:c r="G10" s="228">
        <x:f>'Reporte Componentes R1'!I176</x:f>
        <x:v>0</x:v>
      </x:c>
      <x:c r="H10" s="228">
        <x:f>'Reporte Componentes R1'!J176</x:f>
        <x:v>0</x:v>
      </x:c>
      <x:c r="I10" s="228">
        <x:f>'Reporte Componentes R1'!K176</x:f>
        <x:v>0</x:v>
      </x:c>
      <x:c r="J10" s="224">
        <x:f>'BCE SC POR FACT.'!F4</x:f>
        <x:v>0</x:v>
      </x:c>
      <x:c r="K10" s="231">
        <x:f>D10-E10-F10-G10-H10-I10-J10</x:f>
        <x:v>0</x:v>
      </x:c>
      <x:c r="L10" s="230">
        <x:f>INTERVENTORIA!Q5</x:f>
        <x:v>266580255</x:v>
      </x:c>
      <x:c r="M10" s="231">
        <x:f>K10-L10</x:f>
        <x:v>-266580255</x:v>
      </x:c>
      <x:c r="N10" s="230">
        <x:f>'Reporte Componentes R1'!L176</x:f>
        <x:v>0</x:v>
      </x:c>
      <x:c r="O10" s="231">
        <x:f>M10+N10</x:f>
        <x:v>-266580255</x:v>
      </x:c>
      <x:c r="Q10" s="242"/>
      <x:c r="S10" s="250">
        <x:v>2</x:v>
      </x:c>
      <x:c r="T10" s="251" t="s">
        <x:v>11</x:v>
      </x:c>
      <x:c r="U10" s="252">
        <x:f>'Reporte Componentes R1'!M176</x:f>
        <x:v>0</x:v>
      </x:c>
      <x:c r="V10" s="253">
        <x:f>'Reporte Componentes R1'!N176</x:f>
        <x:v>0</x:v>
      </x:c>
      <x:c r="W10" s="253">
        <x:f>'Reporte Componentes R1'!O176</x:f>
        <x:v>0</x:v>
      </x:c>
      <x:c r="X10" s="253">
        <x:f>'Reporte Componentes R1'!P176</x:f>
        <x:v>0</x:v>
      </x:c>
      <x:c r="Y10" s="254">
        <x:f>'Reporte Componentes R1'!Q176</x:f>
        <x:v>0</x:v>
      </x:c>
      <x:c r="Z10" s="255">
        <x:f>L10*-1</x:f>
        <x:v>-266580255</x:v>
      </x:c>
      <x:c r="AA10" s="256">
        <x:f>'Reporte Componentes R1'!R176+'Reporte Componentes R1'!U176+'Reporte Componentes R1'!V176</x:f>
        <x:v>0</x:v>
      </x:c>
      <x:c r="AB10" s="257">
        <x:f>N10</x:f>
        <x:v>0</x:v>
      </x:c>
      <x:c r="AC10" s="256">
        <x:f>'Reporte Componentes R1'!T176+'Reporte Componentes R1'!W176+'Reporte Componentes R1'!X176+'Reporte Componentes R1'!Y176+'Reporte Componentes R1'!Z176+'Reporte Componentes R1'!S176</x:f>
        <x:v>0</x:v>
      </x:c>
      <x:c r="AD10" s="227">
        <x:f t="shared" ref="AD10:AD13" si="0">-J10+AE10</x:f>
        <x:v>0</x:v>
      </x:c>
      <x:c r="AE10" s="227">
        <x:f>'Reporte Componentes R1'!F177</x:f>
        <x:v>0</x:v>
      </x:c>
      <x:c r="AF10" s="258">
        <x:f>SUM(U10:AD10)</x:f>
        <x:v>-266580255</x:v>
      </x:c>
      <x:c r="AG10" s="440">
        <x:f>(AF10-O10)</x:f>
        <x:v>0</x:v>
      </x:c>
      <x:c r="AH10" s="241" t="b">
        <x:f t="shared" ref="AH10:AH13" si="1">INT(AG10)=0</x:f>
        <x:v>1</x:v>
      </x:c>
      <x:c r="AI10" s="242"/>
    </x:row>
    <x:row r="11" spans="2:35" s="241" customFormat="1" ht="12" x14ac:dyDescent="0.25">
      <x:c r="B11" s="250">
        <x:v>3</x:v>
      </x:c>
      <x:c r="C11" s="251" t="s">
        <x:v>12</x:v>
      </x:c>
      <x:c r="D11" s="227">
        <x:f>'Reporte Componentes R1'!F316</x:f>
        <x:v>0</x:v>
      </x:c>
      <x:c r="E11" s="228">
        <x:f>'Reporte Componentes R1'!G316</x:f>
        <x:v>0</x:v>
      </x:c>
      <x:c r="F11" s="228">
        <x:f>'Reporte Componentes R1'!H316</x:f>
        <x:v>0</x:v>
      </x:c>
      <x:c r="G11" s="228">
        <x:f>'Reporte Componentes R1'!I316</x:f>
        <x:v>0</x:v>
      </x:c>
      <x:c r="H11" s="228">
        <x:f>'Reporte Componentes R1'!J316</x:f>
        <x:v>0</x:v>
      </x:c>
      <x:c r="I11" s="228">
        <x:f>'Reporte Componentes R1'!K316</x:f>
        <x:v>0</x:v>
      </x:c>
      <x:c r="J11" s="224">
        <x:f>'BCE SC POR FACT.'!F5</x:f>
        <x:v>0</x:v>
      </x:c>
      <x:c r="K11" s="231">
        <x:f>D11-E11-F11-G11-H11-I11-J11</x:f>
        <x:v>0</x:v>
      </x:c>
      <x:c r="L11" s="230">
        <x:f>INTERVENTORIA!Q6</x:f>
        <x:v>154788535</x:v>
      </x:c>
      <x:c r="M11" s="231">
        <x:f>K11-L11</x:f>
        <x:v>-154788535</x:v>
      </x:c>
      <x:c r="N11" s="230">
        <x:f>'Reporte Componentes R1'!L316</x:f>
        <x:v>0</x:v>
      </x:c>
      <x:c r="O11" s="231">
        <x:f>M11+N11</x:f>
        <x:v>-154788535</x:v>
      </x:c>
      <x:c r="Q11" s="242"/>
      <x:c r="S11" s="250">
        <x:v>3</x:v>
      </x:c>
      <x:c r="T11" s="251" t="s">
        <x:v>12</x:v>
      </x:c>
      <x:c r="U11" s="252">
        <x:f>'Reporte Componentes R1'!M316</x:f>
        <x:v>0</x:v>
      </x:c>
      <x:c r="V11" s="253">
        <x:f>'Reporte Componentes R1'!N316</x:f>
        <x:v>0</x:v>
      </x:c>
      <x:c r="W11" s="253">
        <x:f>'Reporte Componentes R1'!O316</x:f>
        <x:v>0</x:v>
      </x:c>
      <x:c r="X11" s="253">
        <x:f>'Reporte Componentes R1'!P316</x:f>
        <x:v>0</x:v>
      </x:c>
      <x:c r="Y11" s="254">
        <x:f>'Reporte Componentes R1'!Q316</x:f>
        <x:v>0</x:v>
      </x:c>
      <x:c r="Z11" s="255">
        <x:f>L11*-1</x:f>
        <x:v>-154788535</x:v>
      </x:c>
      <x:c r="AA11" s="256">
        <x:f>'Reporte Componentes R1'!R316+'Reporte Componentes R1'!U316+'Reporte Componentes R1'!V316</x:f>
        <x:v>0</x:v>
      </x:c>
      <x:c r="AB11" s="257">
        <x:f>N11</x:f>
        <x:v>0</x:v>
      </x:c>
      <x:c r="AC11" s="256">
        <x:f>'Reporte Componentes R1'!T316+'Reporte Componentes R1'!W316+'Reporte Componentes R1'!X316+'Reporte Componentes R1'!Y316+'Reporte Componentes R1'!Z316+'Reporte Componentes R1'!S316</x:f>
        <x:v>0</x:v>
      </x:c>
      <x:c r="AD11" s="227">
        <x:f t="shared" si="0"/>
        <x:v>0</x:v>
      </x:c>
      <x:c r="AE11" s="227">
        <x:f>'Reporte Componentes R1'!F317</x:f>
        <x:v>0</x:v>
      </x:c>
      <x:c r="AF11" s="258">
        <x:f t="shared" ref="AF11:AF13" si="2">SUM(U11:AD11)</x:f>
        <x:v>-154788535</x:v>
      </x:c>
      <x:c r="AG11" s="440">
        <x:f>(AF11-O11)</x:f>
        <x:v>0</x:v>
      </x:c>
      <x:c r="AH11" s="241" t="b">
        <x:f t="shared" si="1"/>
        <x:v>1</x:v>
      </x:c>
      <x:c r="AI11" s="242"/>
    </x:row>
    <x:row r="12" spans="2:35" s="241" customFormat="1" ht="12" x14ac:dyDescent="0.25">
      <x:c r="B12" s="250">
        <x:v>4</x:v>
      </x:c>
      <x:c r="C12" s="251" t="s">
        <x:v>13</x:v>
      </x:c>
      <x:c r="D12" s="227">
        <x:f>'Reporte Componentes R1'!F437</x:f>
        <x:v>0</x:v>
      </x:c>
      <x:c r="E12" s="228">
        <x:f>'Reporte Componentes R1'!G437</x:f>
        <x:v>0</x:v>
      </x:c>
      <x:c r="F12" s="228">
        <x:f>'Reporte Componentes R1'!H437</x:f>
        <x:v>0</x:v>
      </x:c>
      <x:c r="G12" s="228">
        <x:f>'Reporte Componentes R1'!I437</x:f>
        <x:v>0</x:v>
      </x:c>
      <x:c r="H12" s="228">
        <x:f>'Reporte Componentes R1'!J437</x:f>
        <x:v>0</x:v>
      </x:c>
      <x:c r="I12" s="228">
        <x:f>'Reporte Componentes R1'!K437</x:f>
        <x:v>0</x:v>
      </x:c>
      <x:c r="J12" s="224">
        <x:f>'BCE SC POR FACT.'!F6</x:f>
        <x:v>0</x:v>
      </x:c>
      <x:c r="K12" s="231">
        <x:f>D12-E12-F12-G12-H12-I12-J12</x:f>
        <x:v>0</x:v>
      </x:c>
      <x:c r="L12" s="230">
        <x:f>INTERVENTORIA!Q7</x:f>
        <x:v>120391083</x:v>
      </x:c>
      <x:c r="M12" s="231">
        <x:f>K12-L12</x:f>
        <x:v>-120391083</x:v>
      </x:c>
      <x:c r="N12" s="230">
        <x:f>'Reporte Componentes R1'!L437</x:f>
        <x:v>0</x:v>
      </x:c>
      <x:c r="O12" s="231">
        <x:f>M12+N12</x:f>
        <x:v>-120391083</x:v>
      </x:c>
      <x:c r="Q12" s="242"/>
      <x:c r="S12" s="250">
        <x:v>4</x:v>
      </x:c>
      <x:c r="T12" s="251" t="s">
        <x:v>13</x:v>
      </x:c>
      <x:c r="U12" s="252">
        <x:f>'Reporte Componentes R1'!M437</x:f>
        <x:v>0</x:v>
      </x:c>
      <x:c r="V12" s="253">
        <x:f>'Reporte Componentes R1'!N437</x:f>
        <x:v>0</x:v>
      </x:c>
      <x:c r="W12" s="253">
        <x:f>'Reporte Componentes R1'!O437</x:f>
        <x:v>0</x:v>
      </x:c>
      <x:c r="X12" s="253">
        <x:f>'Reporte Componentes R1'!P437</x:f>
        <x:v>0</x:v>
      </x:c>
      <x:c r="Y12" s="254">
        <x:f>'Reporte Componentes R1'!Q437</x:f>
        <x:v>0</x:v>
      </x:c>
      <x:c r="Z12" s="255">
        <x:f>L12*-1</x:f>
        <x:v>-120391083</x:v>
      </x:c>
      <x:c r="AA12" s="256">
        <x:f>'Reporte Componentes R1'!R437+'Reporte Componentes R1'!U437+'Reporte Componentes R1'!V437</x:f>
        <x:v>0</x:v>
      </x:c>
      <x:c r="AB12" s="257">
        <x:f>N12</x:f>
        <x:v>0</x:v>
      </x:c>
      <x:c r="AC12" s="256">
        <x:f>'Reporte Componentes R1'!T437+'Reporte Componentes R1'!W437+'Reporte Componentes R1'!X437+'Reporte Componentes R1'!Y437+'Reporte Componentes R1'!Z437+'Reporte Componentes R1'!S437</x:f>
        <x:v>0</x:v>
      </x:c>
      <x:c r="AD12" s="227">
        <x:f t="shared" si="0"/>
        <x:v>0</x:v>
      </x:c>
      <x:c r="AE12" s="227">
        <x:f>'Reporte Componentes R1'!F438</x:f>
        <x:v>0</x:v>
      </x:c>
      <x:c r="AF12" s="258">
        <x:f t="shared" si="2"/>
        <x:v>-120391083</x:v>
      </x:c>
      <x:c r="AG12" s="440">
        <x:f>(AF12-O12)</x:f>
        <x:v>0</x:v>
      </x:c>
      <x:c r="AH12" s="241" t="b">
        <x:f t="shared" si="1"/>
        <x:v>1</x:v>
      </x:c>
      <x:c r="AI12" s="242"/>
    </x:row>
    <x:row r="13" spans="2:35" s="241" customFormat="1" ht="12.6" thickBot="1" x14ac:dyDescent="0.3">
      <x:c r="B13" s="260">
        <x:v>5</x:v>
      </x:c>
      <x:c r="C13" s="261" t="s">
        <x:v>14</x:v>
      </x:c>
      <x:c r="D13" s="232">
        <x:f>'Reporte Componentes R1'!F519</x:f>
        <x:v>0</x:v>
      </x:c>
      <x:c r="E13" s="233">
        <x:f>'Reporte Componentes R1'!G519</x:f>
        <x:v>0</x:v>
      </x:c>
      <x:c r="F13" s="233">
        <x:f>'Reporte Componentes R1'!H519</x:f>
        <x:v>0</x:v>
      </x:c>
      <x:c r="G13" s="233">
        <x:f>'Reporte Componentes R1'!I519</x:f>
        <x:v>0</x:v>
      </x:c>
      <x:c r="H13" s="233">
        <x:f>'Reporte Componentes R1'!J519</x:f>
        <x:v>0</x:v>
      </x:c>
      <x:c r="I13" s="233">
        <x:f>'Reporte Componentes R1'!K519</x:f>
        <x:v>0</x:v>
      </x:c>
      <x:c r="J13" s="225">
        <x:f>'BCE SC POR FACT.'!F7</x:f>
        <x:v>0</x:v>
      </x:c>
      <x:c r="K13" s="231">
        <x:f>D13-E13-F13-G13-H13-I13-J13</x:f>
        <x:v>0</x:v>
      </x:c>
      <x:c r="L13" s="230">
        <x:f>INTERVENTORIA!Q8</x:f>
        <x:v>128990445</x:v>
      </x:c>
      <x:c r="M13" s="234">
        <x:f>K13-L13</x:f>
        <x:v>-128990445</x:v>
      </x:c>
      <x:c r="N13" s="235">
        <x:f>'Reporte Componentes R1'!L519</x:f>
        <x:v>0</x:v>
      </x:c>
      <x:c r="O13" s="234">
        <x:f>M13+N13</x:f>
        <x:v>-128990445</x:v>
      </x:c>
      <x:c r="Q13" s="242"/>
      <x:c r="S13" s="260">
        <x:v>5</x:v>
      </x:c>
      <x:c r="T13" s="261" t="s">
        <x:v>14</x:v>
      </x:c>
      <x:c r="U13" s="232">
        <x:f>'Reporte Componentes R1'!M519</x:f>
        <x:v>0</x:v>
      </x:c>
      <x:c r="V13" s="233">
        <x:f>'Reporte Componentes R1'!N519</x:f>
        <x:v>0</x:v>
      </x:c>
      <x:c r="W13" s="233">
        <x:f>'Reporte Componentes R1'!O519</x:f>
        <x:v>0</x:v>
      </x:c>
      <x:c r="X13" s="233">
        <x:f>'Reporte Componentes R1'!P519</x:f>
        <x:v>0</x:v>
      </x:c>
      <x:c r="Y13" s="225">
        <x:f>'Reporte Componentes R1'!Q519</x:f>
        <x:v>0</x:v>
      </x:c>
      <x:c r="Z13" s="255">
        <x:f>L13*-1</x:f>
        <x:v>-128990445</x:v>
      </x:c>
      <x:c r="AA13" s="256">
        <x:f>'Reporte Componentes R1'!R519+'Reporte Componentes R1'!U519+'Reporte Componentes R1'!V519</x:f>
        <x:v>0</x:v>
      </x:c>
      <x:c r="AB13" s="257">
        <x:f>N13</x:f>
        <x:v>0</x:v>
      </x:c>
      <x:c r="AC13" s="256">
        <x:f>'Reporte Componentes R1'!T519+'Reporte Componentes R1'!W519+'Reporte Componentes R1'!X519+'Reporte Componentes R1'!Y519+'Reporte Componentes R1'!Z519+'Reporte Componentes R1'!S519</x:f>
        <x:v>0</x:v>
      </x:c>
      <x:c r="AD13" s="227">
        <x:f t="shared" si="0"/>
        <x:v>0</x:v>
      </x:c>
      <x:c r="AE13" s="227">
        <x:f>'Reporte Componentes R1'!F520</x:f>
        <x:v>0</x:v>
      </x:c>
      <x:c r="AF13" s="258">
        <x:f t="shared" si="2"/>
        <x:v>-128990445</x:v>
      </x:c>
      <x:c r="AG13" s="441">
        <x:f>(AF13-O13)</x:f>
        <x:v>0</x:v>
      </x:c>
      <x:c r="AH13" s="241" t="b">
        <x:f t="shared" si="1"/>
        <x:v>1</x:v>
      </x:c>
      <x:c r="AI13" s="242"/>
    </x:row>
    <x:row r="14" spans="2:35" s="241" customFormat="1" ht="13.8" thickBot="1" x14ac:dyDescent="0.3">
      <x:c r="B14" s="263"/>
      <x:c r="C14" s="264" t="s">
        <x:v>2</x:v>
      </x:c>
      <x:c r="D14" s="226">
        <x:f>SUM(D9:D13)</x:f>
        <x:v>0</x:v>
      </x:c>
      <x:c r="E14" s="226">
        <x:f t="shared" ref="E14:O14" si="3">SUM(E9:E13)</x:f>
        <x:v>0</x:v>
      </x:c>
      <x:c r="F14" s="226">
        <x:f t="shared" si="3"/>
        <x:v>0</x:v>
      </x:c>
      <x:c r="G14" s="226">
        <x:f t="shared" ref="G14" si="4">SUM(G9:G13)</x:f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>SUM(K9:K13)</x:f>
        <x:v>0</x:v>
      </x:c>
      <x:c r="L14" s="237">
        <x:f>SUM(L9:L13)</x:f>
        <x:v>859936305</x:v>
      </x:c>
      <x:c r="M14" s="238">
        <x:f t="shared" si="3"/>
        <x:v>-859936305</x:v>
      </x:c>
      <x:c r="N14" s="237">
        <x:f t="shared" si="3"/>
        <x:v>0</x:v>
      </x:c>
      <x:c r="O14" s="238">
        <x:f t="shared" si="3"/>
        <x:v>-859936305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5">SUM(V9:V13)</x:f>
        <x:v>0</x:v>
      </x:c>
      <x:c r="W14" s="266">
        <x:f t="shared" si="5"/>
        <x:v>0</x:v>
      </x:c>
      <x:c r="X14" s="266">
        <x:f t="shared" si="5"/>
        <x:v>0</x:v>
      </x:c>
      <x:c r="Y14" s="266">
        <x:f t="shared" si="5"/>
        <x:v>0</x:v>
      </x:c>
      <x:c r="Z14" s="226">
        <x:f t="shared" si="5"/>
        <x:v>-859936305</x:v>
      </x:c>
      <x:c r="AA14" s="226">
        <x:f t="shared" si="5"/>
        <x:v>0</x:v>
      </x:c>
      <x:c r="AB14" s="226">
        <x:f t="shared" si="5"/>
        <x:v>0</x:v>
      </x:c>
      <x:c r="AC14" s="226">
        <x:f>SUM(AC9:AC13)</x:f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5"/>
        <x:v>-859936305</x:v>
      </x:c>
      <x:c r="AG14" s="442">
        <x:f>SUM(AG9:AG13)</x:f>
        <x:v>0</x:v>
      </x:c>
      <x:c r="AH14" s="241" t="b">
        <x:f>INT(AG14)=0</x:f>
        <x:v>1</x:v>
      </x:c>
      <x:c r="AI14" s="242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58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15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13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13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13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13"/>
      <x:c r="AI24" s="4"/>
    </x:row>
    <x:row r="25" spans="1:35" ht="15.6" x14ac:dyDescent="0.3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13"/>
      <x:c r="AI25" s="4"/>
    </x:row>
    <x:row r="26" spans="1:35" ht="12.6" thickBot="1" x14ac:dyDescent="0.3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13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214"/>
      <x:c r="AI27" s="4"/>
    </x:row>
    <x:row r="28" spans="1:35" s="241" customFormat="1" ht="12" x14ac:dyDescent="0.25">
      <x:c r="B28" s="239">
        <x:v>1</x:v>
      </x:c>
      <x:c r="C28" s="240" t="s">
        <x:v>10</x:v>
      </x:c>
      <x:c r="D28" s="227">
        <x:f>'Rem. Anticipos R2'!E43</x:f>
        <x:v>0</x:v>
      </x:c>
      <x:c r="E28" s="228">
        <x:f>'Rem. Anticipos R2'!F43</x:f>
        <x:v>0</x:v>
      </x:c>
      <x:c r="F28" s="228">
        <x:f>'Rem. Anticipos R2'!G43</x:f>
        <x:v>0</x:v>
      </x:c>
      <x:c r="G28" s="228">
        <x:f>'Rem. Anticipos R2'!H43</x:f>
        <x:v>0</x:v>
      </x:c>
      <x:c r="H28" s="228">
        <x:f>'Rem. Anticipos R2'!I43</x:f>
        <x:v>0</x:v>
      </x:c>
      <x:c r="I28" s="228">
        <x:f>'Rem. Anticipos R2'!J43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R2'!K43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R2'!L43</x:f>
        <x:v>0</x:v>
      </x:c>
      <x:c r="V28" s="244">
        <x:f>'Rem. Anticipos R2'!M43</x:f>
        <x:v>0</x:v>
      </x:c>
      <x:c r="W28" s="244">
        <x:f>'Rem. Anticipos R2'!N43</x:f>
        <x:v>0</x:v>
      </x:c>
      <x:c r="X28" s="244">
        <x:f>'Rem. Anticipos R2'!O43</x:f>
        <x:v>0</x:v>
      </x:c>
      <x:c r="Y28" s="244">
        <x:f>'Rem. Anticipos R2'!P43</x:f>
        <x:v>0</x:v>
      </x:c>
      <x:c r="Z28" s="246">
        <x:f>L28*-1</x:f>
        <x:v>0</x:v>
      </x:c>
      <x:c r="AA28" s="247">
        <x:f>'Rem. Anticipos R2'!Q43</x:f>
        <x:v>0</x:v>
      </x:c>
      <x:c r="AB28" s="230">
        <x:f>N28</x:f>
        <x:v>0</x:v>
      </x:c>
      <x:c r="AC28" s="247">
        <x:f>'Rem. Anticipos R2'!R43</x:f>
        <x:v>0</x:v>
      </x:c>
      <x:c r="AD28" s="227">
        <x:f>-J28+AE28</x:f>
        <x:v>0</x:v>
      </x:c>
      <x:c r="AE28" s="227">
        <x:f>'Rem. Anticipos R2'!E44</x:f>
        <x:v>0</x:v>
      </x:c>
      <x:c r="AF28" s="249">
        <x:f>SUM(U28:AD28)</x:f>
        <x:v>0</x:v>
      </x:c>
      <x:c r="AG28" s="439">
        <x:f>(AF28-O28)</x:f>
        <x:v>0</x:v>
      </x:c>
      <x:c r="AH28" s="241" t="b">
        <x:f>INT(AG28)=0</x:f>
        <x:v>1</x:v>
      </x:c>
      <x:c r="AI28" s="242"/>
    </x:row>
    <x:row r="29" spans="1:35" s="241" customFormat="1" ht="12" x14ac:dyDescent="0.25">
      <x:c r="B29" s="250">
        <x:v>2</x:v>
      </x:c>
      <x:c r="C29" s="251" t="s">
        <x:v>11</x:v>
      </x:c>
      <x:c r="D29" s="227">
        <x:f>'Rem. Anticipos R2'!E139</x:f>
        <x:v>0</x:v>
      </x:c>
      <x:c r="E29" s="228">
        <x:f>'Rem. Anticipos R2'!F139</x:f>
        <x:v>0</x:v>
      </x:c>
      <x:c r="F29" s="228">
        <x:f>'Rem. Anticipos R2'!G139</x:f>
        <x:v>0</x:v>
      </x:c>
      <x:c r="G29" s="228">
        <x:f>'Rem. Anticipos R2'!H139</x:f>
        <x:v>0</x:v>
      </x:c>
      <x:c r="H29" s="228">
        <x:f>'Rem. Anticipos R2'!I139</x:f>
        <x:v>0</x:v>
      </x:c>
      <x:c r="I29" s="228">
        <x:f>'Rem. Anticipos R2'!J139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R2'!K139</x:f>
        <x:v>0</x:v>
      </x:c>
      <x:c r="O29" s="231">
        <x:f t="shared" ref="O29:O32" si="6">M29+N29</x:f>
        <x:v>0</x:v>
      </x:c>
      <x:c r="Q29" s="242"/>
      <x:c r="S29" s="250">
        <x:v>2</x:v>
      </x:c>
      <x:c r="T29" s="251" t="s">
        <x:v>11</x:v>
      </x:c>
      <x:c r="U29" s="252">
        <x:f>'Rem. Anticipos R2'!L139</x:f>
        <x:v>0</x:v>
      </x:c>
      <x:c r="V29" s="253">
        <x:f>'Rem. Anticipos R2'!M139</x:f>
        <x:v>0</x:v>
      </x:c>
      <x:c r="W29" s="253">
        <x:f>'Rem. Anticipos R2'!N139</x:f>
        <x:v>0</x:v>
      </x:c>
      <x:c r="X29" s="253">
        <x:f>'Rem. Anticipos R2'!O139</x:f>
        <x:v>0</x:v>
      </x:c>
      <x:c r="Y29" s="254">
        <x:f>'Rem. Anticipos R2'!P139</x:f>
        <x:v>0</x:v>
      </x:c>
      <x:c r="Z29" s="255">
        <x:f>L29*-1</x:f>
        <x:v>0</x:v>
      </x:c>
      <x:c r="AA29" s="256">
        <x:f>'Rem. Anticipos R2'!Q139</x:f>
        <x:v>0</x:v>
      </x:c>
      <x:c r="AB29" s="230">
        <x:f>N29</x:f>
        <x:v>0</x:v>
      </x:c>
      <x:c r="AC29" s="256">
        <x:f>'Rem. Anticipos R2'!R139</x:f>
        <x:v>0</x:v>
      </x:c>
      <x:c r="AD29" s="227">
        <x:f>-J29+AE29</x:f>
        <x:v>0</x:v>
      </x:c>
      <x:c r="AE29" s="227">
        <x:f>'Rem. Anticipos R2'!E140</x:f>
        <x:v>0</x:v>
      </x:c>
      <x:c r="AF29" s="258">
        <x:f>SUM(U29:AD29)</x:f>
        <x:v>0</x:v>
      </x:c>
      <x:c r="AG29" s="440">
        <x:f>(AF29-O29)</x:f>
        <x:v>0</x:v>
      </x:c>
      <x:c r="AH29" s="241" t="b">
        <x:f t="shared" ref="AH29:AH32" si="7">INT(AG29)=0</x:f>
        <x:v>1</x:v>
      </x:c>
      <x:c r="AI29" s="242"/>
    </x:row>
    <x:row r="30" spans="1:35" s="241" customFormat="1" ht="12" x14ac:dyDescent="0.25">
      <x:c r="B30" s="250">
        <x:v>3</x:v>
      </x:c>
      <x:c r="C30" s="251" t="s">
        <x:v>12</x:v>
      </x:c>
      <x:c r="D30" s="227">
        <x:f>'Rem. Anticipos R2'!E256</x:f>
        <x:v>0</x:v>
      </x:c>
      <x:c r="E30" s="228">
        <x:f>'Rem. Anticipos R2'!F256</x:f>
        <x:v>0</x:v>
      </x:c>
      <x:c r="F30" s="228">
        <x:f>'Rem. Anticipos R2'!G256</x:f>
        <x:v>0</x:v>
      </x:c>
      <x:c r="G30" s="228">
        <x:f>'Rem. Anticipos R2'!H256</x:f>
        <x:v>0</x:v>
      </x:c>
      <x:c r="H30" s="228">
        <x:f>'Rem. Anticipos R2'!I256</x:f>
        <x:v>0</x:v>
      </x:c>
      <x:c r="I30" s="228">
        <x:f>'Rem. Anticipos R2'!J256</x:f>
        <x:v>0</x:v>
      </x:c>
      <x:c r="J30" s="224">
        <x:v>0</x:v>
      </x:c>
      <x:c r="K30" s="231">
        <x:f t="shared" ref="K30:K31" si="8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R2'!K256</x:f>
        <x:v>0</x:v>
      </x:c>
      <x:c r="O30" s="231">
        <x:f t="shared" si="6"/>
        <x:v>0</x:v>
      </x:c>
      <x:c r="Q30" s="242"/>
      <x:c r="S30" s="250">
        <x:v>3</x:v>
      </x:c>
      <x:c r="T30" s="251" t="s">
        <x:v>12</x:v>
      </x:c>
      <x:c r="U30" s="252">
        <x:f>'Rem. Anticipos R2'!L256</x:f>
        <x:v>0</x:v>
      </x:c>
      <x:c r="V30" s="253">
        <x:f>'Rem. Anticipos R2'!M256</x:f>
        <x:v>0</x:v>
      </x:c>
      <x:c r="W30" s="253">
        <x:f>'Rem. Anticipos R2'!N256</x:f>
        <x:v>0</x:v>
      </x:c>
      <x:c r="X30" s="253">
        <x:f>'Rem. Anticipos R2'!O256</x:f>
        <x:v>0</x:v>
      </x:c>
      <x:c r="Y30" s="254">
        <x:f>'Rem. Anticipos R2'!P256</x:f>
        <x:v>0</x:v>
      </x:c>
      <x:c r="Z30" s="255">
        <x:f>L30*-1</x:f>
        <x:v>0</x:v>
      </x:c>
      <x:c r="AA30" s="256">
        <x:f>'Rem. Anticipos R2'!Q256</x:f>
        <x:v>0</x:v>
      </x:c>
      <x:c r="AB30" s="230">
        <x:f>N30</x:f>
        <x:v>0</x:v>
      </x:c>
      <x:c r="AC30" s="256">
        <x:f>'Rem. Anticipos R2'!R256</x:f>
        <x:v>0</x:v>
      </x:c>
      <x:c r="AD30" s="227">
        <x:f t="shared" ref="AD30:AD32" si="9">-J30+AE30</x:f>
        <x:v>0</x:v>
      </x:c>
      <x:c r="AE30" s="227">
        <x:f>'Rem. Anticipos R2'!E257</x:f>
        <x:v>0</x:v>
      </x:c>
      <x:c r="AF30" s="258">
        <x:f>SUM(U30:AD30)</x:f>
        <x:v>0</x:v>
      </x:c>
      <x:c r="AG30" s="440">
        <x:f t="shared" ref="AG30:AG31" si="10">(AF30-O30)</x:f>
        <x:v>0</x:v>
      </x:c>
      <x:c r="AH30" s="241" t="b">
        <x:f t="shared" si="7"/>
        <x:v>1</x:v>
      </x:c>
      <x:c r="AI30" s="242"/>
    </x:row>
    <x:row r="31" spans="1:35" s="241" customFormat="1" ht="12" x14ac:dyDescent="0.25">
      <x:c r="B31" s="250">
        <x:v>4</x:v>
      </x:c>
      <x:c r="C31" s="251" t="s">
        <x:v>13</x:v>
      </x:c>
      <x:c r="D31" s="227">
        <x:f>'Rem. Anticipos R2'!E358</x:f>
        <x:v>0</x:v>
      </x:c>
      <x:c r="E31" s="228">
        <x:f>'Rem. Anticipos R2'!F358</x:f>
        <x:v>0</x:v>
      </x:c>
      <x:c r="F31" s="228">
        <x:f>'Rem. Anticipos R2'!G358</x:f>
        <x:v>0</x:v>
      </x:c>
      <x:c r="G31" s="228">
        <x:f>'Rem. Anticipos R2'!H358</x:f>
        <x:v>0</x:v>
      </x:c>
      <x:c r="H31" s="228">
        <x:f>'Rem. Anticipos R2'!I358</x:f>
        <x:v>0</x:v>
      </x:c>
      <x:c r="I31" s="228">
        <x:f>'Rem. Anticipos R2'!J358</x:f>
        <x:v>0</x:v>
      </x:c>
      <x:c r="J31" s="224">
        <x:v>0</x:v>
      </x:c>
      <x:c r="K31" s="231">
        <x:f t="shared" si="8"/>
        <x:v>0</x:v>
      </x:c>
      <x:c r="L31" s="230">
        <x:v>0</x:v>
      </x:c>
      <x:c r="M31" s="231">
        <x:f>K31-L31</x:f>
        <x:v>0</x:v>
      </x:c>
      <x:c r="N31" s="230">
        <x:f>'Rem. Anticipos R2'!K358</x:f>
        <x:v>0</x:v>
      </x:c>
      <x:c r="O31" s="231">
        <x:f t="shared" si="6"/>
        <x:v>0</x:v>
      </x:c>
      <x:c r="Q31" s="242"/>
      <x:c r="S31" s="250">
        <x:v>4</x:v>
      </x:c>
      <x:c r="T31" s="251" t="s">
        <x:v>13</x:v>
      </x:c>
      <x:c r="U31" s="252">
        <x:f>'Rem. Anticipos R2'!L358</x:f>
        <x:v>0</x:v>
      </x:c>
      <x:c r="V31" s="253">
        <x:f>'Rem. Anticipos R2'!M358</x:f>
        <x:v>0</x:v>
      </x:c>
      <x:c r="W31" s="253">
        <x:f>'Rem. Anticipos R2'!N358</x:f>
        <x:v>0</x:v>
      </x:c>
      <x:c r="X31" s="253">
        <x:f>'Rem. Anticipos R2'!O358</x:f>
        <x:v>0</x:v>
      </x:c>
      <x:c r="Y31" s="254">
        <x:f>'Rem. Anticipos R2'!P358</x:f>
        <x:v>0</x:v>
      </x:c>
      <x:c r="Z31" s="255">
        <x:f>L31*-1</x:f>
        <x:v>0</x:v>
      </x:c>
      <x:c r="AA31" s="256">
        <x:f>'Rem. Anticipos R2'!Q358</x:f>
        <x:v>0</x:v>
      </x:c>
      <x:c r="AB31" s="230">
        <x:f>N31</x:f>
        <x:v>0</x:v>
      </x:c>
      <x:c r="AC31" s="256">
        <x:f>'Rem. Anticipos R2'!R358</x:f>
        <x:v>0</x:v>
      </x:c>
      <x:c r="AD31" s="227">
        <x:f t="shared" si="9"/>
        <x:v>0</x:v>
      </x:c>
      <x:c r="AE31" s="227">
        <x:f>'Rem. Anticipos R2'!E359</x:f>
        <x:v>0</x:v>
      </x:c>
      <x:c r="AF31" s="258">
        <x:f>SUM(U31:AD31)</x:f>
        <x:v>0</x:v>
      </x:c>
      <x:c r="AG31" s="440">
        <x:f t="shared" si="10"/>
        <x:v>0</x:v>
      </x:c>
      <x:c r="AH31" s="241" t="b">
        <x:f t="shared" si="7"/>
        <x:v>1</x:v>
      </x:c>
      <x:c r="AI31" s="242"/>
    </x:row>
    <x:row r="32" spans="1:35" s="241" customFormat="1" ht="12.6" thickBot="1" x14ac:dyDescent="0.3">
      <x:c r="B32" s="260">
        <x:v>5</x:v>
      </x:c>
      <x:c r="C32" s="261" t="s">
        <x:v>14</x:v>
      </x:c>
      <x:c r="D32" s="232">
        <x:f>'Rem. Anticipos R2'!E438</x:f>
        <x:v>0</x:v>
      </x:c>
      <x:c r="E32" s="233">
        <x:f>'Rem. Anticipos R2'!F438</x:f>
        <x:v>0</x:v>
      </x:c>
      <x:c r="F32" s="233">
        <x:f>'Rem. Anticipos R2'!G438</x:f>
        <x:v>0</x:v>
      </x:c>
      <x:c r="G32" s="233">
        <x:f>'Rem. Anticipos R2'!H438</x:f>
        <x:v>0</x:v>
      </x:c>
      <x:c r="H32" s="233">
        <x:f>'Rem. Anticipos R2'!I438</x:f>
        <x:v>0</x:v>
      </x:c>
      <x:c r="I32" s="233">
        <x:f>'Rem. Anticipos R2'!J438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R2'!K438</x:f>
        <x:v>0</x:v>
      </x:c>
      <x:c r="O32" s="234">
        <x:f t="shared" si="6"/>
        <x:v>0</x:v>
      </x:c>
      <x:c r="Q32" s="242"/>
      <x:c r="S32" s="260">
        <x:v>5</x:v>
      </x:c>
      <x:c r="T32" s="261" t="s">
        <x:v>14</x:v>
      </x:c>
      <x:c r="U32" s="232">
        <x:f>'Rem. Anticipos R2'!L438</x:f>
        <x:v>0</x:v>
      </x:c>
      <x:c r="V32" s="233">
        <x:f>'Rem. Anticipos R2'!M438</x:f>
        <x:v>0</x:v>
      </x:c>
      <x:c r="W32" s="233">
        <x:f>'Rem. Anticipos R2'!N438</x:f>
        <x:v>0</x:v>
      </x:c>
      <x:c r="X32" s="233">
        <x:f>'Rem. Anticipos R2'!O438</x:f>
        <x:v>0</x:v>
      </x:c>
      <x:c r="Y32" s="225">
        <x:f>'Rem. Anticipos R2'!P438</x:f>
        <x:v>0</x:v>
      </x:c>
      <x:c r="Z32" s="255">
        <x:f>L32*-1</x:f>
        <x:v>0</x:v>
      </x:c>
      <x:c r="AA32" s="256">
        <x:f>'Rem. Anticipos R2'!Q438</x:f>
        <x:v>0</x:v>
      </x:c>
      <x:c r="AB32" s="230">
        <x:f>N32</x:f>
        <x:v>0</x:v>
      </x:c>
      <x:c r="AC32" s="256">
        <x:f>'Rem. Anticipos R2'!R438</x:f>
        <x:v>0</x:v>
      </x:c>
      <x:c r="AD32" s="227">
        <x:f t="shared" si="9"/>
        <x:v>0</x:v>
      </x:c>
      <x:c r="AE32" s="227">
        <x:f>'Rem. Anticipos R2'!E439</x:f>
        <x:v>0</x:v>
      </x:c>
      <x:c r="AF32" s="258">
        <x:f>SUM(U32:AD32)</x:f>
        <x:v>0</x:v>
      </x:c>
      <x:c r="AG32" s="441">
        <x:f>(AF32-O32)</x:f>
        <x:v>0</x:v>
      </x:c>
      <x:c r="AH32" s="241" t="b">
        <x:f t="shared" si="7"/>
        <x:v>1</x:v>
      </x:c>
      <x:c r="AI32" s="242"/>
    </x:row>
    <x:row r="33" spans="1:35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1">SUM(F28:F32)</x:f>
        <x:v>0</x:v>
      </x:c>
      <x:c r="G33" s="226">
        <x:f t="shared" ref="G33" si="12"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F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ref="AG33" si="15">SUM(AG28:AG32)</x:f>
        <x:v>0</x:v>
      </x:c>
      <x:c r="AH33" s="241" t="b">
        <x:f>INT(AG33)=0</x:f>
        <x:v>1</x:v>
      </x:c>
      <x:c r="AI33" s="242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15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13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13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13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13"/>
      <x:c r="AI43" s="4"/>
    </x:row>
    <x:row r="44" spans="1:35" ht="15.6" x14ac:dyDescent="0.3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13"/>
      <x:c r="AI44" s="4"/>
    </x:row>
    <x:row r="45" spans="1:35" ht="12.6" thickBot="1" x14ac:dyDescent="0.3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13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214"/>
      <x:c r="AI46" s="4"/>
    </x:row>
    <x:row r="47" spans="1:35" s="241" customFormat="1" ht="12" x14ac:dyDescent="0.25">
      <x:c r="B47" s="239">
        <x:v>1</x:v>
      </x:c>
      <x:c r="C47" s="240" t="s">
        <x:v>10</x:v>
      </x:c>
      <x:c r="D47" s="227">
        <x:f>'Reporte Componentes R1'!F48</x:f>
        <x:v>0</x:v>
      </x:c>
      <x:c r="E47" s="228">
        <x:f>'Reporte Componentes R1'!G48</x:f>
        <x:v>0</x:v>
      </x:c>
      <x:c r="F47" s="228">
        <x:f>'Reporte Componentes R1'!H48</x:f>
        <x:v>0</x:v>
      </x:c>
      <x:c r="G47" s="228">
        <x:f>'Reporte Componentes R1'!I48</x:f>
        <x:v>0</x:v>
      </x:c>
      <x:c r="H47" s="228">
        <x:f>'Reporte Componentes R1'!J48</x:f>
        <x:v>0</x:v>
      </x:c>
      <x:c r="I47" s="228">
        <x:f>'Reporte Componentes R1'!K48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R1'!L48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R1'!M48</x:f>
        <x:v>0</x:v>
      </x:c>
      <x:c r="V47" s="244">
        <x:f>'Reporte Componentes R1'!N48</x:f>
        <x:v>0</x:v>
      </x:c>
      <x:c r="W47" s="244">
        <x:f>'Reporte Componentes R1'!O48</x:f>
        <x:v>0</x:v>
      </x:c>
      <x:c r="X47" s="244">
        <x:f>'Reporte Componentes R1'!P48</x:f>
        <x:v>0</x:v>
      </x:c>
      <x:c r="Y47" s="245">
        <x:f>'Reporte Componentes R1'!Q48</x:f>
        <x:v>0</x:v>
      </x:c>
      <x:c r="Z47" s="246">
        <x:f>-L47</x:f>
        <x:v>0</x:v>
      </x:c>
      <x:c r="AA47" s="256">
        <x:f>'Reporte Componentes R1'!R48+'Reporte Componentes R1'!V48+'Reporte Componentes R1'!U48</x:f>
        <x:v>0</x:v>
      </x:c>
      <x:c r="AB47" s="230">
        <x:f>N47</x:f>
        <x:v>0</x:v>
      </x:c>
      <x:c r="AC47" s="247">
        <x:f>'Reporte Componentes R1'!T48+'Reporte Componentes R1'!W48+'Reporte Componentes R1'!X48+'Reporte Componentes R1'!Y48+'Reporte Componentes R1'!Z48+'Reporte Componentes R1'!S48</x:f>
        <x:v>0</x:v>
      </x:c>
      <x:c r="AD47" s="227">
        <x:f>-J47+AE47</x:f>
        <x:v>0</x:v>
      </x:c>
      <x:c r="AE47" s="227">
        <x:f>'Reporte Componentes R1'!F49</x:f>
        <x:v>0</x:v>
      </x:c>
      <x:c r="AF47" s="249">
        <x:f>SUM(U47:AD47)</x:f>
        <x:v>0</x:v>
      </x:c>
      <x:c r="AG47" s="439">
        <x:f>(AF47-O47)</x:f>
        <x:v>0</x:v>
      </x:c>
      <x:c r="AH47" s="241" t="b">
        <x:f>INT(AG47)=0</x:f>
        <x:v>1</x:v>
      </x:c>
      <x:c r="AI47" s="242"/>
    </x:row>
    <x:row r="48" spans="1:35" s="241" customFormat="1" ht="12" x14ac:dyDescent="0.25">
      <x:c r="B48" s="250">
        <x:v>2</x:v>
      </x:c>
      <x:c r="C48" s="251" t="s">
        <x:v>11</x:v>
      </x:c>
      <x:c r="D48" s="227">
        <x:f>'Reporte Componentes R1'!F178</x:f>
        <x:v>0</x:v>
      </x:c>
      <x:c r="E48" s="228">
        <x:f>'Reporte Componentes R1'!G178</x:f>
        <x:v>0</x:v>
      </x:c>
      <x:c r="F48" s="228">
        <x:f>'Reporte Componentes R1'!H178</x:f>
        <x:v>0</x:v>
      </x:c>
      <x:c r="G48" s="228">
        <x:f>'Reporte Componentes R1'!I178</x:f>
        <x:v>0</x:v>
      </x:c>
      <x:c r="H48" s="228">
        <x:f>'Reporte Componentes R1'!J178</x:f>
        <x:v>0</x:v>
      </x:c>
      <x:c r="I48" s="228">
        <x:f>'Reporte Componentes R1'!K178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R1'!L178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R1'!M178</x:f>
        <x:v>0</x:v>
      </x:c>
      <x:c r="V48" s="253">
        <x:f>'Reporte Componentes R1'!N178</x:f>
        <x:v>0</x:v>
      </x:c>
      <x:c r="W48" s="253">
        <x:f>'Reporte Componentes R1'!O178</x:f>
        <x:v>0</x:v>
      </x:c>
      <x:c r="X48" s="253">
        <x:f>'Reporte Componentes R1'!P178</x:f>
        <x:v>0</x:v>
      </x:c>
      <x:c r="Y48" s="254">
        <x:f>'Reporte Componentes R1'!Q178</x:f>
        <x:v>0</x:v>
      </x:c>
      <x:c r="Z48" s="255">
        <x:f>-L48</x:f>
        <x:v>0</x:v>
      </x:c>
      <x:c r="AA48" s="256">
        <x:f>'Reporte Componentes R1'!R178+'Reporte Componentes R1'!V178+'Reporte Componentes R1'!U178</x:f>
        <x:v>0</x:v>
      </x:c>
      <x:c r="AB48" s="230">
        <x:f>N48</x:f>
        <x:v>0</x:v>
      </x:c>
      <x:c r="AC48" s="256">
        <x:f>'Reporte Componentes R1'!T178+'Reporte Componentes R1'!W178+'Reporte Componentes R1'!X178+'Reporte Componentes R1'!Y178+'Reporte Componentes R1'!Z178+'Reporte Componentes R1'!S178</x:f>
        <x:v>0</x:v>
      </x:c>
      <x:c r="AD48" s="227">
        <x:f t="shared" ref="AD48:AD51" si="18">-J48+AE48</x:f>
        <x:v>0</x:v>
      </x:c>
      <x:c r="AE48" s="227">
        <x:f>'Reporte Componentes R1'!F179</x:f>
        <x:v>0</x:v>
      </x:c>
      <x:c r="AF48" s="258">
        <x:f>SUM(U48:AD48)</x:f>
        <x:v>0</x:v>
      </x:c>
      <x:c r="AG48" s="440">
        <x:f>(AF48-O48)</x:f>
        <x:v>0</x:v>
      </x:c>
      <x:c r="AH48" s="241" t="b">
        <x:f t="shared" ref="AH48:AH51" si="19">INT(AG48)=0</x:f>
        <x:v>1</x:v>
      </x:c>
      <x:c r="AI48" s="242"/>
    </x:row>
    <x:row r="49" spans="1:35" s="241" customFormat="1" ht="12" x14ac:dyDescent="0.25">
      <x:c r="B49" s="250">
        <x:v>3</x:v>
      </x:c>
      <x:c r="C49" s="251" t="s">
        <x:v>12</x:v>
      </x:c>
      <x:c r="D49" s="227">
        <x:f>'Reporte Componentes R1'!F318</x:f>
        <x:v>0</x:v>
      </x:c>
      <x:c r="E49" s="228">
        <x:f>'Reporte Componentes R1'!G318</x:f>
        <x:v>0</x:v>
      </x:c>
      <x:c r="F49" s="228">
        <x:f>'Reporte Componentes R1'!H318</x:f>
        <x:v>0</x:v>
      </x:c>
      <x:c r="G49" s="228">
        <x:f>'Reporte Componentes R1'!I318</x:f>
        <x:v>0</x:v>
      </x:c>
      <x:c r="H49" s="228">
        <x:f>'Reporte Componentes R1'!J318</x:f>
        <x:v>0</x:v>
      </x:c>
      <x:c r="I49" s="228">
        <x:f>'Reporte Componentes R1'!K318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R1'!L318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R1'!M318</x:f>
        <x:v>0</x:v>
      </x:c>
      <x:c r="V49" s="253">
        <x:f>'Reporte Componentes R1'!N318</x:f>
        <x:v>0</x:v>
      </x:c>
      <x:c r="W49" s="253">
        <x:f>'Reporte Componentes R1'!O318</x:f>
        <x:v>0</x:v>
      </x:c>
      <x:c r="X49" s="253">
        <x:f>'Reporte Componentes R1'!P318</x:f>
        <x:v>0</x:v>
      </x:c>
      <x:c r="Y49" s="254">
        <x:f>'Reporte Componentes R1'!Q318</x:f>
        <x:v>0</x:v>
      </x:c>
      <x:c r="Z49" s="255">
        <x:f>-L49</x:f>
        <x:v>0</x:v>
      </x:c>
      <x:c r="AA49" s="256">
        <x:f>'Reporte Componentes R1'!R318+'Reporte Componentes R1'!V318+'Reporte Componentes R1'!U318</x:f>
        <x:v>0</x:v>
      </x:c>
      <x:c r="AB49" s="230">
        <x:f>N49</x:f>
        <x:v>0</x:v>
      </x:c>
      <x:c r="AC49" s="256">
        <x:f>'Reporte Componentes R1'!T318+'Reporte Componentes R1'!W318+'Reporte Componentes R1'!X318+'Reporte Componentes R1'!Y318+'Reporte Componentes R1'!Z318+'Reporte Componentes R1'!S318</x:f>
        <x:v>0</x:v>
      </x:c>
      <x:c r="AD49" s="227">
        <x:f t="shared" si="18"/>
        <x:v>0</x:v>
      </x:c>
      <x:c r="AE49" s="227">
        <x:f>'Reporte Componentes R1'!F319</x:f>
        <x:v>0</x:v>
      </x:c>
      <x:c r="AF49" s="258">
        <x:f t="shared" ref="AF49:AF51" si="20">SUM(U49:AD49)</x:f>
        <x:v>0</x:v>
      </x:c>
      <x:c r="AG49" s="440">
        <x:f t="shared" ref="AG49:AG51" si="21">(AF49-O49)</x:f>
        <x:v>0</x:v>
      </x:c>
      <x:c r="AH49" s="241" t="b">
        <x:f t="shared" si="19"/>
        <x:v>1</x:v>
      </x:c>
      <x:c r="AI49" s="242"/>
    </x:row>
    <x:row r="50" spans="1:35" s="241" customFormat="1" ht="12" x14ac:dyDescent="0.25">
      <x:c r="B50" s="250">
        <x:v>4</x:v>
      </x:c>
      <x:c r="C50" s="251" t="s">
        <x:v>13</x:v>
      </x:c>
      <x:c r="D50" s="227">
        <x:f>'Reporte Componentes R1'!F439</x:f>
        <x:v>0</x:v>
      </x:c>
      <x:c r="E50" s="228">
        <x:f>'Reporte Componentes R1'!G439</x:f>
        <x:v>0</x:v>
      </x:c>
      <x:c r="F50" s="228">
        <x:f>'Reporte Componentes R1'!H439</x:f>
        <x:v>0</x:v>
      </x:c>
      <x:c r="G50" s="228">
        <x:f>'Reporte Componentes R1'!I439</x:f>
        <x:v>0</x:v>
      </x:c>
      <x:c r="H50" s="228">
        <x:f>'Reporte Componentes R1'!J439</x:f>
        <x:v>0</x:v>
      </x:c>
      <x:c r="I50" s="228">
        <x:f>'Reporte Componentes R1'!K439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R1'!L439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R1'!M439</x:f>
        <x:v>0</x:v>
      </x:c>
      <x:c r="V50" s="253">
        <x:f>'Reporte Componentes R1'!N439</x:f>
        <x:v>0</x:v>
      </x:c>
      <x:c r="W50" s="253">
        <x:f>'Reporte Componentes R1'!O439</x:f>
        <x:v>0</x:v>
      </x:c>
      <x:c r="X50" s="253">
        <x:f>'Reporte Componentes R1'!P439</x:f>
        <x:v>0</x:v>
      </x:c>
      <x:c r="Y50" s="254">
        <x:f>'Reporte Componentes R1'!Q439</x:f>
        <x:v>0</x:v>
      </x:c>
      <x:c r="Z50" s="255">
        <x:f>-L50</x:f>
        <x:v>0</x:v>
      </x:c>
      <x:c r="AA50" s="256">
        <x:f>'Reporte Componentes R1'!R439+'Reporte Componentes R1'!V439+'Reporte Componentes R1'!U439</x:f>
        <x:v>0</x:v>
      </x:c>
      <x:c r="AB50" s="230">
        <x:f>N50</x:f>
        <x:v>0</x:v>
      </x:c>
      <x:c r="AC50" s="256">
        <x:f>'Reporte Componentes R1'!T439+'Reporte Componentes R1'!W439+'Reporte Componentes R1'!X439+'Reporte Componentes R1'!Y439+'Reporte Componentes R1'!Z439+'Reporte Componentes R1'!S439</x:f>
        <x:v>0</x:v>
      </x:c>
      <x:c r="AD50" s="227">
        <x:f t="shared" si="18"/>
        <x:v>0</x:v>
      </x:c>
      <x:c r="AE50" s="227">
        <x:f>'Reporte Componentes R1'!F440</x:f>
        <x:v>0</x:v>
      </x:c>
      <x:c r="AF50" s="258">
        <x:f t="shared" si="20"/>
        <x:v>0</x:v>
      </x:c>
      <x:c r="AG50" s="440">
        <x:f t="shared" si="21"/>
        <x:v>0</x:v>
      </x:c>
      <x:c r="AH50" s="241" t="b">
        <x:f t="shared" si="19"/>
        <x:v>1</x:v>
      </x:c>
      <x:c r="AI50" s="242"/>
    </x:row>
    <x:row r="51" spans="1:35" s="241" customFormat="1" ht="12.6" thickBot="1" x14ac:dyDescent="0.3">
      <x:c r="B51" s="260">
        <x:v>5</x:v>
      </x:c>
      <x:c r="C51" s="261" t="s">
        <x:v>14</x:v>
      </x:c>
      <x:c r="D51" s="232">
        <x:f>'Reporte Componentes R1'!F521</x:f>
        <x:v>0</x:v>
      </x:c>
      <x:c r="E51" s="233">
        <x:f>'Reporte Componentes R1'!G521</x:f>
        <x:v>0</x:v>
      </x:c>
      <x:c r="F51" s="233">
        <x:f>'Reporte Componentes R1'!H521</x:f>
        <x:v>0</x:v>
      </x:c>
      <x:c r="G51" s="233">
        <x:f>'Reporte Componentes R1'!I521</x:f>
        <x:v>0</x:v>
      </x:c>
      <x:c r="H51" s="233">
        <x:f>'Reporte Componentes R1'!J521</x:f>
        <x:v>0</x:v>
      </x:c>
      <x:c r="I51" s="233">
        <x:f>'Reporte Componentes R1'!K521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R1'!L521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R1'!M521</x:f>
        <x:v>0</x:v>
      </x:c>
      <x:c r="V51" s="233">
        <x:f>'Reporte Componentes R1'!N521</x:f>
        <x:v>0</x:v>
      </x:c>
      <x:c r="W51" s="233">
        <x:f>'Reporte Componentes R1'!O521</x:f>
        <x:v>0</x:v>
      </x:c>
      <x:c r="X51" s="233">
        <x:f>'Reporte Componentes R1'!P521</x:f>
        <x:v>0</x:v>
      </x:c>
      <x:c r="Y51" s="225">
        <x:f>'Reporte Componentes R1'!Q521</x:f>
        <x:v>0</x:v>
      </x:c>
      <x:c r="Z51" s="255">
        <x:f>-L51</x:f>
        <x:v>0</x:v>
      </x:c>
      <x:c r="AA51" s="256">
        <x:f>'Reporte Componentes R1'!R521+'Reporte Componentes R1'!V521+'Reporte Componentes R1'!U521</x:f>
        <x:v>0</x:v>
      </x:c>
      <x:c r="AB51" s="230">
        <x:f>N51</x:f>
        <x:v>0</x:v>
      </x:c>
      <x:c r="AC51" s="256">
        <x:f>'Reporte Componentes R1'!T521+'Reporte Componentes R1'!W521+'Reporte Componentes R1'!X521+'Reporte Componentes R1'!Y521+'Reporte Componentes R1'!Z521+'Reporte Componentes R1'!S521</x:f>
        <x:v>0</x:v>
      </x:c>
      <x:c r="AD51" s="227">
        <x:f t="shared" si="18"/>
        <x:v>0</x:v>
      </x:c>
      <x:c r="AE51" s="227">
        <x:f>'Reporte Componentes R1'!F522</x:f>
        <x:v>0</x:v>
      </x:c>
      <x:c r="AF51" s="258">
        <x:f t="shared" si="20"/>
        <x:v>0</x:v>
      </x:c>
      <x:c r="AG51" s="441">
        <x:f t="shared" si="21"/>
        <x:v>0</x:v>
      </x:c>
      <x:c r="AH51" s="241" t="b">
        <x:f t="shared" si="19"/>
        <x:v>1</x:v>
      </x:c>
      <x:c r="AI51" s="242"/>
    </x:row>
    <x:row r="52" spans="1:35" s="241" customFormat="1" ht="13.8" thickBot="1" x14ac:dyDescent="0.3">
      <x:c r="B52" s="263"/>
      <x:c r="C52" s="264" t="s">
        <x:v>2</x:v>
      </x:c>
      <x:c r="D52" s="226">
        <x:f t="shared" ref="D52:O52" si="22">SUM(D47:D51)</x:f>
        <x:v>0</x:v>
      </x:c>
      <x:c r="E52" s="226">
        <x:f t="shared" si="22"/>
        <x:v>0</x:v>
      </x:c>
      <x:c r="F52" s="226">
        <x:f t="shared" si="22"/>
        <x:v>0</x:v>
      </x:c>
      <x:c r="G52" s="226">
        <x:f t="shared" ref="G52" si="23">SUM(G47:G51)</x:f>
        <x:v>0</x:v>
      </x:c>
      <x:c r="H52" s="226">
        <x:f t="shared" si="22"/>
        <x:v>0</x:v>
      </x:c>
      <x:c r="I52" s="226">
        <x:f t="shared" si="22"/>
        <x:v>0</x:v>
      </x:c>
      <x:c r="J52" s="226">
        <x:f t="shared" si="22"/>
        <x:v>0</x:v>
      </x:c>
      <x:c r="K52" s="236">
        <x:f t="shared" si="22"/>
        <x:v>0</x:v>
      </x:c>
      <x:c r="L52" s="237">
        <x:f t="shared" si="22"/>
        <x:v>0</x:v>
      </x:c>
      <x:c r="M52" s="238">
        <x:f t="shared" si="22"/>
        <x:v>0</x:v>
      </x:c>
      <x:c r="N52" s="237">
        <x:f t="shared" si="22"/>
        <x:v>0</x:v>
      </x:c>
      <x:c r="O52" s="238">
        <x:f t="shared" si="22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4">SUM(V47:V51)</x:f>
        <x:v>0</x:v>
      </x:c>
      <x:c r="W52" s="266">
        <x:f t="shared" si="24"/>
        <x:v>0</x:v>
      </x:c>
      <x:c r="X52" s="266">
        <x:f t="shared" si="24"/>
        <x:v>0</x:v>
      </x:c>
      <x:c r="Y52" s="266">
        <x:f t="shared" si="24"/>
        <x:v>0</x:v>
      </x:c>
      <x:c r="Z52" s="226">
        <x:f t="shared" si="24"/>
        <x:v>0</x:v>
      </x:c>
      <x:c r="AA52" s="226">
        <x:f t="shared" si="24"/>
        <x:v>0</x:v>
      </x:c>
      <x:c r="AB52" s="226">
        <x:f t="shared" si="24"/>
        <x:v>0</x:v>
      </x:c>
      <x:c r="AC52" s="226">
        <x:f t="shared" si="24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4"/>
        <x:v>0</x:v>
      </x:c>
      <x:c r="AG52" s="442">
        <x:f t="shared" si="24"/>
        <x:v>0</x:v>
      </x:c>
      <x:c r="AH52" s="241" t="b">
        <x:f>INT(AG52)=0</x:f>
        <x:v>1</x:v>
      </x:c>
      <x:c r="AI52" s="242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15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13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13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13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13"/>
      <x:c r="AI62" s="4"/>
    </x:row>
    <x:row r="63" spans="1:35" ht="15.6" x14ac:dyDescent="0.3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13"/>
      <x:c r="AI63" s="4"/>
    </x:row>
    <x:row r="64" spans="1:35" ht="12.6" thickBot="1" x14ac:dyDescent="0.3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13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214"/>
      <x:c r="AI65" s="4"/>
    </x:row>
    <x:row r="66" spans="1:35" s="241" customFormat="1" ht="12" x14ac:dyDescent="0.25">
      <x:c r="B66" s="239">
        <x:v>1</x:v>
      </x:c>
      <x:c r="C66" s="240" t="s">
        <x:v>10</x:v>
      </x:c>
      <x:c r="D66" s="227">
        <x:f>'Reversion Pagos R4'!D73</x:f>
        <x:v>0</x:v>
      </x:c>
      <x:c r="E66" s="228">
        <x:f>'Reversion Pagos R4'!E73</x:f>
        <x:v>0</x:v>
      </x:c>
      <x:c r="F66" s="228">
        <x:f>'Reversion Pagos R4'!F73</x:f>
        <x:v>0</x:v>
      </x:c>
      <x:c r="G66" s="228">
        <x:f>'Reversion Pagos R4'!G73</x:f>
        <x:v>0</x:v>
      </x:c>
      <x:c r="H66" s="228">
        <x:f>'Reversion Pagos R4'!H73</x:f>
        <x:v>0</x:v>
      </x:c>
      <x:c r="I66" s="228">
        <x:f>'Reversion Pagos R4'!I73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R4'!P73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R4'!J73</x:f>
        <x:v>0</x:v>
      </x:c>
      <x:c r="V66" s="244">
        <x:f>'Reversion Pagos R4'!K73</x:f>
        <x:v>0</x:v>
      </x:c>
      <x:c r="W66" s="244">
        <x:f>'Reversion Pagos R4'!L73</x:f>
        <x:v>0</x:v>
      </x:c>
      <x:c r="X66" s="244">
        <x:f>'Reversion Pagos R4'!M73</x:f>
        <x:v>0</x:v>
      </x:c>
      <x:c r="Y66" s="244">
        <x:f>'Reversion Pagos R4'!N73</x:f>
        <x:v>0</x:v>
      </x:c>
      <x:c r="Z66" s="246">
        <x:f>-L66</x:f>
        <x:v>0</x:v>
      </x:c>
      <x:c r="AA66" s="256">
        <x:f>'Reversion Pagos R4'!O73</x:f>
        <x:v>0</x:v>
      </x:c>
      <x:c r="AB66" s="230">
        <x:f>N66</x:f>
        <x:v>0</x:v>
      </x:c>
      <x:c r="AC66" s="256">
        <x:f>+'Reversion Pagos R4'!Q73+'Reversion Pagos R4'!R73</x:f>
        <x:v>0</x:v>
      </x:c>
      <x:c r="AD66" s="227">
        <x:f>-J66+AE66</x:f>
        <x:v>0</x:v>
      </x:c>
      <x:c r="AE66" s="227">
        <x:f>'Reversion Pagos R4'!D74</x:f>
        <x:v>0</x:v>
      </x:c>
      <x:c r="AF66" s="249">
        <x:f>SUM(U66:AD66)</x:f>
        <x:v>0</x:v>
      </x:c>
      <x:c r="AG66" s="439">
        <x:f>(AF66-O66)</x:f>
        <x:v>0</x:v>
      </x:c>
      <x:c r="AH66" s="241" t="b">
        <x:f>INT(AG66)=0</x:f>
        <x:v>1</x:v>
      </x:c>
      <x:c r="AI66" s="242"/>
    </x:row>
    <x:row r="67" spans="1:35" s="241" customFormat="1" ht="12" x14ac:dyDescent="0.25">
      <x:c r="B67" s="250">
        <x:v>2</x:v>
      </x:c>
      <x:c r="C67" s="251" t="s">
        <x:v>11</x:v>
      </x:c>
      <x:c r="D67" s="227">
        <x:f>'Reversion Pagos R4'!D168</x:f>
        <x:v>0</x:v>
      </x:c>
      <x:c r="E67" s="228">
        <x:f>'Reversion Pagos R4'!E168</x:f>
        <x:v>0</x:v>
      </x:c>
      <x:c r="F67" s="228">
        <x:f>'Reversion Pagos R4'!F168</x:f>
        <x:v>0</x:v>
      </x:c>
      <x:c r="G67" s="228">
        <x:f>'Reversion Pagos R4'!G168</x:f>
        <x:v>0</x:v>
      </x:c>
      <x:c r="H67" s="228">
        <x:f>'Reversion Pagos R4'!H168</x:f>
        <x:v>0</x:v>
      </x:c>
      <x:c r="I67" s="228">
        <x:f>'Reversion Pagos R4'!I168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R4'!P168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R4'!J168</x:f>
        <x:v>0</x:v>
      </x:c>
      <x:c r="V67" s="253">
        <x:f>'Reversion Pagos R4'!K168</x:f>
        <x:v>0</x:v>
      </x:c>
      <x:c r="W67" s="253">
        <x:f>'Reversion Pagos R4'!L168</x:f>
        <x:v>0</x:v>
      </x:c>
      <x:c r="X67" s="253">
        <x:f>'Reversion Pagos R4'!M168</x:f>
        <x:v>0</x:v>
      </x:c>
      <x:c r="Y67" s="254">
        <x:f>'Reversion Pagos R4'!N168</x:f>
        <x:v>0</x:v>
      </x:c>
      <x:c r="Z67" s="255">
        <x:f t="shared" ref="Z67:Z70" si="27">-L67</x:f>
        <x:v>0</x:v>
      </x:c>
      <x:c r="AA67" s="256">
        <x:f>'Reversion Pagos R4'!O168</x:f>
        <x:v>0</x:v>
      </x:c>
      <x:c r="AB67" s="230">
        <x:f t="shared" ref="AB67:AB70" si="28">N67</x:f>
        <x:v>0</x:v>
      </x:c>
      <x:c r="AC67" s="256">
        <x:f>+'Reversion Pagos R4'!Q168+'Reversion Pagos R4'!R168</x:f>
        <x:v>0</x:v>
      </x:c>
      <x:c r="AD67" s="227">
        <x:f>-J67+AE67</x:f>
        <x:v>0</x:v>
      </x:c>
      <x:c r="AE67" s="227">
        <x:f>'Reversion Pagos R4'!D169</x:f>
        <x:v>0</x:v>
      </x:c>
      <x:c r="AF67" s="258">
        <x:f>SUM(U67:AD67)</x:f>
        <x:v>0</x:v>
      </x:c>
      <x:c r="AG67" s="440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ht="12" x14ac:dyDescent="0.25">
      <x:c r="B68" s="250">
        <x:v>3</x:v>
      </x:c>
      <x:c r="C68" s="251" t="s">
        <x:v>12</x:v>
      </x:c>
      <x:c r="D68" s="227">
        <x:f>'Reversion Pagos R4'!D205</x:f>
        <x:v>0</x:v>
      </x:c>
      <x:c r="E68" s="228">
        <x:f>'Reversion Pagos R4'!E205</x:f>
        <x:v>0</x:v>
      </x:c>
      <x:c r="F68" s="228">
        <x:f>'Reversion Pagos R4'!F205</x:f>
        <x:v>0</x:v>
      </x:c>
      <x:c r="G68" s="228">
        <x:f>'Reversion Pagos R4'!G205</x:f>
        <x:v>0</x:v>
      </x:c>
      <x:c r="H68" s="228">
        <x:f>'Reversion Pagos R4'!H205</x:f>
        <x:v>0</x:v>
      </x:c>
      <x:c r="I68" s="228">
        <x:f>'Reversion Pagos R4'!I205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R4'!P205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R4'!J205</x:f>
        <x:v>0</x:v>
      </x:c>
      <x:c r="V68" s="253">
        <x:f>'Reversion Pagos R4'!K205</x:f>
        <x:v>0</x:v>
      </x:c>
      <x:c r="W68" s="253">
        <x:f>'Reversion Pagos R4'!L205</x:f>
        <x:v>0</x:v>
      </x:c>
      <x:c r="X68" s="253">
        <x:f>'Reversion Pagos R4'!M205</x:f>
        <x:v>0</x:v>
      </x:c>
      <x:c r="Y68" s="254">
        <x:f>'Reversion Pagos R4'!N205</x:f>
        <x:v>0</x:v>
      </x:c>
      <x:c r="Z68" s="255">
        <x:f t="shared" si="27"/>
        <x:v>0</x:v>
      </x:c>
      <x:c r="AA68" s="256">
        <x:f>'Reversion Pagos R4'!O205</x:f>
        <x:v>0</x:v>
      </x:c>
      <x:c r="AB68" s="230">
        <x:f t="shared" si="28"/>
        <x:v>0</x:v>
      </x:c>
      <x:c r="AC68" s="256">
        <x:f>+'Reversion Pagos R4'!Q205+'Reversion Pagos R4'!R205</x:f>
        <x:v>0</x:v>
      </x:c>
      <x:c r="AD68" s="227">
        <x:f t="shared" ref="AD68:AD69" si="30">-J68+AE68</x:f>
        <x:v>0</x:v>
      </x:c>
      <x:c r="AE68" s="227">
        <x:f>'Reversion Pagos R4'!D206</x:f>
        <x:v>0</x:v>
      </x:c>
      <x:c r="AF68" s="258">
        <x:f t="shared" ref="AF68:AF70" si="31">SUM(U68:AD68)</x:f>
        <x:v>0</x:v>
      </x:c>
      <x:c r="AG68" s="440">
        <x:f t="shared" ref="AG68:AG70" si="32">(AF68-O68)</x:f>
        <x:v>0</x:v>
      </x:c>
      <x:c r="AH68" s="241" t="b">
        <x:f t="shared" si="29"/>
        <x:v>1</x:v>
      </x:c>
      <x:c r="AI68" s="242"/>
    </x:row>
    <x:row r="69" spans="1:35" s="241" customFormat="1" ht="12" x14ac:dyDescent="0.25">
      <x:c r="B69" s="250">
        <x:v>4</x:v>
      </x:c>
      <x:c r="C69" s="251" t="s">
        <x:v>13</x:v>
      </x:c>
      <x:c r="D69" s="227">
        <x:f>'Reversion Pagos R4'!D320</x:f>
        <x:v>0</x:v>
      </x:c>
      <x:c r="E69" s="228">
        <x:f>'Reversion Pagos R4'!E320</x:f>
        <x:v>0</x:v>
      </x:c>
      <x:c r="F69" s="228">
        <x:f>'Reversion Pagos R4'!F320</x:f>
        <x:v>0</x:v>
      </x:c>
      <x:c r="G69" s="228">
        <x:f>'Reversion Pagos R4'!G320</x:f>
        <x:v>0</x:v>
      </x:c>
      <x:c r="H69" s="228">
        <x:f>'Reversion Pagos R4'!H320</x:f>
        <x:v>0</x:v>
      </x:c>
      <x:c r="I69" s="228">
        <x:f>'Reversion Pagos R4'!I320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R4'!P320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R4'!J320</x:f>
        <x:v>0</x:v>
      </x:c>
      <x:c r="V69" s="253">
        <x:f>'Reversion Pagos R4'!K320</x:f>
        <x:v>0</x:v>
      </x:c>
      <x:c r="W69" s="253">
        <x:f>'Reversion Pagos R4'!L320</x:f>
        <x:v>0</x:v>
      </x:c>
      <x:c r="X69" s="253">
        <x:f>'Reversion Pagos R4'!M320</x:f>
        <x:v>0</x:v>
      </x:c>
      <x:c r="Y69" s="254">
        <x:f>'Reversion Pagos R4'!N320</x:f>
        <x:v>0</x:v>
      </x:c>
      <x:c r="Z69" s="255">
        <x:f t="shared" si="27"/>
        <x:v>0</x:v>
      </x:c>
      <x:c r="AA69" s="256">
        <x:f>'Reversion Pagos R4'!O320</x:f>
        <x:v>0</x:v>
      </x:c>
      <x:c r="AB69" s="230">
        <x:f t="shared" si="28"/>
        <x:v>0</x:v>
      </x:c>
      <x:c r="AC69" s="256">
        <x:f>+'Reversion Pagos R4'!Q320+'Reversion Pagos R4'!R320</x:f>
        <x:v>0</x:v>
      </x:c>
      <x:c r="AD69" s="227">
        <x:f t="shared" si="30"/>
        <x:v>0</x:v>
      </x:c>
      <x:c r="AE69" s="227">
        <x:f>'Reversion Pagos R4'!D321</x:f>
        <x:v>0</x:v>
      </x:c>
      <x:c r="AF69" s="258">
        <x:f>SUM(U69:AD69)</x:f>
        <x:v>0</x:v>
      </x:c>
      <x:c r="AG69" s="440">
        <x:f>(AF69-O69)</x:f>
        <x:v>0</x:v>
      </x:c>
      <x:c r="AH69" s="241" t="b">
        <x:f t="shared" si="29"/>
        <x:v>1</x:v>
      </x:c>
      <x:c r="AI69" s="242"/>
    </x:row>
    <x:row r="70" spans="1:35" s="241" customFormat="1" ht="12.6" thickBot="1" x14ac:dyDescent="0.3">
      <x:c r="B70" s="260">
        <x:v>5</x:v>
      </x:c>
      <x:c r="C70" s="261" t="s">
        <x:v>14</x:v>
      </x:c>
      <x:c r="D70" s="232">
        <x:f>'Reversion Pagos R4'!D355</x:f>
        <x:v>0</x:v>
      </x:c>
      <x:c r="E70" s="233">
        <x:f>'Reversion Pagos R4'!E355</x:f>
        <x:v>0</x:v>
      </x:c>
      <x:c r="F70" s="233">
        <x:f>'Reversion Pagos R4'!F355</x:f>
        <x:v>0</x:v>
      </x:c>
      <x:c r="G70" s="233">
        <x:f>'Reversion Pagos R4'!G355</x:f>
        <x:v>0</x:v>
      </x:c>
      <x:c r="H70" s="233">
        <x:f>'Reversion Pagos R4'!H355</x:f>
        <x:v>0</x:v>
      </x:c>
      <x:c r="I70" s="233">
        <x:f>'Reversion Pagos R4'!I355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R4'!P355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R4'!J355</x:f>
        <x:v>0</x:v>
      </x:c>
      <x:c r="V70" s="233">
        <x:f>'Reversion Pagos R4'!K355</x:f>
        <x:v>0</x:v>
      </x:c>
      <x:c r="W70" s="233">
        <x:f>'Reversion Pagos R4'!L355</x:f>
        <x:v>0</x:v>
      </x:c>
      <x:c r="X70" s="233">
        <x:f>'Reversion Pagos R4'!M355</x:f>
        <x:v>0</x:v>
      </x:c>
      <x:c r="Y70" s="225">
        <x:f>'Reversion Pagos R4'!N355</x:f>
        <x:v>0</x:v>
      </x:c>
      <x:c r="Z70" s="255">
        <x:f t="shared" si="27"/>
        <x:v>0</x:v>
      </x:c>
      <x:c r="AA70" s="256">
        <x:f>'Reversion Pagos R4'!O355</x:f>
        <x:v>0</x:v>
      </x:c>
      <x:c r="AB70" s="230">
        <x:f t="shared" si="28"/>
        <x:v>0</x:v>
      </x:c>
      <x:c r="AC70" s="256">
        <x:f>+'Reversion Pagos R4'!Q355+'Reversion Pagos R4'!R355</x:f>
        <x:v>0</x:v>
      </x:c>
      <x:c r="AD70" s="227">
        <x:f>-J70+AE70</x:f>
        <x:v>0</x:v>
      </x:c>
      <x:c r="AE70" s="227">
        <x:f>'Reversion Pagos R4'!D356</x:f>
        <x:v>0</x:v>
      </x:c>
      <x:c r="AF70" s="258">
        <x:f t="shared" si="31"/>
        <x:v>0</x:v>
      </x:c>
      <x:c r="AG70" s="441">
        <x:f t="shared" si="32"/>
        <x:v>0</x:v>
      </x:c>
      <x:c r="AH70" s="241" t="b">
        <x:f t="shared" si="29"/>
        <x:v>1</x:v>
      </x:c>
      <x:c r="AI70" s="242"/>
    </x:row>
    <x:row r="71" spans="1:35" s="241" customFormat="1" ht="13.8" thickBot="1" x14ac:dyDescent="0.3">
      <x:c r="B71" s="263"/>
      <x:c r="C71" s="264" t="s">
        <x:v>2</x:v>
      </x:c>
      <x:c r="D71" s="226">
        <x:f t="shared" ref="D71:O71" si="33">SUM(D66:D70)</x:f>
        <x:v>0</x:v>
      </x:c>
      <x:c r="E71" s="226">
        <x:f t="shared" si="33"/>
        <x:v>0</x:v>
      </x:c>
      <x:c r="F71" s="226">
        <x:f t="shared" si="33"/>
        <x:v>0</x:v>
      </x:c>
      <x:c r="G71" s="226">
        <x:f t="shared" ref="G71" si="34">SUM(G66:G70)</x:f>
        <x:v>0</x:v>
      </x:c>
      <x:c r="H71" s="226">
        <x:f t="shared" si="33"/>
        <x:v>0</x:v>
      </x:c>
      <x:c r="I71" s="226">
        <x:f t="shared" si="33"/>
        <x:v>0</x:v>
      </x:c>
      <x:c r="J71" s="226">
        <x:f t="shared" si="33"/>
        <x:v>0</x:v>
      </x:c>
      <x:c r="K71" s="236">
        <x:f t="shared" si="33"/>
        <x:v>0</x:v>
      </x:c>
      <x:c r="L71" s="237">
        <x:f t="shared" si="33"/>
        <x:v>0</x:v>
      </x:c>
      <x:c r="M71" s="238">
        <x:f t="shared" si="33"/>
        <x:v>0</x:v>
      </x:c>
      <x:c r="N71" s="237">
        <x:f t="shared" si="33"/>
        <x:v>0</x:v>
      </x:c>
      <x:c r="O71" s="238">
        <x:f t="shared" si="33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F71" si="35">SUM(V66:V70)</x:f>
        <x:v>0</x:v>
      </x:c>
      <x:c r="W71" s="266">
        <x:f t="shared" si="35"/>
        <x:v>0</x:v>
      </x:c>
      <x:c r="X71" s="266">
        <x:f t="shared" si="35"/>
        <x:v>0</x:v>
      </x:c>
      <x:c r="Y71" s="266">
        <x:f t="shared" si="35"/>
        <x:v>0</x:v>
      </x:c>
      <x:c r="Z71" s="226">
        <x:f t="shared" si="35"/>
        <x:v>0</x:v>
      </x:c>
      <x:c r="AA71" s="226">
        <x:f>SUM(AA66:AA70)</x:f>
        <x:v>0</x:v>
      </x:c>
      <x:c r="AB71" s="226">
        <x:f t="shared" si="35"/>
        <x:v>0</x:v>
      </x:c>
      <x:c r="AC71" s="226">
        <x:f t="shared" ref="AC71" si="36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5"/>
        <x:v>0</x:v>
      </x:c>
      <x:c r="AG71" s="442">
        <x:f t="shared" ref="AG71" si="37">SUM(AG66:AG70)</x:f>
        <x:v>0</x:v>
      </x:c>
      <x:c r="AH71" s="241" t="b">
        <x:f>INT(AG71)=0</x:f>
        <x:v>1</x:v>
      </x:c>
      <x:c r="AI71" s="242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15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13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13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13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13"/>
      <x:c r="AI81" s="4"/>
    </x:row>
    <x:row r="82" spans="1:35" ht="15.6" x14ac:dyDescent="0.3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13"/>
      <x:c r="AI82" s="4"/>
    </x:row>
    <x:row r="83" spans="1:35" ht="12.6" thickBot="1" x14ac:dyDescent="0.3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13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517" t="s">
        <x:v>7</x:v>
      </x:c>
      <x:c r="AC84" s="65" t="s">
        <x:v>167</x:v>
      </x:c>
      <x:c r="AD84" s="490" t="s">
        <x:v>105</x:v>
      </x:c>
      <x:c r="AE84" s="114" t="s">
        <x:v>104</x:v>
      </x:c>
      <x:c r="AF84" s="39" t="s">
        <x:v>23</x:v>
      </x:c>
      <x:c r="AG84" s="214"/>
      <x:c r="AI84" s="4"/>
    </x:row>
    <x:row r="85" spans="1:35" s="241" customFormat="1" ht="12" x14ac:dyDescent="0.25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f>'AJUSTES - SF-T'!N47</x:f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f>'AJUSTES - SF-T'!U47</x:f>
        <x:v>0</x:v>
      </x:c>
      <x:c r="V85" s="244">
        <x:f>'AJUSTES - SF-T'!V47</x:f>
        <x:v>0</x:v>
      </x:c>
      <x:c r="W85" s="244">
        <x:f>'AJUSTES - SF-T'!W47</x:f>
        <x:v>0</x:v>
      </x:c>
      <x:c r="X85" s="244">
        <x:f>'AJUSTES - SF-T'!X47</x:f>
        <x:v>0</x:v>
      </x:c>
      <x:c r="Y85" s="245">
        <x:f>'AJUSTES - SF-T'!Y47</x:f>
        <x:v>0</x:v>
      </x:c>
      <x:c r="Z85" s="246">
        <x:f>-L85</x:f>
        <x:v>0</x:v>
      </x:c>
      <x:c r="AA85" s="247">
        <x:f>'AJUSTES - SF-T'!AA47</x:f>
        <x:v>0</x:v>
      </x:c>
      <x:c r="AB85" s="230">
        <x:f>N85</x:f>
        <x:v>0</x:v>
      </x:c>
      <x:c r="AC85" s="247">
        <x:v>0</x:v>
      </x:c>
      <x:c r="AD85" s="515">
        <x:f>-J85+AE85</x:f>
        <x:v>0</x:v>
      </x:c>
      <x:c r="AE85" s="227">
        <x:f>'AJUSTES - SF-T'!AD47</x:f>
        <x:v>0</x:v>
      </x:c>
      <x:c r="AF85" s="249">
        <x:f>SUM(U85:AD85)</x:f>
        <x:v>0</x:v>
      </x:c>
      <x:c r="AG85" s="439">
        <x:f>AF85-O85</x:f>
        <x:v>0</x:v>
      </x:c>
      <x:c r="AH85" s="241" t="b">
        <x:f>INT(AG85)=0</x:f>
        <x:v>1</x:v>
      </x:c>
      <x:c r="AI85" s="242"/>
    </x:row>
    <x:row r="86" spans="1:35" s="241" customFormat="1" ht="12" x14ac:dyDescent="0.25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8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9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516">
        <x:v>0</x:v>
      </x:c>
      <x:c r="AD86" s="515">
        <x:f t="shared" ref="AD86:AD89" si="40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241" t="b">
        <x:f t="shared" ref="AH86:AH89" si="41">INT(AG86)=0</x:f>
        <x:v>1</x:v>
      </x:c>
      <x:c r="AI86" s="242"/>
    </x:row>
    <x:row r="87" spans="1:35" s="241" customFormat="1" ht="12" x14ac:dyDescent="0.25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4">
        <x:f>'AJUSTES - SF-T'!J49</x:f>
        <x:v>0</x:v>
      </x:c>
      <x:c r="K87" s="231">
        <x:f t="shared" si="38"/>
        <x:v>0</x:v>
      </x:c>
      <x:c r="L87" s="230">
        <x:v>0</x:v>
      </x:c>
      <x:c r="M87" s="231">
        <x:f>K87-L87</x:f>
        <x:v>0</x:v>
      </x:c>
      <x:c r="N87" s="230">
        <x:f>'AJUSTES - SF-T'!N49</x:f>
        <x:v>0</x:v>
      </x:c>
      <x:c r="O87" s="231">
        <x:f t="shared" si="39"/>
        <x:v>0</x:v>
      </x:c>
      <x:c r="Q87" s="242"/>
      <x:c r="S87" s="250">
        <x:v>3</x:v>
      </x:c>
      <x:c r="T87" s="251" t="s">
        <x:v>12</x:v>
      </x:c>
      <x:c r="U87" s="252">
        <x:f>'AJUSTES - SF-T'!U49</x:f>
        <x:v>0</x:v>
      </x:c>
      <x:c r="V87" s="253">
        <x:f>'AJUSTES - SF-T'!V49</x:f>
        <x:v>0</x:v>
      </x:c>
      <x:c r="W87" s="253">
        <x:f>'AJUSTES - SF-T'!W49</x:f>
        <x:v>0</x:v>
      </x:c>
      <x:c r="X87" s="253">
        <x:f>'AJUSTES - SF-T'!X49</x:f>
        <x:v>0</x:v>
      </x:c>
      <x:c r="Y87" s="254">
        <x:f>'AJUSTES - SF-T'!Y49</x:f>
        <x:v>0</x:v>
      </x:c>
      <x:c r="Z87" s="255">
        <x:f>-L87</x:f>
        <x:v>0</x:v>
      </x:c>
      <x:c r="AA87" s="256">
        <x:f>'AJUSTES - SF-T'!AA49</x:f>
        <x:v>0</x:v>
      </x:c>
      <x:c r="AB87" s="230">
        <x:f>N87</x:f>
        <x:v>0</x:v>
      </x:c>
      <x:c r="AC87" s="259">
        <x:v>0</x:v>
      </x:c>
      <x:c r="AD87" s="515">
        <x:f t="shared" si="40"/>
        <x:v>0</x:v>
      </x:c>
      <x:c r="AE87" s="227">
        <x:f>'AJUSTES - SF-T'!AD49</x:f>
        <x:v>0</x:v>
      </x:c>
      <x:c r="AF87" s="258">
        <x:f t="shared" ref="AF87:AF89" si="42">SUM(U87:AD87)</x:f>
        <x:v>0</x:v>
      </x:c>
      <x:c r="AG87" s="440">
        <x:f>AF87-O87</x:f>
        <x:v>0</x:v>
      </x:c>
      <x:c r="AH87" s="241" t="b">
        <x:f t="shared" si="41"/>
        <x:v>1</x:v>
      </x:c>
      <x:c r="AI87" s="242"/>
    </x:row>
    <x:row r="88" spans="1:35" s="241" customFormat="1" ht="12" x14ac:dyDescent="0.25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8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9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515">
        <x:f t="shared" si="40"/>
        <x:v>0</x:v>
      </x:c>
      <x:c r="AE88" s="227">
        <x:f>'AJUSTES - SF-T'!AD50</x:f>
        <x:v>0</x:v>
      </x:c>
      <x:c r="AF88" s="258">
        <x:f t="shared" si="42"/>
        <x:v>0</x:v>
      </x:c>
      <x:c r="AG88" s="440">
        <x:f>AF88-O88</x:f>
        <x:v>0</x:v>
      </x:c>
      <x:c r="AH88" s="241" t="b">
        <x:f t="shared" si="41"/>
        <x:v>1</x:v>
      </x:c>
      <x:c r="AI88" s="242"/>
    </x:row>
    <x:row r="89" spans="1:35" s="241" customFormat="1" ht="12.6" thickBot="1" x14ac:dyDescent="0.3">
      <x:c r="B89" s="260">
        <x:v>5</x:v>
      </x:c>
      <x:c r="C89" s="261" t="s">
        <x:v>14</x:v>
      </x:c>
      <x:c r="D89" s="227">
        <x:f>'AJUSTES - SF-T'!D51</x:f>
        <x:v>0</x:v>
      </x:c>
      <x:c r="E89" s="228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25">
        <x:f>'AJUSTES - SF-T'!J51</x:f>
        <x:v>0</x:v>
      </x:c>
      <x:c r="K89" s="231">
        <x:f t="shared" si="38"/>
        <x:v>0</x:v>
      </x:c>
      <x:c r="L89" s="230">
        <x:v>0</x:v>
      </x:c>
      <x:c r="M89" s="234">
        <x:f>K89-L89</x:f>
        <x:v>0</x:v>
      </x:c>
      <x:c r="N89" s="235">
        <x:f>'AJUSTES - SF-T'!N51</x:f>
        <x:v>0</x:v>
      </x:c>
      <x:c r="O89" s="234">
        <x:f t="shared" si="39"/>
        <x:v>0</x:v>
      </x:c>
      <x:c r="Q89" s="242"/>
      <x:c r="S89" s="260">
        <x:v>5</x:v>
      </x:c>
      <x:c r="T89" s="261" t="s">
        <x:v>14</x:v>
      </x:c>
      <x:c r="U89" s="232">
        <x:f>'AJUSTES - SF-T'!U51</x:f>
        <x:v>0</x:v>
      </x:c>
      <x:c r="V89" s="233">
        <x:f>'AJUSTES - SF-T'!V51</x:f>
        <x:v>0</x:v>
      </x:c>
      <x:c r="W89" s="233">
        <x:f>'AJUSTES - SF-T'!W51</x:f>
        <x:v>0</x:v>
      </x:c>
      <x:c r="X89" s="233">
        <x:f>'AJUSTES - SF-T'!X51</x:f>
        <x:v>0</x:v>
      </x:c>
      <x:c r="Y89" s="225">
        <x:f>'AJUSTES - SF-T'!Y51</x:f>
        <x:v>0</x:v>
      </x:c>
      <x:c r="Z89" s="255">
        <x:f>-L89</x:f>
        <x:v>0</x:v>
      </x:c>
      <x:c r="AA89" s="256">
        <x:f>'AJUSTES - SF-T'!AA51</x:f>
        <x:v>0</x:v>
      </x:c>
      <x:c r="AB89" s="230">
        <x:f>N89</x:f>
        <x:v>0</x:v>
      </x:c>
      <x:c r="AC89" s="259">
        <x:v>0</x:v>
      </x:c>
      <x:c r="AD89" s="515">
        <x:f t="shared" si="40"/>
        <x:v>0</x:v>
      </x:c>
      <x:c r="AE89" s="227">
        <x:f>'AJUSTES - SF-T'!AD51</x:f>
        <x:v>0</x:v>
      </x:c>
      <x:c r="AF89" s="258">
        <x:f t="shared" si="42"/>
        <x:v>0</x:v>
      </x:c>
      <x:c r="AG89" s="441">
        <x:f>AF89-O89</x:f>
        <x:v>0</x:v>
      </x:c>
      <x:c r="AH89" s="241" t="b">
        <x:f t="shared" si="41"/>
        <x:v>1</x:v>
      </x:c>
      <x:c r="AI89" s="242"/>
    </x:row>
    <x:row r="90" spans="1:35" s="241" customFormat="1" ht="13.8" thickBot="1" x14ac:dyDescent="0.3">
      <x:c r="B90" s="263"/>
      <x:c r="C90" s="264" t="s">
        <x:v>2</x:v>
      </x:c>
      <x:c r="D90" s="226">
        <x:f>SUM(D85:D89)</x:f>
        <x:v>0</x:v>
      </x:c>
      <x:c r="E90" s="226">
        <x:f t="shared" ref="E90:O90" si="43">SUM(E85:E89)</x:f>
        <x:v>0</x:v>
      </x:c>
      <x:c r="F90" s="226">
        <x:f t="shared" si="43"/>
        <x:v>0</x:v>
      </x:c>
      <x:c r="G90" s="226">
        <x:f t="shared" ref="G90" si="44">SUM(G85:G89)</x:f>
        <x:v>0</x:v>
      </x:c>
      <x:c r="H90" s="226">
        <x:f t="shared" si="43"/>
        <x:v>0</x:v>
      </x:c>
      <x:c r="I90" s="226">
        <x:f t="shared" si="43"/>
        <x:v>0</x:v>
      </x:c>
      <x:c r="J90" s="226">
        <x:f t="shared" si="43"/>
        <x:v>0</x:v>
      </x:c>
      <x:c r="K90" s="236">
        <x:f t="shared" si="43"/>
        <x:v>0</x:v>
      </x:c>
      <x:c r="L90" s="237">
        <x:f t="shared" si="43"/>
        <x:v>0</x:v>
      </x:c>
      <x:c r="M90" s="238">
        <x:f t="shared" si="43"/>
        <x:v>0</x:v>
      </x:c>
      <x:c r="N90" s="237">
        <x:f t="shared" si="43"/>
        <x:v>0</x:v>
      </x:c>
      <x:c r="O90" s="238">
        <x:f t="shared" si="43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5">SUM(V85:V89)</x:f>
        <x:v>0</x:v>
      </x:c>
      <x:c r="W90" s="266">
        <x:f t="shared" si="45"/>
        <x:v>0</x:v>
      </x:c>
      <x:c r="X90" s="266">
        <x:f t="shared" si="45"/>
        <x:v>0</x:v>
      </x:c>
      <x:c r="Y90" s="266">
        <x:f t="shared" si="45"/>
        <x:v>0</x:v>
      </x:c>
      <x:c r="Z90" s="226">
        <x:f t="shared" si="45"/>
        <x:v>0</x:v>
      </x:c>
      <x:c r="AA90" s="226">
        <x:f t="shared" si="45"/>
        <x:v>0</x:v>
      </x:c>
      <x:c r="AB90" s="393">
        <x:f t="shared" si="45"/>
        <x:v>0</x:v>
      </x:c>
      <x:c r="AC90" s="226">
        <x:f t="shared" ref="AC90" si="46">SUM(AC85:AC89)</x:f>
        <x:v>0</x:v>
      </x:c>
      <x:c r="AD90" s="518">
        <x:f t="shared" si="45"/>
        <x:v>0</x:v>
      </x:c>
      <x:c r="AE90" s="226">
        <x:f t="shared" si="45"/>
        <x:v>0</x:v>
      </x:c>
      <x:c r="AF90" s="267">
        <x:f t="shared" si="45"/>
        <x:v>0</x:v>
      </x:c>
      <x:c r="AG90" s="442">
        <x:f t="shared" si="45"/>
        <x:v>0</x:v>
      </x:c>
      <x:c r="AH90" s="241" t="b">
        <x:f>INT(AG90)=0</x:f>
        <x:v>1</x:v>
      </x:c>
      <x:c r="AI90" s="242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15"/>
      <x:c r="AH95" s="4"/>
      <x:c r="AI95" s="4"/>
    </x:row>
    <x:row r="96" spans="1:35" ht="12" thickBot="1" x14ac:dyDescent="0.25">
      <x:c r="Q96" s="4"/>
      <x:c r="AI96" s="4"/>
    </x:row>
    <x:row r="97" spans="2:39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13"/>
      <x:c r="AI97" s="4"/>
    </x:row>
    <x:row r="98" spans="2:39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13"/>
      <x:c r="AI98" s="4"/>
    </x:row>
    <x:row r="99" spans="2:39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13"/>
      <x:c r="AI99" s="4"/>
    </x:row>
    <x:row r="100" spans="2:39" ht="13.8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13"/>
      <x:c r="AI100" s="4"/>
    </x:row>
    <x:row r="101" spans="2:39" ht="15.6" x14ac:dyDescent="0.3">
      <x:c r="B101" s="8"/>
      <x:c r="C101" s="511" t="s">
        <x:v>17</x:v>
      </x:c>
      <x:c r="D101" s="9">
        <x:f>D6</x:f>
        <x:v>46238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13"/>
      <x:c r="AI101" s="4"/>
    </x:row>
    <x:row r="102" spans="2:39" ht="19.8" thickBot="1" x14ac:dyDescent="0.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13"/>
      <x:c r="AI102" s="4"/>
      <x:c r="AJ102" s="105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497" t="s">
        <x:v>40</x:v>
      </x:c>
      <x:c r="W103" s="49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214"/>
      <x:c r="AI103" s="4"/>
    </x:row>
    <x:row r="104" spans="2:39" s="241" customFormat="1" ht="12" x14ac:dyDescent="0.25">
      <x:c r="B104" s="239">
        <x:v>1</x:v>
      </x:c>
      <x:c r="C104" s="240" t="s">
        <x:v>10</x:v>
      </x:c>
      <x:c r="D104" s="227">
        <x:f t="shared" ref="D104:F106" si="47">D9+D28+D47+D66+D85</x:f>
        <x:v>0</x:v>
      </x:c>
      <x:c r="E104" s="228">
        <x:f t="shared" si="47"/>
        <x:v>0</x:v>
      </x:c>
      <x:c r="F104" s="228">
        <x:f t="shared" si="47"/>
        <x:v>0</x:v>
      </x:c>
      <x:c r="G104" s="228">
        <x:f t="shared" ref="G104" si="48">G9+G28+G47+G66+G85</x:f>
        <x:v>0</x:v>
      </x:c>
      <x:c r="H104" s="228">
        <x:f t="shared" ref="H104:J108" si="49">H9+H28+H47+H66+H85</x:f>
        <x:v>0</x:v>
      </x:c>
      <x:c r="I104" s="228">
        <x:f t="shared" si="49"/>
        <x:v>0</x:v>
      </x:c>
      <x:c r="J104" s="224">
        <x:f t="shared" si="49"/>
        <x:v>0</x:v>
      </x:c>
      <x:c r="K104" s="229">
        <x:f>D104-E104-F104-G104-H104-I104-J104</x:f>
        <x:v>0</x:v>
      </x:c>
      <x:c r="L104" s="230">
        <x:f>L9+L28+L47+L66+L85</x:f>
        <x:v>189185987</x:v>
      </x:c>
      <x:c r="M104" s="229">
        <x:f>K104-L104</x:f>
        <x:v>-189185987</x:v>
      </x:c>
      <x:c r="N104" s="230">
        <x:f>N9+N28+N47+N66+N85</x:f>
        <x:v>0</x:v>
      </x:c>
      <x:c r="O104" s="229">
        <x:f>M104+N104</x:f>
        <x:v>-189185987</x:v>
      </x:c>
      <x:c r="Q104" s="242"/>
      <x:c r="S104" s="239">
        <x:v>1</x:v>
      </x:c>
      <x:c r="T104" s="240" t="s">
        <x:v>10</x:v>
      </x:c>
      <x:c r="U104" s="243">
        <x:f t="shared" ref="U104:AB108" si="50">U9+U28+U47+U66+U85</x:f>
        <x:v>0</x:v>
      </x:c>
      <x:c r="V104" s="244">
        <x:f t="shared" si="50"/>
        <x:v>0</x:v>
      </x:c>
      <x:c r="W104" s="244">
        <x:f t="shared" si="50"/>
        <x:v>0</x:v>
      </x:c>
      <x:c r="X104" s="244">
        <x:f t="shared" si="50"/>
        <x:v>0</x:v>
      </x:c>
      <x:c r="Y104" s="245">
        <x:f t="shared" si="50"/>
        <x:v>0</x:v>
      </x:c>
      <x:c r="Z104" s="246">
        <x:f t="shared" si="50"/>
        <x:v>-189185987</x:v>
      </x:c>
      <x:c r="AA104" s="247">
        <x:f>AA9+AA28+AA47+AA66+AA85</x:f>
        <x:v>0</x:v>
      </x:c>
      <x:c r="AB104" s="230">
        <x:f t="shared" si="50"/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-189185987</x:v>
      </x:c>
      <x:c r="AG104" s="439">
        <x:f>AF104-O104</x:f>
        <x:v>0</x:v>
      </x:c>
      <x:c r="AH104" s="241" t="b">
        <x:f>INT(AG104)=0</x:f>
        <x:v>1</x:v>
      </x:c>
      <x:c r="AI104" s="242"/>
      <x:c r="AM104" s="269"/>
    </x:row>
    <x:row r="105" spans="2:39" s="241" customFormat="1" ht="12" x14ac:dyDescent="0.25">
      <x:c r="B105" s="250">
        <x:v>2</x:v>
      </x:c>
      <x:c r="C105" s="251" t="s">
        <x:v>11</x:v>
      </x:c>
      <x:c r="D105" s="227">
        <x:f>D10+D29+D48+D67+D86</x:f>
        <x:v>0</x:v>
      </x:c>
      <x:c r="E105" s="228">
        <x:f>E10+E29+E48+E67+E86</x:f>
        <x:v>0</x:v>
      </x:c>
      <x:c r="F105" s="228">
        <x:f t="shared" si="47"/>
        <x:v>0</x:v>
      </x:c>
      <x:c r="G105" s="228">
        <x:f t="shared" ref="G105" si="51">G10+G29+G48+G67+G86</x:f>
        <x:v>0</x:v>
      </x:c>
      <x:c r="H105" s="228">
        <x:f t="shared" si="49"/>
        <x:v>0</x:v>
      </x:c>
      <x:c r="I105" s="228">
        <x:f t="shared" si="49"/>
        <x:v>0</x:v>
      </x:c>
      <x:c r="J105" s="224">
        <x:f t="shared" si="49"/>
        <x:v>0</x:v>
      </x:c>
      <x:c r="K105" s="231">
        <x:f t="shared" ref="K105:K108" si="52">D105-E105-F105-G105-H105-I105-J105</x:f>
        <x:v>0</x:v>
      </x:c>
      <x:c r="L105" s="230">
        <x:f>L10+L29+L48+L67+L86</x:f>
        <x:v>266580255</x:v>
      </x:c>
      <x:c r="M105" s="231">
        <x:f>K105-L105</x:f>
        <x:v>-266580255</x:v>
      </x:c>
      <x:c r="N105" s="230">
        <x:f>N10+N29+N48+N67+N86</x:f>
        <x:v>0</x:v>
      </x:c>
      <x:c r="O105" s="231">
        <x:f t="shared" ref="O105:O108" si="53">M105+N105</x:f>
        <x:v>-266580255</x:v>
      </x:c>
      <x:c r="Q105" s="242"/>
      <x:c r="S105" s="250">
        <x:v>2</x:v>
      </x:c>
      <x:c r="T105" s="251" t="s">
        <x:v>11</x:v>
      </x:c>
      <x:c r="U105" s="252">
        <x:f t="shared" si="50"/>
        <x:v>0</x:v>
      </x:c>
      <x:c r="V105" s="253">
        <x:f t="shared" si="50"/>
        <x:v>0</x:v>
      </x:c>
      <x:c r="W105" s="253">
        <x:f t="shared" si="50"/>
        <x:v>0</x:v>
      </x:c>
      <x:c r="X105" s="253">
        <x:f t="shared" si="50"/>
        <x:v>0</x:v>
      </x:c>
      <x:c r="Y105" s="254">
        <x:f t="shared" si="50"/>
        <x:v>0</x:v>
      </x:c>
      <x:c r="Z105" s="255">
        <x:f t="shared" si="50"/>
        <x:v>-266580255</x:v>
      </x:c>
      <x:c r="AA105" s="256">
        <x:f>AA10+AA29+AA48+AA67+AA86</x:f>
        <x:v>0</x:v>
      </x:c>
      <x:c r="AB105" s="230">
        <x:f t="shared" si="50"/>
        <x:v>0</x:v>
      </x:c>
      <x:c r="AC105" s="256">
        <x:f>AC10+AC29+AC48+AC67+AC86</x:f>
        <x:v>0</x:v>
      </x:c>
      <x:c r="AD105" s="227">
        <x:f t="shared" ref="AD105:AD107" si="54">-J105+AE105</x:f>
        <x:v>0</x:v>
      </x:c>
      <x:c r="AE105" s="227">
        <x:f>AE10+AE29+AE48+AE67+AE86</x:f>
        <x:v>0</x:v>
      </x:c>
      <x:c r="AF105" s="258">
        <x:f>SUM(U105:AD105)</x:f>
        <x:v>-266580255</x:v>
      </x:c>
      <x:c r="AG105" s="440">
        <x:f>AF105-O105</x:f>
        <x:v>0</x:v>
      </x:c>
      <x:c r="AH105" s="241" t="b">
        <x:f t="shared" ref="AH105:AH108" si="55">INT(AG105)=0</x:f>
        <x:v>1</x:v>
      </x:c>
      <x:c r="AI105" s="242"/>
      <x:c r="AM105" s="269"/>
    </x:row>
    <x:row r="106" spans="2:39" s="241" customFormat="1" ht="12" x14ac:dyDescent="0.25">
      <x:c r="B106" s="250">
        <x:v>3</x:v>
      </x:c>
      <x:c r="C106" s="251" t="s">
        <x:v>12</x:v>
      </x:c>
      <x:c r="D106" s="227">
        <x:f t="shared" si="47"/>
        <x:v>0</x:v>
      </x:c>
      <x:c r="E106" s="228">
        <x:f t="shared" si="47"/>
        <x:v>0</x:v>
      </x:c>
      <x:c r="F106" s="228">
        <x:f t="shared" si="47"/>
        <x:v>0</x:v>
      </x:c>
      <x:c r="G106" s="228">
        <x:f t="shared" ref="G106" si="56">G11+G30+G49+G68+G87</x:f>
        <x:v>0</x:v>
      </x:c>
      <x:c r="H106" s="228">
        <x:f t="shared" si="49"/>
        <x:v>0</x:v>
      </x:c>
      <x:c r="I106" s="228">
        <x:f t="shared" si="49"/>
        <x:v>0</x:v>
      </x:c>
      <x:c r="J106" s="224">
        <x:f t="shared" si="49"/>
        <x:v>0</x:v>
      </x:c>
      <x:c r="K106" s="231">
        <x:f t="shared" si="52"/>
        <x:v>0</x:v>
      </x:c>
      <x:c r="L106" s="230">
        <x:f>L11+L30+L49+L68+L87</x:f>
        <x:v>154788535</x:v>
      </x:c>
      <x:c r="M106" s="231">
        <x:f>K106-L106</x:f>
        <x:v>-154788535</x:v>
      </x:c>
      <x:c r="N106" s="230">
        <x:f>N11+N30+N49+N68+N87</x:f>
        <x:v>0</x:v>
      </x:c>
      <x:c r="O106" s="231">
        <x:f t="shared" si="53"/>
        <x:v>-154788535</x:v>
      </x:c>
      <x:c r="Q106" s="242"/>
      <x:c r="S106" s="250">
        <x:v>3</x:v>
      </x:c>
      <x:c r="T106" s="251" t="s">
        <x:v>12</x:v>
      </x:c>
      <x:c r="U106" s="252">
        <x:f t="shared" si="50"/>
        <x:v>0</x:v>
      </x:c>
      <x:c r="V106" s="253">
        <x:f t="shared" si="50"/>
        <x:v>0</x:v>
      </x:c>
      <x:c r="W106" s="253">
        <x:f t="shared" si="50"/>
        <x:v>0</x:v>
      </x:c>
      <x:c r="X106" s="253">
        <x:f t="shared" si="50"/>
        <x:v>0</x:v>
      </x:c>
      <x:c r="Y106" s="254">
        <x:f t="shared" si="50"/>
        <x:v>0</x:v>
      </x:c>
      <x:c r="Z106" s="255">
        <x:f t="shared" si="50"/>
        <x:v>-154788535</x:v>
      </x:c>
      <x:c r="AA106" s="256">
        <x:f>AA11+AA30+AA49+AA68+AA87</x:f>
        <x:v>0</x:v>
      </x:c>
      <x:c r="AB106" s="230">
        <x:f t="shared" si="50"/>
        <x:v>0</x:v>
      </x:c>
      <x:c r="AC106" s="256">
        <x:f>AC11+AC30+AC49+AC68+AC87</x:f>
        <x:v>0</x:v>
      </x:c>
      <x:c r="AD106" s="227">
        <x:f t="shared" si="54"/>
        <x:v>0</x:v>
      </x:c>
      <x:c r="AE106" s="227">
        <x:f>AE11+AE30+AE49+AE68+AE87</x:f>
        <x:v>0</x:v>
      </x:c>
      <x:c r="AF106" s="258">
        <x:f>SUM(U106:AD106)</x:f>
        <x:v>-154788535</x:v>
      </x:c>
      <x:c r="AG106" s="440">
        <x:f>AF106-O106</x:f>
        <x:v>0</x:v>
      </x:c>
      <x:c r="AH106" s="241" t="b">
        <x:f t="shared" si="55"/>
        <x:v>1</x:v>
      </x:c>
      <x:c r="AI106" s="242"/>
      <x:c r="AM106" s="269"/>
    </x:row>
    <x:row r="107" spans="2:39" s="241" customFormat="1" ht="12" x14ac:dyDescent="0.25">
      <x:c r="B107" s="250">
        <x:v>4</x:v>
      </x:c>
      <x:c r="C107" s="251" t="s">
        <x:v>13</x:v>
      </x:c>
      <x:c r="D107" s="227">
        <x:f t="shared" ref="D107" si="57">D12+D31+D50+D69+D88</x:f>
        <x:v>0</x:v>
      </x:c>
      <x:c r="E107" s="228">
        <x:f t="shared" ref="E107:F108" si="58">E12+E31+E50+E69+E88</x:f>
        <x:v>0</x:v>
      </x:c>
      <x:c r="F107" s="228">
        <x:f t="shared" si="58"/>
        <x:v>0</x:v>
      </x:c>
      <x:c r="G107" s="228">
        <x:f t="shared" ref="G107" si="59">G12+G31+G50+G69+G88</x:f>
        <x:v>0</x:v>
      </x:c>
      <x:c r="H107" s="228">
        <x:f t="shared" si="49"/>
        <x:v>0</x:v>
      </x:c>
      <x:c r="I107" s="228">
        <x:f t="shared" si="49"/>
        <x:v>0</x:v>
      </x:c>
      <x:c r="J107" s="224">
        <x:f t="shared" si="49"/>
        <x:v>0</x:v>
      </x:c>
      <x:c r="K107" s="231">
        <x:f t="shared" si="52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50"/>
        <x:v>0</x:v>
      </x:c>
      <x:c r="V107" s="253">
        <x:f t="shared" si="50"/>
        <x:v>0</x:v>
      </x:c>
      <x:c r="W107" s="253">
        <x:f t="shared" si="50"/>
        <x:v>0</x:v>
      </x:c>
      <x:c r="X107" s="253">
        <x:f t="shared" si="50"/>
        <x:v>0</x:v>
      </x:c>
      <x:c r="Y107" s="254">
        <x:f t="shared" si="50"/>
        <x:v>0</x:v>
      </x:c>
      <x:c r="Z107" s="255">
        <x:f t="shared" si="50"/>
        <x:v>-120391083</x:v>
      </x:c>
      <x:c r="AA107" s="256">
        <x:f>AA12+AA31+AA50+AA69+AA88</x:f>
        <x:v>0</x:v>
      </x:c>
      <x:c r="AB107" s="230">
        <x:f t="shared" si="50"/>
        <x:v>0</x:v>
      </x:c>
      <x:c r="AC107" s="256">
        <x:f>AC12+AC31+AC50+AC69+AC88</x:f>
        <x:v>0</x:v>
      </x:c>
      <x:c r="AD107" s="227">
        <x:f t="shared" si="54"/>
        <x:v>0</x:v>
      </x:c>
      <x:c r="AE107" s="227">
        <x:f>AE12+AE31+AE50+AE69+AE88</x:f>
        <x:v>0</x:v>
      </x:c>
      <x:c r="AF107" s="258">
        <x:f>SUM(U107:AD107)</x:f>
        <x:v>-120391083</x:v>
      </x:c>
      <x:c r="AG107" s="440">
        <x:f>AF107-O107</x:f>
        <x:v>0</x:v>
      </x:c>
      <x:c r="AH107" s="241" t="b">
        <x:f t="shared" si="55"/>
        <x:v>1</x:v>
      </x:c>
      <x:c r="AI107" s="242"/>
      <x:c r="AM107" s="269"/>
    </x:row>
    <x:row r="108" spans="2:39" s="241" customFormat="1" ht="12.6" thickBot="1" x14ac:dyDescent="0.3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58"/>
        <x:v>0</x:v>
      </x:c>
      <x:c r="F108" s="233">
        <x:f t="shared" si="58"/>
        <x:v>0</x:v>
      </x:c>
      <x:c r="G108" s="233">
        <x:f t="shared" ref="G108" si="60">G13+G32+G51+G70+G89</x:f>
        <x:v>0</x:v>
      </x:c>
      <x:c r="H108" s="233">
        <x:f t="shared" si="49"/>
        <x:v>0</x:v>
      </x:c>
      <x:c r="I108" s="233">
        <x:f t="shared" si="49"/>
        <x:v>0</x:v>
      </x:c>
      <x:c r="J108" s="225">
        <x:f t="shared" si="49"/>
        <x:v>0</x:v>
      </x:c>
      <x:c r="K108" s="231">
        <x:f t="shared" si="52"/>
        <x:v>0</x:v>
      </x:c>
      <x:c r="L108" s="230">
        <x:f>L13+L32+L51+L70+L89</x:f>
        <x:v>128990445</x:v>
      </x:c>
      <x:c r="M108" s="234">
        <x:f>K108-L108</x:f>
        <x:v>-128990445</x:v>
      </x:c>
      <x:c r="N108" s="235">
        <x:f>N13+N32+N51+N70+N89</x:f>
        <x:v>0</x:v>
      </x:c>
      <x:c r="O108" s="234">
        <x:f t="shared" si="53"/>
        <x:v>-128990445</x:v>
      </x:c>
      <x:c r="Q108" s="242"/>
      <x:c r="S108" s="260">
        <x:v>5</x:v>
      </x:c>
      <x:c r="T108" s="261" t="s">
        <x:v>14</x:v>
      </x:c>
      <x:c r="U108" s="232">
        <x:f t="shared" si="50"/>
        <x:v>0</x:v>
      </x:c>
      <x:c r="V108" s="233">
        <x:f t="shared" si="50"/>
        <x:v>0</x:v>
      </x:c>
      <x:c r="W108" s="233">
        <x:f t="shared" si="50"/>
        <x:v>0</x:v>
      </x:c>
      <x:c r="X108" s="233">
        <x:f t="shared" si="50"/>
        <x:v>0</x:v>
      </x:c>
      <x:c r="Y108" s="225">
        <x:f t="shared" si="50"/>
        <x:v>0</x:v>
      </x:c>
      <x:c r="Z108" s="255">
        <x:f t="shared" si="50"/>
        <x:v>-128990445</x:v>
      </x:c>
      <x:c r="AA108" s="256">
        <x:f>AA13+AA32+AA51+AA70+AA89</x:f>
        <x:v>0</x:v>
      </x:c>
      <x:c r="AB108" s="230">
        <x:f t="shared" si="50"/>
        <x:v>0</x:v>
      </x:c>
      <x:c r="AC108" s="256">
        <x:f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-128990445</x:v>
      </x:c>
      <x:c r="AG108" s="441">
        <x:f>AF108-O108</x:f>
        <x:v>0</x:v>
      </x:c>
      <x:c r="AH108" s="241" t="b">
        <x:f t="shared" si="55"/>
        <x:v>1</x:v>
      </x:c>
      <x:c r="AI108" s="242"/>
      <x:c r="AM108" s="269"/>
    </x:row>
    <x:row r="109" spans="2:39" s="241" customFormat="1" ht="13.8" thickBot="1" x14ac:dyDescent="0.3">
      <x:c r="B109" s="263"/>
      <x:c r="C109" s="264" t="s">
        <x:v>2</x:v>
      </x:c>
      <x:c r="D109" s="226">
        <x:f t="shared" ref="D109:N109" si="61">SUM(D104:D108)</x:f>
        <x:v>0</x:v>
      </x:c>
      <x:c r="E109" s="226">
        <x:f t="shared" si="61"/>
        <x:v>0</x:v>
      </x:c>
      <x:c r="F109" s="226">
        <x:f t="shared" si="61"/>
        <x:v>0</x:v>
      </x:c>
      <x:c r="G109" s="226">
        <x:f t="shared" ref="G109" si="62">SUM(G104:G108)</x:f>
        <x:v>0</x:v>
      </x:c>
      <x:c r="H109" s="226">
        <x:f t="shared" si="61"/>
        <x:v>0</x:v>
      </x:c>
      <x:c r="I109" s="226">
        <x:f t="shared" si="61"/>
        <x:v>0</x:v>
      </x:c>
      <x:c r="J109" s="226">
        <x:f t="shared" si="61"/>
        <x:v>0</x:v>
      </x:c>
      <x:c r="K109" s="236">
        <x:f t="shared" si="61"/>
        <x:v>0</x:v>
      </x:c>
      <x:c r="L109" s="237">
        <x:f t="shared" si="61"/>
        <x:v>859936305</x:v>
      </x:c>
      <x:c r="M109" s="238">
        <x:f t="shared" si="61"/>
        <x:v>-859936305</x:v>
      </x:c>
      <x:c r="N109" s="237">
        <x:f t="shared" si="61"/>
        <x:v>0</x:v>
      </x:c>
      <x:c r="O109" s="238">
        <x:f>SUM(O104:O108)</x:f>
        <x:v>-859936305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63">SUM(V104:V108)</x:f>
        <x:v>0</x:v>
      </x:c>
      <x:c r="W109" s="266">
        <x:f t="shared" si="63"/>
        <x:v>0</x:v>
      </x:c>
      <x:c r="X109" s="266">
        <x:f t="shared" si="63"/>
        <x:v>0</x:v>
      </x:c>
      <x:c r="Y109" s="266">
        <x:f t="shared" si="63"/>
        <x:v>0</x:v>
      </x:c>
      <x:c r="Z109" s="226">
        <x:f t="shared" si="63"/>
        <x:v>-859936305</x:v>
      </x:c>
      <x:c r="AA109" s="226">
        <x:f>SUM(AA104:AA108)</x:f>
        <x:v>0</x:v>
      </x:c>
      <x:c r="AB109" s="226">
        <x:f t="shared" si="63"/>
        <x:v>0</x:v>
      </x:c>
      <x:c r="AC109" s="226">
        <x:f>SUM(AC104:AC108)</x:f>
        <x:v>0</x:v>
      </x:c>
      <x:c r="AD109" s="226">
        <x:f t="shared" si="63"/>
        <x:v>0</x:v>
      </x:c>
      <x:c r="AE109" s="226">
        <x:f>SUM(AE104:AE108)</x:f>
        <x:v>0</x:v>
      </x:c>
      <x:c r="AF109" s="267">
        <x:f t="shared" si="63"/>
        <x:v>-859936305</x:v>
      </x:c>
      <x:c r="AG109" s="442">
        <x:f>SUM(AG104:AG108)</x:f>
        <x:v>0</x:v>
      </x:c>
      <x:c r="AH109" s="241" t="b">
        <x:f>INT(AG109)=0</x:f>
        <x:v>1</x:v>
      </x:c>
      <x:c r="AI109" s="242"/>
      <x:c r="AM109" s="269"/>
    </x:row>
    <x:row r="110" spans="2:39" ht="12.6" thickBot="1" x14ac:dyDescent="0.3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07"/>
      <x:c r="W111" s="507"/>
      <x:c r="Y111" s="86">
        <x:f>SUM(U109:Y109)</x:f>
        <x:v>0</x:v>
      </x:c>
      <x:c r="AA111" s="1" t="s">
        <x:v>1</x:v>
      </x:c>
      <x:c r="AB111" s="1" t="s">
        <x:v>1</x:v>
      </x:c>
      <x:c r="AD111" s="241"/>
      <x:c r="AF111" s="241"/>
      <x:c r="AI111" s="4"/>
    </x:row>
    <x:row r="112" spans="2:39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241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16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05"/>
      <x:c r="W116" s="505"/>
      <x:c r="AA116" s="241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241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241"/>
      <x:c r="Y118" s="241"/>
      <x:c r="AA118" s="241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241"/>
      <x:c r="Y119" s="241"/>
      <x:c r="AA119" s="241"/>
    </x:row>
    <x:row r="120" spans="1:35" ht="12" x14ac:dyDescent="0.25">
      <x:c r="B120" s="8"/>
      <x:c r="I120" s="2"/>
      <x:c r="J120" s="2"/>
      <x:c r="O120" s="10"/>
      <x:c r="P120" s="2"/>
      <x:c r="Q120" s="4"/>
      <x:c r="X120" s="241"/>
      <x:c r="Y120" s="241"/>
      <x:c r="AA120" s="241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241"/>
      <x:c r="Y121" s="241"/>
    </x:row>
    <x:row r="122" spans="1:35" ht="12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  <x:c r="X122" s="241"/>
      <x:c r="Y122" s="241"/>
    </x:row>
    <x:row r="123" spans="1:35" ht="12.6" thickBot="1" x14ac:dyDescent="0.3">
      <x:c r="B123" s="8"/>
      <x:c r="C123" s="2" t="s">
        <x:v>1</x:v>
      </x:c>
      <x:c r="D123" s="2" t="s">
        <x:v>1</x:v>
      </x:c>
      <x:c r="O123" s="44"/>
      <x:c r="P123" s="2"/>
      <x:c r="Q123" s="4"/>
      <x:c r="X123" s="241"/>
      <x:c r="Y123" s="241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ht="12" x14ac:dyDescent="0.25">
      <x:c r="B125" s="270">
        <x:v>1</x:v>
      </x:c>
      <x:c r="C125" s="271" t="s">
        <x:v>10</x:v>
      </x:c>
      <x:c r="D125" s="312">
        <x:f>'ANTICIPOS USUARIOS'!C3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USUARIOS'!C12</x:f>
        <x:v>0</x:v>
      </x:c>
      <x:c r="L125" s="245">
        <x:f>-'ANTICIPOS USUARIOS'!C21</x:f>
        <x:v>0</x:v>
      </x:c>
      <x:c r="O125" s="273"/>
      <x:c r="Q125" s="242"/>
      <x:c r="AG125" s="269"/>
    </x:row>
    <x:row r="126" spans="1:35" s="241" customFormat="1" ht="12" x14ac:dyDescent="0.25">
      <x:c r="B126" s="250">
        <x:v>2</x:v>
      </x:c>
      <x:c r="C126" s="274" t="s">
        <x:v>11</x:v>
      </x:c>
      <x:c r="D126" s="228">
        <x:f>'ANTICIPOS USUARIOS'!C4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>D67+N67</x:f>
        <x:v>0</x:v>
      </x:c>
      <x:c r="K126" s="224">
        <x:f>'ANTICIPOS USUARIOS'!C13</x:f>
        <x:v>0</x:v>
      </x:c>
      <x:c r="L126" s="224">
        <x:f>-'ANTICIPOS USUARIOS'!C22</x:f>
        <x:v>0</x:v>
      </x:c>
      <x:c r="O126" s="273"/>
      <x:c r="Q126" s="242"/>
      <x:c r="AG126" s="269"/>
    </x:row>
    <x:row r="127" spans="1:35" s="241" customFormat="1" ht="12" x14ac:dyDescent="0.25">
      <x:c r="B127" s="250">
        <x:v>3</x:v>
      </x:c>
      <x:c r="C127" s="274" t="s">
        <x:v>12</x:v>
      </x:c>
      <x:c r="D127" s="228">
        <x:f>'ANTICIPOS USUARIOS'!C5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ref="J127:J129" si="64">D68+N68</x:f>
        <x:v>0</x:v>
      </x:c>
      <x:c r="K127" s="224">
        <x:f>'ANTICIPOS USUARIOS'!C14</x:f>
        <x:v>0</x:v>
      </x:c>
      <x:c r="L127" s="224">
        <x:f>-'ANTICIPOS USUARIOS'!C23</x:f>
        <x:v>0</x:v>
      </x:c>
      <x:c r="O127" s="273"/>
      <x:c r="Q127" s="242"/>
      <x:c r="AG127" s="269"/>
    </x:row>
    <x:row r="128" spans="1:35" s="241" customFormat="1" ht="12" x14ac:dyDescent="0.25">
      <x:c r="B128" s="250">
        <x:v>4</x:v>
      </x:c>
      <x:c r="C128" s="274" t="s">
        <x:v>13</x:v>
      </x:c>
      <x:c r="D128" s="228">
        <x:f>'ANTICIPOS USUARIOS'!C6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64"/>
        <x:v>0</x:v>
      </x:c>
      <x:c r="K128" s="224">
        <x:f>'ANTICIPOS USUARIOS'!C15</x:f>
        <x:v>0</x:v>
      </x:c>
      <x:c r="L128" s="224">
        <x:f>-'ANTICIPOS USUARIOS'!C24</x:f>
        <x:v>0</x:v>
      </x:c>
      <x:c r="O128" s="273"/>
      <x:c r="Q128" s="242"/>
      <x:c r="AG128" s="269"/>
    </x:row>
    <x:row r="129" spans="1:33" s="241" customFormat="1" ht="12" x14ac:dyDescent="0.25">
      <x:c r="B129" s="277">
        <x:v>5</x:v>
      </x:c>
      <x:c r="C129" s="278" t="s">
        <x:v>14</x:v>
      </x:c>
      <x:c r="D129" s="279">
        <x:f>'ANTICIPOS USUARIOS'!C7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64"/>
        <x:v>0</x:v>
      </x:c>
      <x:c r="K129" s="224">
        <x:f>'ANTICIPOS USUARIOS'!C16</x:f>
        <x:v>0</x:v>
      </x:c>
      <x:c r="L129" s="224">
        <x:f>-'ANTICIPOS USUARIOS'!C25</x:f>
        <x:v>0</x:v>
      </x:c>
      <x:c r="O129" s="273"/>
      <x:c r="Q129" s="242"/>
      <x:c r="AG129" s="269"/>
    </x:row>
    <x:row r="130" spans="1:33" s="241" customFormat="1" ht="12.6" thickBot="1" x14ac:dyDescent="0.3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  <x:c r="AG130" s="269"/>
    </x:row>
    <x:row r="131" spans="1:33" s="241" customFormat="1" ht="12.6" thickBot="1" x14ac:dyDescent="0.3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6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  <x:c r="AG131" s="269"/>
    </x:row>
    <x:row r="132" spans="1:33" ht="12" x14ac:dyDescent="0.25">
      <x:c r="B132" s="2"/>
      <x:c r="C132" s="2"/>
      <x:c r="D132" s="24"/>
      <x:c r="Q132" s="4"/>
    </x:row>
    <x:row r="133" spans="1:33" ht="12" x14ac:dyDescent="0.25">
      <x:c r="B133" s="2"/>
      <x:c r="C133" s="2"/>
      <x:c r="D133" s="24"/>
      <x:c r="L133" s="1" t="s">
        <x:v>1</x:v>
      </x:c>
      <x:c r="Q133" s="4"/>
    </x:row>
    <x:row r="134" spans="1:33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6" thickBot="1" x14ac:dyDescent="0.3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ht="12" x14ac:dyDescent="0.25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Reciprocidad'!F21+'Recaudo EAAB + Ciud Limp'!F21+'Recaudo Directa Occidente'!F21+'Recaudo ENEL'!F21+'Recaudo ENERBIT'!F21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BANCO'!E62+'REPORTE RECAUDO x BANCO'!E63+'REPORTE RECAUDO x BANCO'!E75)</x:f>
        <x:v>0</x:v>
      </x:c>
      <x:c r="J142" s="103">
        <x:f t="shared" ref="J142:K146" si="66">G125</x:f>
        <x:v>0</x:v>
      </x:c>
      <x:c r="K142" s="104">
        <x:f t="shared" si="66"/>
        <x:v>0</x:v>
      </x:c>
      <x:c r="L142" s="510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10">
        <x:f>D143-E143-F143-G143-J143-H143-I143</x:f>
        <x:v>0</x:v>
      </x:c>
      <x:c r="M143" s="1" t="b">
        <x:f t="shared" si="67"/>
        <x:v>1</x:v>
      </x:c>
      <x:c r="O143" s="119"/>
      <x:c r="P143" s="24"/>
      <x:c r="Q143" s="35"/>
      <x:c r="R143" s="24"/>
    </x:row>
    <x:row r="144" spans="1:33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10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10">
        <x:f t="shared" ref="L145:L147" si="68">D145-E145-F145-G145-J145-H145-I145</x:f>
        <x:v>0</x:v>
      </x:c>
      <x:c r="M145" s="1" t="b">
        <x:f t="shared" si="67"/>
        <x:v>1</x:v>
      </x:c>
      <x:c r="O145" s="93"/>
      <x:c r="P145" s="24"/>
      <x:c r="Q145" s="35"/>
      <x:c r="R145" s="24"/>
    </x:row>
    <x:row r="146" spans="1:20" ht="12.6" thickBot="1" x14ac:dyDescent="0.3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BANCO'!E72+'REPORTE RECAUDO x BANCO'!E73+'REPORTE RECAUDO x BANCO'!E79)</x:f>
        <x:v>0</x:v>
      </x:c>
      <x:c r="J146" s="123">
        <x:f t="shared" si="66"/>
        <x:v>0</x:v>
      </x:c>
      <x:c r="K146" s="125">
        <x:f t="shared" si="66"/>
        <x:v>0</x:v>
      </x:c>
      <x:c r="L146" s="510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10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ht="12" x14ac:dyDescent="0.25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241"/>
      <x:c r="E154" s="93"/>
      <x:c r="F154" s="241"/>
      <x:c r="G154" s="241"/>
      <x:c r="H154" s="241"/>
      <x:c r="K154" s="505"/>
      <x:c r="N154" s="24"/>
      <x:c r="O154" s="24"/>
      <x:c r="Q154" s="24"/>
      <x:c r="T154" s="24"/>
    </x:row>
    <x:row r="155" spans="1:20" x14ac:dyDescent="0.2">
      <x:c r="D155" s="241"/>
      <x:c r="K155" s="506"/>
      <x:c r="N155" s="24"/>
      <x:c r="O155" s="24"/>
      <x:c r="Q155" s="24"/>
      <x:c r="T155" s="24"/>
    </x:row>
    <x:row r="156" spans="1:20" x14ac:dyDescent="0.2">
      <x:c r="D156" s="505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zoomScale="90" zoomScaleNormal="90" workbookViewId="0">
      <x:selection activeCell="C4" sqref="C4"/>
    </x:sheetView>
  </x:sheetViews>
  <x:sheetFormatPr baseColWidth="10" defaultRowHeight="13.2" x14ac:dyDescent="0.25"/>
  <x:cols>
    <x:col min="1" max="1" width="3" customWidth="1"/>
    <x:col min="2" max="2" width="4.33203125" bestFit="1" customWidth="1"/>
    <x:col min="3" max="4" width="16.6640625" customWidth="1"/>
    <x:col min="5" max="7" width="17.6640625" customWidth="1"/>
    <x:col min="8" max="8" width="18.33203125" customWidth="1"/>
    <x:col min="9" max="9" width="15.6640625" customWidth="1"/>
    <x:col min="10" max="10" width="16.44140625" customWidth="1"/>
    <x:col min="11" max="11" width="15.6640625" customWidth="1"/>
    <x:col min="12" max="13" width="18.33203125" customWidth="1"/>
    <x:col min="14" max="14" width="15.6640625" customWidth="1"/>
    <x:col min="15" max="15" width="16" bestFit="1" customWidth="1"/>
    <x:col min="16" max="16" width="14.44140625" customWidth="1"/>
    <x:col min="17" max="17" width="17.44140625" bestFit="1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5">
      <x:c r="B3" s="239">
        <x:v>1</x:v>
      </x:c>
      <x:c r="C3" s="228">
        <x:f>'Recaudo EAAB Reciprocidad'!F21+'Recaudo EAAB + Ciud Limp'!F21+'Recaudo Directa Occidente'!F21+'Recaudo ENEL'!F21+'Recaudo ENERBIT'!F21</x:f>
        <x:v>0</x:v>
      </x:c>
      <x:c r="D3" s="228">
        <x:f>'CONSOLIDADO_TOTAL RECAUDO'!G125</x:f>
        <x:v>0</x:v>
      </x:c>
      <x:c r="E3" s="228">
        <x:f>'CONSOLIDADO_TOTAL RECAUDO'!D28+'CONSOLIDADO_TOTAL RECAUDO'!N28</x:f>
        <x:v>0</x:v>
      </x:c>
      <x:c r="F3" s="228">
        <x:f>'CONSOLIDADO_TOTAL RECAUDO'!I142</x:f>
        <x:v>0</x:v>
      </x:c>
      <x:c r="G3" s="228">
        <x:f>'CONSOLIDADO_TOTAL RECAUDO'!H142</x:f>
        <x:v>0</x:v>
      </x:c>
      <x:c r="H3" s="276">
        <x:f>SUM(C3:G3)</x:f>
        <x:v>0</x:v>
      </x:c>
      <x:c r="I3" s="227">
        <x:f>'CONSOLIDADO_TOTAL RECAUDO'!D104</x:f>
        <x:v>0</x:v>
      </x:c>
      <x:c r="J3" s="228">
        <x:f>'CONSOLIDADO_TOTAL RECAUDO'!N104</x:f>
        <x:v>0</x:v>
      </x:c>
      <x:c r="K3" s="228">
        <x:f>'CONSOLIDADO_TOTAL RECAUDO'!D125</x:f>
        <x:v>0</x:v>
      </x:c>
      <x:c r="L3" s="289">
        <x:f>'CONSOLIDADO_TOTAL RECAUDO'!E125</x:f>
        <x:v>0</x:v>
      </x:c>
      <x:c r="M3" s="228">
        <x:f>-'CONSOLIDADO_TOTAL RECAUDO'!D66-'CONSOLIDADO_TOTAL RECAUDO'!N66</x:f>
        <x:v>0</x:v>
      </x:c>
      <x:c r="N3" s="224">
        <x:f>SUM(I3:M3)</x:f>
        <x:v>0</x:v>
      </x:c>
      <x:c r="O3" s="290">
        <x:f>H3-N3</x:f>
        <x:v>0</x:v>
      </x:c>
      <x:c r="P3" s="1" t="b">
        <x:f t="shared" ref="P3:P9" si="0">INT(O3)=0</x:f>
        <x:v>1</x:v>
      </x:c>
    </x:row>
    <x:row r="4" spans="2:16" s="291" customFormat="1" x14ac:dyDescent="0.25">
      <x:c r="B4" s="250">
        <x:v>2</x:v>
      </x:c>
      <x:c r="C4" s="228">
        <x:f>'Recaudo EAAB Reciprocidad'!F22+'Recaudo EAAB + Ciud Limp'!F22+'Recaudo Directa Occidente'!F22+'Recaudo ENEL'!F22+'Recaudo ENERBIT'!F22</x:f>
        <x:v>0</x:v>
      </x:c>
      <x:c r="D4" s="228">
        <x:f>'CONSOLIDADO_TOTAL RECAUDO'!G126</x:f>
        <x:v>0</x:v>
      </x:c>
      <x:c r="E4" s="228">
        <x:f>'CONSOLIDADO_TOTAL RECAUDO'!D29+'CONSOLIDADO_TOTAL RECAUDO'!N29</x:f>
        <x:v>0</x:v>
      </x:c>
      <x:c r="F4" s="228">
        <x:f>'CONSOLIDADO_TOTAL RECAUDO'!I143</x:f>
        <x:v>0</x:v>
      </x:c>
      <x:c r="G4" s="228">
        <x:f>'CONSOLIDADO_TOTAL RECAUDO'!H143</x:f>
        <x:v>0</x:v>
      </x:c>
      <x:c r="H4" s="276">
        <x:f t="shared" ref="H4:H8" si="1">SUM(C4:G4)</x:f>
        <x:v>0</x:v>
      </x:c>
      <x:c r="I4" s="227">
        <x:f>'CONSOLIDADO_TOTAL RECAUDO'!D105</x:f>
        <x:v>0</x:v>
      </x:c>
      <x:c r="J4" s="228">
        <x:f>'CONSOLIDADO_TOTAL RECAUDO'!N105</x:f>
        <x:v>0</x:v>
      </x:c>
      <x:c r="K4" s="228">
        <x:f>'CONSOLIDADO_TOTAL RECAUDO'!D126</x:f>
        <x:v>0</x:v>
      </x:c>
      <x:c r="L4" s="289">
        <x:f>'CONSOLIDADO_TOTAL RECAUDO'!E126</x:f>
        <x:v>0</x:v>
      </x:c>
      <x:c r="M4" s="228">
        <x:f>-'CONSOLIDADO_TOTAL RECAUDO'!D67-'CONSOLIDADO_TOTAL RECAUDO'!N67</x:f>
        <x:v>0</x:v>
      </x:c>
      <x:c r="N4" s="254">
        <x:f>SUM(I4:M4)</x:f>
        <x:v>0</x:v>
      </x:c>
      <x:c r="O4" s="290">
        <x:f t="shared" ref="O4:O6" si="2">H4-N4</x:f>
        <x:v>0</x:v>
      </x:c>
      <x:c r="P4" s="1" t="b">
        <x:f t="shared" si="0"/>
        <x:v>1</x:v>
      </x:c>
    </x:row>
    <x:row r="5" spans="2:16" s="291" customFormat="1" x14ac:dyDescent="0.25">
      <x:c r="B5" s="250">
        <x:v>3</x:v>
      </x:c>
      <x:c r="C5" s="228">
        <x:f>'Recaudo EAAB Reciprocidad'!F23+'Recaudo EAAB + Ciud Limp'!F23+'Recaudo Directa Occidente'!F23+'Recaudo ENEL'!F23+'Recaudo ENERBIT'!F23</x:f>
        <x:v>0</x:v>
      </x:c>
      <x:c r="D5" s="228">
        <x:f>'CONSOLIDADO_TOTAL RECAUDO'!G127</x:f>
        <x:v>0</x:v>
      </x:c>
      <x:c r="E5" s="228">
        <x:f>'CONSOLIDADO_TOTAL RECAUDO'!D30+'CONSOLIDADO_TOTAL RECAUDO'!N30</x:f>
        <x:v>0</x:v>
      </x:c>
      <x:c r="F5" s="228">
        <x:f>'CONSOLIDADO_TOTAL RECAUDO'!I144</x:f>
        <x:v>0</x:v>
      </x:c>
      <x:c r="G5" s="228">
        <x:f>'CONSOLIDADO_TOTAL RECAUDO'!H144</x:f>
        <x:v>0</x:v>
      </x:c>
      <x:c r="H5" s="276">
        <x:f t="shared" si="1"/>
        <x:v>0</x:v>
      </x:c>
      <x:c r="I5" s="227">
        <x:f>'CONSOLIDADO_TOTAL RECAUDO'!D106</x:f>
        <x:v>0</x:v>
      </x:c>
      <x:c r="J5" s="228">
        <x:f>'CONSOLIDADO_TOTAL RECAUDO'!N106</x:f>
        <x:v>0</x:v>
      </x:c>
      <x:c r="K5" s="228">
        <x:f>'CONSOLIDADO_TOTAL RECAUDO'!D127</x:f>
        <x:v>0</x:v>
      </x:c>
      <x:c r="L5" s="289">
        <x:f>'CONSOLIDADO_TOTAL RECAUDO'!E127</x:f>
        <x:v>0</x:v>
      </x:c>
      <x:c r="M5" s="228">
        <x:f>-'CONSOLIDADO_TOTAL RECAUDO'!D68-'CONSOLIDADO_TOTAL RECAUDO'!N68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0"/>
        <x:v>1</x:v>
      </x:c>
    </x:row>
    <x:row r="6" spans="2:16" s="291" customFormat="1" x14ac:dyDescent="0.25">
      <x:c r="B6" s="250">
        <x:v>4</x:v>
      </x:c>
      <x:c r="C6" s="228">
        <x:f>'Recaudo EAAB Reciprocidad'!F24+'Recaudo EAAB + Ciud Limp'!F24+'Recaudo Directa Occidente'!F24+'Recaudo ENEL'!F24+'Recaudo ENERBIT'!F24</x:f>
        <x:v>0</x:v>
      </x:c>
      <x:c r="D6" s="228">
        <x:f>'CONSOLIDADO_TOTAL RECAUDO'!G128</x:f>
        <x:v>0</x:v>
      </x:c>
      <x:c r="E6" s="228">
        <x:f>'CONSOLIDADO_TOTAL RECAUDO'!D31+'CONSOLIDADO_TOTAL RECAUDO'!N31</x:f>
        <x:v>0</x:v>
      </x:c>
      <x:c r="F6" s="228">
        <x:f>'CONSOLIDADO_TOTAL RECAUDO'!I145</x:f>
        <x:v>0</x:v>
      </x:c>
      <x:c r="G6" s="228">
        <x:f>'CONSOLIDADO_TOTAL RECAUDO'!H145</x:f>
        <x:v>0</x:v>
      </x:c>
      <x:c r="H6" s="276">
        <x:f t="shared" si="1"/>
        <x:v>0</x:v>
      </x:c>
      <x:c r="I6" s="227">
        <x:f>'CONSOLIDADO_TOTAL RECAUDO'!D107</x:f>
        <x:v>0</x:v>
      </x:c>
      <x:c r="J6" s="228">
        <x:f>'CONSOLIDADO_TOTAL RECAUDO'!N107</x:f>
        <x:v>0</x:v>
      </x:c>
      <x:c r="K6" s="228">
        <x:f>'CONSOLIDADO_TOTAL RECAUDO'!D128</x:f>
        <x:v>0</x:v>
      </x:c>
      <x:c r="L6" s="289">
        <x:f>'CONSOLIDADO_TOTAL RECAUDO'!E128</x:f>
        <x:v>0</x:v>
      </x:c>
      <x:c r="M6" s="228">
        <x:f>-'CONSOLIDADO_TOTAL RECAUDO'!D69-'CONSOLIDADO_TOTAL RECAUDO'!N69</x:f>
        <x:v>0</x:v>
      </x:c>
      <x:c r="N6" s="254">
        <x:f t="shared" ref="N6:N7" si="3">SUM(I6:M6)</x:f>
        <x:v>0</x:v>
      </x:c>
      <x:c r="O6" s="290">
        <x:f t="shared" si="2"/>
        <x:v>0</x:v>
      </x:c>
      <x:c r="P6" s="1" t="b">
        <x:f t="shared" si="0"/>
        <x:v>1</x:v>
      </x:c>
    </x:row>
    <x:row r="7" spans="2:16" s="291" customFormat="1" x14ac:dyDescent="0.25">
      <x:c r="B7" s="250">
        <x:v>5</x:v>
      </x:c>
      <x:c r="C7" s="228">
        <x:f>'Recaudo EAAB Reciprocidad'!F25+'Recaudo EAAB + Ciud Limp'!F25+'Recaudo Directa Occidente'!F25+'Recaudo ENEL'!F25+'Recaudo ENERBIT'!F25</x:f>
        <x:v>0</x:v>
      </x:c>
      <x:c r="D7" s="228">
        <x:f>'CONSOLIDADO_TOTAL RECAUDO'!G129</x:f>
        <x:v>0</x:v>
      </x:c>
      <x:c r="E7" s="228">
        <x:f>'CONSOLIDADO_TOTAL RECAUDO'!D32+'CONSOLIDADO_TOTAL RECAUDO'!N32</x:f>
        <x:v>0</x:v>
      </x:c>
      <x:c r="F7" s="228">
        <x:f>'CONSOLIDADO_TOTAL RECAUDO'!I146</x:f>
        <x:v>0</x:v>
      </x:c>
      <x:c r="G7" s="228">
        <x:f>'CONSOLIDADO_TOTAL RECAUDO'!H146</x:f>
        <x:v>0</x:v>
      </x:c>
      <x:c r="H7" s="276">
        <x:f>SUM(C7:G7)</x:f>
        <x:v>0</x:v>
      </x:c>
      <x:c r="I7" s="227">
        <x:f>'CONSOLIDADO_TOTAL RECAUDO'!D108</x:f>
        <x:v>0</x:v>
      </x:c>
      <x:c r="J7" s="228">
        <x:f>'CONSOLIDADO_TOTAL RECAUDO'!N108</x:f>
        <x:v>0</x:v>
      </x:c>
      <x:c r="K7" s="228">
        <x:f>'CONSOLIDADO_TOTAL RECAUDO'!D129</x:f>
        <x:v>0</x:v>
      </x:c>
      <x:c r="L7" s="289">
        <x:f>'CONSOLIDADO_TOTAL RECAUDO'!E129</x:f>
        <x:v>0</x:v>
      </x:c>
      <x:c r="M7" s="228">
        <x:f>-'CONSOLIDADO_TOTAL RECAUDO'!D70-'CONSOLIDADO_TOTAL RECAUDO'!N70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0"/>
        <x:v>1</x:v>
      </x:c>
    </x:row>
    <x:row r="8" spans="2:16" s="291" customFormat="1" ht="13.8" thickBot="1" x14ac:dyDescent="0.3">
      <x:c r="B8" s="277" t="s">
        <x:v>89</x:v>
      </x:c>
      <x:c r="C8" s="292">
        <x:f>'Recaudo EAAB Reciprocidad'!F26+'Recaudo EAAB + Ciud Limp'!F26+'Recaudo Directa Occidente'!F26+'Recaudo ENEL'!F26+'Recaudo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'CONSOLIDADO_TOTAL RECAUDO'!E130</x:f>
        <x:v>0</x:v>
      </x:c>
      <x:c r="M8" s="292">
        <x:v>0</x:v>
      </x:c>
      <x:c r="N8" s="294">
        <x:f>SUM(I8:L8)-M8</x:f>
        <x:v>0</x:v>
      </x:c>
      <x:c r="O8" s="290">
        <x:f>H8-N8</x:f>
        <x:v>0</x:v>
      </x:c>
      <x:c r="P8" s="1" t="b">
        <x:f t="shared" si="0"/>
        <x:v>1</x:v>
      </x:c>
    </x:row>
    <x:row r="9" spans="2:16" s="291" customFormat="1" ht="13.8" thickBot="1" x14ac:dyDescent="0.3">
      <x:c r="B9" s="263"/>
      <x:c r="C9" s="226">
        <x:f>SUM(C3:C8)</x:f>
        <x:v>0</x:v>
      </x:c>
      <x:c r="D9" s="226">
        <x:f t="shared" ref="D9:L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>SUM(H3:H8)</x:f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>SUM(M3:M8)</x:f>
        <x:v>0</x:v>
      </x:c>
      <x:c r="N9" s="226">
        <x:f>SUM(N3:N8)</x:f>
        <x:v>0</x:v>
      </x:c>
      <x:c r="O9" s="295">
        <x:f>SUM(O3:O8)</x:f>
        <x:v>0</x:v>
      </x:c>
      <x:c r="P9" s="1" t="b">
        <x:f t="shared" si="0"/>
        <x:v>1</x:v>
      </x:c>
    </x:row>
    <x:row r="11" spans="2:16" x14ac:dyDescent="0.25">
      <x:c r="B11" s="95" t="s">
        <x:v>89</x:v>
      </x:c>
      <x:c r="C11" s="96" t="s">
        <x:v>90</x:v>
      </x:c>
      <x:c r="M11" s="130"/>
      <x:c r="O11" s="126"/>
    </x:row>
    <x:row r="12" spans="2:16" x14ac:dyDescent="0.25">
      <x:c r="C12" s="132"/>
    </x:row>
    <x:row r="13" spans="2:16" x14ac:dyDescent="0.25">
      <x:c r="B13" s="131"/>
      <x:c r="C13" s="132" t="s">
        <x:v>1</x:v>
      </x:c>
    </x:row>
    <x:row r="14" spans="2:16" x14ac:dyDescent="0.25">
      <x:c r="C14" s="200">
        <x:f>'Valida - Control Recaudo'!F10</x:f>
        <x:v>0</x:v>
      </x:c>
    </x:row>
    <x:row r="15" spans="2:16" x14ac:dyDescent="0.25">
      <x:c r="C15" s="202" t="b">
        <x:f>C14=C9</x:f>
        <x:v>1</x:v>
      </x:c>
    </x:row>
    <x:row r="16" spans="2:16" x14ac:dyDescent="0.25">
      <x:c r="C16" s="291"/>
    </x:row>
    <x:row r="18" spans="3:18" ht="13.8" thickBot="1" x14ac:dyDescent="0.3">
      <x:c r="D18" s="580" t="s">
        <x:v>270</x:v>
      </x:c>
      <x:c r="E18" s="580"/>
    </x:row>
    <x:row r="19" spans="3:18" ht="36" x14ac:dyDescent="0.25">
      <x:c r="D19" s="469" t="s">
        <x:v>55</x:v>
      </x:c>
      <x:c r="E19" s="469" t="s">
        <x:v>50</x:v>
      </x:c>
      <x:c r="F19" s="469" t="s">
        <x:v>57</x:v>
      </x:c>
      <x:c r="G19" s="469" t="s">
        <x:v>129</x:v>
      </x:c>
      <x:c r="H19" s="469" t="s">
        <x:v>130</x:v>
      </x:c>
      <x:c r="I19" s="714" t="s">
        <x:v>52</x:v>
      </x:c>
      <x:c r="J19" s="98" t="s">
        <x:v>58</x:v>
      </x:c>
      <x:c r="K19" s="98" t="s">
        <x:v>59</x:v>
      </x:c>
      <x:c r="L19" s="98" t="s">
        <x:v>53</x:v>
      </x:c>
      <x:c r="M19" s="468" t="s">
        <x:v>60</x:v>
      </x:c>
      <x:c r="N19" s="308" t="s">
        <x:v>92</x:v>
      </x:c>
      <x:c r="O19" s="715" t="s">
        <x:v>54</x:v>
      </x:c>
    </x:row>
    <x:row r="20" spans="3:18" x14ac:dyDescent="0.25">
      <x:c r="C20" t="s">
        <x:v>202</x:v>
      </x:c>
      <x:c r="D20" s="716">
        <x:f>VALIDACION_RECIP!C9</x:f>
        <x:v>0</x:v>
      </x:c>
      <x:c r="E20" s="716">
        <x:f>VALIDACION_RECIP!D9</x:f>
        <x:v>0</x:v>
      </x:c>
      <x:c r="F20" s="716">
        <x:f>VALIDACION_RECIP!E9</x:f>
        <x:v>0</x:v>
      </x:c>
      <x:c r="G20" s="716">
        <x:f>VALIDACION_RECIP!F9</x:f>
        <x:v>0</x:v>
      </x:c>
      <x:c r="H20" s="716">
        <x:f>VALIDACION_RECIP!G9</x:f>
        <x:v>0</x:v>
      </x:c>
      <x:c r="I20" s="716">
        <x:f>VALIDACION_RECIP!H9</x:f>
        <x:v>0</x:v>
      </x:c>
      <x:c r="J20" s="716">
        <x:f>VALIDACION_RECIP!I9</x:f>
        <x:v>0</x:v>
      </x:c>
      <x:c r="K20" s="716">
        <x:f>VALIDACION_RECIP!J9</x:f>
        <x:v>0</x:v>
      </x:c>
      <x:c r="L20" s="716">
        <x:f>VALIDACION_RECIP!K9</x:f>
        <x:v>0</x:v>
      </x:c>
      <x:c r="M20" s="716">
        <x:f>VALIDACION_RECIP!L9</x:f>
        <x:v>0</x:v>
      </x:c>
      <x:c r="N20" s="716">
        <x:f>VALIDACION_RECIP!M9</x:f>
        <x:v>0</x:v>
      </x:c>
      <x:c r="O20" s="716">
        <x:f>VALIDACION_RECIP!N9</x:f>
        <x:v>0</x:v>
      </x:c>
    </x:row>
    <x:row r="21" spans="3:18" x14ac:dyDescent="0.25">
      <x:c r="C21" s="151" t="s">
        <x:v>155</x:v>
      </x:c>
      <x:c r="D21" s="716">
        <x:f>VALIDACION_ENEL!C9</x:f>
        <x:v>0</x:v>
      </x:c>
      <x:c r="E21" s="716">
        <x:f>VALIDACION_ENEL!D9</x:f>
        <x:v>0</x:v>
      </x:c>
      <x:c r="F21" s="716">
        <x:f>VALIDACION_ENEL!E9</x:f>
        <x:v>0</x:v>
      </x:c>
      <x:c r="G21" s="716">
        <x:f>VALIDACION_ENEL!F9</x:f>
        <x:v>0</x:v>
      </x:c>
      <x:c r="H21" s="716">
        <x:f>VALIDACION_ENEL!G9</x:f>
        <x:v>0</x:v>
      </x:c>
      <x:c r="I21" s="716">
        <x:f>VALIDACION_ENEL!H9</x:f>
        <x:v>0</x:v>
      </x:c>
      <x:c r="J21" s="716">
        <x:f>VALIDACION_ENEL!I9</x:f>
        <x:v>0</x:v>
      </x:c>
      <x:c r="K21" s="716">
        <x:f>VALIDACION_ENEL!J9</x:f>
        <x:v>0</x:v>
      </x:c>
      <x:c r="L21" s="716">
        <x:f>VALIDACION_ENEL!K9</x:f>
        <x:v>0</x:v>
      </x:c>
      <x:c r="M21" s="716">
        <x:f>VALIDACION_ENEL!L9</x:f>
        <x:v>0</x:v>
      </x:c>
      <x:c r="N21" s="716">
        <x:f>VALIDACION_ENEL!M9</x:f>
        <x:v>0</x:v>
      </x:c>
      <x:c r="O21" s="716">
        <x:f>VALIDACION_ENEL!N9</x:f>
        <x:v>0</x:v>
      </x:c>
    </x:row>
    <x:row r="22" spans="3:18" x14ac:dyDescent="0.25">
      <x:c r="C22" s="605" t="s">
        <x:v>326</x:v>
      </x:c>
      <x:c r="D22" s="716">
        <x:f>VALIDACION_ENERBIT!C9</x:f>
        <x:v>0</x:v>
      </x:c>
      <x:c r="E22" s="716">
        <x:f>VALIDACION_ENERBIT!D9</x:f>
        <x:v>0</x:v>
      </x:c>
      <x:c r="F22" s="716">
        <x:f>VALIDACION_ENERBIT!E9</x:f>
        <x:v>0</x:v>
      </x:c>
      <x:c r="G22" s="716">
        <x:f>VALIDACION_ENERBIT!F9</x:f>
        <x:v>0</x:v>
      </x:c>
      <x:c r="H22" s="716">
        <x:f>VALIDACION_ENERBIT!G9</x:f>
        <x:v>0</x:v>
      </x:c>
      <x:c r="I22" s="716">
        <x:f>VALIDACION_ENERBIT!H9</x:f>
        <x:v>0</x:v>
      </x:c>
      <x:c r="J22" s="716">
        <x:f>VALIDACION_ENERBIT!I9</x:f>
        <x:v>0</x:v>
      </x:c>
      <x:c r="K22" s="716">
        <x:f>VALIDACION_ENERBIT!J9</x:f>
        <x:v>0</x:v>
      </x:c>
      <x:c r="L22" s="716">
        <x:f>VALIDACION_ENERBIT!K9</x:f>
        <x:v>0</x:v>
      </x:c>
      <x:c r="M22" s="716">
        <x:f>VALIDACION_ENERBIT!L9</x:f>
        <x:v>0</x:v>
      </x:c>
      <x:c r="N22" s="716">
        <x:f>VALIDACION_ENERBIT!M9</x:f>
        <x:v>0</x:v>
      </x:c>
      <x:c r="O22" s="716">
        <x:f>VALIDACION_ENERBIT!N9</x:f>
        <x:v>0</x:v>
      </x:c>
    </x:row>
    <x:row r="23" spans="3:18" x14ac:dyDescent="0.25">
      <x:c r="C23" s="191" t="s">
        <x:v>119</x:v>
      </x:c>
      <x:c r="D23" s="716">
        <x:f>VALIDACION_OCCIDENTE!C9</x:f>
        <x:v>0</x:v>
      </x:c>
      <x:c r="E23" s="716">
        <x:f>VALIDACION_OCCIDENTE!D9</x:f>
        <x:v>0</x:v>
      </x:c>
      <x:c r="F23" s="716">
        <x:f>VALIDACION_OCCIDENTE!E9</x:f>
        <x:v>0</x:v>
      </x:c>
      <x:c r="G23" s="716">
        <x:f>VALIDACION_OCCIDENTE!F9</x:f>
        <x:v>0</x:v>
      </x:c>
      <x:c r="H23" s="716">
        <x:f>VALIDACION_OCCIDENTE!G9</x:f>
        <x:v>0</x:v>
      </x:c>
      <x:c r="I23" s="716">
        <x:f>VALIDACION_OCCIDENTE!H9</x:f>
        <x:v>0</x:v>
      </x:c>
      <x:c r="J23" s="716">
        <x:f>VALIDACION_OCCIDENTE!I9</x:f>
        <x:v>0</x:v>
      </x:c>
      <x:c r="K23" s="716">
        <x:f>VALIDACION_OCCIDENTE!J9</x:f>
        <x:v>0</x:v>
      </x:c>
      <x:c r="L23" s="716">
        <x:f>VALIDACION_OCCIDENTE!K9</x:f>
        <x:v>0</x:v>
      </x:c>
      <x:c r="M23" s="716">
        <x:f>VALIDACION_OCCIDENTE!L9</x:f>
        <x:v>0</x:v>
      </x:c>
      <x:c r="N23" s="716">
        <x:f>VALIDACION_OCCIDENTE!M9</x:f>
        <x:v>0</x:v>
      </x:c>
      <x:c r="O23" s="716">
        <x:f>VALIDACION_OCCIDENTE!N9</x:f>
        <x:v>0</x:v>
      </x:c>
    </x:row>
    <x:row r="24" spans="3:18" x14ac:dyDescent="0.25">
      <x:c r="D24" s="717">
        <x:f>SUM(D20:D23)</x:f>
        <x:v>0</x:v>
      </x:c>
      <x:c r="E24" s="717">
        <x:f>SUM(E20:E23)</x:f>
        <x:v>0</x:v>
      </x:c>
      <x:c r="F24" s="717">
        <x:f>SUM(F20:F23)</x:f>
        <x:v>0</x:v>
      </x:c>
      <x:c r="G24" s="717">
        <x:f>SUM(G20:G23)</x:f>
        <x:v>0</x:v>
      </x:c>
      <x:c r="H24" s="717">
        <x:f t="shared" ref="H24:O24" si="5">SUM(H20:H23)</x:f>
        <x:v>0</x:v>
      </x:c>
      <x:c r="I24" s="717">
        <x:f t="shared" si="5"/>
        <x:v>0</x:v>
      </x:c>
      <x:c r="J24" s="717">
        <x:f t="shared" si="5"/>
        <x:v>0</x:v>
      </x:c>
      <x:c r="K24" s="717">
        <x:f t="shared" si="5"/>
        <x:v>0</x:v>
      </x:c>
      <x:c r="L24" s="717">
        <x:f t="shared" si="5"/>
        <x:v>0</x:v>
      </x:c>
      <x:c r="M24" s="717">
        <x:f t="shared" si="5"/>
        <x:v>0</x:v>
      </x:c>
      <x:c r="N24" s="717">
        <x:f t="shared" si="5"/>
        <x:v>0</x:v>
      </x:c>
      <x:c r="O24" s="717">
        <x:f t="shared" si="5"/>
        <x:v>0</x:v>
      </x:c>
    </x:row>
    <x:row r="25" spans="3:18" x14ac:dyDescent="0.25">
      <x:c r="D25" s="428" t="b">
        <x:f>D24=C9</x:f>
        <x:v>1</x:v>
      </x:c>
      <x:c r="E25" s="718" t="b">
        <x:f>E24=D9</x:f>
        <x:v>1</x:v>
      </x:c>
      <x:c r="F25" s="428" t="b">
        <x:f>F24=E9</x:f>
        <x:v>1</x:v>
      </x:c>
      <x:c r="G25" s="428" t="b">
        <x:f t="shared" ref="G25:O25" si="6">G24=F9</x:f>
        <x:v>1</x:v>
      </x:c>
      <x:c r="H25" s="428" t="b">
        <x:f t="shared" si="6"/>
        <x:v>1</x:v>
      </x:c>
      <x:c r="I25" s="428" t="b">
        <x:f>I24=H9</x:f>
        <x:v>1</x:v>
      </x:c>
      <x:c r="J25" s="428" t="b">
        <x:f t="shared" si="6"/>
        <x:v>1</x:v>
      </x:c>
      <x:c r="K25" s="428" t="b">
        <x:f t="shared" si="6"/>
        <x:v>1</x:v>
      </x:c>
      <x:c r="L25" s="428" t="b">
        <x:f t="shared" si="6"/>
        <x:v>1</x:v>
      </x:c>
      <x:c r="M25" s="428" t="b">
        <x:f>M24=L9</x:f>
        <x:v>1</x:v>
      </x:c>
      <x:c r="N25" s="428" t="b">
        <x:f t="shared" si="6"/>
        <x:v>1</x:v>
      </x:c>
      <x:c r="O25" s="428" t="b">
        <x:f t="shared" si="6"/>
        <x:v>1</x:v>
      </x:c>
    </x:row>
    <x:row r="27" spans="3:18" ht="13.8" thickBot="1" x14ac:dyDescent="0.3">
      <x:c r="D27" s="580" t="s">
        <x:v>271</x:v>
      </x:c>
    </x:row>
    <x:row r="28" spans="3:18" ht="57" customHeight="1" thickBot="1" x14ac:dyDescent="0.3">
      <x:c r="D28" s="97" t="s">
        <x:v>4</x:v>
      </x:c>
      <x:c r="E28" s="98" t="s">
        <x:v>7</x:v>
      </x:c>
      <x:c r="F28" s="98" t="s">
        <x:v>275</x:v>
      </x:c>
      <x:c r="G28" s="98" t="s">
        <x:v>190</x:v>
      </x:c>
      <x:c r="I28" s="11" t="s">
        <x:v>38</x:v>
      </x:c>
      <x:c r="J28" s="85" t="s">
        <x:v>273</x:v>
      </x:c>
      <x:c r="K28" s="65" t="s">
        <x:v>47</x:v>
      </x:c>
      <x:c r="L28" s="306" t="s">
        <x:v>56</x:v>
      </x:c>
      <x:c r="M28" s="73" t="s">
        <x:v>274</x:v>
      </x:c>
      <x:c r="N28" s="73" t="s">
        <x:v>171</x:v>
      </x:c>
      <x:c r="O28" s="28" t="s">
        <x:v>129</x:v>
      </x:c>
      <x:c r="P28" s="12" t="s">
        <x:v>190</x:v>
      </x:c>
      <x:c r="Q28" s="73" t="s">
        <x:v>272</x:v>
      </x:c>
    </x:row>
    <x:row r="29" spans="3:18" x14ac:dyDescent="0.25">
      <x:c r="C29" t="s">
        <x:v>202</x:v>
      </x:c>
      <x:c r="D29" s="716">
        <x:f>'REMUNERACION Reciprocidad EAAB'!D109</x:f>
        <x:v>0</x:v>
      </x:c>
      <x:c r="E29" s="716">
        <x:f>'REMUNERACION Reciprocidad EAAB'!N109</x:f>
        <x:v>0</x:v>
      </x:c>
      <x:c r="F29" s="716">
        <x:f>D29+E29</x:f>
        <x:v>0</x:v>
      </x:c>
      <x:c r="G29" s="719">
        <x:f>D20-F29</x:f>
        <x:v>0</x:v>
      </x:c>
      <x:c r="H29" s="574"/>
      <x:c r="I29" s="724">
        <x:f>'REMUNERACION Reciprocidad EAAB'!D131</x:f>
        <x:v>0</x:v>
      </x:c>
      <x:c r="J29" s="724"/>
      <x:c r="K29" s="724">
        <x:f>'REMUNERACION Reciprocidad EAAB'!G131</x:f>
        <x:v>0</x:v>
      </x:c>
      <x:c r="L29" s="724">
        <x:f>'REMUNERACION Reciprocidad EAAB'!H131</x:f>
        <x:v>0</x:v>
      </x:c>
      <x:c r="M29" s="724">
        <x:f>'REMUNERACION Reciprocidad EAAB'!I131</x:f>
        <x:v>0</x:v>
      </x:c>
      <x:c r="N29" s="724">
        <x:f>+'REMUNERACION Reciprocidad EAAB'!J131</x:f>
        <x:v>0</x:v>
      </x:c>
      <x:c r="O29" s="724">
        <x:f>'REMUNERACION Reciprocidad EAAB'!I147</x:f>
        <x:v>0</x:v>
      </x:c>
      <x:c r="P29" s="725">
        <x:f>I29+J29-K29-L29-M29-N29-O29</x:f>
        <x:v>0</x:v>
      </x:c>
      <x:c r="Q29" s="726">
        <x:f>G29-P29</x:f>
        <x:v>0</x:v>
      </x:c>
      <x:c r="R29" s="130"/>
    </x:row>
    <x:row r="30" spans="3:18" x14ac:dyDescent="0.25">
      <x:c r="C30" s="151" t="s">
        <x:v>155</x:v>
      </x:c>
      <x:c r="D30" s="716">
        <x:f>REMUNERACION_ENEL!D109</x:f>
        <x:v>0</x:v>
      </x:c>
      <x:c r="E30" s="716">
        <x:f>REMUNERACION_ENEL!N109</x:f>
        <x:v>0</x:v>
      </x:c>
      <x:c r="F30" s="716">
        <x:f>D30+E30</x:f>
        <x:v>0</x:v>
      </x:c>
      <x:c r="G30" s="720">
        <x:f>D21-F30</x:f>
        <x:v>0</x:v>
      </x:c>
      <x:c r="H30" s="574"/>
      <x:c r="I30" s="716">
        <x:f>REMUNERACION_ENEL!D131</x:f>
        <x:v>0</x:v>
      </x:c>
      <x:c r="J30" s="716"/>
      <x:c r="K30" s="716">
        <x:f>REMUNERACION_ENEL!G131</x:f>
        <x:v>0</x:v>
      </x:c>
      <x:c r="L30" s="716">
        <x:f>REMUNERACION_ENEL!H131</x:f>
        <x:v>0</x:v>
      </x:c>
      <x:c r="M30" s="716">
        <x:f>REMUNERACION_ENEL!I131</x:f>
        <x:v>0</x:v>
      </x:c>
      <x:c r="N30" s="716">
        <x:f>REMUNERACION_ENEL!J131</x:f>
        <x:v>0</x:v>
      </x:c>
      <x:c r="O30" s="716">
        <x:f>REMUNERACION_ENEL!I147</x:f>
        <x:v>0</x:v>
      </x:c>
      <x:c r="P30" s="719">
        <x:f>I30+J30-K30-L30-M30-N30-O30</x:f>
        <x:v>0</x:v>
      </x:c>
      <x:c r="Q30" s="723">
        <x:f>G30-P30</x:f>
        <x:v>0</x:v>
      </x:c>
      <x:c r="R30" s="130"/>
    </x:row>
    <x:row r="31" spans="3:18" x14ac:dyDescent="0.25">
      <x:c r="C31" s="605" t="s">
        <x:v>326</x:v>
      </x:c>
      <x:c r="D31" s="716">
        <x:f>REMUNERACION_ENERBIT!D109</x:f>
        <x:v>0</x:v>
      </x:c>
      <x:c r="E31" s="716">
        <x:f>REMUNERACION_ENERBIT!N109</x:f>
        <x:v>0</x:v>
      </x:c>
      <x:c r="F31" s="716">
        <x:f>D31+E31</x:f>
        <x:v>0</x:v>
      </x:c>
      <x:c r="G31" s="720">
        <x:f>D22-F31</x:f>
        <x:v>0</x:v>
      </x:c>
      <x:c r="H31" s="574"/>
      <x:c r="I31" s="716">
        <x:f>REMUNERACION_ENERBIT!D131</x:f>
        <x:v>0</x:v>
      </x:c>
      <x:c r="J31" s="716"/>
      <x:c r="K31" s="716">
        <x:f>REMUNERACION_ENERBIT!G131</x:f>
        <x:v>0</x:v>
      </x:c>
      <x:c r="L31" s="716">
        <x:f>REMUNERACION_ENERBIT!H131</x:f>
        <x:v>0</x:v>
      </x:c>
      <x:c r="M31" s="716">
        <x:f>REMUNERACION_ENERBIT!I131</x:f>
        <x:v>0</x:v>
      </x:c>
      <x:c r="N31" s="716">
        <x:f>REMUNERACION_ENERBIT!J131</x:f>
        <x:v>0</x:v>
      </x:c>
      <x:c r="O31" s="716">
        <x:f>REMUNERACION_ENERBIT!K131</x:f>
        <x:v>0</x:v>
      </x:c>
      <x:c r="P31" s="719">
        <x:f t="shared" ref="P31" si="7">I31+J31-K31-L31-M31-N31-O31</x:f>
        <x:v>0</x:v>
      </x:c>
      <x:c r="Q31" s="723">
        <x:f t="shared" ref="Q31:Q32" si="8">G31-P31</x:f>
        <x:v>0</x:v>
      </x:c>
      <x:c r="R31" s="130"/>
    </x:row>
    <x:row r="32" spans="3:18" x14ac:dyDescent="0.25">
      <x:c r="C32" s="191" t="s">
        <x:v>119</x:v>
      </x:c>
      <x:c r="D32" s="716">
        <x:f>'REMUNERACION_OCCIDENTE_ Directa'!D109</x:f>
        <x:v>0</x:v>
      </x:c>
      <x:c r="E32" s="716">
        <x:f>'REMUNERACION_OCCIDENTE_ Directa'!N109</x:f>
        <x:v>0</x:v>
      </x:c>
      <x:c r="F32" s="716">
        <x:f t="shared" ref="F32" si="9">D32+E32</x:f>
        <x:v>0</x:v>
      </x:c>
      <x:c r="G32" s="720">
        <x:f>D23-F32</x:f>
        <x:v>0</x:v>
      </x:c>
      <x:c r="H32" s="574"/>
      <x:c r="I32" s="716">
        <x:f>'REMUNERACION_OCCIDENTE_ Directa'!D131</x:f>
        <x:v>0</x:v>
      </x:c>
      <x:c r="J32" s="716">
        <x:f>'CONSOLIDADO_TOTAL RECAUDO'!E131</x:f>
        <x:v>0</x:v>
      </x:c>
      <x:c r="K32" s="716">
        <x:f>'REMUNERACION_OCCIDENTE_ Directa'!G131</x:f>
        <x:v>0</x:v>
      </x:c>
      <x:c r="L32" s="716">
        <x:f>'REMUNERACION_OCCIDENTE_ Directa'!H131</x:f>
        <x:v>0</x:v>
      </x:c>
      <x:c r="M32" s="716">
        <x:f>'REMUNERACION_OCCIDENTE_ Directa'!I131</x:f>
        <x:v>0</x:v>
      </x:c>
      <x:c r="N32" s="716">
        <x:f>'REMUNERACION_OCCIDENTE_ Directa'!J131</x:f>
        <x:v>0</x:v>
      </x:c>
      <x:c r="O32" s="716">
        <x:f>'REMUNERACION_OCCIDENTE_ Directa'!I147</x:f>
        <x:v>0</x:v>
      </x:c>
      <x:c r="P32" s="719">
        <x:f t="shared" ref="P32" si="10">I32+J32-K32-L32-M32-N32-O32</x:f>
        <x:v>0</x:v>
      </x:c>
      <x:c r="Q32" s="723">
        <x:f t="shared" si="8"/>
        <x:v>0</x:v>
      </x:c>
      <x:c r="R32" s="130"/>
    </x:row>
    <x:row r="33" spans="4:17" x14ac:dyDescent="0.25">
      <x:c r="D33" s="721">
        <x:f>SUM(D29:D32)</x:f>
        <x:v>0</x:v>
      </x:c>
      <x:c r="E33" s="721">
        <x:f>SUM(E29:E32)</x:f>
        <x:v>0</x:v>
      </x:c>
      <x:c r="F33" s="721">
        <x:f t="shared" ref="F33" si="11">SUM(F29:F32)</x:f>
        <x:v>0</x:v>
      </x:c>
      <x:c r="G33" s="722">
        <x:f>D24-F33</x:f>
        <x:v>0</x:v>
      </x:c>
      <x:c r="H33" s="574"/>
      <x:c r="I33" s="717">
        <x:f>SUM(I29:I32)</x:f>
        <x:v>0</x:v>
      </x:c>
      <x:c r="J33" s="717">
        <x:f>SUM(J29:J32)</x:f>
        <x:v>0</x:v>
      </x:c>
      <x:c r="K33" s="717">
        <x:f>SUM(K29:K32)</x:f>
        <x:v>0</x:v>
      </x:c>
      <x:c r="L33" s="717">
        <x:f t="shared" ref="L33:N33" si="12">SUM(L29:L32)</x:f>
        <x:v>0</x:v>
      </x:c>
      <x:c r="M33" s="717">
        <x:f t="shared" si="12"/>
        <x:v>0</x:v>
      </x:c>
      <x:c r="N33" s="717">
        <x:f t="shared" si="12"/>
        <x:v>0</x:v>
      </x:c>
      <x:c r="O33" s="717">
        <x:f>SUM(O29:O32)</x:f>
        <x:v>0</x:v>
      </x:c>
      <x:c r="P33" s="717">
        <x:f>SUM(P29:P32)</x:f>
        <x:v>0</x:v>
      </x:c>
      <x:c r="Q33" s="717">
        <x:f>SUM(Q29:Q32)</x:f>
        <x:v>0</x:v>
      </x:c>
    </x:row>
    <x:row r="34" spans="4:17" x14ac:dyDescent="0.25">
      <x:c r="D34" s="574" t="b">
        <x:f>D33='CONSOLIDADO_TOTAL RECAUDO'!D109</x:f>
        <x:v>1</x:v>
      </x:c>
      <x:c r="E34" s="574" t="b">
        <x:f>E33='CONSOLIDADO_TOTAL RECAUDO'!N109</x:f>
        <x:v>1</x:v>
      </x:c>
      <x:c r="F34" s="574" t="b">
        <x:f>F33='CONSOLIDADO_TOTAL RECAUDO'!D109+'CONSOLIDADO_TOTAL RECAUDO'!N109</x:f>
        <x:v>1</x:v>
      </x:c>
      <x:c r="G34" s="574"/>
      <x:c r="H34" s="574"/>
      <x:c r="I34" s="574"/>
      <x:c r="J34" s="574"/>
      <x:c r="K34" s="574"/>
      <x:c r="L34" s="574"/>
      <x:c r="M34" s="574"/>
      <x:c r="N34" s="574"/>
      <x:c r="O34" s="574"/>
    </x:row>
    <x:row r="35" spans="4:17" x14ac:dyDescent="0.25">
      <x:c r="K35" s="130"/>
      <x:c r="P35" s="727">
        <x:f>P33-G33</x:f>
        <x:v>0</x:v>
      </x:c>
    </x:row>
    <x:row r="36" spans="4:17" x14ac:dyDescent="0.25">
      <x:c r="L36" s="130"/>
      <x:c r="P36" s="130"/>
    </x:row>
    <x:row r="37" spans="4:17" x14ac:dyDescent="0.25">
      <x:c r="P37" s="514"/>
    </x:row>
    <x:row r="38" spans="4:17" x14ac:dyDescent="0.25">
      <x:c r="P38" s="130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topLeftCell="V1" zoomScaleNormal="100" workbookViewId="0">
      <x:selection activeCell="L16" sqref="L1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4.6640625" style="1" bestFit="1" customWidth="1"/>
    <x:col min="5" max="5" width="15.44140625" style="1" bestFit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9.44140625" style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1.33203125" style="1" customWidth="1"/>
    <x:col min="34" max="34" width="12" style="1" bestFit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12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'CONSOLIDADO_TOTAL RECAUDO'!D101</x:f>
        <x:v>46238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92"/>
      <x:c r="C7" s="513" t="s">
        <x:v>0</x:v>
      </x:c>
      <x:c r="D7" s="474">
        <x:f>'CONSOLIDADO_TOTAL RECAUDO'!D102</x:f>
        <x:v>0.58333333333333337</x:v>
      </x:c>
      <x:c r="E7" s="45"/>
      <x:c r="F7" s="473" t="s">
        <x:v>27</x:v>
      </x:c>
      <x:c r="G7" s="475">
        <x:f>'CONSOLIDADO_TOTAL RECAUDO'!G102</x:f>
        <x:v>46219</x:v>
      </x:c>
      <x:c r="H7" s="45"/>
      <x:c r="I7" s="45"/>
      <x:c r="J7" s="473" t="s">
        <x:v>28</x:v>
      </x:c>
      <x:c r="K7" s="475">
        <x:f>'CONSOLIDADO_TOTAL RECAUDO'!K102</x:f>
        <x:v>46234</x:v>
      </x:c>
      <x:c r="L7" s="45"/>
      <x:c r="M7" s="45"/>
      <x:c r="N7" s="45"/>
      <x:c r="O7" s="476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0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167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189185987</x:v>
      </x:c>
      <x:c r="M9" s="30">
        <x:f>K9-L9</x:f>
        <x:v>-189185987</x:v>
      </x:c>
      <x:c r="N9" s="66">
        <x:f>'CONSOLIDADO_TOTAL RECAUDO'!N104</x:f>
        <x:v>0</x:v>
      </x:c>
      <x:c r="O9" s="30">
        <x:f>M9+N9</x:f>
        <x:v>-189185987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-189185987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-189185987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266580255</x:v>
      </x:c>
      <x:c r="M10" s="31">
        <x:f>K10-L10</x:f>
        <x:v>-266580255</x:v>
      </x:c>
      <x:c r="N10" s="66">
        <x:f>'CONSOLIDADO_TOTAL RECAUDO'!N105</x:f>
        <x:v>0</x:v>
      </x:c>
      <x:c r="O10" s="31">
        <x:f t="shared" ref="O10:O13" si="1">M10+N10</x:f>
        <x:v>-266580255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-266580255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-266580255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154788535</x:v>
      </x:c>
      <x:c r="M11" s="31">
        <x:f>K11-L11</x:f>
        <x:v>-154788535</x:v>
      </x:c>
      <x:c r="N11" s="66">
        <x:f>'CONSOLIDADO_TOTAL RECAUDO'!N106</x:f>
        <x:v>0</x:v>
      </x:c>
      <x:c r="O11" s="31">
        <x:f t="shared" si="1"/>
        <x:v>-154788535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-154788535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-154788535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128990445</x:v>
      </x:c>
      <x:c r="M13" s="40">
        <x:f>K13-L13</x:f>
        <x:v>-128990445</x:v>
      </x:c>
      <x:c r="N13" s="66">
        <x:f>'CONSOLIDADO_TOTAL RECAUDO'!N108</x:f>
        <x:v>0</x:v>
      </x:c>
      <x:c r="O13" s="40">
        <x:f t="shared" si="1"/>
        <x:v>-128990445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-128990445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-128990445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859936305</x:v>
      </x:c>
      <x:c r="M14" s="76">
        <x:f t="shared" si="3"/>
        <x:v>-859936305</x:v>
      </x:c>
      <x:c r="N14" s="23">
        <x:f t="shared" si="3"/>
        <x:v>0</x:v>
      </x:c>
      <x:c r="O14" s="76">
        <x:f t="shared" si="3"/>
        <x:v>-859936305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-859936305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-859936305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98" t="s">
        <x:v>56</x:v>
      </x:c>
      <x:c r="I29" s="134" t="s">
        <x:v>130</x:v>
      </x:c>
      <x:c r="J29" s="134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1">
        <x:v>1</x:v>
      </x:c>
      <x:c r="C30" s="102" t="s">
        <x:v>10</x:v>
      </x:c>
      <x:c r="D30" s="103">
        <x:f>'CONSOLIDADO_TOTAL RECAUDO'!D125</x:f>
        <x:v>0</x:v>
      </x:c>
      <x:c r="E30" s="104">
        <x:f>'CONSOLIDADO_TOTAL RECAUDO'!E125</x:f>
        <x:v>0</x:v>
      </x:c>
      <x:c r="G30" s="129">
        <x:f>'CONSOLIDADO_TOTAL RECAUDO'!G125</x:f>
        <x:v>0</x:v>
      </x:c>
      <x:c r="H30" s="103">
        <x:f>'CONSOLIDADO_TOTAL RECAUDO'!H125</x:f>
        <x:v>0</x:v>
      </x:c>
      <x:c r="I30" s="104">
        <x:f>'CONSOLIDADO_TOTAL RECAUDO'!I125</x:f>
        <x:v>0</x:v>
      </x:c>
      <x:c r="J30" s="104">
        <x:f>'CONSOLIDADO_TOTAL RECAUDO'!J125</x:f>
        <x:v>0</x:v>
      </x:c>
      <x:c r="K30" s="104">
        <x:f>'CONSOLIDADO_TOTAL RECAUDO'!K125</x:f>
        <x:v>0</x:v>
      </x:c>
      <x:c r="L30" s="104">
        <x:f>'CONSOLIDADO_TOTAL RECAUDO'!L125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ht="12" x14ac:dyDescent="0.25">
      <x:c r="B34" s="122">
        <x:v>5</x:v>
      </x:c>
      <x:c r="C34" s="127" t="s">
        <x:v>14</x:v>
      </x:c>
      <x:c r="D34" s="124">
        <x:f>'CONSOLIDADO_TOTAL RECAUDO'!D129</x:f>
        <x:v>0</x:v>
      </x:c>
      <x:c r="E34" s="128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6" thickBot="1" x14ac:dyDescent="0.3">
      <x:c r="B36" s="92"/>
      <x:c r="C36" s="99" t="s">
        <x:v>2</x:v>
      </x:c>
      <x:c r="D36" s="100">
        <x:f t="shared" ref="D36" si="6">SUM(D30:D34)</x:f>
        <x:v>0</x:v>
      </x:c>
      <x:c r="E36" s="100">
        <x:f>'CONSOLIDADO_TOTAL RECAUDO'!E131</x:f>
        <x:v>0</x:v>
      </x:c>
      <x:c r="F36" s="45"/>
      <x:c r="G36" s="100">
        <x:f t="shared" ref="G36" si="7">SUM(G30:G34)</x:f>
        <x:v>0</x:v>
      </x:c>
      <x:c r="H36" s="100">
        <x:f t="shared" ref="H36:L36" si="8">SUM(H30:H34)</x:f>
        <x:v>0</x:v>
      </x:c>
      <x:c r="I36" s="100">
        <x:f t="shared" si="8"/>
        <x:v>0</x:v>
      </x:c>
      <x:c r="J36" s="100">
        <x:f t="shared" ref="J36" si="9">SUM(J30:J34)</x:f>
        <x:v>0</x:v>
      </x:c>
      <x:c r="K36" s="100">
        <x:f t="shared" si="8"/>
        <x:v>0</x:v>
      </x:c>
      <x:c r="L36" s="100">
        <x:f t="shared" si="8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D14='CONSOLIDADO_TOTAL RECAUDO'!D109</x:f>
        <x:v>1</x:v>
      </x:c>
      <x:c r="E44" s="208" t="b">
        <x:f>E14='CONSOLIDADO_TOTAL RECAUDO'!E109</x:f>
        <x:v>1</x:v>
      </x:c>
      <x:c r="F44" s="208" t="b">
        <x:f>F14='CONSOLIDADO_TOTAL RECAUDO'!F109</x:f>
        <x:v>1</x:v>
      </x:c>
      <x:c r="G44" s="208" t="b">
        <x:f>G14='CONSOLIDADO_TOTAL RECAUDO'!G109</x:f>
        <x:v>1</x:v>
      </x:c>
      <x:c r="H44" s="208" t="b">
        <x:f>H14='CONSOLIDADO_TOTAL RECAUDO'!H109</x:f>
        <x:v>1</x:v>
      </x:c>
      <x:c r="I44" s="208" t="b">
        <x:f>I14='CONSOLIDADO_TOTAL RECAUDO'!I109</x:f>
        <x:v>1</x:v>
      </x:c>
      <x:c r="J44" s="208" t="b">
        <x:f>J14='CONSOLIDADO_TOTAL RECAUDO'!J109</x:f>
        <x:v>1</x:v>
      </x:c>
      <x:c r="K44" s="208" t="b">
        <x:f>K14='CONSOLIDADO_TOTAL RECAUDO'!K109</x:f>
        <x:v>1</x:v>
      </x:c>
      <x:c r="L44" s="208" t="b">
        <x:f>L14='CONSOLIDADO_TOTAL RECAUDO'!L109</x:f>
        <x:v>1</x:v>
      </x:c>
      <x:c r="M44" s="208" t="b">
        <x:f>M14='CONSOLIDADO_TOTAL RECAUDO'!M109</x:f>
        <x:v>1</x:v>
      </x:c>
      <x:c r="N44" s="208" t="b">
        <x:f>N14='CONSOLIDADO_TOTAL RECAUDO'!N109</x:f>
        <x:v>1</x:v>
      </x:c>
      <x:c r="O44" s="208" t="b">
        <x:f>O14='CONSOLIDADO_TOTAL RECAUDO'!O109</x:f>
        <x:v>1</x:v>
      </x:c>
      <x:c r="Q44" s="24"/>
      <x:c r="T44" s="24"/>
    </x:row>
    <x:row r="45" spans="1:20" x14ac:dyDescent="0.2">
      <x:c r="D45" s="208" t="b">
        <x:f>D36='CONSOLIDADO_TOTAL RECAUDO'!D131</x:f>
        <x:v>1</x:v>
      </x:c>
      <x:c r="E45" s="208" t="b">
        <x:f>E36='CONSOLIDADO_TOTAL RECAUDO'!E131</x:f>
        <x:v>1</x:v>
      </x:c>
      <x:c r="F45" s="208" t="b">
        <x:f>F36='CONSOLIDADO_TOTAL RECAUDO'!F131</x:f>
        <x:v>1</x:v>
      </x:c>
      <x:c r="G45" s="208" t="b">
        <x:f>G36='CONSOLIDADO_TOTAL RECAUDO'!G131</x:f>
        <x:v>1</x:v>
      </x:c>
      <x:c r="H45" s="208" t="b">
        <x:f>H36='CONSOLIDADO_TOTAL RECAUDO'!H131</x:f>
        <x:v>1</x:v>
      </x:c>
      <x:c r="I45" s="208" t="b">
        <x:f>I36='CONSOLIDADO_TOTAL RECAUDO'!I131</x:f>
        <x:v>1</x:v>
      </x:c>
      <x:c r="J45" s="208" t="b">
        <x:f>K36='CONSOLIDADO_TOTAL RECAUDO'!K131</x:f>
        <x:v>1</x:v>
      </x:c>
      <x:c r="K45" s="208" t="b">
        <x:f>K36='CONSOLIDADO_TOTAL RECAUDO'!K131</x:f>
        <x:v>1</x:v>
      </x:c>
      <x:c r="L45" s="208" t="b">
        <x:f>L36='CONSOLIDADO_TOTAL RECAUDO'!L131</x:f>
        <x:v>1</x:v>
      </x:c>
      <x:c r="M45" s="208" t="b">
        <x:f>M36='CONSOLIDADO_TOTAL RECAUDO'!M131</x:f>
        <x:v>1</x:v>
      </x:c>
      <x:c r="N45" s="208" t="b">
        <x:f>N36='CONSOLIDADO_TOTAL RECAUDO'!N131</x:f>
        <x:v>1</x:v>
      </x:c>
      <x:c r="O45" s="208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X1" zoomScaleNormal="100" workbookViewId="0">
      <x:selection activeCell="AJ1" sqref="AJ1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6640625" style="1" customWidth="1"/>
    <x:col min="13" max="13" width="18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16384" width="11.44140625" style="1"/>
  </x:cols>
  <x:sheetData>
    <x:row r="1" spans="1:35" ht="12.6" thickBot="1" x14ac:dyDescent="0.3">
      <x:c r="A1" s="198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ht="12" x14ac:dyDescent="0.25">
      <x:c r="B9" s="239">
        <x:v>1</x:v>
      </x:c>
      <x:c r="C9" s="240" t="s">
        <x:v>10</x:v>
      </x:c>
      <x:c r="D9" s="227">
        <x:f>'Reporte Componentes R1'!F51</x:f>
        <x:v>0</x:v>
      </x:c>
      <x:c r="E9" s="228">
        <x:f>'Reporte Componentes R1'!G51</x:f>
        <x:v>0</x:v>
      </x:c>
      <x:c r="F9" s="228">
        <x:f>'Reporte Componentes R1'!H51</x:f>
        <x:v>0</x:v>
      </x:c>
      <x:c r="G9" s="228">
        <x:f>'Reporte Componentes R1'!I51</x:f>
        <x:v>0</x:v>
      </x:c>
      <x:c r="H9" s="228">
        <x:f>'Reporte Componentes R1'!J51</x:f>
        <x:v>0</x:v>
      </x:c>
      <x:c r="I9" s="228">
        <x:f>'Reporte Componentes R1'!K51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R1'!L51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R1'!M51</x:f>
        <x:v>0</x:v>
      </x:c>
      <x:c r="V9" s="244">
        <x:f>'Reporte Componentes R1'!N51</x:f>
        <x:v>0</x:v>
      </x:c>
      <x:c r="W9" s="244">
        <x:f>'Reporte Componentes R1'!O51</x:f>
        <x:v>0</x:v>
      </x:c>
      <x:c r="X9" s="244">
        <x:f>'Reporte Componentes R1'!P51</x:f>
        <x:v>0</x:v>
      </x:c>
      <x:c r="Y9" s="245">
        <x:f>'Reporte Componentes R1'!Q51</x:f>
        <x:v>0</x:v>
      </x:c>
      <x:c r="Z9" s="246">
        <x:f>L9*-1</x:f>
        <x:v>0</x:v>
      </x:c>
      <x:c r="AA9" s="247">
        <x:f>'Reporte Componentes R1'!R51+'Reporte Componentes R1'!V51+'Reporte Componentes R1'!U51</x:f>
        <x:v>0</x:v>
      </x:c>
      <x:c r="AB9" s="230">
        <x:f>N9</x:f>
        <x:v>0</x:v>
      </x:c>
      <x:c r="AC9" s="247">
        <x:f>'Reporte Componentes R1'!T51+'Reporte Componentes R1'!W51+'Reporte Componentes R1'!X51+'Reporte Componentes R1'!Y51+'Reporte Componentes R1'!Z51+'Reporte Componentes R1'!S51</x:f>
        <x:v>0</x:v>
      </x:c>
      <x:c r="AD9" s="227">
        <x:f>-J9+AE9</x:f>
        <x:v>0</x:v>
      </x:c>
      <x:c r="AE9" s="227">
        <x:f>'Reporte Componentes R1'!F52</x:f>
        <x:v>0</x:v>
      </x:c>
      <x:c r="AF9" s="249">
        <x:f>SUM(U9:AD9)</x:f>
        <x:v>0</x:v>
      </x:c>
      <x:c r="AG9" s="439">
        <x:f>(AF9-O9)</x:f>
        <x:v>0</x:v>
      </x:c>
      <x:c r="AH9" s="1" t="b">
        <x:f>INT(AG9)=0</x:f>
        <x:v>1</x:v>
      </x:c>
      <x:c r="AI9" s="242"/>
    </x:row>
    <x:row r="10" spans="1:35" s="241" customFormat="1" ht="12" x14ac:dyDescent="0.25">
      <x:c r="B10" s="250">
        <x:v>2</x:v>
      </x:c>
      <x:c r="C10" s="251" t="s">
        <x:v>11</x:v>
      </x:c>
      <x:c r="D10" s="227">
        <x:f>'Reporte Componentes R1'!F181</x:f>
        <x:v>0</x:v>
      </x:c>
      <x:c r="E10" s="228">
        <x:f>'Reporte Componentes R1'!G181</x:f>
        <x:v>0</x:v>
      </x:c>
      <x:c r="F10" s="228">
        <x:f>'Reporte Componentes R1'!H181</x:f>
        <x:v>0</x:v>
      </x:c>
      <x:c r="G10" s="228">
        <x:f>'Reporte Componentes R1'!I181</x:f>
        <x:v>0</x:v>
      </x:c>
      <x:c r="H10" s="228">
        <x:f>'Reporte Componentes R1'!J181</x:f>
        <x:v>0</x:v>
      </x:c>
      <x:c r="I10" s="228">
        <x:f>'Reporte Componentes R1'!K181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R1'!L181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R1'!M181</x:f>
        <x:v>0</x:v>
      </x:c>
      <x:c r="V10" s="253">
        <x:f>'Reporte Componentes R1'!N181</x:f>
        <x:v>0</x:v>
      </x:c>
      <x:c r="W10" s="253">
        <x:f>'Reporte Componentes R1'!O181</x:f>
        <x:v>0</x:v>
      </x:c>
      <x:c r="X10" s="253">
        <x:f>'Reporte Componentes R1'!P181</x:f>
        <x:v>0</x:v>
      </x:c>
      <x:c r="Y10" s="254">
        <x:f>'Reporte Componentes R1'!Q181</x:f>
        <x:v>0</x:v>
      </x:c>
      <x:c r="Z10" s="255">
        <x:f>L10*-1</x:f>
        <x:v>0</x:v>
      </x:c>
      <x:c r="AA10" s="256">
        <x:f>'Reporte Componentes R1'!R181+'Reporte Componentes R1'!V181+'Reporte Componentes R1'!U181</x:f>
        <x:v>0</x:v>
      </x:c>
      <x:c r="AB10" s="230">
        <x:f>N10</x:f>
        <x:v>0</x:v>
      </x:c>
      <x:c r="AC10" s="256">
        <x:f>'Reporte Componentes R1'!T181+'Reporte Componentes R1'!W181+'Reporte Componentes R1'!X181+'Reporte Componentes R1'!Y181+'Reporte Componentes R1'!Z181++'Reporte Componentes R1'!S181</x:f>
        <x:v>0</x:v>
      </x:c>
      <x:c r="AD10" s="227">
        <x:f t="shared" ref="AD10:AD13" si="2">-J10+AE10</x:f>
        <x:v>0</x:v>
      </x:c>
      <x:c r="AE10" s="227">
        <x:f>'Reporte Componentes R1'!F182</x:f>
        <x:v>0</x:v>
      </x:c>
      <x:c r="AF10" s="258">
        <x:f>SUM(U10:AD10)</x:f>
        <x:v>0</x:v>
      </x:c>
      <x:c r="AG10" s="440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ht="12" x14ac:dyDescent="0.25">
      <x:c r="B11" s="250">
        <x:v>3</x:v>
      </x:c>
      <x:c r="C11" s="251" t="s">
        <x:v>12</x:v>
      </x:c>
      <x:c r="D11" s="227">
        <x:f>'Reporte Componentes R1'!F321</x:f>
        <x:v>0</x:v>
      </x:c>
      <x:c r="E11" s="228">
        <x:f>'Reporte Componentes R1'!G321</x:f>
        <x:v>0</x:v>
      </x:c>
      <x:c r="F11" s="228">
        <x:f>'Reporte Componentes R1'!H321</x:f>
        <x:v>0</x:v>
      </x:c>
      <x:c r="G11" s="228">
        <x:f>'Reporte Componentes R1'!I321</x:f>
        <x:v>0</x:v>
      </x:c>
      <x:c r="H11" s="228">
        <x:f>'Reporte Componentes R1'!J321</x:f>
        <x:v>0</x:v>
      </x:c>
      <x:c r="I11" s="228">
        <x:f>'Reporte Componentes R1'!K321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R1'!L321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R1'!M321</x:f>
        <x:v>0</x:v>
      </x:c>
      <x:c r="V11" s="253">
        <x:f>'Reporte Componentes R1'!N321</x:f>
        <x:v>0</x:v>
      </x:c>
      <x:c r="W11" s="253">
        <x:f>'Reporte Componentes R1'!O321</x:f>
        <x:v>0</x:v>
      </x:c>
      <x:c r="X11" s="253">
        <x:f>'Reporte Componentes R1'!P321</x:f>
        <x:v>0</x:v>
      </x:c>
      <x:c r="Y11" s="254">
        <x:f>'Reporte Componentes R1'!Q321</x:f>
        <x:v>0</x:v>
      </x:c>
      <x:c r="Z11" s="255">
        <x:f>L11*-1</x:f>
        <x:v>0</x:v>
      </x:c>
      <x:c r="AA11" s="256">
        <x:f>'Reporte Componentes R1'!R321+'Reporte Componentes R1'!V321+'Reporte Componentes R1'!U321</x:f>
        <x:v>0</x:v>
      </x:c>
      <x:c r="AB11" s="230">
        <x:f>N11</x:f>
        <x:v>0</x:v>
      </x:c>
      <x:c r="AC11" s="256">
        <x:f>'Reporte Componentes R1'!T321+'Reporte Componentes R1'!W321+'Reporte Componentes R1'!X321+'Reporte Componentes R1'!Y321+'Reporte Componentes R1'!Z321++'Reporte Componentes R1'!S321</x:f>
        <x:v>0</x:v>
      </x:c>
      <x:c r="AD11" s="227">
        <x:f t="shared" si="2"/>
        <x:v>0</x:v>
      </x:c>
      <x:c r="AE11" s="227">
        <x:f>'Reporte Componentes R1'!F322</x:f>
        <x:v>0</x:v>
      </x:c>
      <x:c r="AF11" s="258">
        <x:f t="shared" ref="AF11:AF13" si="4">SUM(U11:AD11)</x:f>
        <x:v>0</x:v>
      </x:c>
      <x:c r="AG11" s="440">
        <x:f>(AF11-O11)</x:f>
        <x:v>0</x:v>
      </x:c>
      <x:c r="AH11" s="1" t="b">
        <x:f t="shared" si="3"/>
        <x:v>1</x:v>
      </x:c>
      <x:c r="AI11" s="242"/>
    </x:row>
    <x:row r="12" spans="1:35" s="241" customFormat="1" ht="12" x14ac:dyDescent="0.25">
      <x:c r="B12" s="250">
        <x:v>4</x:v>
      </x:c>
      <x:c r="C12" s="251" t="s">
        <x:v>13</x:v>
      </x:c>
      <x:c r="D12" s="227">
        <x:f>'Reporte Componentes R1'!F442</x:f>
        <x:v>0</x:v>
      </x:c>
      <x:c r="E12" s="228">
        <x:f>'Reporte Componentes R1'!G442</x:f>
        <x:v>0</x:v>
      </x:c>
      <x:c r="F12" s="228">
        <x:f>'Reporte Componentes R1'!H442</x:f>
        <x:v>0</x:v>
      </x:c>
      <x:c r="G12" s="228">
        <x:f>'Reporte Componentes R1'!I442</x:f>
        <x:v>0</x:v>
      </x:c>
      <x:c r="H12" s="228">
        <x:f>'Reporte Componentes R1'!J442</x:f>
        <x:v>0</x:v>
      </x:c>
      <x:c r="I12" s="228">
        <x:f>'Reporte Componentes R1'!K442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R1'!L442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R1'!M442</x:f>
        <x:v>0</x:v>
      </x:c>
      <x:c r="V12" s="253">
        <x:f>'Reporte Componentes R1'!N442</x:f>
        <x:v>0</x:v>
      </x:c>
      <x:c r="W12" s="253">
        <x:f>'Reporte Componentes R1'!O442</x:f>
        <x:v>0</x:v>
      </x:c>
      <x:c r="X12" s="253">
        <x:f>'Reporte Componentes R1'!P442</x:f>
        <x:v>0</x:v>
      </x:c>
      <x:c r="Y12" s="254">
        <x:f>'Reporte Componentes R1'!Q442</x:f>
        <x:v>0</x:v>
      </x:c>
      <x:c r="Z12" s="255">
        <x:f>L12*-1</x:f>
        <x:v>0</x:v>
      </x:c>
      <x:c r="AA12" s="256">
        <x:f>'Reporte Componentes R1'!R442+'Reporte Componentes R1'!V442+'Reporte Componentes R1'!U442</x:f>
        <x:v>0</x:v>
      </x:c>
      <x:c r="AB12" s="230">
        <x:f>N12</x:f>
        <x:v>0</x:v>
      </x:c>
      <x:c r="AC12" s="256">
        <x:f>'Reporte Componentes R1'!T442+'Reporte Componentes R1'!W442+'Reporte Componentes R1'!X442+'Reporte Componentes R1'!Y442+'Reporte Componentes R1'!Z442++'Reporte Componentes R1'!S442</x:f>
        <x:v>0</x:v>
      </x:c>
      <x:c r="AD12" s="227">
        <x:f t="shared" si="2"/>
        <x:v>0</x:v>
      </x:c>
      <x:c r="AE12" s="227">
        <x:f>'Reporte Componentes R1'!F443</x:f>
        <x:v>0</x:v>
      </x:c>
      <x:c r="AF12" s="258">
        <x:f t="shared" si="4"/>
        <x:v>0</x:v>
      </x:c>
      <x:c r="AG12" s="440">
        <x:f>(AF12-O12)</x:f>
        <x:v>0</x:v>
      </x:c>
      <x:c r="AH12" s="1" t="b">
        <x:f t="shared" si="3"/>
        <x:v>1</x:v>
      </x:c>
      <x:c r="AI12" s="242"/>
    </x:row>
    <x:row r="13" spans="1:35" s="241" customFormat="1" ht="12.6" thickBot="1" x14ac:dyDescent="0.3">
      <x:c r="B13" s="260">
        <x:v>5</x:v>
      </x:c>
      <x:c r="C13" s="261" t="s">
        <x:v>14</x:v>
      </x:c>
      <x:c r="D13" s="232">
        <x:f>'Reporte Componentes R1'!F524</x:f>
        <x:v>0</x:v>
      </x:c>
      <x:c r="E13" s="233">
        <x:f>'Reporte Componentes R1'!G524</x:f>
        <x:v>0</x:v>
      </x:c>
      <x:c r="F13" s="233">
        <x:f>'Reporte Componentes R1'!H524</x:f>
        <x:v>0</x:v>
      </x:c>
      <x:c r="G13" s="233">
        <x:f>'Reporte Componentes R1'!I524</x:f>
        <x:v>0</x:v>
      </x:c>
      <x:c r="H13" s="233">
        <x:f>'Reporte Componentes R1'!J524</x:f>
        <x:v>0</x:v>
      </x:c>
      <x:c r="I13" s="233">
        <x:f>'Reporte Componentes R1'!K524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R1'!L524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R1'!M524</x:f>
        <x:v>0</x:v>
      </x:c>
      <x:c r="V13" s="233">
        <x:f>'Reporte Componentes R1'!N524</x:f>
        <x:v>0</x:v>
      </x:c>
      <x:c r="W13" s="233">
        <x:f>'Reporte Componentes R1'!O524</x:f>
        <x:v>0</x:v>
      </x:c>
      <x:c r="X13" s="233">
        <x:f>'Reporte Componentes R1'!P524</x:f>
        <x:v>0</x:v>
      </x:c>
      <x:c r="Y13" s="225">
        <x:f>'Reporte Componentes R1'!Q524</x:f>
        <x:v>0</x:v>
      </x:c>
      <x:c r="Z13" s="255">
        <x:f>L13*-1</x:f>
        <x:v>0</x:v>
      </x:c>
      <x:c r="AA13" s="256">
        <x:f>'Reporte Componentes R1'!R524+'Reporte Componentes R1'!V524+'Reporte Componentes R1'!U524</x:f>
        <x:v>0</x:v>
      </x:c>
      <x:c r="AB13" s="230">
        <x:f>N13</x:f>
        <x:v>0</x:v>
      </x:c>
      <x:c r="AC13" s="256">
        <x:f>'Reporte Componentes R1'!T524+'Reporte Componentes R1'!W524+'Reporte Componentes R1'!X524+'Reporte Componentes R1'!Y524+'Reporte Componentes R1'!Z524+'Reporte Componentes R1'!S524</x:f>
        <x:v>0</x:v>
      </x:c>
      <x:c r="AD13" s="227">
        <x:f t="shared" si="2"/>
        <x:v>0</x:v>
      </x:c>
      <x:c r="AE13" s="227">
        <x:f>'Reporte Componentes R1'!F525</x:f>
        <x:v>0</x:v>
      </x:c>
      <x:c r="AF13" s="258">
        <x:f t="shared" si="4"/>
        <x:v>0</x:v>
      </x:c>
      <x:c r="AG13" s="441">
        <x:f>(AF13-O13)</x:f>
        <x:v>0</x:v>
      </x:c>
      <x:c r="AH13" s="1" t="b">
        <x:f t="shared" si="3"/>
        <x:v>1</x:v>
      </x:c>
      <x:c r="AI13" s="242"/>
    </x:row>
    <x:row r="14" spans="1:35" s="241" customFormat="1" ht="13.8" thickBot="1" x14ac:dyDescent="0.3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442">
        <x:f>SUM(AG9:AG13)</x:f>
        <x:v>0</x:v>
      </x:c>
      <x:c r="AH14" s="1" t="b">
        <x:f t="shared" si="3"/>
        <x:v>1</x:v>
      </x:c>
      <x:c r="AI14" s="242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09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" x14ac:dyDescent="0.25">
      <x:c r="B28" s="239">
        <x:v>1</x:v>
      </x:c>
      <x:c r="C28" s="240" t="s">
        <x:v>10</x:v>
      </x:c>
      <x:c r="D28" s="227">
        <x:f>'Rem. Anticipos R2'!E46</x:f>
        <x:v>0</x:v>
      </x:c>
      <x:c r="E28" s="228">
        <x:f>'Rem. Anticipos R2'!F46</x:f>
        <x:v>0</x:v>
      </x:c>
      <x:c r="F28" s="228">
        <x:f>'Rem. Anticipos R2'!G46</x:f>
        <x:v>0</x:v>
      </x:c>
      <x:c r="G28" s="228">
        <x:f>'Rem. Anticipos R2'!H46</x:f>
        <x:v>0</x:v>
      </x:c>
      <x:c r="H28" s="228">
        <x:f>'Rem. Anticipos R2'!I46</x:f>
        <x:v>0</x:v>
      </x:c>
      <x:c r="I28" s="228">
        <x:f>'Rem. Anticipos R2'!J46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R2'!K46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R2'!L46</x:f>
        <x:v>0</x:v>
      </x:c>
      <x:c r="V28" s="244">
        <x:f>'Rem. Anticipos R2'!M46</x:f>
        <x:v>0</x:v>
      </x:c>
      <x:c r="W28" s="244">
        <x:f>'Rem. Anticipos R2'!N46</x:f>
        <x:v>0</x:v>
      </x:c>
      <x:c r="X28" s="244">
        <x:f>'Rem. Anticipos R2'!O46</x:f>
        <x:v>0</x:v>
      </x:c>
      <x:c r="Y28" s="245">
        <x:f>'Rem. Anticipos R2'!P46</x:f>
        <x:v>0</x:v>
      </x:c>
      <x:c r="Z28" s="246">
        <x:f>L28*-1</x:f>
        <x:v>0</x:v>
      </x:c>
      <x:c r="AA28" s="247">
        <x:f>'Rem. Anticipos R2'!Q46</x:f>
        <x:v>0</x:v>
      </x:c>
      <x:c r="AB28" s="230">
        <x:f>N28</x:f>
        <x:v>0</x:v>
      </x:c>
      <x:c r="AC28" s="247">
        <x:f>'Rem. Anticipos R2'!R46</x:f>
        <x:v>0</x:v>
      </x:c>
      <x:c r="AD28" s="227">
        <x:f>-J28+AE28</x:f>
        <x:v>0</x:v>
      </x:c>
      <x:c r="AE28" s="227">
        <x:f>'Rem. Anticipos R2'!E47</x:f>
        <x:v>0</x:v>
      </x:c>
      <x:c r="AF28" s="249">
        <x:f>SUM(U28:AD28)</x:f>
        <x:v>0</x:v>
      </x:c>
      <x:c r="AG28" s="439">
        <x:f>(AF28-O28)</x:f>
        <x:v>0</x:v>
      </x:c>
      <x:c r="AH28" s="1" t="b">
        <x:f>INT(AG28)=0</x:f>
        <x:v>1</x:v>
      </x:c>
      <x:c r="AI28" s="242"/>
    </x:row>
    <x:row r="29" spans="1:35" s="241" customFormat="1" ht="12" x14ac:dyDescent="0.25">
      <x:c r="B29" s="250">
        <x:v>2</x:v>
      </x:c>
      <x:c r="C29" s="251" t="s">
        <x:v>11</x:v>
      </x:c>
      <x:c r="D29" s="227">
        <x:f>'Rem. Anticipos R2'!E142</x:f>
        <x:v>0</x:v>
      </x:c>
      <x:c r="E29" s="228">
        <x:f>'Rem. Anticipos R2'!F142</x:f>
        <x:v>0</x:v>
      </x:c>
      <x:c r="F29" s="228">
        <x:f>'Rem. Anticipos R2'!G142</x:f>
        <x:v>0</x:v>
      </x:c>
      <x:c r="G29" s="228">
        <x:f>'Rem. Anticipos R2'!H142</x:f>
        <x:v>0</x:v>
      </x:c>
      <x:c r="H29" s="228">
        <x:f>'Rem. Anticipos R2'!I142</x:f>
        <x:v>0</x:v>
      </x:c>
      <x:c r="I29" s="228">
        <x:f>'Rem. Anticipos R2'!J142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R2'!K142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R2'!L142</x:f>
        <x:v>0</x:v>
      </x:c>
      <x:c r="V29" s="253">
        <x:f>'Rem. Anticipos R2'!M142</x:f>
        <x:v>0</x:v>
      </x:c>
      <x:c r="W29" s="253">
        <x:f>'Rem. Anticipos R2'!N142</x:f>
        <x:v>0</x:v>
      </x:c>
      <x:c r="X29" s="253">
        <x:f>'Rem. Anticipos R2'!O142</x:f>
        <x:v>0</x:v>
      </x:c>
      <x:c r="Y29" s="254">
        <x:f>'Rem. Anticipos R2'!P142</x:f>
        <x:v>0</x:v>
      </x:c>
      <x:c r="Z29" s="255">
        <x:f>L29*-1</x:f>
        <x:v>0</x:v>
      </x:c>
      <x:c r="AA29" s="256">
        <x:f>'Rem. Anticipos R2'!Q142</x:f>
        <x:v>0</x:v>
      </x:c>
      <x:c r="AB29" s="230">
        <x:f>N29</x:f>
        <x:v>0</x:v>
      </x:c>
      <x:c r="AC29" s="256">
        <x:f>'Rem. Anticipos R2'!R142</x:f>
        <x:v>0</x:v>
      </x:c>
      <x:c r="AD29" s="227">
        <x:f>-J29+AE29</x:f>
        <x:v>0</x:v>
      </x:c>
      <x:c r="AE29" s="227">
        <x:f>'Rem. Anticipos R2'!E143</x:f>
        <x:v>0</x:v>
      </x:c>
      <x:c r="AF29" s="258">
        <x:f>SUM(U29:AD29)</x:f>
        <x:v>0</x:v>
      </x:c>
      <x:c r="AG29" s="440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ht="12" x14ac:dyDescent="0.25">
      <x:c r="B30" s="250">
        <x:v>3</x:v>
      </x:c>
      <x:c r="C30" s="251" t="s">
        <x:v>12</x:v>
      </x:c>
      <x:c r="D30" s="227">
        <x:f>'Rem. Anticipos R2'!E259</x:f>
        <x:v>0</x:v>
      </x:c>
      <x:c r="E30" s="228">
        <x:f>'Rem. Anticipos R2'!F259</x:f>
        <x:v>0</x:v>
      </x:c>
      <x:c r="F30" s="228">
        <x:f>'Rem. Anticipos R2'!G259</x:f>
        <x:v>0</x:v>
      </x:c>
      <x:c r="G30" s="228">
        <x:f>'Rem. Anticipos R2'!H259</x:f>
        <x:v>0</x:v>
      </x:c>
      <x:c r="H30" s="228">
        <x:f>'Rem. Anticipos R2'!I259</x:f>
        <x:v>0</x:v>
      </x:c>
      <x:c r="I30" s="228">
        <x:f>'Rem. Anticipos R2'!J259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R2'!K259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R2'!L259</x:f>
        <x:v>0</x:v>
      </x:c>
      <x:c r="V30" s="253">
        <x:f>'Rem. Anticipos R2'!M259</x:f>
        <x:v>0</x:v>
      </x:c>
      <x:c r="W30" s="253">
        <x:f>'Rem. Anticipos R2'!N259</x:f>
        <x:v>0</x:v>
      </x:c>
      <x:c r="X30" s="253">
        <x:f>'Rem. Anticipos R2'!O259</x:f>
        <x:v>0</x:v>
      </x:c>
      <x:c r="Y30" s="254">
        <x:f>'Rem. Anticipos R2'!P259</x:f>
        <x:v>0</x:v>
      </x:c>
      <x:c r="Z30" s="255">
        <x:f>L30*-1</x:f>
        <x:v>0</x:v>
      </x:c>
      <x:c r="AA30" s="256">
        <x:f>'Rem. Anticipos R2'!Q259</x:f>
        <x:v>0</x:v>
      </x:c>
      <x:c r="AB30" s="230">
        <x:f>N30</x:f>
        <x:v>0</x:v>
      </x:c>
      <x:c r="AC30" s="256">
        <x:f>'Rem. Anticipos R2'!R259</x:f>
        <x:v>0</x:v>
      </x:c>
      <x:c r="AD30" s="227">
        <x:f t="shared" ref="AD30:AD32" si="10">-J30+AE30</x:f>
        <x:v>0</x:v>
      </x:c>
      <x:c r="AE30" s="227">
        <x:f>'Rem. Anticipos R2'!E260</x:f>
        <x:v>0</x:v>
      </x:c>
      <x:c r="AF30" s="258">
        <x:f>SUM(U30:AD30)</x:f>
        <x:v>0</x:v>
      </x:c>
      <x:c r="AG30" s="440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ht="12" x14ac:dyDescent="0.25">
      <x:c r="B31" s="250">
        <x:v>4</x:v>
      </x:c>
      <x:c r="C31" s="251" t="s">
        <x:v>13</x:v>
      </x:c>
      <x:c r="D31" s="227">
        <x:f>'Rem. Anticipos R2'!E361</x:f>
        <x:v>0</x:v>
      </x:c>
      <x:c r="E31" s="228">
        <x:f>'Rem. Anticipos R2'!F361</x:f>
        <x:v>0</x:v>
      </x:c>
      <x:c r="F31" s="228">
        <x:f>'Rem. Anticipos R2'!G361</x:f>
        <x:v>0</x:v>
      </x:c>
      <x:c r="G31" s="228">
        <x:f>'Rem. Anticipos R2'!H361</x:f>
        <x:v>0</x:v>
      </x:c>
      <x:c r="H31" s="228">
        <x:f>'Rem. Anticipos R2'!I361</x:f>
        <x:v>0</x:v>
      </x:c>
      <x:c r="I31" s="228">
        <x:f>'Rem. Anticipos R2'!J361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R2'!K361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R2'!L361</x:f>
        <x:v>0</x:v>
      </x:c>
      <x:c r="V31" s="253">
        <x:f>'Rem. Anticipos R2'!M361</x:f>
        <x:v>0</x:v>
      </x:c>
      <x:c r="W31" s="253">
        <x:f>'Rem. Anticipos R2'!N361</x:f>
        <x:v>0</x:v>
      </x:c>
      <x:c r="X31" s="253">
        <x:f>'Rem. Anticipos R2'!O361</x:f>
        <x:v>0</x:v>
      </x:c>
      <x:c r="Y31" s="254">
        <x:f>'Rem. Anticipos R2'!P361</x:f>
        <x:v>0</x:v>
      </x:c>
      <x:c r="Z31" s="255">
        <x:f>L31*-1</x:f>
        <x:v>0</x:v>
      </x:c>
      <x:c r="AA31" s="256">
        <x:f>'Rem. Anticipos R2'!Q361</x:f>
        <x:v>0</x:v>
      </x:c>
      <x:c r="AB31" s="230">
        <x:f>N31</x:f>
        <x:v>0</x:v>
      </x:c>
      <x:c r="AC31" s="256">
        <x:f>'Rem. Anticipos R2'!R361</x:f>
        <x:v>0</x:v>
      </x:c>
      <x:c r="AD31" s="227">
        <x:f t="shared" si="10"/>
        <x:v>0</x:v>
      </x:c>
      <x:c r="AE31" s="227">
        <x:f>'Rem. Anticipos R2'!E362</x:f>
        <x:v>0</x:v>
      </x:c>
      <x:c r="AF31" s="258">
        <x:f>SUM(U31:AD31)</x:f>
        <x:v>0</x:v>
      </x:c>
      <x:c r="AG31" s="440">
        <x:f t="shared" si="11"/>
        <x:v>0</x:v>
      </x:c>
      <x:c r="AH31" s="1" t="b">
        <x:f t="shared" si="9"/>
        <x:v>1</x:v>
      </x:c>
      <x:c r="AI31" s="242"/>
    </x:row>
    <x:row r="32" spans="1:35" s="241" customFormat="1" ht="12.6" thickBot="1" x14ac:dyDescent="0.3">
      <x:c r="B32" s="260">
        <x:v>5</x:v>
      </x:c>
      <x:c r="C32" s="261" t="s">
        <x:v>14</x:v>
      </x:c>
      <x:c r="D32" s="232">
        <x:f>'Rem. Anticipos R2'!E441</x:f>
        <x:v>0</x:v>
      </x:c>
      <x:c r="E32" s="233">
        <x:f>'Rem. Anticipos R2'!F441</x:f>
        <x:v>0</x:v>
      </x:c>
      <x:c r="F32" s="233">
        <x:f>'Rem. Anticipos R2'!G441</x:f>
        <x:v>0</x:v>
      </x:c>
      <x:c r="G32" s="233">
        <x:f>'Rem. Anticipos R2'!H441</x:f>
        <x:v>0</x:v>
      </x:c>
      <x:c r="H32" s="233">
        <x:f>'Rem. Anticipos R2'!I441</x:f>
        <x:v>0</x:v>
      </x:c>
      <x:c r="I32" s="233">
        <x:f>'Rem. Anticipos R2'!J441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R2'!K441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R2'!L441</x:f>
        <x:v>0</x:v>
      </x:c>
      <x:c r="V32" s="233">
        <x:f>'Rem. Anticipos R2'!M441</x:f>
        <x:v>0</x:v>
      </x:c>
      <x:c r="W32" s="233">
        <x:f>'Rem. Anticipos R2'!N441</x:f>
        <x:v>0</x:v>
      </x:c>
      <x:c r="X32" s="233">
        <x:f>'Rem. Anticipos R2'!O441</x:f>
        <x:v>0</x:v>
      </x:c>
      <x:c r="Y32" s="225">
        <x:f>'Rem. Anticipos R2'!P441</x:f>
        <x:v>0</x:v>
      </x:c>
      <x:c r="Z32" s="255">
        <x:f>L32*-1</x:f>
        <x:v>0</x:v>
      </x:c>
      <x:c r="AA32" s="256">
        <x:f>'Rem. Anticipos R2'!Q441</x:f>
        <x:v>0</x:v>
      </x:c>
      <x:c r="AB32" s="230">
        <x:f>N32</x:f>
        <x:v>0</x:v>
      </x:c>
      <x:c r="AC32" s="256">
        <x:f>'Rem. Anticipos R2'!R441</x:f>
        <x:v>0</x:v>
      </x:c>
      <x:c r="AD32" s="227">
        <x:f t="shared" si="10"/>
        <x:v>0</x:v>
      </x:c>
      <x:c r="AE32" s="227">
        <x:f>'Rem. Anticipos R2'!E442</x:f>
        <x:v>0</x:v>
      </x:c>
      <x:c r="AF32" s="258">
        <x:f>SUM(U32:AD32)</x:f>
        <x:v>0</x:v>
      </x:c>
      <x:c r="AG32" s="441">
        <x:f>(AF32-O32)</x:f>
        <x:v>0</x:v>
      </x:c>
      <x:c r="AH32" s="1" t="b">
        <x:f t="shared" si="9"/>
        <x:v>1</x:v>
      </x:c>
      <x:c r="AI32" s="242"/>
    </x:row>
    <x:row r="33" spans="1:35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si="13"/>
        <x:v>0</x:v>
      </x:c>
      <x:c r="AH33" s="1" t="b">
        <x:f t="shared" si="9"/>
        <x:v>1</x:v>
      </x:c>
      <x:c r="AI33" s="242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09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" x14ac:dyDescent="0.25">
      <x:c r="B47" s="239">
        <x:v>1</x:v>
      </x:c>
      <x:c r="C47" s="240" t="s">
        <x:v>10</x:v>
      </x:c>
      <x:c r="D47" s="227">
        <x:f>'Reporte Componentes R1'!F53</x:f>
        <x:v>0</x:v>
      </x:c>
      <x:c r="E47" s="228">
        <x:f>'Reporte Componentes R1'!G53</x:f>
        <x:v>0</x:v>
      </x:c>
      <x:c r="F47" s="228">
        <x:f>'Reporte Componentes R1'!H53</x:f>
        <x:v>0</x:v>
      </x:c>
      <x:c r="G47" s="228">
        <x:f>'Reporte Componentes R1'!I53</x:f>
        <x:v>0</x:v>
      </x:c>
      <x:c r="H47" s="228">
        <x:f>'Reporte Componentes R1'!J53</x:f>
        <x:v>0</x:v>
      </x:c>
      <x:c r="I47" s="228">
        <x:f>'Reporte Componentes R1'!K53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R1'!L53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R1'!M53</x:f>
        <x:v>0</x:v>
      </x:c>
      <x:c r="V47" s="244">
        <x:f>'Reporte Componentes R1'!N53</x:f>
        <x:v>0</x:v>
      </x:c>
      <x:c r="W47" s="244">
        <x:f>'Reporte Componentes R1'!O53</x:f>
        <x:v>0</x:v>
      </x:c>
      <x:c r="X47" s="244">
        <x:f>'Reporte Componentes R1'!P53</x:f>
        <x:v>0</x:v>
      </x:c>
      <x:c r="Y47" s="245">
        <x:f>'Reporte Componentes R1'!Q53</x:f>
        <x:v>0</x:v>
      </x:c>
      <x:c r="Z47" s="246">
        <x:f>-L47</x:f>
        <x:v>0</x:v>
      </x:c>
      <x:c r="AA47" s="247">
        <x:f>'Reporte Componentes R1'!R53+'Reporte Componentes R1'!V53+'Reporte Componentes R1'!U53</x:f>
        <x:v>0</x:v>
      </x:c>
      <x:c r="AB47" s="230">
        <x:f>N47</x:f>
        <x:v>0</x:v>
      </x:c>
      <x:c r="AC47" s="247">
        <x:f>'Reporte Componentes R1'!T53+'Reporte Componentes R1'!W53+'Reporte Componentes R1'!X53+'Reporte Componentes R1'!Y53+'Reporte Componentes R1'!Z53+'Reporte Componentes R1'!S53</x:f>
        <x:v>0</x:v>
      </x:c>
      <x:c r="AD47" s="227">
        <x:f>-J47+AE47</x:f>
        <x:v>0</x:v>
      </x:c>
      <x:c r="AE47" s="227">
        <x:f>'Reporte Componentes R1'!F54</x:f>
        <x:v>0</x:v>
      </x:c>
      <x:c r="AF47" s="249">
        <x:f>SUM(U47:AD47)</x:f>
        <x:v>0</x:v>
      </x:c>
      <x:c r="AG47" s="439">
        <x:f>(AF47-O47)</x:f>
        <x:v>0</x:v>
      </x:c>
      <x:c r="AH47" s="1" t="b">
        <x:f t="shared" ref="AH47:AH52" si="15">INT(AG47)=0</x:f>
        <x:v>1</x:v>
      </x:c>
      <x:c r="AI47" s="242"/>
    </x:row>
    <x:row r="48" spans="1:35" s="241" customFormat="1" ht="12" x14ac:dyDescent="0.25">
      <x:c r="B48" s="250">
        <x:v>2</x:v>
      </x:c>
      <x:c r="C48" s="251" t="s">
        <x:v>11</x:v>
      </x:c>
      <x:c r="D48" s="227">
        <x:f>'Reporte Componentes R1'!F183</x:f>
        <x:v>0</x:v>
      </x:c>
      <x:c r="E48" s="228">
        <x:f>'Reporte Componentes R1'!G183</x:f>
        <x:v>0</x:v>
      </x:c>
      <x:c r="F48" s="228">
        <x:f>'Reporte Componentes R1'!H183</x:f>
        <x:v>0</x:v>
      </x:c>
      <x:c r="G48" s="228">
        <x:f>'Reporte Componentes R1'!I183</x:f>
        <x:v>0</x:v>
      </x:c>
      <x:c r="H48" s="228">
        <x:f>'Reporte Componentes R1'!J183</x:f>
        <x:v>0</x:v>
      </x:c>
      <x:c r="I48" s="228">
        <x:f>'Reporte Componentes R1'!K183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R1'!L183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R1'!M183</x:f>
        <x:v>0</x:v>
      </x:c>
      <x:c r="V48" s="253">
        <x:f>'Reporte Componentes R1'!N183</x:f>
        <x:v>0</x:v>
      </x:c>
      <x:c r="W48" s="253">
        <x:f>'Reporte Componentes R1'!O183</x:f>
        <x:v>0</x:v>
      </x:c>
      <x:c r="X48" s="253">
        <x:f>'Reporte Componentes R1'!P183</x:f>
        <x:v>0</x:v>
      </x:c>
      <x:c r="Y48" s="254">
        <x:f>'Reporte Componentes R1'!Q183</x:f>
        <x:v>0</x:v>
      </x:c>
      <x:c r="Z48" s="255">
        <x:f>-L48</x:f>
        <x:v>0</x:v>
      </x:c>
      <x:c r="AA48" s="256">
        <x:f>'Reporte Componentes R1'!R183+'Reporte Componentes R1'!V183+'Reporte Componentes R1'!U183</x:f>
        <x:v>0</x:v>
      </x:c>
      <x:c r="AB48" s="230">
        <x:f>N48</x:f>
        <x:v>0</x:v>
      </x:c>
      <x:c r="AC48" s="256">
        <x:f>'Reporte Componentes R1'!T183+'Reporte Componentes R1'!W183+'Reporte Componentes R1'!X183+'Reporte Componentes R1'!Y183+'Reporte Componentes R1'!Z183+'Reporte Componentes R1'!S183</x:f>
        <x:v>0</x:v>
      </x:c>
      <x:c r="AD48" s="227">
        <x:f t="shared" ref="AD48:AD51" si="18">-J48+AE48</x:f>
        <x:v>0</x:v>
      </x:c>
      <x:c r="AE48" s="227">
        <x:f>'Reporte Componentes R1'!F184</x:f>
        <x:v>0</x:v>
      </x:c>
      <x:c r="AF48" s="258">
        <x:f>SUM(U48:AD48)</x:f>
        <x:v>0</x:v>
      </x:c>
      <x:c r="AG48" s="440">
        <x:f>(AF48-O48)</x:f>
        <x:v>0</x:v>
      </x:c>
      <x:c r="AH48" s="1" t="b">
        <x:f t="shared" si="15"/>
        <x:v>1</x:v>
      </x:c>
      <x:c r="AI48" s="242"/>
    </x:row>
    <x:row r="49" spans="1:35" s="241" customFormat="1" ht="12" x14ac:dyDescent="0.25">
      <x:c r="B49" s="250">
        <x:v>3</x:v>
      </x:c>
      <x:c r="C49" s="251" t="s">
        <x:v>12</x:v>
      </x:c>
      <x:c r="D49" s="227">
        <x:f>'Reporte Componentes R1'!F323</x:f>
        <x:v>0</x:v>
      </x:c>
      <x:c r="E49" s="228">
        <x:f>'Reporte Componentes R1'!G323</x:f>
        <x:v>0</x:v>
      </x:c>
      <x:c r="F49" s="228">
        <x:f>'Reporte Componentes R1'!H323</x:f>
        <x:v>0</x:v>
      </x:c>
      <x:c r="G49" s="228">
        <x:f>'Reporte Componentes R1'!I323</x:f>
        <x:v>0</x:v>
      </x:c>
      <x:c r="H49" s="228">
        <x:f>'Reporte Componentes R1'!J323</x:f>
        <x:v>0</x:v>
      </x:c>
      <x:c r="I49" s="228">
        <x:f>'Reporte Componentes R1'!K323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R1'!L323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R1'!M323</x:f>
        <x:v>0</x:v>
      </x:c>
      <x:c r="V49" s="253">
        <x:f>'Reporte Componentes R1'!N323</x:f>
        <x:v>0</x:v>
      </x:c>
      <x:c r="W49" s="253">
        <x:f>'Reporte Componentes R1'!O323</x:f>
        <x:v>0</x:v>
      </x:c>
      <x:c r="X49" s="253">
        <x:f>'Reporte Componentes R1'!P323</x:f>
        <x:v>0</x:v>
      </x:c>
      <x:c r="Y49" s="254">
        <x:f>'Reporte Componentes R1'!Q323</x:f>
        <x:v>0</x:v>
      </x:c>
      <x:c r="Z49" s="255">
        <x:f>-L49</x:f>
        <x:v>0</x:v>
      </x:c>
      <x:c r="AA49" s="256">
        <x:f>'Reporte Componentes R1'!R323+'Reporte Componentes R1'!V323+'Reporte Componentes R1'!U323</x:f>
        <x:v>0</x:v>
      </x:c>
      <x:c r="AB49" s="230">
        <x:f>N49</x:f>
        <x:v>0</x:v>
      </x:c>
      <x:c r="AC49" s="256">
        <x:f>'Reporte Componentes R1'!T323+'Reporte Componentes R1'!W323+'Reporte Componentes R1'!X323+'Reporte Componentes R1'!Y323+'Reporte Componentes R1'!Z323+'Reporte Componentes R1'!S323</x:f>
        <x:v>0</x:v>
      </x:c>
      <x:c r="AD49" s="227">
        <x:f t="shared" si="18"/>
        <x:v>0</x:v>
      </x:c>
      <x:c r="AE49" s="227">
        <x:f>'Reporte Componentes R1'!F324</x:f>
        <x:v>0</x:v>
      </x:c>
      <x:c r="AF49" s="258">
        <x:f t="shared" ref="AF49:AF51" si="19">SUM(U49:AD49)</x:f>
        <x:v>0</x:v>
      </x:c>
      <x:c r="AG49" s="440">
        <x:f t="shared" ref="AG49:AG51" si="20">(AF49-O49)</x:f>
        <x:v>0</x:v>
      </x:c>
      <x:c r="AH49" s="1" t="b">
        <x:f t="shared" si="15"/>
        <x:v>1</x:v>
      </x:c>
      <x:c r="AI49" s="242"/>
    </x:row>
    <x:row r="50" spans="1:35" s="241" customFormat="1" ht="12" x14ac:dyDescent="0.25">
      <x:c r="B50" s="250">
        <x:v>4</x:v>
      </x:c>
      <x:c r="C50" s="251" t="s">
        <x:v>13</x:v>
      </x:c>
      <x:c r="D50" s="227">
        <x:f>'Reporte Componentes R1'!F444</x:f>
        <x:v>0</x:v>
      </x:c>
      <x:c r="E50" s="228">
        <x:f>'Reporte Componentes R1'!G444</x:f>
        <x:v>0</x:v>
      </x:c>
      <x:c r="F50" s="228">
        <x:f>'Reporte Componentes R1'!H444</x:f>
        <x:v>0</x:v>
      </x:c>
      <x:c r="G50" s="228">
        <x:f>'Reporte Componentes R1'!I444</x:f>
        <x:v>0</x:v>
      </x:c>
      <x:c r="H50" s="228">
        <x:f>'Reporte Componentes R1'!J444</x:f>
        <x:v>0</x:v>
      </x:c>
      <x:c r="I50" s="228">
        <x:f>'Reporte Componentes R1'!K444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R1'!L444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R1'!M444</x:f>
        <x:v>0</x:v>
      </x:c>
      <x:c r="V50" s="253">
        <x:f>'Reporte Componentes R1'!N444</x:f>
        <x:v>0</x:v>
      </x:c>
      <x:c r="W50" s="253">
        <x:f>'Reporte Componentes R1'!O444</x:f>
        <x:v>0</x:v>
      </x:c>
      <x:c r="X50" s="253">
        <x:f>'Reporte Componentes R1'!P444</x:f>
        <x:v>0</x:v>
      </x:c>
      <x:c r="Y50" s="254">
        <x:f>'Reporte Componentes R1'!Q444</x:f>
        <x:v>0</x:v>
      </x:c>
      <x:c r="Z50" s="255">
        <x:f>-L50</x:f>
        <x:v>0</x:v>
      </x:c>
      <x:c r="AA50" s="256">
        <x:f>'Reporte Componentes R1'!R444+'Reporte Componentes R1'!V444+'Reporte Componentes R1'!U444</x:f>
        <x:v>0</x:v>
      </x:c>
      <x:c r="AB50" s="230">
        <x:f>N50</x:f>
        <x:v>0</x:v>
      </x:c>
      <x:c r="AC50" s="256">
        <x:f>'Reporte Componentes R1'!T444+'Reporte Componentes R1'!W444+'Reporte Componentes R1'!X444+'Reporte Componentes R1'!Y444+'Reporte Componentes R1'!Z444+'Reporte Componentes R1'!S444</x:f>
        <x:v>0</x:v>
      </x:c>
      <x:c r="AD50" s="227">
        <x:f t="shared" si="18"/>
        <x:v>0</x:v>
      </x:c>
      <x:c r="AE50" s="227">
        <x:f>'Reporte Componentes R1'!F445</x:f>
        <x:v>0</x:v>
      </x:c>
      <x:c r="AF50" s="258">
        <x:f t="shared" si="19"/>
        <x:v>0</x:v>
      </x:c>
      <x:c r="AG50" s="440">
        <x:f t="shared" si="20"/>
        <x:v>0</x:v>
      </x:c>
      <x:c r="AH50" s="1" t="b">
        <x:f t="shared" si="15"/>
        <x:v>1</x:v>
      </x:c>
      <x:c r="AI50" s="242"/>
    </x:row>
    <x:row r="51" spans="1:35" s="241" customFormat="1" ht="12.6" thickBot="1" x14ac:dyDescent="0.3">
      <x:c r="B51" s="260">
        <x:v>5</x:v>
      </x:c>
      <x:c r="C51" s="261" t="s">
        <x:v>14</x:v>
      </x:c>
      <x:c r="D51" s="232">
        <x:f>'Reporte Componentes R1'!F526</x:f>
        <x:v>0</x:v>
      </x:c>
      <x:c r="E51" s="233">
        <x:f>'Reporte Componentes R1'!G526</x:f>
        <x:v>0</x:v>
      </x:c>
      <x:c r="F51" s="233">
        <x:f>'Reporte Componentes R1'!H526</x:f>
        <x:v>0</x:v>
      </x:c>
      <x:c r="G51" s="233">
        <x:f>'Reporte Componentes R1'!I526</x:f>
        <x:v>0</x:v>
      </x:c>
      <x:c r="H51" s="233">
        <x:f>'Reporte Componentes R1'!J526</x:f>
        <x:v>0</x:v>
      </x:c>
      <x:c r="I51" s="233">
        <x:f>'Reporte Componentes R1'!K526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R1'!L526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R1'!M526</x:f>
        <x:v>0</x:v>
      </x:c>
      <x:c r="V51" s="233">
        <x:f>'Reporte Componentes R1'!N526</x:f>
        <x:v>0</x:v>
      </x:c>
      <x:c r="W51" s="233">
        <x:f>'Reporte Componentes R1'!O526</x:f>
        <x:v>0</x:v>
      </x:c>
      <x:c r="X51" s="233">
        <x:f>'Reporte Componentes R1'!P526</x:f>
        <x:v>0</x:v>
      </x:c>
      <x:c r="Y51" s="225">
        <x:f>'Reporte Componentes R1'!Q526</x:f>
        <x:v>0</x:v>
      </x:c>
      <x:c r="Z51" s="255">
        <x:f>-L51</x:f>
        <x:v>0</x:v>
      </x:c>
      <x:c r="AA51" s="256">
        <x:f>'Reporte Componentes R1'!R526+'Reporte Componentes R1'!V526+'Reporte Componentes R1'!U526</x:f>
        <x:v>0</x:v>
      </x:c>
      <x:c r="AB51" s="230">
        <x:f>N51</x:f>
        <x:v>0</x:v>
      </x:c>
      <x:c r="AC51" s="256">
        <x:f>'Reporte Componentes R1'!T526+'Reporte Componentes R1'!W526+'Reporte Componentes R1'!X526+'Reporte Componentes R1'!Y526+'Reporte Componentes R1'!Z526+'Reporte Componentes R1'!S526</x:f>
        <x:v>0</x:v>
      </x:c>
      <x:c r="AD51" s="227">
        <x:f t="shared" si="18"/>
        <x:v>0</x:v>
      </x:c>
      <x:c r="AE51" s="227">
        <x:f>'Reporte Componentes R1'!F527</x:f>
        <x:v>0</x:v>
      </x:c>
      <x:c r="AF51" s="258">
        <x:f t="shared" si="19"/>
        <x:v>0</x:v>
      </x:c>
      <x:c r="AG51" s="441">
        <x:f t="shared" si="20"/>
        <x:v>0</x:v>
      </x:c>
      <x:c r="AH51" s="1" t="b">
        <x:f t="shared" si="15"/>
        <x:v>1</x:v>
      </x:c>
      <x:c r="AI51" s="242"/>
    </x:row>
    <x:row r="52" spans="1:35" s="241" customFormat="1" ht="13.8" thickBot="1" x14ac:dyDescent="0.3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442">
        <x:f t="shared" si="23"/>
        <x:v>0</x:v>
      </x:c>
      <x:c r="AH52" s="1" t="b">
        <x:f t="shared" si="15"/>
        <x:v>1</x:v>
      </x:c>
      <x:c r="AI52" s="242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09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ht="12" x14ac:dyDescent="0.25">
      <x:c r="B66" s="239">
        <x:v>1</x:v>
      </x:c>
      <x:c r="C66" s="240" t="s">
        <x:v>10</x:v>
      </x:c>
      <x:c r="D66" s="227">
        <x:f>'Reversion Pagos R4'!D76</x:f>
        <x:v>0</x:v>
      </x:c>
      <x:c r="E66" s="228">
        <x:f>'Reversion Pagos R4'!E76</x:f>
        <x:v>0</x:v>
      </x:c>
      <x:c r="F66" s="228">
        <x:f>'Reversion Pagos R4'!F76</x:f>
        <x:v>0</x:v>
      </x:c>
      <x:c r="G66" s="228">
        <x:f>'Reversion Pagos R4'!G76</x:f>
        <x:v>0</x:v>
      </x:c>
      <x:c r="H66" s="228">
        <x:f>'Reversion Pagos R4'!H76</x:f>
        <x:v>0</x:v>
      </x:c>
      <x:c r="I66" s="228">
        <x:f>'Reversion Pagos R4'!I76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R4'!P76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R4'!J76</x:f>
        <x:v>0</x:v>
      </x:c>
      <x:c r="V66" s="244">
        <x:f>'Reversion Pagos R4'!K76</x:f>
        <x:v>0</x:v>
      </x:c>
      <x:c r="W66" s="244">
        <x:f>'Reversion Pagos R4'!L76</x:f>
        <x:v>0</x:v>
      </x:c>
      <x:c r="X66" s="244">
        <x:f>'Reversion Pagos R4'!M76</x:f>
        <x:v>0</x:v>
      </x:c>
      <x:c r="Y66" s="245">
        <x:f>'Reversion Pagos R4'!N76</x:f>
        <x:v>0</x:v>
      </x:c>
      <x:c r="Z66" s="246">
        <x:f>-L66</x:f>
        <x:v>0</x:v>
      </x:c>
      <x:c r="AA66" s="256">
        <x:f>'Reversion Pagos R4'!O76</x:f>
        <x:v>0</x:v>
      </x:c>
      <x:c r="AB66" s="230">
        <x:f>N66</x:f>
        <x:v>0</x:v>
      </x:c>
      <x:c r="AC66" s="256">
        <x:f>+'Reversion Pagos R4'!Q76+'Reversion Pagos R4'!R76</x:f>
        <x:v>0</x:v>
      </x:c>
      <x:c r="AD66" s="227">
        <x:f>-J66+AE66</x:f>
        <x:v>0</x:v>
      </x:c>
      <x:c r="AE66" s="227">
        <x:f>'Reversion Pagos R4'!D77</x:f>
        <x:v>0</x:v>
      </x:c>
      <x:c r="AF66" s="249">
        <x:f>SUM(U66:AD66)</x:f>
        <x:v>0</x:v>
      </x:c>
      <x:c r="AG66" s="439">
        <x:f>(AF66-O66)</x:f>
        <x:v>0</x:v>
      </x:c>
      <x:c r="AH66" s="1" t="b">
        <x:f t="shared" ref="AH66:AH71" si="24">INT(AG66)=0</x:f>
        <x:v>1</x:v>
      </x:c>
      <x:c r="AI66" s="242"/>
    </x:row>
    <x:row r="67" spans="1:35" s="241" customFormat="1" ht="12" x14ac:dyDescent="0.25">
      <x:c r="B67" s="250">
        <x:v>2</x:v>
      </x:c>
      <x:c r="C67" s="251" t="s">
        <x:v>11</x:v>
      </x:c>
      <x:c r="D67" s="227">
        <x:f>'Reversion Pagos R4'!D171</x:f>
        <x:v>0</x:v>
      </x:c>
      <x:c r="E67" s="228">
        <x:f>'Reversion Pagos R4'!E171</x:f>
        <x:v>0</x:v>
      </x:c>
      <x:c r="F67" s="228">
        <x:f>'Reversion Pagos R4'!F171</x:f>
        <x:v>0</x:v>
      </x:c>
      <x:c r="G67" s="228">
        <x:f>'Reversion Pagos R4'!G171</x:f>
        <x:v>0</x:v>
      </x:c>
      <x:c r="H67" s="228">
        <x:f>'Reversion Pagos R4'!H171</x:f>
        <x:v>0</x:v>
      </x:c>
      <x:c r="I67" s="228">
        <x:f>'Reversion Pagos R4'!I171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R4'!P171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R4'!J171</x:f>
        <x:v>0</x:v>
      </x:c>
      <x:c r="V67" s="253">
        <x:f>'Reversion Pagos R4'!K171</x:f>
        <x:v>0</x:v>
      </x:c>
      <x:c r="W67" s="253">
        <x:f>'Reversion Pagos R4'!L171</x:f>
        <x:v>0</x:v>
      </x:c>
      <x:c r="X67" s="253">
        <x:f>'Reversion Pagos R4'!M171</x:f>
        <x:v>0</x:v>
      </x:c>
      <x:c r="Y67" s="254">
        <x:f>'Reversion Pagos R4'!N171</x:f>
        <x:v>0</x:v>
      </x:c>
      <x:c r="Z67" s="255">
        <x:f t="shared" ref="Z67:Z70" si="27">-L67</x:f>
        <x:v>0</x:v>
      </x:c>
      <x:c r="AA67" s="256">
        <x:f>'Reversion Pagos R4'!O171</x:f>
        <x:v>0</x:v>
      </x:c>
      <x:c r="AB67" s="230">
        <x:f t="shared" ref="AB67:AB70" si="28">N67</x:f>
        <x:v>0</x:v>
      </x:c>
      <x:c r="AC67" s="256">
        <x:f>+'Reversion Pagos R4'!Q171+'Reversion Pagos R4'!R171</x:f>
        <x:v>0</x:v>
      </x:c>
      <x:c r="AD67" s="227">
        <x:f t="shared" ref="AD67:AD70" si="29">-J67+AE67</x:f>
        <x:v>0</x:v>
      </x:c>
      <x:c r="AE67" s="227">
        <x:f>'Reversion Pagos R4'!D172</x:f>
        <x:v>0</x:v>
      </x:c>
      <x:c r="AF67" s="258">
        <x:f>SUM(U67:AD67)</x:f>
        <x:v>0</x:v>
      </x:c>
      <x:c r="AG67" s="440">
        <x:f>(AF67-O67)</x:f>
        <x:v>0</x:v>
      </x:c>
      <x:c r="AH67" s="1" t="b">
        <x:f t="shared" si="24"/>
        <x:v>1</x:v>
      </x:c>
      <x:c r="AI67" s="242"/>
    </x:row>
    <x:row r="68" spans="1:35" s="241" customFormat="1" ht="12" x14ac:dyDescent="0.25">
      <x:c r="B68" s="250">
        <x:v>3</x:v>
      </x:c>
      <x:c r="C68" s="251" t="s">
        <x:v>12</x:v>
      </x:c>
      <x:c r="D68" s="227">
        <x:f>'Reversion Pagos R4'!D208</x:f>
        <x:v>0</x:v>
      </x:c>
      <x:c r="E68" s="228">
        <x:f>'Reversion Pagos R4'!E208</x:f>
        <x:v>0</x:v>
      </x:c>
      <x:c r="F68" s="228">
        <x:f>'Reversion Pagos R4'!F208</x:f>
        <x:v>0</x:v>
      </x:c>
      <x:c r="G68" s="228">
        <x:f>'Reversion Pagos R4'!G208</x:f>
        <x:v>0</x:v>
      </x:c>
      <x:c r="H68" s="228">
        <x:f>'Reversion Pagos R4'!H208</x:f>
        <x:v>0</x:v>
      </x:c>
      <x:c r="I68" s="228">
        <x:f>'Reversion Pagos R4'!I208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R4'!P208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R4'!J208</x:f>
        <x:v>0</x:v>
      </x:c>
      <x:c r="V68" s="253">
        <x:f>'Reversion Pagos R4'!K208</x:f>
        <x:v>0</x:v>
      </x:c>
      <x:c r="W68" s="253">
        <x:f>'Reversion Pagos R4'!L208</x:f>
        <x:v>0</x:v>
      </x:c>
      <x:c r="X68" s="253">
        <x:f>'Reversion Pagos R4'!M208</x:f>
        <x:v>0</x:v>
      </x:c>
      <x:c r="Y68" s="254">
        <x:f>'Reversion Pagos R4'!N208</x:f>
        <x:v>0</x:v>
      </x:c>
      <x:c r="Z68" s="255">
        <x:f t="shared" si="27"/>
        <x:v>0</x:v>
      </x:c>
      <x:c r="AA68" s="256">
        <x:f>'Reversion Pagos R4'!O208</x:f>
        <x:v>0</x:v>
      </x:c>
      <x:c r="AB68" s="230">
        <x:f t="shared" si="28"/>
        <x:v>0</x:v>
      </x:c>
      <x:c r="AC68" s="256">
        <x:f>+'Reversion Pagos R4'!Q208+'Reversion Pagos R4'!R208</x:f>
        <x:v>0</x:v>
      </x:c>
      <x:c r="AD68" s="227">
        <x:f t="shared" si="29"/>
        <x:v>0</x:v>
      </x:c>
      <x:c r="AE68" s="227">
        <x:f>'Reversion Pagos R4'!D209</x:f>
        <x:v>0</x:v>
      </x:c>
      <x:c r="AF68" s="258">
        <x:f t="shared" ref="AF68:AF70" si="30">SUM(U68:AD68)</x:f>
        <x:v>0</x:v>
      </x:c>
      <x:c r="AG68" s="440">
        <x:f t="shared" ref="AG68:AG70" si="31">(AF68-O68)</x:f>
        <x:v>0</x:v>
      </x:c>
      <x:c r="AH68" s="1" t="b">
        <x:f t="shared" si="24"/>
        <x:v>1</x:v>
      </x:c>
      <x:c r="AI68" s="242"/>
    </x:row>
    <x:row r="69" spans="1:35" s="241" customFormat="1" ht="12" x14ac:dyDescent="0.25">
      <x:c r="B69" s="250">
        <x:v>4</x:v>
      </x:c>
      <x:c r="C69" s="251" t="s">
        <x:v>13</x:v>
      </x:c>
      <x:c r="D69" s="227">
        <x:f>'Reversion Pagos R4'!D323</x:f>
        <x:v>0</x:v>
      </x:c>
      <x:c r="E69" s="228">
        <x:f>'Reversion Pagos R4'!E323</x:f>
        <x:v>0</x:v>
      </x:c>
      <x:c r="F69" s="228">
        <x:f>'Reversion Pagos R4'!F323</x:f>
        <x:v>0</x:v>
      </x:c>
      <x:c r="G69" s="228">
        <x:f>'Reversion Pagos R4'!G323</x:f>
        <x:v>0</x:v>
      </x:c>
      <x:c r="H69" s="228">
        <x:f>'Reversion Pagos R4'!H323</x:f>
        <x:v>0</x:v>
      </x:c>
      <x:c r="I69" s="228">
        <x:f>'Reversion Pagos R4'!I323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R4'!P323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R4'!J323</x:f>
        <x:v>0</x:v>
      </x:c>
      <x:c r="V69" s="253">
        <x:f>'Reversion Pagos R4'!K323</x:f>
        <x:v>0</x:v>
      </x:c>
      <x:c r="W69" s="253">
        <x:f>'Reversion Pagos R4'!L323</x:f>
        <x:v>0</x:v>
      </x:c>
      <x:c r="X69" s="253">
        <x:f>'Reversion Pagos R4'!M323</x:f>
        <x:v>0</x:v>
      </x:c>
      <x:c r="Y69" s="254">
        <x:f>'Reversion Pagos R4'!N323</x:f>
        <x:v>0</x:v>
      </x:c>
      <x:c r="Z69" s="255">
        <x:f t="shared" si="27"/>
        <x:v>0</x:v>
      </x:c>
      <x:c r="AA69" s="256">
        <x:f>'Reversion Pagos R4'!O323</x:f>
        <x:v>0</x:v>
      </x:c>
      <x:c r="AB69" s="230">
        <x:f t="shared" si="28"/>
        <x:v>0</x:v>
      </x:c>
      <x:c r="AC69" s="256">
        <x:f>+'Reversion Pagos R4'!Q323+'Reversion Pagos R4'!R323</x:f>
        <x:v>0</x:v>
      </x:c>
      <x:c r="AD69" s="227">
        <x:f t="shared" si="29"/>
        <x:v>0</x:v>
      </x:c>
      <x:c r="AE69" s="227">
        <x:f>'Reversion Pagos R4'!D324</x:f>
        <x:v>0</x:v>
      </x:c>
      <x:c r="AF69" s="258">
        <x:f>SUM(U69:AD69)</x:f>
        <x:v>0</x:v>
      </x:c>
      <x:c r="AG69" s="440">
        <x:f>(AF69-O69)</x:f>
        <x:v>0</x:v>
      </x:c>
      <x:c r="AH69" s="1" t="b">
        <x:f t="shared" si="24"/>
        <x:v>1</x:v>
      </x:c>
      <x:c r="AI69" s="242"/>
    </x:row>
    <x:row r="70" spans="1:35" s="241" customFormat="1" ht="12.6" thickBot="1" x14ac:dyDescent="0.3">
      <x:c r="B70" s="260">
        <x:v>5</x:v>
      </x:c>
      <x:c r="C70" s="261" t="s">
        <x:v>14</x:v>
      </x:c>
      <x:c r="D70" s="232">
        <x:f>'Reversion Pagos R4'!D358</x:f>
        <x:v>0</x:v>
      </x:c>
      <x:c r="E70" s="233">
        <x:f>'Reversion Pagos R4'!E358</x:f>
        <x:v>0</x:v>
      </x:c>
      <x:c r="F70" s="233">
        <x:f>'Reversion Pagos R4'!F358</x:f>
        <x:v>0</x:v>
      </x:c>
      <x:c r="G70" s="233">
        <x:f>'Reversion Pagos R4'!G358</x:f>
        <x:v>0</x:v>
      </x:c>
      <x:c r="H70" s="233">
        <x:f>'Reversion Pagos R4'!H358</x:f>
        <x:v>0</x:v>
      </x:c>
      <x:c r="I70" s="233">
        <x:f>'Reversion Pagos R4'!I358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R4'!P358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R4'!J358</x:f>
        <x:v>0</x:v>
      </x:c>
      <x:c r="V70" s="233">
        <x:f>'Reversion Pagos R4'!K358</x:f>
        <x:v>0</x:v>
      </x:c>
      <x:c r="W70" s="233">
        <x:f>'Reversion Pagos R4'!L358</x:f>
        <x:v>0</x:v>
      </x:c>
      <x:c r="X70" s="233">
        <x:f>'Reversion Pagos R4'!M358</x:f>
        <x:v>0</x:v>
      </x:c>
      <x:c r="Y70" s="225">
        <x:f>'Reversion Pagos R4'!N358</x:f>
        <x:v>0</x:v>
      </x:c>
      <x:c r="Z70" s="255">
        <x:f t="shared" si="27"/>
        <x:v>0</x:v>
      </x:c>
      <x:c r="AA70" s="256">
        <x:f>'Reversion Pagos R4'!O358</x:f>
        <x:v>0</x:v>
      </x:c>
      <x:c r="AB70" s="230">
        <x:f t="shared" si="28"/>
        <x:v>0</x:v>
      </x:c>
      <x:c r="AC70" s="256">
        <x:f>+'Reversion Pagos R4'!Q358+'Reversion Pagos R4'!R358</x:f>
        <x:v>0</x:v>
      </x:c>
      <x:c r="AD70" s="227">
        <x:f t="shared" si="29"/>
        <x:v>0</x:v>
      </x:c>
      <x:c r="AE70" s="227">
        <x:f>'Reversion Pagos R4'!D359</x:f>
        <x:v>0</x:v>
      </x:c>
      <x:c r="AF70" s="258">
        <x:f t="shared" si="30"/>
        <x:v>0</x:v>
      </x:c>
      <x:c r="AG70" s="441">
        <x:f t="shared" si="31"/>
        <x:v>0</x:v>
      </x:c>
      <x:c r="AH70" s="1" t="b">
        <x:f t="shared" si="24"/>
        <x:v>1</x:v>
      </x:c>
      <x:c r="AI70" s="242"/>
    </x:row>
    <x:row r="71" spans="1:35" s="241" customFormat="1" ht="13.8" thickBot="1" x14ac:dyDescent="0.3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442">
        <x:f t="shared" si="33"/>
        <x:v>0</x:v>
      </x:c>
      <x:c r="AH71" s="1" t="b">
        <x:f t="shared" si="24"/>
        <x:v>1</x:v>
      </x:c>
      <x:c r="AI71" s="242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09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ht="12" x14ac:dyDescent="0.25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439">
        <x:f>AF85-O85</x:f>
        <x:v>0</x:v>
      </x:c>
      <x:c r="AH85" s="1" t="b">
        <x:f t="shared" ref="AH85:AH90" si="35">INT(AG85)=0</x:f>
        <x:v>1</x:v>
      </x:c>
      <x:c r="AI85" s="242"/>
    </x:row>
    <x:row r="86" spans="1:35" s="241" customFormat="1" ht="12" x14ac:dyDescent="0.25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6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7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256">
        <x:v>0</x:v>
      </x:c>
      <x:c r="AD86" s="227">
        <x:f t="shared" ref="AD86:AD88" si="38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1" t="b">
        <x:f t="shared" si="35"/>
        <x:v>1</x:v>
      </x:c>
      <x:c r="AI86" s="242"/>
    </x:row>
    <x:row r="87" spans="1:35" s="241" customFormat="1" ht="12" x14ac:dyDescent="0.25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6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7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6">
        <x:v>0</x:v>
      </x:c>
      <x:c r="AB87" s="230">
        <x:v>0</x:v>
      </x:c>
      <x:c r="AC87" s="256">
        <x:v>0</x:v>
      </x:c>
      <x:c r="AD87" s="227">
        <x:f t="shared" si="38"/>
        <x:v>0</x:v>
      </x:c>
      <x:c r="AE87" s="227">
        <x:v>0</x:v>
      </x:c>
      <x:c r="AF87" s="258">
        <x:f t="shared" ref="AF87:AF89" si="39">SUM(U87:AD87)</x:f>
        <x:v>0</x:v>
      </x:c>
      <x:c r="AG87" s="440">
        <x:f>AF87-O87</x:f>
        <x:v>0</x:v>
      </x:c>
      <x:c r="AH87" s="1" t="b">
        <x:f t="shared" si="35"/>
        <x:v>1</x:v>
      </x:c>
      <x:c r="AI87" s="242"/>
    </x:row>
    <x:row r="88" spans="1:35" s="241" customFormat="1" ht="12" x14ac:dyDescent="0.25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6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7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227">
        <x:f t="shared" si="38"/>
        <x:v>0</x:v>
      </x:c>
      <x:c r="AE88" s="227">
        <x:f>'AJUSTES - SF-T'!AD50</x:f>
        <x:v>0</x:v>
      </x:c>
      <x:c r="AF88" s="258">
        <x:f t="shared" si="39"/>
        <x:v>0</x:v>
      </x:c>
      <x:c r="AG88" s="440">
        <x:f>AF88-O88</x:f>
        <x:v>0</x:v>
      </x:c>
      <x:c r="AH88" s="1" t="b">
        <x:f t="shared" si="35"/>
        <x:v>1</x:v>
      </x:c>
      <x:c r="AI88" s="242"/>
    </x:row>
    <x:row r="89" spans="1:35" s="241" customFormat="1" ht="12.6" thickBot="1" x14ac:dyDescent="0.3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6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7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6">
        <x:v>0</x:v>
      </x:c>
      <x:c r="AB89" s="230">
        <x:v>0</x:v>
      </x:c>
      <x:c r="AC89" s="256">
        <x:v>0</x:v>
      </x:c>
      <x:c r="AD89" s="227">
        <x:v>0</x:v>
      </x:c>
      <x:c r="AE89" s="227">
        <x:v>0</x:v>
      </x:c>
      <x:c r="AF89" s="258">
        <x:f t="shared" si="39"/>
        <x:v>0</x:v>
      </x:c>
      <x:c r="AG89" s="441">
        <x:f>AF89-O89</x:f>
        <x:v>0</x:v>
      </x:c>
      <x:c r="AH89" s="1" t="b">
        <x:f t="shared" si="35"/>
        <x:v>1</x:v>
      </x:c>
      <x:c r="AI89" s="242"/>
    </x:row>
    <x:row r="90" spans="1:35" s="241" customFormat="1" ht="13.8" thickBot="1" x14ac:dyDescent="0.3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266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442">
        <x:f t="shared" si="41"/>
        <x:v>0</x:v>
      </x:c>
      <x:c r="AH90" s="1" t="b">
        <x:f t="shared" si="35"/>
        <x:v>1</x:v>
      </x:c>
      <x:c r="AI90" s="242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11" t="s">
        <x:v>17</x:v>
      </x:c>
      <x:c r="D101" s="9">
        <x:f>D6</x:f>
        <x:v>46238</x:v>
      </x:c>
      <x:c r="F101" s="58" t="s">
        <x:v>214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ht="12" x14ac:dyDescent="0.25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4">
        <x:f t="shared" si="43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0</x:v>
      </x:c>
      <x:c r="AA104" s="247">
        <x:f t="shared" si="44"/>
        <x:v>0</x:v>
      </x:c>
      <x:c r="AB104" s="230">
        <x:f t="shared" si="44"/>
        <x:v>0</x:v>
      </x:c>
      <x:c r="AC104" s="247">
        <x:f t="shared" si="44"/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439">
        <x:f>AF104-O104</x:f>
        <x:v>0</x:v>
      </x:c>
      <x:c r="AH104" s="1" t="b">
        <x:f t="shared" ref="AH104:AH109" si="45">INT(AG104)=0</x:f>
        <x:v>1</x:v>
      </x:c>
      <x:c r="AI104" s="242"/>
    </x:row>
    <x:row r="105" spans="2:36" s="241" customFormat="1" ht="12" x14ac:dyDescent="0.25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4">
        <x:f t="shared" si="43"/>
        <x:v>0</x:v>
      </x:c>
      <x:c r="K105" s="231">
        <x:f t="shared" ref="K105:K108" si="46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7">M105+N105</x:f>
        <x:v>0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0</x:v>
      </x:c>
      <x:c r="AA105" s="256">
        <x:f t="shared" si="44"/>
        <x:v>0</x:v>
      </x:c>
      <x:c r="AB105" s="230">
        <x:f t="shared" si="44"/>
        <x:v>0</x:v>
      </x:c>
      <x:c r="AC105" s="256">
        <x:f t="shared" si="44"/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440">
        <x:f>AF105-O105</x:f>
        <x:v>0</x:v>
      </x:c>
      <x:c r="AH105" s="1" t="b">
        <x:f t="shared" si="45"/>
        <x:v>1</x:v>
      </x:c>
      <x:c r="AI105" s="242"/>
    </x:row>
    <x:row r="106" spans="2:36" s="241" customFormat="1" ht="12" x14ac:dyDescent="0.25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4">
        <x:f t="shared" si="43"/>
        <x:v>0</x:v>
      </x:c>
      <x:c r="K106" s="231">
        <x:f t="shared" si="46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7"/>
        <x:v>0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0</x:v>
      </x:c>
      <x:c r="AA106" s="256">
        <x:f t="shared" si="44"/>
        <x:v>0</x:v>
      </x:c>
      <x:c r="AB106" s="230">
        <x:f t="shared" si="44"/>
        <x:v>0</x:v>
      </x:c>
      <x:c r="AC106" s="256">
        <x:f t="shared" si="44"/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440">
        <x:f>AF106-O106</x:f>
        <x:v>0</x:v>
      </x:c>
      <x:c r="AH106" s="1" t="b">
        <x:f t="shared" si="45"/>
        <x:v>1</x:v>
      </x:c>
      <x:c r="AI106" s="242"/>
    </x:row>
    <x:row r="107" spans="2:36" s="241" customFormat="1" ht="12" x14ac:dyDescent="0.25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4">
        <x:f t="shared" si="43"/>
        <x:v>0</x:v>
      </x:c>
      <x:c r="K107" s="231">
        <x:f t="shared" si="46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7"/>
        <x:v>0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0</x:v>
      </x:c>
      <x:c r="AA107" s="256">
        <x:f t="shared" si="44"/>
        <x:v>0</x:v>
      </x:c>
      <x:c r="AB107" s="230">
        <x:f t="shared" si="44"/>
        <x:v>0</x:v>
      </x:c>
      <x:c r="AC107" s="256">
        <x:f t="shared" si="44"/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440">
        <x:f>AF107-O107</x:f>
        <x:v>0</x:v>
      </x:c>
      <x:c r="AH107" s="1" t="b">
        <x:f t="shared" si="45"/>
        <x:v>1</x:v>
      </x:c>
      <x:c r="AI107" s="242"/>
    </x:row>
    <x:row r="108" spans="2:36" s="241" customFormat="1" ht="12.6" thickBot="1" x14ac:dyDescent="0.3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25">
        <x:f t="shared" si="43"/>
        <x:v>0</x:v>
      </x:c>
      <x:c r="K108" s="231">
        <x:f t="shared" si="46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7"/>
        <x:v>0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0</x:v>
      </x:c>
      <x:c r="AA108" s="256">
        <x:f t="shared" si="44"/>
        <x:v>0</x:v>
      </x:c>
      <x:c r="AB108" s="230">
        <x:f t="shared" si="44"/>
        <x:v>0</x:v>
      </x:c>
      <x:c r="AC108" s="256">
        <x:f t="shared" si="44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441">
        <x:f>AF108-O108</x:f>
        <x:v>0</x:v>
      </x:c>
      <x:c r="AH108" s="1" t="b">
        <x:f t="shared" si="45"/>
        <x:v>1</x:v>
      </x:c>
      <x:c r="AI108" s="242"/>
    </x:row>
    <x:row r="109" spans="2:36" s="241" customFormat="1" ht="13.8" thickBot="1" x14ac:dyDescent="0.3">
      <x:c r="B109" s="263"/>
      <x:c r="C109" s="264" t="s">
        <x:v>2</x:v>
      </x:c>
      <x:c r="D109" s="226">
        <x:f t="shared" ref="D109:O109" si="49">SUM(D104:D108)</x:f>
        <x:v>0</x:v>
      </x:c>
      <x:c r="E109" s="226">
        <x:f t="shared" si="49"/>
        <x:v>0</x:v>
      </x:c>
      <x:c r="F109" s="226">
        <x:f t="shared" si="49"/>
        <x:v>0</x:v>
      </x:c>
      <x:c r="G109" s="226">
        <x:f t="shared" si="49"/>
        <x:v>0</x:v>
      </x:c>
      <x:c r="H109" s="226">
        <x:f t="shared" si="49"/>
        <x:v>0</x:v>
      </x:c>
      <x:c r="I109" s="226">
        <x:f t="shared" si="49"/>
        <x:v>0</x:v>
      </x:c>
      <x:c r="J109" s="226">
        <x:f t="shared" si="49"/>
        <x:v>0</x:v>
      </x:c>
      <x:c r="K109" s="236">
        <x:f t="shared" si="49"/>
        <x:v>0</x:v>
      </x:c>
      <x:c r="L109" s="237">
        <x:f t="shared" si="49"/>
        <x:v>0</x:v>
      </x:c>
      <x:c r="M109" s="238">
        <x:f t="shared" si="49"/>
        <x:v>0</x:v>
      </x:c>
      <x:c r="N109" s="237">
        <x:f t="shared" si="49"/>
        <x:v>0</x:v>
      </x:c>
      <x:c r="O109" s="238">
        <x:f t="shared" si="49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0">SUM(V104:V108)</x:f>
        <x:v>0</x:v>
      </x:c>
      <x:c r="W109" s="266">
        <x:f t="shared" si="50"/>
        <x:v>0</x:v>
      </x:c>
      <x:c r="X109" s="266">
        <x:f t="shared" si="50"/>
        <x:v>0</x:v>
      </x:c>
      <x:c r="Y109" s="266">
        <x:f t="shared" si="50"/>
        <x:v>0</x:v>
      </x:c>
      <x:c r="Z109" s="226">
        <x:f t="shared" si="50"/>
        <x:v>0</x:v>
      </x:c>
      <x:c r="AA109" s="226">
        <x:f t="shared" si="50"/>
        <x:v>0</x:v>
      </x:c>
      <x:c r="AB109" s="226">
        <x:f t="shared" si="50"/>
        <x:v>0</x:v>
      </x:c>
      <x:c r="AC109" s="226">
        <x:f t="shared" si="50"/>
        <x:v>0</x:v>
      </x:c>
      <x:c r="AD109" s="226">
        <x:f t="shared" si="50"/>
        <x:v>0</x:v>
      </x:c>
      <x:c r="AE109" s="226">
        <x:f>SUM(AE104:AE108)</x:f>
        <x:v>0</x:v>
      </x:c>
      <x:c r="AF109" s="267">
        <x:f t="shared" si="50"/>
        <x:v>0</x:v>
      </x:c>
      <x:c r="AG109" s="442">
        <x:f>SUM(AG104:AG108)</x:f>
        <x:v>0</x:v>
      </x:c>
      <x:c r="AH109" s="1" t="b">
        <x:f t="shared" si="45"/>
        <x:v>1</x:v>
      </x:c>
      <x:c r="AI109" s="242"/>
    </x:row>
    <x:row r="110" spans="2:36" ht="12.6" thickBot="1" x14ac:dyDescent="0.3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06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1">
        <x:v>1</x:v>
      </x:c>
      <x:c r="C125" s="102" t="s">
        <x:v>10</x:v>
      </x:c>
      <x:c r="D125" s="103">
        <x:f>'ANTICIPOS USUARIOS'!F3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USUARIOS'!F12</x:f>
        <x:v>0</x:v>
      </x:c>
      <x:c r="L125" s="245">
        <x:f>-'ANTICIPOS USUARIOS'!F21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1">D67+N67</x:f>
        <x:v>0</x:v>
      </x:c>
      <x:c r="K126" s="224">
        <x:f>'ANTICIPOS USUARIOS'!F13</x:f>
        <x:v>0</x:v>
      </x:c>
      <x:c r="L126" s="224">
        <x:f>-'ANTICIPOS USUARIOS'!F22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1"/>
        <x:v>0</x:v>
      </x:c>
      <x:c r="K127" s="224">
        <x:f>'ANTICIPOS USUARIOS'!F14</x:f>
        <x:v>0</x:v>
      </x:c>
      <x:c r="L127" s="224">
        <x:f>-'ANTICIPOS USUARIOS'!F23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1"/>
        <x:v>0</x:v>
      </x:c>
      <x:c r="K128" s="224">
        <x:f>'ANTICIPOS USUARIOS'!F15</x:f>
        <x:v>0</x:v>
      </x:c>
      <x:c r="L128" s="224">
        <x:f>-'ANTICIPOS USUARIOS'!F24</x:f>
        <x:v>0</x:v>
      </x:c>
      <x:c r="O128" s="44"/>
      <x:c r="Q128" s="4"/>
    </x:row>
    <x:row r="129" spans="1:18" ht="12" x14ac:dyDescent="0.25">
      <x:c r="B129" s="122">
        <x:v>5</x:v>
      </x:c>
      <x:c r="C129" s="127" t="s">
        <x:v>14</x:v>
      </x:c>
      <x:c r="D129" s="15">
        <x:f>'ANTICIPOS USUARIOS'!F7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1"/>
        <x:v>0</x:v>
      </x:c>
      <x:c r="K129" s="224">
        <x:f>'ANTICIPOS USUARIOS'!F16</x:f>
        <x:v>0</x:v>
      </x:c>
      <x:c r="L129" s="224">
        <x:f>-'ANTICIPOS USUARIOS'!F25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6" thickBot="1" x14ac:dyDescent="0.3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2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v>0</x:v>
      </x:c>
      <x:c r="J142" s="103">
        <x:f t="shared" ref="J142:K146" si="53">G125</x:f>
        <x:v>0</x:v>
      </x:c>
      <x:c r="K142" s="104">
        <x:f t="shared" si="53"/>
        <x:v>0</x:v>
      </x:c>
      <x:c r="L142" s="510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10">
        <x:f>D143-E143-F143-G143-J143-H143-I143</x:f>
        <x:v>0</x:v>
      </x:c>
      <x:c r="M143" s="1" t="b">
        <x:f>INT(L143)=0</x:f>
        <x:v>1</x:v>
      </x:c>
      <x:c r="O143" s="119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10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10">
        <x:f>D145-E145-F145-G145-J145-H145-I145</x:f>
        <x:v>0</x:v>
      </x:c>
      <x:c r="M145" s="1" t="b">
        <x:f t="shared" si="54"/>
        <x:v>1</x:v>
      </x:c>
      <x:c r="O145" s="93"/>
      <x:c r="P145" s="24"/>
      <x:c r="Q145" s="35"/>
      <x:c r="R145" s="24"/>
    </x:row>
    <x:row r="146" spans="1:20" ht="12.6" thickBot="1" x14ac:dyDescent="0.3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v>0</x:v>
      </x:c>
      <x:c r="J146" s="123">
        <x:f t="shared" si="53"/>
        <x:v>0</x:v>
      </x:c>
      <x:c r="K146" s="125">
        <x:f t="shared" si="53"/>
        <x:v>0</x:v>
      </x:c>
      <x:c r="L146" s="510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10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466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L16" sqref="L16"/>
    </x:sheetView>
  </x:sheetViews>
  <x:sheetFormatPr baseColWidth="10" defaultRowHeight="13.2" x14ac:dyDescent="0.25"/>
  <x:cols>
    <x:col min="1" max="1" width="3" customWidth="1"/>
    <x:col min="2" max="2" width="4.33203125" bestFit="1" customWidth="1"/>
    <x:col min="3" max="3" width="16.6640625" customWidth="1"/>
    <x:col min="4" max="4" width="14.33203125" customWidth="1"/>
    <x:col min="5" max="7" width="17.6640625" customWidth="1"/>
    <x:col min="8" max="8" width="18.33203125" customWidth="1"/>
    <x:col min="9" max="9" width="15.6640625" customWidth="1"/>
    <x:col min="10" max="10" width="16.44140625" customWidth="1"/>
    <x:col min="11" max="11" width="15.6640625" customWidth="1"/>
    <x:col min="12" max="13" width="18.33203125" customWidth="1"/>
    <x:col min="14" max="14" width="15.6640625" customWidth="1"/>
    <x:col min="15" max="15" width="14.3320312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5">
      <x:c r="B3" s="239">
        <x:v>1</x:v>
      </x:c>
      <x:c r="C3" s="228">
        <x:f>'Recaudo EAAB Reciprocidad'!F21</x:f>
        <x:v>0</x:v>
      </x:c>
      <x:c r="D3" s="228">
        <x:f>'REMUNERACION Reciprocidad EAAB'!G125</x:f>
        <x:v>0</x:v>
      </x:c>
      <x:c r="E3" s="228">
        <x:f>'REMUNERACION Reciprocidad EAAB'!D28+'REMUNERACION Reciprocidad EAAB'!N28</x:f>
        <x:v>0</x:v>
      </x:c>
      <x:c r="F3" s="228">
        <x:f>'REMUNERACION Reciprocidad EAAB'!I142</x:f>
        <x:v>0</x:v>
      </x:c>
      <x:c r="G3" s="228">
        <x:f>'REMUNERACION Reciprocidad EAAB'!H142</x:f>
        <x:v>0</x:v>
      </x:c>
      <x:c r="H3" s="276">
        <x:f>SUM(C3:G3)</x:f>
        <x:v>0</x:v>
      </x:c>
      <x:c r="I3" s="227">
        <x:f>'REMUNERACION Reciprocidad EAAB'!D104</x:f>
        <x:v>0</x:v>
      </x:c>
      <x:c r="J3" s="228">
        <x:f>'REMUNERACION Reciprocidad EAAB'!N104</x:f>
        <x:v>0</x:v>
      </x:c>
      <x:c r="K3" s="228">
        <x:f>'REMUNERACION Reciprocidad EAAB'!D125</x:f>
        <x:v>0</x:v>
      </x:c>
      <x:c r="L3" s="289">
        <x:f>'REMUNERACION Reciprocidad EAAB'!E125</x:f>
        <x:v>0</x:v>
      </x:c>
      <x:c r="M3" s="228">
        <x:f>-'REMUNERACION Reciprocidad EAAB'!D66-'REMUNERACION Reciprocidad EAAB'!N66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5">
      <x:c r="B4" s="250">
        <x:v>2</x:v>
      </x:c>
      <x:c r="C4" s="253">
        <x:f>'Recaudo EAAB Reciprocidad'!F22</x:f>
        <x:v>0</x:v>
      </x:c>
      <x:c r="D4" s="228">
        <x:f>'REMUNERACION Reciprocidad EAAB'!G126</x:f>
        <x:v>0</x:v>
      </x:c>
      <x:c r="E4" s="228">
        <x:f>'REMUNERACION Reciprocidad EAAB'!D29+'REMUNERACION Reciprocidad EAAB'!N29</x:f>
        <x:v>0</x:v>
      </x:c>
      <x:c r="F4" s="228">
        <x:f>'REMUNERACION Reciprocidad EAAB'!I143</x:f>
        <x:v>0</x:v>
      </x:c>
      <x:c r="G4" s="228">
        <x:f>'REMUNERACION Reciprocidad EAAB'!H143</x:f>
        <x:v>0</x:v>
      </x:c>
      <x:c r="H4" s="276">
        <x:f t="shared" ref="H4:H8" si="1">SUM(C4:G4)</x:f>
        <x:v>0</x:v>
      </x:c>
      <x:c r="I4" s="227">
        <x:f>'REMUNERACION Reciprocidad EAAB'!D105</x:f>
        <x:v>0</x:v>
      </x:c>
      <x:c r="J4" s="228">
        <x:f>'REMUNERACION Reciprocidad EAAB'!N105</x:f>
        <x:v>0</x:v>
      </x:c>
      <x:c r="K4" s="228">
        <x:f>'REMUNERACION Reciprocidad EAAB'!D126</x:f>
        <x:v>0</x:v>
      </x:c>
      <x:c r="L4" s="289">
        <x:f>'REMUNERACION Reciprocidad EAAB'!E126</x:f>
        <x:v>0</x:v>
      </x:c>
      <x:c r="M4" s="228">
        <x:f>-'REMUNERACION Reciprocidad EAAB'!D67-'REMUNERACION Reciprocidad EAAB'!N67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5">
      <x:c r="B5" s="250">
        <x:v>3</x:v>
      </x:c>
      <x:c r="C5" s="253">
        <x:f>'Recaudo EAAB Reciprocidad'!D23</x:f>
        <x:v>0</x:v>
      </x:c>
      <x:c r="D5" s="228">
        <x:f>'REMUNERACION Reciprocidad EAAB'!G127</x:f>
        <x:v>0</x:v>
      </x:c>
      <x:c r="E5" s="228">
        <x:f>'REMUNERACION Reciprocidad EAAB'!D30+'REMUNERACION Reciprocidad EAAB'!N30</x:f>
        <x:v>0</x:v>
      </x:c>
      <x:c r="F5" s="228">
        <x:f>'REMUNERACION Reciprocidad EAAB'!I144</x:f>
        <x:v>0</x:v>
      </x:c>
      <x:c r="G5" s="228">
        <x:f>'REMUNERACION Reciprocidad EAAB'!H144</x:f>
        <x:v>0</x:v>
      </x:c>
      <x:c r="H5" s="276">
        <x:f t="shared" si="1"/>
        <x:v>0</x:v>
      </x:c>
      <x:c r="I5" s="227">
        <x:f>'REMUNERACION Reciprocidad EAAB'!D106</x:f>
        <x:v>0</x:v>
      </x:c>
      <x:c r="J5" s="228">
        <x:f>'REMUNERACION Reciprocidad EAAB'!N106</x:f>
        <x:v>0</x:v>
      </x:c>
      <x:c r="K5" s="228">
        <x:f>'REMUNERACION Reciprocidad EAAB'!D127</x:f>
        <x:v>0</x:v>
      </x:c>
      <x:c r="L5" s="289">
        <x:f>'REMUNERACION Reciprocidad EAAB'!E127</x:f>
        <x:v>0</x:v>
      </x:c>
      <x:c r="M5" s="228">
        <x:f>-'REMUNERACION Reciprocidad EAAB'!D68-'REMUNERACION Reciprocidad EAAB'!N68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5">
      <x:c r="B6" s="250">
        <x:v>4</x:v>
      </x:c>
      <x:c r="C6" s="253">
        <x:f>'Recaudo EAAB Reciprocidad'!F24</x:f>
        <x:v>0</x:v>
      </x:c>
      <x:c r="D6" s="228">
        <x:f>'REMUNERACION Reciprocidad EAAB'!G128</x:f>
        <x:v>0</x:v>
      </x:c>
      <x:c r="E6" s="228">
        <x:f>'REMUNERACION Reciprocidad EAAB'!D31+'REMUNERACION Reciprocidad EAAB'!N31</x:f>
        <x:v>0</x:v>
      </x:c>
      <x:c r="F6" s="228">
        <x:f>'REMUNERACION Reciprocidad EAAB'!I145</x:f>
        <x:v>0</x:v>
      </x:c>
      <x:c r="G6" s="228">
        <x:f>'REMUNERACION Reciprocidad EAAB'!H145</x:f>
        <x:v>0</x:v>
      </x:c>
      <x:c r="H6" s="276">
        <x:f t="shared" si="1"/>
        <x:v>0</x:v>
      </x:c>
      <x:c r="I6" s="227">
        <x:f>'REMUNERACION Reciprocidad EAAB'!D107</x:f>
        <x:v>0</x:v>
      </x:c>
      <x:c r="J6" s="228">
        <x:f>'REMUNERACION Reciprocidad EAAB'!N107</x:f>
        <x:v>0</x:v>
      </x:c>
      <x:c r="K6" s="228">
        <x:f>'REMUNERACION Reciprocidad EAAB'!D128</x:f>
        <x:v>0</x:v>
      </x:c>
      <x:c r="L6" s="289">
        <x:f>'REMUNERACION Reciprocidad EAAB'!E128</x:f>
        <x:v>0</x:v>
      </x:c>
      <x:c r="M6" s="228">
        <x:f>-'REMUNERACION Reciprocidad EAAB'!D69-'REMUNERACION Reciprocidad EAAB'!N69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5">
      <x:c r="B7" s="250">
        <x:v>5</x:v>
      </x:c>
      <x:c r="C7" s="253">
        <x:f>'Recaudo EAAB Reciprocidad'!D25</x:f>
        <x:v>0</x:v>
      </x:c>
      <x:c r="D7" s="228">
        <x:f>'REMUNERACION Reciprocidad EAAB'!G129</x:f>
        <x:v>0</x:v>
      </x:c>
      <x:c r="E7" s="228">
        <x:f>'REMUNERACION Reciprocidad EAAB'!D32+'REMUNERACION Reciprocidad EAAB'!N32</x:f>
        <x:v>0</x:v>
      </x:c>
      <x:c r="F7" s="228">
        <x:f>'REMUNERACION Reciprocidad EAAB'!I146</x:f>
        <x:v>0</x:v>
      </x:c>
      <x:c r="G7" s="228">
        <x:f>'REMUNERACION Reciprocidad EAAB'!H146</x:f>
        <x:v>0</x:v>
      </x:c>
      <x:c r="H7" s="276">
        <x:f t="shared" si="1"/>
        <x:v>0</x:v>
      </x:c>
      <x:c r="I7" s="227">
        <x:f>'REMUNERACION Reciprocidad EAAB'!D108</x:f>
        <x:v>0</x:v>
      </x:c>
      <x:c r="J7" s="228">
        <x:f>'REMUNERACION Reciprocidad EAAB'!N108</x:f>
        <x:v>0</x:v>
      </x:c>
      <x:c r="K7" s="228">
        <x:f>'REMUNERACION Reciprocidad EAAB'!D129</x:f>
        <x:v>0</x:v>
      </x:c>
      <x:c r="L7" s="289">
        <x:f>'REMUNERACION Reciprocidad EAAB'!E129</x:f>
        <x:v>0</x:v>
      </x:c>
      <x:c r="M7" s="228">
        <x:f>-'REMUNERACION Reciprocidad EAAB'!D70-'REMUNERACION Reciprocidad EAAB'!N70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8" thickBot="1" x14ac:dyDescent="0.3">
      <x:c r="B8" s="277" t="s">
        <x:v>89</x:v>
      </x:c>
      <x:c r="C8" s="253">
        <x:f>'Recaudo EAAB Reciprocidad'!F26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 Reciprocidad EAAB'!E130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8" thickBot="1" x14ac:dyDescent="0.3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5">
      <x:c r="B11" s="95" t="s">
        <x:v>89</x:v>
      </x:c>
      <x:c r="C11" s="96" t="s">
        <x:v>90</x:v>
      </x:c>
      <x:c r="M11" s="130"/>
      <x:c r="O11" s="126"/>
    </x:row>
    <x:row r="12" spans="2:16" x14ac:dyDescent="0.25">
      <x:c r="C12" s="132"/>
    </x:row>
    <x:row r="13" spans="2:16" x14ac:dyDescent="0.25">
      <x:c r="B13" s="131"/>
      <x:c r="C13" s="132" t="s">
        <x:v>1</x:v>
      </x:c>
    </x:row>
    <x:row r="14" spans="2:16" x14ac:dyDescent="0.25">
      <x:c r="C14" s="200">
        <x:f>'Valida - Control Recaudo'!D9</x:f>
        <x:v>0</x:v>
      </x:c>
    </x:row>
    <x:row r="15" spans="2:16" x14ac:dyDescent="0.25">
      <x:c r="C15" s="202" t="b">
        <x:f>C14=C9</x:f>
        <x:v>1</x:v>
      </x:c>
    </x:row>
    <x:row r="16" spans="2:16" x14ac:dyDescent="0.25">
      <x:c r="C16" s="191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9.44140625" style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9.6640625" style="1" customWidth="1"/>
    <x:col min="34" max="34" width="13.664062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'REMUNERACION Reciprocidad EAAB'!D101</x:f>
        <x:v>46238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11" t="s">
        <x:v>0</x:v>
      </x:c>
      <x:c r="D7" s="198">
        <x:f>'REMUNERACION Reciprocidad EAAB'!D102</x:f>
        <x:v>0.58333333333333337</x:v>
      </x:c>
      <x:c r="F7" s="2" t="s">
        <x:v>27</x:v>
      </x:c>
      <x:c r="G7" s="9">
        <x:f>'REMUNERACION Reciprocidad EAAB'!G102</x:f>
        <x:v>46219</x:v>
      </x:c>
      <x:c r="J7" s="2" t="s">
        <x:v>28</x:v>
      </x:c>
      <x:c r="K7" s="9">
        <x:f>'REMUNERACION Reciprocidad EAAB'!K102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 Reciprocidad EAAB'!G122</x:f>
        <x:v>46219</x:v>
      </x:c>
      <x:c r="J27" s="2" t="s">
        <x:v>28</x:v>
      </x:c>
      <x:c r="K27" s="9">
        <x:f>'REMUNERACION Reciprocidad EAAB'!K122</x:f>
        <x:v>46234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06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1">
        <x:v>1</x:v>
      </x:c>
      <x:c r="C30" s="102" t="s">
        <x:v>10</x:v>
      </x:c>
      <x:c r="D30" s="103">
        <x:f>'REMUNERACION Reciprocidad EAAB'!D125</x:f>
        <x:v>0</x:v>
      </x:c>
      <x:c r="E30" s="104">
        <x:f>'REMUNERACION Reciprocidad EAAB'!E125</x:f>
        <x:v>0</x:v>
      </x:c>
      <x:c r="G30" s="272">
        <x:f>'REMUNERACION Reciprocidad EAAB'!G125</x:f>
        <x:v>0</x:v>
      </x:c>
      <x:c r="H30" s="246">
        <x:f>'REMUNERACION Reciprocidad EAAB'!H125</x:f>
        <x:v>0</x:v>
      </x:c>
      <x:c r="I30" s="245">
        <x:f>'REMUNERACION Reciprocidad EAAB'!I125</x:f>
        <x:v>0</x:v>
      </x:c>
      <x:c r="J30" s="245">
        <x:f>'REMUNERACION Reciprocidad EAAB'!J125</x:f>
        <x:v>0</x:v>
      </x:c>
      <x:c r="K30" s="245">
        <x:f>'REMUNERACION Reciprocidad EAAB'!K125</x:f>
        <x:v>0</x:v>
      </x:c>
      <x:c r="L30" s="245">
        <x:f>'REMUNERACION Reciprocidad EAAB'!L125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275">
        <x:f>'REMUNERACION Reciprocidad EAAB'!G126</x:f>
        <x:v>0</x:v>
      </x:c>
      <x:c r="H31" s="276">
        <x:f>'REMUNERACION Reciprocidad EAAB'!H126</x:f>
        <x:v>0</x:v>
      </x:c>
      <x:c r="I31" s="224">
        <x:f>'REMUNERACION Reciprocidad EAAB'!I126</x:f>
        <x:v>0</x:v>
      </x:c>
      <x:c r="J31" s="224">
        <x:f>'REMUNERACION Reciprocidad EAAB'!J126</x:f>
        <x:v>0</x:v>
      </x:c>
      <x:c r="K31" s="224">
        <x:f>'REMUNERACION Reciprocidad EAAB'!K126</x:f>
        <x:v>0</x:v>
      </x:c>
      <x:c r="L31" s="224">
        <x:f>'REMUNERACION Reciprocidad EAAB'!L126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275">
        <x:f>'REMUNERACION Reciprocidad EAAB'!G127</x:f>
        <x:v>0</x:v>
      </x:c>
      <x:c r="H32" s="276">
        <x:f>'REMUNERACION Reciprocidad EAAB'!H127</x:f>
        <x:v>0</x:v>
      </x:c>
      <x:c r="I32" s="224">
        <x:f>'REMUNERACION Reciprocidad EAAB'!I127</x:f>
        <x:v>0</x:v>
      </x:c>
      <x:c r="J32" s="224">
        <x:f>'REMUNERACION Reciprocidad EAAB'!J127</x:f>
        <x:v>0</x:v>
      </x:c>
      <x:c r="K32" s="224">
        <x:f>'REMUNERACION Reciprocidad EAAB'!K127</x:f>
        <x:v>0</x:v>
      </x:c>
      <x:c r="L32" s="224">
        <x:f>'REMUNERACION Reciprocidad EAAB'!L127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275">
        <x:f>'REMUNERACION Reciprocidad EAAB'!G128</x:f>
        <x:v>0</x:v>
      </x:c>
      <x:c r="H33" s="276">
        <x:f>'REMUNERACION Reciprocidad EAAB'!H128</x:f>
        <x:v>0</x:v>
      </x:c>
      <x:c r="I33" s="224">
        <x:f>'REMUNERACION Reciprocidad EAAB'!I128</x:f>
        <x:v>0</x:v>
      </x:c>
      <x:c r="J33" s="224">
        <x:f>'REMUNERACION Reciprocidad EAAB'!J128</x:f>
        <x:v>0</x:v>
      </x:c>
      <x:c r="K33" s="224">
        <x:f>'REMUNERACION Reciprocidad EAAB'!K128</x:f>
        <x:v>0</x:v>
      </x:c>
      <x:c r="L33" s="224">
        <x:f>'REMUNERACION Reciprocidad EAAB'!L128</x:f>
        <x:v>0</x:v>
      </x:c>
      <x:c r="O33" s="44"/>
      <x:c r="Q33" s="4"/>
    </x:row>
    <x:row r="34" spans="1:20" ht="12" x14ac:dyDescent="0.25">
      <x:c r="B34" s="122">
        <x:v>5</x:v>
      </x:c>
      <x:c r="C34" s="127" t="s">
        <x:v>14</x:v>
      </x:c>
      <x:c r="D34" s="124">
        <x:f>'REMUNERACION Reciprocidad EAAB'!D129</x:f>
        <x:v>0</x:v>
      </x:c>
      <x:c r="E34" s="128">
        <x:f>'REMUNERACION Reciprocidad EAAB'!E129</x:f>
        <x:v>0</x:v>
      </x:c>
      <x:c r="G34" s="275">
        <x:f>'REMUNERACION Reciprocidad EAAB'!G129</x:f>
        <x:v>0</x:v>
      </x:c>
      <x:c r="H34" s="276">
        <x:f>'REMUNERACION Reciprocidad EAAB'!H129</x:f>
        <x:v>0</x:v>
      </x:c>
      <x:c r="I34" s="224">
        <x:f>'REMUNERACION Reciprocidad EAAB'!I129</x:f>
        <x:v>0</x:v>
      </x:c>
      <x:c r="J34" s="224">
        <x:f>'REMUNERACION Reciprocidad EAAB'!J129</x:f>
        <x:v>0</x:v>
      </x:c>
      <x:c r="K34" s="224">
        <x:f>'REMUNERACION Reciprocidad EAAB'!K129</x:f>
        <x:v>0</x:v>
      </x:c>
      <x:c r="L34" s="224">
        <x:f>'REMUNERACION Reciprocidad EAAB'!L129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6" thickBot="1" x14ac:dyDescent="0.3">
      <x:c r="B36" s="92"/>
      <x:c r="C36" s="99" t="s">
        <x:v>2</x:v>
      </x:c>
      <x:c r="D36" s="100">
        <x:f>SUM(D30:D34)</x:f>
        <x:v>0</x:v>
      </x:c>
      <x:c r="E36" s="100">
        <x:f>'REMUNERACION Reciprocidad EAAB'!E131</x:f>
        <x:v>0</x:v>
      </x:c>
      <x:c r="F36" s="45"/>
      <x:c r="G36" s="286">
        <x:f t="shared" ref="G36:L36" si="5">SUM(G30:G34)</x:f>
        <x:v>0</x:v>
      </x:c>
      <x:c r="H36" s="286">
        <x:f t="shared" si="5"/>
        <x:v>0</x:v>
      </x:c>
      <x:c r="I36" s="286">
        <x:f t="shared" si="5"/>
        <x:v>0</x:v>
      </x:c>
      <x:c r="J36" s="286">
        <x:f t="shared" si="5"/>
        <x:v>0</x:v>
      </x:c>
      <x:c r="K36" s="286">
        <x:f t="shared" si="5"/>
        <x:v>0</x:v>
      </x:c>
      <x:c r="L36" s="286">
        <x:f t="shared" si="5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 Reciprocidad EAAB'!D109</x:f>
        <x:v>1</x:v>
      </x:c>
      <x:c r="E44" s="208" t="b">
        <x:f>E14='REMUNERACION Reciprocidad EAAB'!E109</x:f>
        <x:v>1</x:v>
      </x:c>
      <x:c r="F44" s="208" t="b">
        <x:f>F14='REMUNERACION Reciprocidad EAAB'!F109</x:f>
        <x:v>1</x:v>
      </x:c>
      <x:c r="G44" s="208" t="b">
        <x:f>G14='REMUNERACION Reciprocidad EAAB'!G109</x:f>
        <x:v>1</x:v>
      </x:c>
      <x:c r="H44" s="208" t="b">
        <x:f>H14='REMUNERACION Reciprocidad EAAB'!H109</x:f>
        <x:v>1</x:v>
      </x:c>
      <x:c r="I44" s="208" t="b">
        <x:f>I14='REMUNERACION Reciprocidad EAAB'!I109</x:f>
        <x:v>1</x:v>
      </x:c>
      <x:c r="J44" s="208" t="b">
        <x:f>J14='REMUNERACION Reciprocidad EAAB'!J109</x:f>
        <x:v>1</x:v>
      </x:c>
      <x:c r="K44" s="208" t="b">
        <x:f>K14='REMUNERACION Reciprocidad EAAB'!K109</x:f>
        <x:v>1</x:v>
      </x:c>
      <x:c r="L44" s="208" t="b">
        <x:f>L14='REMUNERACION Reciprocidad EAAB'!L109</x:f>
        <x:v>1</x:v>
      </x:c>
      <x:c r="M44" s="208" t="b">
        <x:f>M14='REMUNERACION Reciprocidad EAAB'!M109</x:f>
        <x:v>1</x:v>
      </x:c>
      <x:c r="N44" s="208" t="b">
        <x:f>N14='REMUNERACION Reciprocidad EAAB'!N109</x:f>
        <x:v>1</x:v>
      </x:c>
      <x:c r="O44" s="208" t="b">
        <x:f>O14='REMUNERACION Reciprocidad EAAB'!O109</x:f>
        <x:v>1</x:v>
      </x:c>
      <x:c r="Q44" s="24"/>
      <x:c r="T44" s="24"/>
    </x:row>
    <x:row r="45" spans="1:20" x14ac:dyDescent="0.2">
      <x:c r="D45" s="208" t="b">
        <x:f>D36='REMUNERACION Reciprocidad EAAB'!D131</x:f>
        <x:v>1</x:v>
      </x:c>
      <x:c r="E45" s="208" t="b">
        <x:f>E36='REMUNERACION Reciprocidad EAAB'!E131</x:f>
        <x:v>1</x:v>
      </x:c>
      <x:c r="F45" s="208" t="b">
        <x:f>F36='REMUNERACION Reciprocidad EAAB'!F131</x:f>
        <x:v>1</x:v>
      </x:c>
      <x:c r="G45" s="208" t="b">
        <x:f>G36='REMUNERACION Reciprocidad EAAB'!G131</x:f>
        <x:v>1</x:v>
      </x:c>
      <x:c r="H45" s="208" t="b">
        <x:f>H36='REMUNERACION Reciprocidad EAAB'!H131</x:f>
        <x:v>1</x:v>
      </x:c>
      <x:c r="I45" s="208" t="b">
        <x:f>I36='REMUNERACION Reciprocidad EAAB'!I131</x:f>
        <x:v>1</x:v>
      </x:c>
      <x:c r="J45" s="208" t="b">
        <x:f>J36='REMUNERACION Reciprocidad EAAB'!J131</x:f>
        <x:v>1</x:v>
      </x:c>
      <x:c r="K45" s="208" t="b">
        <x:f>K36='REMUNERACION Reciprocidad EAAB'!K131</x:f>
        <x:v>1</x:v>
      </x:c>
      <x:c r="L45" s="208" t="b">
        <x:f>L36='REMUNERACION Reciprocidad EAAB'!L131</x:f>
        <x:v>1</x:v>
      </x:c>
      <x:c r="M45" s="208" t="b">
        <x:f>M36='REMUNERACION Reciprocidad EAAB'!M131</x:f>
        <x:v>1</x:v>
      </x:c>
      <x:c r="N45" s="208" t="b">
        <x:f>N36='REMUNERACION Reciprocidad EAAB'!N131</x:f>
        <x:v>1</x:v>
      </x:c>
      <x:c r="O45" s="208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W25" zoomScaleNormal="100" workbookViewId="0">
      <x:selection activeCell="I16" sqref="I1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6640625" style="1" bestFit="1" customWidth="1"/>
    <x:col min="13" max="13" width="21" style="1" bestFit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16384" width="11.44140625" style="1"/>
  </x:cols>
  <x:sheetData>
    <x:row r="1" spans="1:35" ht="12.6" thickBot="1" x14ac:dyDescent="0.3">
      <x:c r="A1" s="198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ht="12" x14ac:dyDescent="0.25">
      <x:c r="B9" s="239">
        <x:v>1</x:v>
      </x:c>
      <x:c r="C9" s="240" t="s">
        <x:v>10</x:v>
      </x:c>
      <x:c r="D9" s="227">
        <x:f>'Reporte Componentes R1'!F56</x:f>
        <x:v>0</x:v>
      </x:c>
      <x:c r="E9" s="228">
        <x:f>'Reporte Componentes R1'!G56</x:f>
        <x:v>0</x:v>
      </x:c>
      <x:c r="F9" s="228">
        <x:f>'Reporte Componentes R1'!H56</x:f>
        <x:v>0</x:v>
      </x:c>
      <x:c r="G9" s="228">
        <x:f>'Reporte Componentes R1'!I56</x:f>
        <x:v>0</x:v>
      </x:c>
      <x:c r="H9" s="228">
        <x:f>'Reporte Componentes R1'!J56</x:f>
        <x:v>0</x:v>
      </x:c>
      <x:c r="I9" s="228">
        <x:f>'Reporte Componentes R1'!K56</x:f>
        <x:v>0</x:v>
      </x:c>
      <x:c r="J9" s="228">
        <x:f>'CONSOLIDADO_TOTAL RECAUDO'!J9</x:f>
        <x:v>0</x:v>
      </x:c>
      <x:c r="K9" s="229">
        <x:f>D9-E9-F9-G9-H9-I9-J9</x:f>
        <x:v>0</x:v>
      </x:c>
      <x:c r="L9" s="230">
        <x:f>'CONSOLIDADO_TOTAL RECAUDO'!L9</x:f>
        <x:v>189185987</x:v>
      </x:c>
      <x:c r="M9" s="229">
        <x:f>K9-L9</x:f>
        <x:v>-189185987</x:v>
      </x:c>
      <x:c r="N9" s="230">
        <x:f>'Reporte Componentes R1'!L56</x:f>
        <x:v>0</x:v>
      </x:c>
      <x:c r="O9" s="229">
        <x:f>M9+N9</x:f>
        <x:v>-189185987</x:v>
      </x:c>
      <x:c r="Q9" s="242"/>
      <x:c r="S9" s="239">
        <x:v>1</x:v>
      </x:c>
      <x:c r="T9" s="240" t="s">
        <x:v>10</x:v>
      </x:c>
      <x:c r="U9" s="243">
        <x:f>'Reporte Componentes R1'!M56</x:f>
        <x:v>0</x:v>
      </x:c>
      <x:c r="V9" s="244">
        <x:f>'Reporte Componentes R1'!N56</x:f>
        <x:v>0</x:v>
      </x:c>
      <x:c r="W9" s="244">
        <x:f>'Reporte Componentes R1'!O56</x:f>
        <x:v>0</x:v>
      </x:c>
      <x:c r="X9" s="244">
        <x:f>'Reporte Componentes R1'!P56</x:f>
        <x:v>0</x:v>
      </x:c>
      <x:c r="Y9" s="245">
        <x:f>'Reporte Componentes R1'!Q56</x:f>
        <x:v>0</x:v>
      </x:c>
      <x:c r="Z9" s="246">
        <x:f>L9*-1</x:f>
        <x:v>-189185987</x:v>
      </x:c>
      <x:c r="AA9" s="247">
        <x:f>'Reporte Componentes R1'!R56+'Reporte Componentes R1'!V56+'Reporte Componentes R1'!U56</x:f>
        <x:v>0</x:v>
      </x:c>
      <x:c r="AB9" s="230">
        <x:f>N9</x:f>
        <x:v>0</x:v>
      </x:c>
      <x:c r="AC9" s="247">
        <x:f>'Reporte Componentes R1'!T56+'Reporte Componentes R1'!W56+'Reporte Componentes R1'!X56+'Reporte Componentes R1'!Y56+'Reporte Componentes R1'!Z56+'Reporte Componentes R1'!S56</x:f>
        <x:v>0</x:v>
      </x:c>
      <x:c r="AD9" s="227">
        <x:f>-J9+AE9</x:f>
        <x:v>0</x:v>
      </x:c>
      <x:c r="AE9" s="227">
        <x:f>'Reporte Componentes R1'!F57</x:f>
        <x:v>0</x:v>
      </x:c>
      <x:c r="AF9" s="249">
        <x:f>SUM(U9:AD9)</x:f>
        <x:v>-189185987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ht="12" x14ac:dyDescent="0.25">
      <x:c r="B10" s="250">
        <x:v>2</x:v>
      </x:c>
      <x:c r="C10" s="251" t="s">
        <x:v>11</x:v>
      </x:c>
      <x:c r="D10" s="227">
        <x:f>'Reporte Componentes R1'!F186</x:f>
        <x:v>0</x:v>
      </x:c>
      <x:c r="E10" s="228">
        <x:f>'Reporte Componentes R1'!G186</x:f>
        <x:v>0</x:v>
      </x:c>
      <x:c r="F10" s="228">
        <x:f>'Reporte Componentes R1'!H186</x:f>
        <x:v>0</x:v>
      </x:c>
      <x:c r="G10" s="228">
        <x:f>'Reporte Componentes R1'!I186</x:f>
        <x:v>0</x:v>
      </x:c>
      <x:c r="H10" s="228">
        <x:f>'Reporte Componentes R1'!J186</x:f>
        <x:v>0</x:v>
      </x:c>
      <x:c r="I10" s="228">
        <x:f>'Reporte Componentes R1'!K186</x:f>
        <x:v>0</x:v>
      </x:c>
      <x:c r="J10" s="228">
        <x:f>'CONSOLIDADO_TOTAL RECAUDO'!J10</x:f>
        <x:v>0</x:v>
      </x:c>
      <x:c r="K10" s="231">
        <x:f>D10-E10-F10-G10-H10-I10-J10</x:f>
        <x:v>0</x:v>
      </x:c>
      <x:c r="L10" s="230">
        <x:f>'CONSOLIDADO_TOTAL RECAUDO'!L10</x:f>
        <x:v>266580255</x:v>
      </x:c>
      <x:c r="M10" s="231">
        <x:f>K10-L10</x:f>
        <x:v>-266580255</x:v>
      </x:c>
      <x:c r="N10" s="230">
        <x:f>'Reporte Componentes R1'!L186</x:f>
        <x:v>0</x:v>
      </x:c>
      <x:c r="O10" s="231">
        <x:f t="shared" ref="O10:O12" si="0">M10+N10</x:f>
        <x:v>-266580255</x:v>
      </x:c>
      <x:c r="Q10" s="242"/>
      <x:c r="S10" s="250">
        <x:v>2</x:v>
      </x:c>
      <x:c r="T10" s="251" t="s">
        <x:v>11</x:v>
      </x:c>
      <x:c r="U10" s="252">
        <x:f>'Reporte Componentes R1'!M186</x:f>
        <x:v>0</x:v>
      </x:c>
      <x:c r="V10" s="253">
        <x:f>'Reporte Componentes R1'!N186</x:f>
        <x:v>0</x:v>
      </x:c>
      <x:c r="W10" s="253">
        <x:f>'Reporte Componentes R1'!O186</x:f>
        <x:v>0</x:v>
      </x:c>
      <x:c r="X10" s="253">
        <x:f>'Reporte Componentes R1'!P186</x:f>
        <x:v>0</x:v>
      </x:c>
      <x:c r="Y10" s="254">
        <x:f>'Reporte Componentes R1'!Q186</x:f>
        <x:v>0</x:v>
      </x:c>
      <x:c r="Z10" s="255">
        <x:f>L10*-1</x:f>
        <x:v>-266580255</x:v>
      </x:c>
      <x:c r="AA10" s="256">
        <x:f>'Reporte Componentes R1'!R186+'Reporte Componentes R1'!V186+'Reporte Componentes R1'!U186</x:f>
        <x:v>0</x:v>
      </x:c>
      <x:c r="AB10" s="230">
        <x:f>N10</x:f>
        <x:v>0</x:v>
      </x:c>
      <x:c r="AC10" s="256">
        <x:f>'Reporte Componentes R1'!T186+'Reporte Componentes R1'!W186+'Reporte Componentes R1'!X186+'Reporte Componentes R1'!Y186+'Reporte Componentes R1'!Z186+'Reporte Componentes R1'!S186</x:f>
        <x:v>0</x:v>
      </x:c>
      <x:c r="AD10" s="227">
        <x:f t="shared" ref="AD10:AD13" si="1">-J10+AE10</x:f>
        <x:v>0</x:v>
      </x:c>
      <x:c r="AE10" s="227">
        <x:f>'Reporte Componentes R1'!F187</x:f>
        <x:v>0</x:v>
      </x:c>
      <x:c r="AF10" s="258">
        <x:f>SUM(U10:AD10)</x:f>
        <x:v>-266580255</x:v>
      </x:c>
      <x:c r="AG10" s="259">
        <x:f>(AF10-O10)</x:f>
        <x:v>0</x:v>
      </x:c>
      <x:c r="AH10" s="1" t="b">
        <x:f t="shared" ref="AH10:AH14" si="2">INT(AG10)=0</x:f>
        <x:v>1</x:v>
      </x:c>
      <x:c r="AI10" s="242"/>
    </x:row>
    <x:row r="11" spans="1:35" s="241" customFormat="1" ht="12" x14ac:dyDescent="0.25">
      <x:c r="B11" s="250">
        <x:v>3</x:v>
      </x:c>
      <x:c r="C11" s="251" t="s">
        <x:v>12</x:v>
      </x:c>
      <x:c r="D11" s="227">
        <x:f>'Reporte Componentes R1'!F326</x:f>
        <x:v>0</x:v>
      </x:c>
      <x:c r="E11" s="228">
        <x:f>'Reporte Componentes R1'!G326</x:f>
        <x:v>0</x:v>
      </x:c>
      <x:c r="F11" s="228">
        <x:f>'Reporte Componentes R1'!H326</x:f>
        <x:v>0</x:v>
      </x:c>
      <x:c r="G11" s="228">
        <x:f>'Reporte Componentes R1'!I326</x:f>
        <x:v>0</x:v>
      </x:c>
      <x:c r="H11" s="228">
        <x:f>'Reporte Componentes R1'!J326</x:f>
        <x:v>0</x:v>
      </x:c>
      <x:c r="I11" s="228">
        <x:f>'Reporte Componentes R1'!K326</x:f>
        <x:v>0</x:v>
      </x:c>
      <x:c r="J11" s="228">
        <x:f>'CONSOLIDADO_TOTAL RECAUDO'!J11</x:f>
        <x:v>0</x:v>
      </x:c>
      <x:c r="K11" s="231">
        <x:f t="shared" ref="K11:K13" si="3">D11-E11-F11-G11-H11-I11-J11</x:f>
        <x:v>0</x:v>
      </x:c>
      <x:c r="L11" s="230">
        <x:f>'CONSOLIDADO_TOTAL RECAUDO'!L11</x:f>
        <x:v>154788535</x:v>
      </x:c>
      <x:c r="M11" s="231">
        <x:f>K11-L11</x:f>
        <x:v>-154788535</x:v>
      </x:c>
      <x:c r="N11" s="230">
        <x:f>'Reporte Componentes R1'!L326</x:f>
        <x:v>0</x:v>
      </x:c>
      <x:c r="O11" s="231">
        <x:f t="shared" si="0"/>
        <x:v>-154788535</x:v>
      </x:c>
      <x:c r="Q11" s="242"/>
      <x:c r="S11" s="250">
        <x:v>3</x:v>
      </x:c>
      <x:c r="T11" s="251" t="s">
        <x:v>12</x:v>
      </x:c>
      <x:c r="U11" s="252">
        <x:f>'Reporte Componentes R1'!M326</x:f>
        <x:v>0</x:v>
      </x:c>
      <x:c r="V11" s="253">
        <x:f>'Reporte Componentes R1'!N326</x:f>
        <x:v>0</x:v>
      </x:c>
      <x:c r="W11" s="253">
        <x:f>'Reporte Componentes R1'!O326</x:f>
        <x:v>0</x:v>
      </x:c>
      <x:c r="X11" s="253">
        <x:f>'Reporte Componentes R1'!P326</x:f>
        <x:v>0</x:v>
      </x:c>
      <x:c r="Y11" s="254">
        <x:f>'Reporte Componentes R1'!Q326</x:f>
        <x:v>0</x:v>
      </x:c>
      <x:c r="Z11" s="255">
        <x:f>L11*-1</x:f>
        <x:v>-154788535</x:v>
      </x:c>
      <x:c r="AA11" s="256">
        <x:f>'Reporte Componentes R1'!R326+'Reporte Componentes R1'!V326+'Reporte Componentes R1'!U326</x:f>
        <x:v>0</x:v>
      </x:c>
      <x:c r="AB11" s="230">
        <x:f>N11</x:f>
        <x:v>0</x:v>
      </x:c>
      <x:c r="AC11" s="256">
        <x:f>'Reporte Componentes R1'!T326+'Reporte Componentes R1'!W326+'Reporte Componentes R1'!X326+'Reporte Componentes R1'!Y326+'Reporte Componentes R1'!Z326+'Reporte Componentes R1'!S326</x:f>
        <x:v>0</x:v>
      </x:c>
      <x:c r="AD11" s="227">
        <x:f t="shared" si="1"/>
        <x:v>0</x:v>
      </x:c>
      <x:c r="AE11" s="227">
        <x:f>'Reporte Componentes R1'!F327</x:f>
        <x:v>0</x:v>
      </x:c>
      <x:c r="AF11" s="258">
        <x:f t="shared" ref="AF11:AF13" si="4">SUM(U11:AD11)</x:f>
        <x:v>-154788535</x:v>
      </x:c>
      <x:c r="AG11" s="259">
        <x:f>(AF11-O11)</x:f>
        <x:v>0</x:v>
      </x:c>
      <x:c r="AH11" s="1" t="b">
        <x:f t="shared" si="2"/>
        <x:v>1</x:v>
      </x:c>
      <x:c r="AI11" s="242"/>
    </x:row>
    <x:row r="12" spans="1:35" s="241" customFormat="1" ht="12" x14ac:dyDescent="0.25">
      <x:c r="B12" s="250">
        <x:v>4</x:v>
      </x:c>
      <x:c r="C12" s="251" t="s">
        <x:v>13</x:v>
      </x:c>
      <x:c r="D12" s="227">
        <x:f>'Reporte Componentes R1'!F447</x:f>
        <x:v>0</x:v>
      </x:c>
      <x:c r="E12" s="228">
        <x:f>'Reporte Componentes R1'!G447</x:f>
        <x:v>0</x:v>
      </x:c>
      <x:c r="F12" s="228">
        <x:f>'Reporte Componentes R1'!H447</x:f>
        <x:v>0</x:v>
      </x:c>
      <x:c r="G12" s="228">
        <x:f>'Reporte Componentes R1'!I447</x:f>
        <x:v>0</x:v>
      </x:c>
      <x:c r="H12" s="228">
        <x:f>'Reporte Componentes R1'!J447</x:f>
        <x:v>0</x:v>
      </x:c>
      <x:c r="I12" s="228">
        <x:f>'Reporte Componentes R1'!K447</x:f>
        <x:v>0</x:v>
      </x:c>
      <x:c r="J12" s="228">
        <x:f>'CONSOLIDADO_TOTAL RECAUDO'!J12</x:f>
        <x:v>0</x:v>
      </x:c>
      <x:c r="K12" s="231">
        <x:f>D12-E12-F12-G12-H12-I12-J12</x:f>
        <x:v>0</x:v>
      </x:c>
      <x:c r="L12" s="230">
        <x:f>'CONSOLIDADO_TOTAL RECAUDO'!L12</x:f>
        <x:v>120391083</x:v>
      </x:c>
      <x:c r="M12" s="231">
        <x:f>K12-L12</x:f>
        <x:v>-120391083</x:v>
      </x:c>
      <x:c r="N12" s="230">
        <x:f>'Reporte Componentes R1'!L447</x:f>
        <x:v>0</x:v>
      </x:c>
      <x:c r="O12" s="231">
        <x:f t="shared" si="0"/>
        <x:v>-120391083</x:v>
      </x:c>
      <x:c r="Q12" s="242"/>
      <x:c r="S12" s="250">
        <x:v>4</x:v>
      </x:c>
      <x:c r="T12" s="251" t="s">
        <x:v>13</x:v>
      </x:c>
      <x:c r="U12" s="252">
        <x:f>'Reporte Componentes R1'!M447</x:f>
        <x:v>0</x:v>
      </x:c>
      <x:c r="V12" s="253">
        <x:f>'Reporte Componentes R1'!N447</x:f>
        <x:v>0</x:v>
      </x:c>
      <x:c r="W12" s="253">
        <x:f>'Reporte Componentes R1'!O447</x:f>
        <x:v>0</x:v>
      </x:c>
      <x:c r="X12" s="253">
        <x:f>'Reporte Componentes R1'!P447</x:f>
        <x:v>0</x:v>
      </x:c>
      <x:c r="Y12" s="254">
        <x:f>'Reporte Componentes R1'!Q447</x:f>
        <x:v>0</x:v>
      </x:c>
      <x:c r="Z12" s="255">
        <x:f>L12*-1</x:f>
        <x:v>-120391083</x:v>
      </x:c>
      <x:c r="AA12" s="256">
        <x:f>'Reporte Componentes R1'!R447+'Reporte Componentes R1'!V447+'Reporte Componentes R1'!U447</x:f>
        <x:v>0</x:v>
      </x:c>
      <x:c r="AB12" s="230">
        <x:f>N12</x:f>
        <x:v>0</x:v>
      </x:c>
      <x:c r="AC12" s="256">
        <x:f>'Reporte Componentes R1'!T447+'Reporte Componentes R1'!W447+'Reporte Componentes R1'!X447+'Reporte Componentes R1'!Y447+'Reporte Componentes R1'!Z447+'Reporte Componentes R1'!S447</x:f>
        <x:v>0</x:v>
      </x:c>
      <x:c r="AD12" s="227">
        <x:f t="shared" si="1"/>
        <x:v>0</x:v>
      </x:c>
      <x:c r="AE12" s="227">
        <x:f>'Reporte Componentes R1'!F448</x:f>
        <x:v>0</x:v>
      </x:c>
      <x:c r="AF12" s="258">
        <x:f t="shared" si="4"/>
        <x:v>-120391083</x:v>
      </x:c>
      <x:c r="AG12" s="259">
        <x:f>(AF12-O12)</x:f>
        <x:v>0</x:v>
      </x:c>
      <x:c r="AH12" s="1" t="b">
        <x:f t="shared" si="2"/>
        <x:v>1</x:v>
      </x:c>
      <x:c r="AI12" s="242"/>
    </x:row>
    <x:row r="13" spans="1:35" s="241" customFormat="1" ht="12.6" thickBot="1" x14ac:dyDescent="0.3">
      <x:c r="B13" s="260">
        <x:v>5</x:v>
      </x:c>
      <x:c r="C13" s="261" t="s">
        <x:v>14</x:v>
      </x:c>
      <x:c r="D13" s="232">
        <x:f>'Reporte Componentes R1'!F529</x:f>
        <x:v>0</x:v>
      </x:c>
      <x:c r="E13" s="233">
        <x:f>'Reporte Componentes R1'!G529</x:f>
        <x:v>0</x:v>
      </x:c>
      <x:c r="F13" s="233">
        <x:f>'Reporte Componentes R1'!H529</x:f>
        <x:v>0</x:v>
      </x:c>
      <x:c r="G13" s="233">
        <x:f>'Reporte Componentes R1'!I529</x:f>
        <x:v>0</x:v>
      </x:c>
      <x:c r="H13" s="233">
        <x:f>'Reporte Componentes R1'!J529</x:f>
        <x:v>0</x:v>
      </x:c>
      <x:c r="I13" s="233">
        <x:f>'Reporte Componentes R1'!K529</x:f>
        <x:v>0</x:v>
      </x:c>
      <x:c r="J13" s="228">
        <x:f>'CONSOLIDADO_TOTAL RECAUDO'!J13</x:f>
        <x:v>0</x:v>
      </x:c>
      <x:c r="K13" s="231">
        <x:f t="shared" si="3"/>
        <x:v>0</x:v>
      </x:c>
      <x:c r="L13" s="230">
        <x:f>'CONSOLIDADO_TOTAL RECAUDO'!L13</x:f>
        <x:v>128990445</x:v>
      </x:c>
      <x:c r="M13" s="234">
        <x:f>K13-L13</x:f>
        <x:v>-128990445</x:v>
      </x:c>
      <x:c r="N13" s="235">
        <x:f>'Reporte Componentes R1'!L529</x:f>
        <x:v>0</x:v>
      </x:c>
      <x:c r="O13" s="234">
        <x:f>M13+N13</x:f>
        <x:v>-128990445</x:v>
      </x:c>
      <x:c r="Q13" s="242"/>
      <x:c r="S13" s="260">
        <x:v>5</x:v>
      </x:c>
      <x:c r="T13" s="261" t="s">
        <x:v>14</x:v>
      </x:c>
      <x:c r="U13" s="232">
        <x:f>'Reporte Componentes R1'!M529</x:f>
        <x:v>0</x:v>
      </x:c>
      <x:c r="V13" s="233">
        <x:f>'Reporte Componentes R1'!N529</x:f>
        <x:v>0</x:v>
      </x:c>
      <x:c r="W13" s="233">
        <x:f>'Reporte Componentes R1'!O529</x:f>
        <x:v>0</x:v>
      </x:c>
      <x:c r="X13" s="233">
        <x:f>'Reporte Componentes R1'!P529</x:f>
        <x:v>0</x:v>
      </x:c>
      <x:c r="Y13" s="225">
        <x:f>'Reporte Componentes R1'!Q529</x:f>
        <x:v>0</x:v>
      </x:c>
      <x:c r="Z13" s="255">
        <x:f>L13*-1</x:f>
        <x:v>-128990445</x:v>
      </x:c>
      <x:c r="AA13" s="256">
        <x:f>'Reporte Componentes R1'!R529+'Reporte Componentes R1'!V529+'Reporte Componentes R1'!U529</x:f>
        <x:v>0</x:v>
      </x:c>
      <x:c r="AB13" s="230">
        <x:f>N13</x:f>
        <x:v>0</x:v>
      </x:c>
      <x:c r="AC13" s="256">
        <x:f>'Reporte Componentes R1'!T529+'Reporte Componentes R1'!W529+'Reporte Componentes R1'!X529+'Reporte Componentes R1'!Y529+'Reporte Componentes R1'!Z529+'Reporte Componentes R1'!S529</x:f>
        <x:v>0</x:v>
      </x:c>
      <x:c r="AD13" s="227">
        <x:f t="shared" si="1"/>
        <x:v>0</x:v>
      </x:c>
      <x:c r="AE13" s="227">
        <x:f>'Reporte Componentes R1'!F530</x:f>
        <x:v>0</x:v>
      </x:c>
      <x:c r="AF13" s="258">
        <x:f t="shared" si="4"/>
        <x:v>-128990445</x:v>
      </x:c>
      <x:c r="AG13" s="262">
        <x:f>(AF13-O13)</x:f>
        <x:v>0</x:v>
      </x:c>
      <x:c r="AH13" s="1" t="b">
        <x:f t="shared" si="2"/>
        <x:v>1</x:v>
      </x:c>
      <x:c r="AI13" s="242"/>
    </x:row>
    <x:row r="14" spans="1:35" s="241" customFormat="1" ht="13.8" thickBot="1" x14ac:dyDescent="0.3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859936305</x:v>
      </x:c>
      <x:c r="M14" s="238">
        <x:f t="shared" si="5"/>
        <x:v>-859936305</x:v>
      </x:c>
      <x:c r="N14" s="237">
        <x:f t="shared" si="5"/>
        <x:v>0</x:v>
      </x:c>
      <x:c r="O14" s="238">
        <x:f t="shared" si="5"/>
        <x:v>-859936305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-859936305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-859936305</x:v>
      </x:c>
      <x:c r="AG14" s="268">
        <x:f>SUM(AG9:AG13)</x:f>
        <x:v>0</x:v>
      </x:c>
      <x:c r="AH14" s="1" t="b">
        <x:f t="shared" si="2"/>
        <x:v>1</x:v>
      </x:c>
      <x:c r="AI14" s="242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.6" thickBot="1" x14ac:dyDescent="0.3">
      <x:c r="B28" s="239">
        <x:v>1</x:v>
      </x:c>
      <x:c r="C28" s="240" t="s">
        <x:v>10</x:v>
      </x:c>
      <x:c r="D28" s="227">
        <x:f>'Rem. Anticipos R2'!E49</x:f>
        <x:v>0</x:v>
      </x:c>
      <x:c r="E28" s="228">
        <x:f>'Rem. Anticipos R2'!F49</x:f>
        <x:v>0</x:v>
      </x:c>
      <x:c r="F28" s="228">
        <x:f>'Rem. Anticipos R2'!G49</x:f>
        <x:v>0</x:v>
      </x:c>
      <x:c r="G28" s="228">
        <x:f>'Rem. Anticipos R2'!H49</x:f>
        <x:v>0</x:v>
      </x:c>
      <x:c r="H28" s="228">
        <x:f>'Rem. Anticipos R2'!I49</x:f>
        <x:v>0</x:v>
      </x:c>
      <x:c r="I28" s="228">
        <x:f>'Rem. Anticipos R2'!J49</x:f>
        <x:v>0</x:v>
      </x:c>
      <x:c r="J28" s="225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R2'!K49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R2'!L49</x:f>
        <x:v>0</x:v>
      </x:c>
      <x:c r="V28" s="244">
        <x:f>'Rem. Anticipos R2'!M49</x:f>
        <x:v>0</x:v>
      </x:c>
      <x:c r="W28" s="244">
        <x:f>'Rem. Anticipos R2'!N49</x:f>
        <x:v>0</x:v>
      </x:c>
      <x:c r="X28" s="244">
        <x:f>'Rem. Anticipos R2'!O49</x:f>
        <x:v>0</x:v>
      </x:c>
      <x:c r="Y28" s="245">
        <x:f>'Rem. Anticipos R2'!P49</x:f>
        <x:v>0</x:v>
      </x:c>
      <x:c r="Z28" s="246">
        <x:f>L28*-1</x:f>
        <x:v>0</x:v>
      </x:c>
      <x:c r="AA28" s="247">
        <x:f>'Rem. Anticipos R2'!Q49</x:f>
        <x:v>0</x:v>
      </x:c>
      <x:c r="AB28" s="230">
        <x:f>N28</x:f>
        <x:v>0</x:v>
      </x:c>
      <x:c r="AC28" s="247">
        <x:f>'Rem. Anticipos R2'!R49</x:f>
        <x:v>0</x:v>
      </x:c>
      <x:c r="AD28" s="227">
        <x:f>-J28+AE28</x:f>
        <x:v>0</x:v>
      </x:c>
      <x:c r="AE28" s="227">
        <x:f>'Rem. Anticipos R2'!E50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ht="12" x14ac:dyDescent="0.25">
      <x:c r="B29" s="250">
        <x:v>2</x:v>
      </x:c>
      <x:c r="C29" s="251" t="s">
        <x:v>11</x:v>
      </x:c>
      <x:c r="D29" s="227">
        <x:f>'Rem. Anticipos R2'!E145</x:f>
        <x:v>0</x:v>
      </x:c>
      <x:c r="E29" s="228">
        <x:f>'Rem. Anticipos R2'!F145</x:f>
        <x:v>0</x:v>
      </x:c>
      <x:c r="F29" s="228">
        <x:f>'Rem. Anticipos R2'!G145</x:f>
        <x:v>0</x:v>
      </x:c>
      <x:c r="G29" s="228">
        <x:f>'Rem. Anticipos R2'!H145</x:f>
        <x:v>0</x:v>
      </x:c>
      <x:c r="H29" s="228">
        <x:f>'Rem. Anticipos R2'!I145</x:f>
        <x:v>0</x:v>
      </x:c>
      <x:c r="I29" s="228">
        <x:f>'Rem. Anticipos R2'!J145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R2'!K145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R2'!L145</x:f>
        <x:v>0</x:v>
      </x:c>
      <x:c r="V29" s="253">
        <x:f>'Rem. Anticipos R2'!M145</x:f>
        <x:v>0</x:v>
      </x:c>
      <x:c r="W29" s="253">
        <x:f>'Rem. Anticipos R2'!N145</x:f>
        <x:v>0</x:v>
      </x:c>
      <x:c r="X29" s="253">
        <x:f>'Rem. Anticipos R2'!O145</x:f>
        <x:v>0</x:v>
      </x:c>
      <x:c r="Y29" s="254">
        <x:f>'Rem. Anticipos R2'!P145</x:f>
        <x:v>0</x:v>
      </x:c>
      <x:c r="Z29" s="255">
        <x:f>L29*-1</x:f>
        <x:v>0</x:v>
      </x:c>
      <x:c r="AA29" s="256">
        <x:f>'Rem. Anticipos R2'!Q145</x:f>
        <x:v>0</x:v>
      </x:c>
      <x:c r="AB29" s="230">
        <x:f>N29</x:f>
        <x:v>0</x:v>
      </x:c>
      <x:c r="AC29" s="256">
        <x:f>'Rem. Anticipos R2'!R145</x:f>
        <x:v>0</x:v>
      </x:c>
      <x:c r="AD29" s="227">
        <x:f>-J29+AE29</x:f>
        <x:v>0</x:v>
      </x:c>
      <x:c r="AE29" s="227">
        <x:f>'Rem. Anticipos R2'!E146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ht="12" x14ac:dyDescent="0.25">
      <x:c r="B30" s="250">
        <x:v>3</x:v>
      </x:c>
      <x:c r="C30" s="251" t="s">
        <x:v>12</x:v>
      </x:c>
      <x:c r="D30" s="227">
        <x:f>'Rem. Anticipos R2'!E262</x:f>
        <x:v>0</x:v>
      </x:c>
      <x:c r="E30" s="228">
        <x:f>'Rem. Anticipos R2'!F262</x:f>
        <x:v>0</x:v>
      </x:c>
      <x:c r="F30" s="228">
        <x:f>'Rem. Anticipos R2'!G262</x:f>
        <x:v>0</x:v>
      </x:c>
      <x:c r="G30" s="228">
        <x:f>'Rem. Anticipos R2'!H262</x:f>
        <x:v>0</x:v>
      </x:c>
      <x:c r="H30" s="228">
        <x:f>'Rem. Anticipos R2'!I262</x:f>
        <x:v>0</x:v>
      </x:c>
      <x:c r="I30" s="228">
        <x:f>'Rem. Anticipos R2'!J262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R2'!K262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R2'!L262</x:f>
        <x:v>0</x:v>
      </x:c>
      <x:c r="V30" s="253">
        <x:f>'Rem. Anticipos R2'!M262</x:f>
        <x:v>0</x:v>
      </x:c>
      <x:c r="W30" s="253">
        <x:f>'Rem. Anticipos R2'!N262</x:f>
        <x:v>0</x:v>
      </x:c>
      <x:c r="X30" s="253">
        <x:f>'Rem. Anticipos R2'!O262</x:f>
        <x:v>0</x:v>
      </x:c>
      <x:c r="Y30" s="254">
        <x:f>'Rem. Anticipos R2'!P262</x:f>
        <x:v>0</x:v>
      </x:c>
      <x:c r="Z30" s="255">
        <x:f>L30*-1</x:f>
        <x:v>0</x:v>
      </x:c>
      <x:c r="AA30" s="256">
        <x:f>'Rem. Anticipos R2'!Q262</x:f>
        <x:v>0</x:v>
      </x:c>
      <x:c r="AB30" s="230">
        <x:f>N30</x:f>
        <x:v>0</x:v>
      </x:c>
      <x:c r="AC30" s="256">
        <x:f>'Rem. Anticipos R2'!R262</x:f>
        <x:v>0</x:v>
      </x:c>
      <x:c r="AD30" s="227">
        <x:f t="shared" ref="AD30:AD32" si="10">-J30+AE30</x:f>
        <x:v>0</x:v>
      </x:c>
      <x:c r="AE30" s="227">
        <x:f>'Rem. Anticipos R2'!E263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ht="12" x14ac:dyDescent="0.25">
      <x:c r="B31" s="250">
        <x:v>4</x:v>
      </x:c>
      <x:c r="C31" s="251" t="s">
        <x:v>13</x:v>
      </x:c>
      <x:c r="D31" s="227">
        <x:f>'Rem. Anticipos R2'!E364</x:f>
        <x:v>0</x:v>
      </x:c>
      <x:c r="E31" s="228">
        <x:f>'Rem. Anticipos R2'!F364</x:f>
        <x:v>0</x:v>
      </x:c>
      <x:c r="F31" s="228">
        <x:f>'Rem. Anticipos R2'!G364</x:f>
        <x:v>0</x:v>
      </x:c>
      <x:c r="G31" s="228">
        <x:f>'Rem. Anticipos R2'!H364</x:f>
        <x:v>0</x:v>
      </x:c>
      <x:c r="H31" s="228">
        <x:f>'Rem. Anticipos R2'!I364</x:f>
        <x:v>0</x:v>
      </x:c>
      <x:c r="I31" s="228">
        <x:f>'Rem. Anticipos R2'!J364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R2'!K364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R2'!L364</x:f>
        <x:v>0</x:v>
      </x:c>
      <x:c r="V31" s="253">
        <x:f>'Rem. Anticipos R2'!M364</x:f>
        <x:v>0</x:v>
      </x:c>
      <x:c r="W31" s="253">
        <x:f>'Rem. Anticipos R2'!N364</x:f>
        <x:v>0</x:v>
      </x:c>
      <x:c r="X31" s="253">
        <x:f>'Rem. Anticipos R2'!O364</x:f>
        <x:v>0</x:v>
      </x:c>
      <x:c r="Y31" s="254">
        <x:f>'Rem. Anticipos R2'!P364</x:f>
        <x:v>0</x:v>
      </x:c>
      <x:c r="Z31" s="255">
        <x:f>L31*-1</x:f>
        <x:v>0</x:v>
      </x:c>
      <x:c r="AA31" s="256">
        <x:f>'Rem. Anticipos R2'!Q364</x:f>
        <x:v>0</x:v>
      </x:c>
      <x:c r="AB31" s="230">
        <x:f>N31</x:f>
        <x:v>0</x:v>
      </x:c>
      <x:c r="AC31" s="256">
        <x:f>'Rem. Anticipos R2'!R364</x:f>
        <x:v>0</x:v>
      </x:c>
      <x:c r="AD31" s="227">
        <x:f t="shared" si="10"/>
        <x:v>0</x:v>
      </x:c>
      <x:c r="AE31" s="227">
        <x:f>'Rem. Anticipos R2'!E365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6" thickBot="1" x14ac:dyDescent="0.3">
      <x:c r="B32" s="260">
        <x:v>5</x:v>
      </x:c>
      <x:c r="C32" s="261" t="s">
        <x:v>14</x:v>
      </x:c>
      <x:c r="D32" s="232">
        <x:f>'Rem. Anticipos R2'!E444</x:f>
        <x:v>0</x:v>
      </x:c>
      <x:c r="E32" s="233">
        <x:f>'Rem. Anticipos R2'!F444</x:f>
        <x:v>0</x:v>
      </x:c>
      <x:c r="F32" s="233">
        <x:f>'Rem. Anticipos R2'!G444</x:f>
        <x:v>0</x:v>
      </x:c>
      <x:c r="G32" s="233">
        <x:f>'Rem. Anticipos R2'!H444</x:f>
        <x:v>0</x:v>
      </x:c>
      <x:c r="H32" s="233">
        <x:f>'Rem. Anticipos R2'!I444</x:f>
        <x:v>0</x:v>
      </x:c>
      <x:c r="I32" s="233">
        <x:f>'Rem. Anticipos R2'!J444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R2'!K444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R2'!L444</x:f>
        <x:v>0</x:v>
      </x:c>
      <x:c r="V32" s="233">
        <x:f>'Rem. Anticipos R2'!M444</x:f>
        <x:v>0</x:v>
      </x:c>
      <x:c r="W32" s="233">
        <x:f>'Rem. Anticipos R2'!N444</x:f>
        <x:v>0</x:v>
      </x:c>
      <x:c r="X32" s="233">
        <x:f>'Rem. Anticipos R2'!O444</x:f>
        <x:v>0</x:v>
      </x:c>
      <x:c r="Y32" s="225">
        <x:f>'Rem. Anticipos R2'!P444</x:f>
        <x:v>0</x:v>
      </x:c>
      <x:c r="Z32" s="255">
        <x:f>L32*-1</x:f>
        <x:v>0</x:v>
      </x:c>
      <x:c r="AA32" s="256">
        <x:f>'Rem. Anticipos R2'!Q444</x:f>
        <x:v>0</x:v>
      </x:c>
      <x:c r="AB32" s="230">
        <x:f>N32</x:f>
        <x:v>0</x:v>
      </x:c>
      <x:c r="AC32" s="256">
        <x:f>'Rem. Anticipos R2'!R444</x:f>
        <x:v>0</x:v>
      </x:c>
      <x:c r="AD32" s="227">
        <x:f t="shared" si="10"/>
        <x:v>0</x:v>
      </x:c>
      <x:c r="AE32" s="227">
        <x:f>'Rem. Anticipos R2'!E445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.6" thickBot="1" x14ac:dyDescent="0.3">
      <x:c r="B47" s="239">
        <x:v>1</x:v>
      </x:c>
      <x:c r="C47" s="240" t="s">
        <x:v>10</x:v>
      </x:c>
      <x:c r="D47" s="227">
        <x:f>'Reporte Componentes R1'!F58</x:f>
        <x:v>0</x:v>
      </x:c>
      <x:c r="E47" s="228">
        <x:f>'Reporte Componentes R1'!G58</x:f>
        <x:v>0</x:v>
      </x:c>
      <x:c r="F47" s="228">
        <x:f>'Reporte Componentes R1'!H58</x:f>
        <x:v>0</x:v>
      </x:c>
      <x:c r="G47" s="228">
        <x:f>'Reporte Componentes R1'!I58</x:f>
        <x:v>0</x:v>
      </x:c>
      <x:c r="H47" s="228">
        <x:f>'Reporte Componentes R1'!J58</x:f>
        <x:v>0</x:v>
      </x:c>
      <x:c r="I47" s="228">
        <x:f>'Reporte Componentes R1'!K58</x:f>
        <x:v>0</x:v>
      </x:c>
      <x:c r="J47" s="225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R1'!L58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R1'!M58</x:f>
        <x:v>0</x:v>
      </x:c>
      <x:c r="V47" s="244">
        <x:f>'Reporte Componentes R1'!N58</x:f>
        <x:v>0</x:v>
      </x:c>
      <x:c r="W47" s="244">
        <x:f>'Reporte Componentes R1'!O58</x:f>
        <x:v>0</x:v>
      </x:c>
      <x:c r="X47" s="244">
        <x:f>'Reporte Componentes R1'!P58</x:f>
        <x:v>0</x:v>
      </x:c>
      <x:c r="Y47" s="245">
        <x:f>'Reporte Componentes R1'!Q58</x:f>
        <x:v>0</x:v>
      </x:c>
      <x:c r="Z47" s="246">
        <x:f>-L47</x:f>
        <x:v>0</x:v>
      </x:c>
      <x:c r="AA47" s="256">
        <x:f>'Reporte Componentes R1'!R58+'Reporte Componentes R1'!V58+'Reporte Componentes R1'!U58</x:f>
        <x:v>0</x:v>
      </x:c>
      <x:c r="AB47" s="230">
        <x:f>N47</x:f>
        <x:v>0</x:v>
      </x:c>
      <x:c r="AC47" s="247">
        <x:f>'Reporte Componentes R1'!T58+'Reporte Componentes R1'!W58+'Reporte Componentes R1'!X58+'Reporte Componentes R1'!Y58+'Reporte Componentes R1'!Z58+'Reporte Componentes R1'!S58</x:f>
        <x:v>0</x:v>
      </x:c>
      <x:c r="AD47" s="227">
        <x:f>-J47+AE47</x:f>
        <x:v>0</x:v>
      </x:c>
      <x:c r="AE47" s="227">
        <x:f>'Reporte Componentes R1'!F59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ht="12" x14ac:dyDescent="0.25">
      <x:c r="B48" s="250">
        <x:v>2</x:v>
      </x:c>
      <x:c r="C48" s="251" t="s">
        <x:v>11</x:v>
      </x:c>
      <x:c r="D48" s="227">
        <x:f>'Reporte Componentes R1'!F188</x:f>
        <x:v>0</x:v>
      </x:c>
      <x:c r="E48" s="228">
        <x:f>'Reporte Componentes R1'!G188</x:f>
        <x:v>0</x:v>
      </x:c>
      <x:c r="F48" s="228">
        <x:f>'Reporte Componentes R1'!H188</x:f>
        <x:v>0</x:v>
      </x:c>
      <x:c r="G48" s="228">
        <x:f>'Reporte Componentes R1'!I188</x:f>
        <x:v>0</x:v>
      </x:c>
      <x:c r="H48" s="228">
        <x:f>'Reporte Componentes R1'!J188</x:f>
        <x:v>0</x:v>
      </x:c>
      <x:c r="I48" s="228">
        <x:f>'Reporte Componentes R1'!K188</x:f>
        <x:v>0</x:v>
      </x:c>
      <x:c r="J48" s="224">
        <x:v>0</x:v>
      </x:c>
      <x:c r="K48" s="231">
        <x:f t="shared" ref="K48:K51" si="15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R1'!L188</x:f>
        <x:v>0</x:v>
      </x:c>
      <x:c r="O48" s="231">
        <x:f t="shared" ref="O48:O51" si="16">M48+N48</x:f>
        <x:v>0</x:v>
      </x:c>
      <x:c r="Q48" s="242"/>
      <x:c r="S48" s="250">
        <x:v>2</x:v>
      </x:c>
      <x:c r="T48" s="251" t="s">
        <x:v>11</x:v>
      </x:c>
      <x:c r="U48" s="252">
        <x:f>'Reporte Componentes R1'!M188</x:f>
        <x:v>0</x:v>
      </x:c>
      <x:c r="V48" s="253">
        <x:f>'Reporte Componentes R1'!N188</x:f>
        <x:v>0</x:v>
      </x:c>
      <x:c r="W48" s="253">
        <x:f>'Reporte Componentes R1'!O188</x:f>
        <x:v>0</x:v>
      </x:c>
      <x:c r="X48" s="253">
        <x:f>'Reporte Componentes R1'!P188</x:f>
        <x:v>0</x:v>
      </x:c>
      <x:c r="Y48" s="254">
        <x:f>'Reporte Componentes R1'!Q188</x:f>
        <x:v>0</x:v>
      </x:c>
      <x:c r="Z48" s="255">
        <x:f>-L48</x:f>
        <x:v>0</x:v>
      </x:c>
      <x:c r="AA48" s="256">
        <x:f>'Reporte Componentes R1'!R188+'Reporte Componentes R1'!V188+'Reporte Componentes R1'!U188</x:f>
        <x:v>0</x:v>
      </x:c>
      <x:c r="AB48" s="230">
        <x:f>N48</x:f>
        <x:v>0</x:v>
      </x:c>
      <x:c r="AC48" s="256">
        <x:f>'Reporte Componentes R1'!T188+'Reporte Componentes R1'!W188+'Reporte Componentes R1'!X188+'Reporte Componentes R1'!Y188+'Reporte Componentes R1'!Z188+'Reporte Componentes R1'!S188</x:f>
        <x:v>0</x:v>
      </x:c>
      <x:c r="AD48" s="227">
        <x:f t="shared" ref="AD48:AD51" si="17">-J48+AE48</x:f>
        <x:v>0</x:v>
      </x:c>
      <x:c r="AE48" s="227">
        <x:f>'Reporte Componentes R1'!F189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8">INT(AG48)=0</x:f>
        <x:v>1</x:v>
      </x:c>
      <x:c r="AI48" s="242"/>
    </x:row>
    <x:row r="49" spans="1:35" s="241" customFormat="1" ht="12" x14ac:dyDescent="0.25">
      <x:c r="B49" s="250">
        <x:v>3</x:v>
      </x:c>
      <x:c r="C49" s="251" t="s">
        <x:v>12</x:v>
      </x:c>
      <x:c r="D49" s="227">
        <x:f>'Reporte Componentes R1'!F328</x:f>
        <x:v>0</x:v>
      </x:c>
      <x:c r="E49" s="228">
        <x:f>'Reporte Componentes R1'!G328</x:f>
        <x:v>0</x:v>
      </x:c>
      <x:c r="F49" s="228">
        <x:f>'Reporte Componentes R1'!H328</x:f>
        <x:v>0</x:v>
      </x:c>
      <x:c r="G49" s="228">
        <x:f>'Reporte Componentes R1'!I328</x:f>
        <x:v>0</x:v>
      </x:c>
      <x:c r="H49" s="228">
        <x:f>'Reporte Componentes R1'!J328</x:f>
        <x:v>0</x:v>
      </x:c>
      <x:c r="I49" s="228">
        <x:f>'Reporte Componentes R1'!K328</x:f>
        <x:v>0</x:v>
      </x:c>
      <x:c r="J49" s="224">
        <x:v>0</x:v>
      </x:c>
      <x:c r="K49" s="231">
        <x:f t="shared" si="15"/>
        <x:v>0</x:v>
      </x:c>
      <x:c r="L49" s="230">
        <x:v>0</x:v>
      </x:c>
      <x:c r="M49" s="231">
        <x:f>K49-L49</x:f>
        <x:v>0</x:v>
      </x:c>
      <x:c r="N49" s="230">
        <x:f>'Reporte Componentes R1'!L328</x:f>
        <x:v>0</x:v>
      </x:c>
      <x:c r="O49" s="231">
        <x:f t="shared" si="16"/>
        <x:v>0</x:v>
      </x:c>
      <x:c r="Q49" s="242"/>
      <x:c r="S49" s="250">
        <x:v>3</x:v>
      </x:c>
      <x:c r="T49" s="251" t="s">
        <x:v>12</x:v>
      </x:c>
      <x:c r="U49" s="252">
        <x:f>'Reporte Componentes R1'!M328</x:f>
        <x:v>0</x:v>
      </x:c>
      <x:c r="V49" s="253">
        <x:f>'Reporte Componentes R1'!N328</x:f>
        <x:v>0</x:v>
      </x:c>
      <x:c r="W49" s="253">
        <x:f>'Reporte Componentes R1'!O328</x:f>
        <x:v>0</x:v>
      </x:c>
      <x:c r="X49" s="253">
        <x:f>'Reporte Componentes R1'!P328</x:f>
        <x:v>0</x:v>
      </x:c>
      <x:c r="Y49" s="254">
        <x:f>'Reporte Componentes R1'!Q328</x:f>
        <x:v>0</x:v>
      </x:c>
      <x:c r="Z49" s="255">
        <x:f>-L49</x:f>
        <x:v>0</x:v>
      </x:c>
      <x:c r="AA49" s="256">
        <x:f>'Reporte Componentes R1'!R328+'Reporte Componentes R1'!V328+'Reporte Componentes R1'!U328</x:f>
        <x:v>0</x:v>
      </x:c>
      <x:c r="AB49" s="230">
        <x:f>N49</x:f>
        <x:v>0</x:v>
      </x:c>
      <x:c r="AC49" s="256">
        <x:f>'Reporte Componentes R1'!T328+'Reporte Componentes R1'!W328+'Reporte Componentes R1'!X328+'Reporte Componentes R1'!Y328+'Reporte Componentes R1'!Z328+'Reporte Componentes R1'!S328</x:f>
        <x:v>0</x:v>
      </x:c>
      <x:c r="AD49" s="227">
        <x:f t="shared" si="17"/>
        <x:v>0</x:v>
      </x:c>
      <x:c r="AE49" s="227">
        <x:f>'Reporte Componentes R1'!F329</x:f>
        <x:v>0</x:v>
      </x:c>
      <x:c r="AF49" s="258">
        <x:f t="shared" ref="AF49:AF51" si="19">SUM(U49:AD49)</x:f>
        <x:v>0</x:v>
      </x:c>
      <x:c r="AG49" s="259">
        <x:f t="shared" ref="AG49:AG51" si="20">(AF49-O49)</x:f>
        <x:v>0</x:v>
      </x:c>
      <x:c r="AH49" s="1" t="b">
        <x:f t="shared" si="18"/>
        <x:v>1</x:v>
      </x:c>
      <x:c r="AI49" s="242"/>
    </x:row>
    <x:row r="50" spans="1:35" s="241" customFormat="1" ht="12" x14ac:dyDescent="0.25">
      <x:c r="B50" s="250">
        <x:v>4</x:v>
      </x:c>
      <x:c r="C50" s="251" t="s">
        <x:v>13</x:v>
      </x:c>
      <x:c r="D50" s="227">
        <x:f>'Reporte Componentes R1'!F449</x:f>
        <x:v>0</x:v>
      </x:c>
      <x:c r="E50" s="228">
        <x:f>'Reporte Componentes R1'!G449</x:f>
        <x:v>0</x:v>
      </x:c>
      <x:c r="F50" s="228">
        <x:f>'Reporte Componentes R1'!H449</x:f>
        <x:v>0</x:v>
      </x:c>
      <x:c r="G50" s="228">
        <x:f>'Reporte Componentes R1'!I449</x:f>
        <x:v>0</x:v>
      </x:c>
      <x:c r="H50" s="228">
        <x:f>'Reporte Componentes R1'!J449</x:f>
        <x:v>0</x:v>
      </x:c>
      <x:c r="I50" s="228">
        <x:f>'Reporte Componentes R1'!K449</x:f>
        <x:v>0</x:v>
      </x:c>
      <x:c r="J50" s="224">
        <x:v>0</x:v>
      </x:c>
      <x:c r="K50" s="231">
        <x:f t="shared" si="15"/>
        <x:v>0</x:v>
      </x:c>
      <x:c r="L50" s="230">
        <x:v>0</x:v>
      </x:c>
      <x:c r="M50" s="231">
        <x:f>K50-L50</x:f>
        <x:v>0</x:v>
      </x:c>
      <x:c r="N50" s="230">
        <x:f>'Reporte Componentes R1'!L449</x:f>
        <x:v>0</x:v>
      </x:c>
      <x:c r="O50" s="231">
        <x:f t="shared" si="16"/>
        <x:v>0</x:v>
      </x:c>
      <x:c r="Q50" s="242"/>
      <x:c r="S50" s="250">
        <x:v>4</x:v>
      </x:c>
      <x:c r="T50" s="251" t="s">
        <x:v>13</x:v>
      </x:c>
      <x:c r="U50" s="252">
        <x:f>'Reporte Componentes R1'!M449</x:f>
        <x:v>0</x:v>
      </x:c>
      <x:c r="V50" s="253">
        <x:f>'Reporte Componentes R1'!N449</x:f>
        <x:v>0</x:v>
      </x:c>
      <x:c r="W50" s="253">
        <x:f>'Reporte Componentes R1'!O449</x:f>
        <x:v>0</x:v>
      </x:c>
      <x:c r="X50" s="253">
        <x:f>'Reporte Componentes R1'!P449</x:f>
        <x:v>0</x:v>
      </x:c>
      <x:c r="Y50" s="254">
        <x:f>'Reporte Componentes R1'!Q449</x:f>
        <x:v>0</x:v>
      </x:c>
      <x:c r="Z50" s="255">
        <x:f>-L50</x:f>
        <x:v>0</x:v>
      </x:c>
      <x:c r="AA50" s="256">
        <x:f>'Reporte Componentes R1'!R449+'Reporte Componentes R1'!V449+'Reporte Componentes R1'!U449</x:f>
        <x:v>0</x:v>
      </x:c>
      <x:c r="AB50" s="230">
        <x:f>N50</x:f>
        <x:v>0</x:v>
      </x:c>
      <x:c r="AC50" s="256">
        <x:f>'Reporte Componentes R1'!T449+'Reporte Componentes R1'!W449+'Reporte Componentes R1'!X449+'Reporte Componentes R1'!Y449+'Reporte Componentes R1'!Z449+'Reporte Componentes R1'!S449</x:f>
        <x:v>0</x:v>
      </x:c>
      <x:c r="AD50" s="227">
        <x:f t="shared" si="17"/>
        <x:v>0</x:v>
      </x:c>
      <x:c r="AE50" s="227">
        <x:f>'Reporte Componentes R1'!F450</x:f>
        <x:v>0</x:v>
      </x:c>
      <x:c r="AF50" s="258">
        <x:f t="shared" si="19"/>
        <x:v>0</x:v>
      </x:c>
      <x:c r="AG50" s="259">
        <x:f t="shared" si="20"/>
        <x:v>0</x:v>
      </x:c>
      <x:c r="AH50" s="1" t="b">
        <x:f t="shared" si="18"/>
        <x:v>1</x:v>
      </x:c>
      <x:c r="AI50" s="242"/>
    </x:row>
    <x:row r="51" spans="1:35" s="241" customFormat="1" ht="12.6" thickBot="1" x14ac:dyDescent="0.3">
      <x:c r="B51" s="260">
        <x:v>5</x:v>
      </x:c>
      <x:c r="C51" s="261" t="s">
        <x:v>14</x:v>
      </x:c>
      <x:c r="D51" s="232">
        <x:f>'Reporte Componentes R1'!F531</x:f>
        <x:v>0</x:v>
      </x:c>
      <x:c r="E51" s="233">
        <x:f>'Reporte Componentes R1'!G531</x:f>
        <x:v>0</x:v>
      </x:c>
      <x:c r="F51" s="233">
        <x:f>'Reporte Componentes R1'!H531</x:f>
        <x:v>0</x:v>
      </x:c>
      <x:c r="G51" s="233">
        <x:f>'Reporte Componentes R1'!I531</x:f>
        <x:v>0</x:v>
      </x:c>
      <x:c r="H51" s="233">
        <x:f>'Reporte Componentes R1'!J531</x:f>
        <x:v>0</x:v>
      </x:c>
      <x:c r="I51" s="233">
        <x:f>'Reporte Componentes R1'!K531</x:f>
        <x:v>0</x:v>
      </x:c>
      <x:c r="J51" s="225">
        <x:v>0</x:v>
      </x:c>
      <x:c r="K51" s="231">
        <x:f t="shared" si="15"/>
        <x:v>0</x:v>
      </x:c>
      <x:c r="L51" s="230">
        <x:v>0</x:v>
      </x:c>
      <x:c r="M51" s="234">
        <x:f>K51-L51</x:f>
        <x:v>0</x:v>
      </x:c>
      <x:c r="N51" s="235">
        <x:f>'Reporte Componentes R1'!L531</x:f>
        <x:v>0</x:v>
      </x:c>
      <x:c r="O51" s="234">
        <x:f t="shared" si="16"/>
        <x:v>0</x:v>
      </x:c>
      <x:c r="Q51" s="242"/>
      <x:c r="S51" s="260">
        <x:v>5</x:v>
      </x:c>
      <x:c r="T51" s="261" t="s">
        <x:v>14</x:v>
      </x:c>
      <x:c r="U51" s="232">
        <x:f>'Reporte Componentes R1'!M531</x:f>
        <x:v>0</x:v>
      </x:c>
      <x:c r="V51" s="233">
        <x:f>'Reporte Componentes R1'!N531</x:f>
        <x:v>0</x:v>
      </x:c>
      <x:c r="W51" s="233">
        <x:f>'Reporte Componentes R1'!O531</x:f>
        <x:v>0</x:v>
      </x:c>
      <x:c r="X51" s="233">
        <x:f>'Reporte Componentes R1'!P531</x:f>
        <x:v>0</x:v>
      </x:c>
      <x:c r="Y51" s="225">
        <x:f>'Reporte Componentes R1'!Q531</x:f>
        <x:v>0</x:v>
      </x:c>
      <x:c r="Z51" s="255">
        <x:f>-L51</x:f>
        <x:v>0</x:v>
      </x:c>
      <x:c r="AA51" s="256">
        <x:f>'Reporte Componentes R1'!R531+'Reporte Componentes R1'!V531+'Reporte Componentes R1'!U531</x:f>
        <x:v>0</x:v>
      </x:c>
      <x:c r="AB51" s="230">
        <x:f>N51</x:f>
        <x:v>0</x:v>
      </x:c>
      <x:c r="AC51" s="256">
        <x:f>'Reporte Componentes R1'!T531+'Reporte Componentes R1'!W531+'Reporte Componentes R1'!X531+'Reporte Componentes R1'!Y531+'Reporte Componentes R1'!Z531+'Reporte Componentes R1'!S531</x:f>
        <x:v>0</x:v>
      </x:c>
      <x:c r="AD51" s="227">
        <x:f t="shared" si="17"/>
        <x:v>0</x:v>
      </x:c>
      <x:c r="AE51" s="227">
        <x:f>'Reporte Componentes R1'!F532</x:f>
        <x:v>0</x:v>
      </x:c>
      <x:c r="AF51" s="258">
        <x:f t="shared" si="19"/>
        <x:v>0</x:v>
      </x:c>
      <x:c r="AG51" s="262">
        <x:f t="shared" si="20"/>
        <x:v>0</x:v>
      </x:c>
      <x:c r="AH51" s="1" t="b">
        <x:f t="shared" si="18"/>
        <x:v>1</x:v>
      </x:c>
      <x:c r="AI51" s="242"/>
    </x:row>
    <x:row r="52" spans="1:35" s="241" customFormat="1" ht="13.8" thickBot="1" x14ac:dyDescent="0.3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268">
        <x:f t="shared" si="23"/>
        <x:v>0</x:v>
      </x:c>
      <x:c r="AH52" s="1" t="b">
        <x:f t="shared" si="18"/>
        <x:v>1</x:v>
      </x:c>
      <x:c r="AI52" s="242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ht="12" x14ac:dyDescent="0.25">
      <x:c r="B66" s="239">
        <x:v>1</x:v>
      </x:c>
      <x:c r="C66" s="240" t="s">
        <x:v>10</x:v>
      </x:c>
      <x:c r="D66" s="227">
        <x:f>'Reversion Pagos R4'!D79</x:f>
        <x:v>0</x:v>
      </x:c>
      <x:c r="E66" s="228">
        <x:f>'Reversion Pagos R4'!E79</x:f>
        <x:v>0</x:v>
      </x:c>
      <x:c r="F66" s="228">
        <x:f>'Reversion Pagos R4'!F79</x:f>
        <x:v>0</x:v>
      </x:c>
      <x:c r="G66" s="228">
        <x:f>'Reversion Pagos R4'!G79</x:f>
        <x:v>0</x:v>
      </x:c>
      <x:c r="H66" s="228">
        <x:f>'Reversion Pagos R4'!H79</x:f>
        <x:v>0</x:v>
      </x:c>
      <x:c r="I66" s="228">
        <x:f>'Reversion Pagos R4'!I79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R4'!P79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R4'!J79</x:f>
        <x:v>0</x:v>
      </x:c>
      <x:c r="V66" s="244">
        <x:f>'Reversion Pagos R4'!K79</x:f>
        <x:v>0</x:v>
      </x:c>
      <x:c r="W66" s="244">
        <x:f>'Reversion Pagos R4'!L79</x:f>
        <x:v>0</x:v>
      </x:c>
      <x:c r="X66" s="244">
        <x:f>'Reversion Pagos R4'!M79</x:f>
        <x:v>0</x:v>
      </x:c>
      <x:c r="Y66" s="245">
        <x:f>'Reversion Pagos R4'!N79</x:f>
        <x:v>0</x:v>
      </x:c>
      <x:c r="Z66" s="246">
        <x:f>-L66</x:f>
        <x:v>0</x:v>
      </x:c>
      <x:c r="AA66" s="247">
        <x:f>+'Reversion Pagos R4'!O79</x:f>
        <x:v>0</x:v>
      </x:c>
      <x:c r="AB66" s="230">
        <x:f>N66</x:f>
        <x:v>0</x:v>
      </x:c>
      <x:c r="AC66" s="247">
        <x:f>+'Reversion Pagos R4'!Q79+'Reversion Pagos R4'!R79</x:f>
        <x:v>0</x:v>
      </x:c>
      <x:c r="AD66" s="227">
        <x:f>-J66+AE66</x:f>
        <x:v>0</x:v>
      </x:c>
      <x:c r="AE66" s="227">
        <x:f>'Reversion Pagos R4'!D80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ht="12" x14ac:dyDescent="0.25">
      <x:c r="B67" s="250">
        <x:v>2</x:v>
      </x:c>
      <x:c r="C67" s="251" t="s">
        <x:v>11</x:v>
      </x:c>
      <x:c r="D67" s="227">
        <x:f>'Reversion Pagos R4'!D174</x:f>
        <x:v>0</x:v>
      </x:c>
      <x:c r="E67" s="228">
        <x:f>'Reversion Pagos R4'!E174</x:f>
        <x:v>0</x:v>
      </x:c>
      <x:c r="F67" s="228">
        <x:f>'Reversion Pagos R4'!F174</x:f>
        <x:v>0</x:v>
      </x:c>
      <x:c r="G67" s="228">
        <x:f>'Reversion Pagos R4'!G174</x:f>
        <x:v>0</x:v>
      </x:c>
      <x:c r="H67" s="228">
        <x:f>'Reversion Pagos R4'!H174</x:f>
        <x:v>0</x:v>
      </x:c>
      <x:c r="I67" s="228">
        <x:f>'Reversion Pagos R4'!I174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R4'!P174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R4'!J174</x:f>
        <x:v>0</x:v>
      </x:c>
      <x:c r="V67" s="253">
        <x:f>'Reversion Pagos R4'!K174</x:f>
        <x:v>0</x:v>
      </x:c>
      <x:c r="W67" s="253">
        <x:f>'Reversion Pagos R4'!L174</x:f>
        <x:v>0</x:v>
      </x:c>
      <x:c r="X67" s="253">
        <x:f>'Reversion Pagos R4'!M174</x:f>
        <x:v>0</x:v>
      </x:c>
      <x:c r="Y67" s="254">
        <x:f>'Reversion Pagos R4'!N174</x:f>
        <x:v>0</x:v>
      </x:c>
      <x:c r="Z67" s="255">
        <x:f t="shared" ref="Z67:Z70" si="26">-L67</x:f>
        <x:v>0</x:v>
      </x:c>
      <x:c r="AA67" s="256">
        <x:f>'Reversion Pagos R4'!O174</x:f>
        <x:v>0</x:v>
      </x:c>
      <x:c r="AB67" s="230">
        <x:f t="shared" ref="AB67:AB70" si="27">N67</x:f>
        <x:v>0</x:v>
      </x:c>
      <x:c r="AC67" s="256">
        <x:f>'Reversion Pagos R4'!Q174+'Reversion Pagos R4'!R174</x:f>
        <x:v>0</x:v>
      </x:c>
      <x:c r="AD67" s="227">
        <x:f t="shared" ref="AD67:AD70" si="28">-J67+AE67</x:f>
        <x:v>0</x:v>
      </x:c>
      <x:c r="AE67" s="227">
        <x:f>'Reversion Pagos R4'!D175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ht="12" x14ac:dyDescent="0.25">
      <x:c r="B68" s="250">
        <x:v>3</x:v>
      </x:c>
      <x:c r="C68" s="251" t="s">
        <x:v>12</x:v>
      </x:c>
      <x:c r="D68" s="227">
        <x:f>'Reversion Pagos R4'!D211</x:f>
        <x:v>0</x:v>
      </x:c>
      <x:c r="E68" s="228">
        <x:f>'Reversion Pagos R4'!E211</x:f>
        <x:v>0</x:v>
      </x:c>
      <x:c r="F68" s="228">
        <x:f>'Reversion Pagos R4'!F211</x:f>
        <x:v>0</x:v>
      </x:c>
      <x:c r="G68" s="228">
        <x:f>'Reversion Pagos R4'!G211</x:f>
        <x:v>0</x:v>
      </x:c>
      <x:c r="H68" s="228">
        <x:f>'Reversion Pagos R4'!H211</x:f>
        <x:v>0</x:v>
      </x:c>
      <x:c r="I68" s="228">
        <x:f>'Reversion Pagos R4'!I211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R4'!P211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R4'!J211</x:f>
        <x:v>0</x:v>
      </x:c>
      <x:c r="V68" s="253">
        <x:f>'Reversion Pagos R4'!K211</x:f>
        <x:v>0</x:v>
      </x:c>
      <x:c r="W68" s="253">
        <x:f>'Reversion Pagos R4'!L211</x:f>
        <x:v>0</x:v>
      </x:c>
      <x:c r="X68" s="253">
        <x:f>'Reversion Pagos R4'!M211</x:f>
        <x:v>0</x:v>
      </x:c>
      <x:c r="Y68" s="254">
        <x:f>'Reversion Pagos R4'!N211</x:f>
        <x:v>0</x:v>
      </x:c>
      <x:c r="Z68" s="255">
        <x:f t="shared" si="26"/>
        <x:v>0</x:v>
      </x:c>
      <x:c r="AA68" s="256">
        <x:f>'Reversion Pagos R4'!O211</x:f>
        <x:v>0</x:v>
      </x:c>
      <x:c r="AB68" s="230">
        <x:f t="shared" si="27"/>
        <x:v>0</x:v>
      </x:c>
      <x:c r="AC68" s="256">
        <x:f>'Reversion Pagos R4'!Q211+'Reversion Pagos R4'!R211</x:f>
        <x:v>0</x:v>
      </x:c>
      <x:c r="AD68" s="227">
        <x:f t="shared" si="28"/>
        <x:v>0</x:v>
      </x:c>
      <x:c r="AE68" s="227">
        <x:f>'Reversion Pagos R4'!D212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ht="12" x14ac:dyDescent="0.25">
      <x:c r="B69" s="250">
        <x:v>4</x:v>
      </x:c>
      <x:c r="C69" s="251" t="s">
        <x:v>13</x:v>
      </x:c>
      <x:c r="D69" s="227">
        <x:f>'Reversion Pagos R4'!D326</x:f>
        <x:v>0</x:v>
      </x:c>
      <x:c r="E69" s="228">
        <x:f>'Reversion Pagos R4'!E326</x:f>
        <x:v>0</x:v>
      </x:c>
      <x:c r="F69" s="228">
        <x:f>'Reversion Pagos R4'!F326</x:f>
        <x:v>0</x:v>
      </x:c>
      <x:c r="G69" s="228">
        <x:f>'Reversion Pagos R4'!G326</x:f>
        <x:v>0</x:v>
      </x:c>
      <x:c r="H69" s="228">
        <x:f>'Reversion Pagos R4'!H326</x:f>
        <x:v>0</x:v>
      </x:c>
      <x:c r="I69" s="228">
        <x:f>'Reversion Pagos R4'!I326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R4'!P326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R4'!J326</x:f>
        <x:v>0</x:v>
      </x:c>
      <x:c r="V69" s="253">
        <x:f>'Reversion Pagos R4'!K326</x:f>
        <x:v>0</x:v>
      </x:c>
      <x:c r="W69" s="253">
        <x:f>'Reversion Pagos R4'!L326</x:f>
        <x:v>0</x:v>
      </x:c>
      <x:c r="X69" s="253">
        <x:f>'Reversion Pagos R4'!M326</x:f>
        <x:v>0</x:v>
      </x:c>
      <x:c r="Y69" s="254">
        <x:f>'Reversion Pagos R4'!N326</x:f>
        <x:v>0</x:v>
      </x:c>
      <x:c r="Z69" s="255">
        <x:f t="shared" si="26"/>
        <x:v>0</x:v>
      </x:c>
      <x:c r="AA69" s="256">
        <x:f>'Reversion Pagos R4'!O326</x:f>
        <x:v>0</x:v>
      </x:c>
      <x:c r="AB69" s="230">
        <x:f t="shared" si="27"/>
        <x:v>0</x:v>
      </x:c>
      <x:c r="AC69" s="256">
        <x:f>'Reversion Pagos R4'!Q326+'Reversion Pagos R4'!R326</x:f>
        <x:v>0</x:v>
      </x:c>
      <x:c r="AD69" s="227">
        <x:f t="shared" si="28"/>
        <x:v>0</x:v>
      </x:c>
      <x:c r="AE69" s="227">
        <x:f>'Reversion Pagos R4'!D327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6" thickBot="1" x14ac:dyDescent="0.3">
      <x:c r="B70" s="260">
        <x:v>5</x:v>
      </x:c>
      <x:c r="C70" s="261" t="s">
        <x:v>14</x:v>
      </x:c>
      <x:c r="D70" s="232">
        <x:f>'Reversion Pagos R4'!D361</x:f>
        <x:v>0</x:v>
      </x:c>
      <x:c r="E70" s="233">
        <x:f>'Reversion Pagos R4'!E361</x:f>
        <x:v>0</x:v>
      </x:c>
      <x:c r="F70" s="233">
        <x:f>'Reversion Pagos R4'!F361</x:f>
        <x:v>0</x:v>
      </x:c>
      <x:c r="G70" s="233">
        <x:f>'Reversion Pagos R4'!G361</x:f>
        <x:v>0</x:v>
      </x:c>
      <x:c r="H70" s="233">
        <x:f>'Reversion Pagos R4'!H361</x:f>
        <x:v>0</x:v>
      </x:c>
      <x:c r="I70" s="233">
        <x:f>'Reversion Pagos R4'!I361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R4'!P361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R4'!J361</x:f>
        <x:v>0</x:v>
      </x:c>
      <x:c r="V70" s="233">
        <x:f>'Reversion Pagos R4'!K361</x:f>
        <x:v>0</x:v>
      </x:c>
      <x:c r="W70" s="233">
        <x:f>'Reversion Pagos R4'!L361</x:f>
        <x:v>0</x:v>
      </x:c>
      <x:c r="X70" s="233">
        <x:f>'Reversion Pagos R4'!M361</x:f>
        <x:v>0</x:v>
      </x:c>
      <x:c r="Y70" s="225">
        <x:f>'Reversion Pagos R4'!N361</x:f>
        <x:v>0</x:v>
      </x:c>
      <x:c r="Z70" s="255">
        <x:f t="shared" si="26"/>
        <x:v>0</x:v>
      </x:c>
      <x:c r="AA70" s="256">
        <x:f>'Reversion Pagos R4'!O361</x:f>
        <x:v>0</x:v>
      </x:c>
      <x:c r="AB70" s="230">
        <x:f t="shared" si="27"/>
        <x:v>0</x:v>
      </x:c>
      <x:c r="AC70" s="256">
        <x:f>'Reversion Pagos R4'!Q361+'Reversion Pagos R4'!R361</x:f>
        <x:v>0</x:v>
      </x:c>
      <x:c r="AD70" s="227">
        <x:f t="shared" si="28"/>
        <x:v>0</x:v>
      </x:c>
      <x:c r="AE70" s="227">
        <x:f>'Reversion Pagos R4'!D362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8" thickBot="1" x14ac:dyDescent="0.3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ht="12" x14ac:dyDescent="0.25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f>'AJUSTES - SF-T'!U47</x:f>
        <x:v>0</x:v>
      </x:c>
      <x:c r="V85" s="248">
        <x:f>'AJUSTES - SF-T'!V47</x:f>
        <x:v>0</x:v>
      </x:c>
      <x:c r="W85" s="248">
        <x:f>'AJUSTES - SF-T'!W47</x:f>
        <x:v>0</x:v>
      </x:c>
      <x:c r="X85" s="248">
        <x:f>'AJUSTES - SF-T'!X47</x:f>
        <x:v>0</x:v>
      </x:c>
      <x:c r="Y85" s="248">
        <x:f>'AJUSTES - SF-T'!Y47</x:f>
        <x:v>0</x:v>
      </x:c>
      <x:c r="Z85" s="248">
        <x:f>'AJUSTES - SF-T'!Z47</x:f>
        <x:v>0</x:v>
      </x:c>
      <x:c r="AA85" s="488">
        <x:f>'AJUSTES - SF-T'!AA47</x:f>
        <x:v>0</x:v>
      </x:c>
      <x:c r="AB85" s="248">
        <x:f>'AJUSTES - SF-T'!AB47</x:f>
        <x:v>0</x:v>
      </x:c>
      <x:c r="AC85" s="488">
        <x:v>0</x:v>
      </x:c>
      <x:c r="AD85" s="257">
        <x:f>'AJUSTES - SF-T'!AC47</x:f>
        <x:v>0</x:v>
      </x:c>
      <x:c r="AE85" s="230">
        <x:f>'AJUSTES - SF-T'!AD47</x:f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ht="12" x14ac:dyDescent="0.25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5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6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7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8">INT(AG86)=0</x:f>
        <x:v>1</x:v>
      </x:c>
      <x:c r="AI86" s="242"/>
    </x:row>
    <x:row r="87" spans="1:35" s="241" customFormat="1" ht="12" x14ac:dyDescent="0.25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f>'AJUSTES - SF-T'!U49</x:f>
        <x:v>0</x:v>
      </x:c>
      <x:c r="V87" s="256">
        <x:f>'AJUSTES - SF-T'!V49</x:f>
        <x:v>0</x:v>
      </x:c>
      <x:c r="W87" s="256">
        <x:f>'AJUSTES - SF-T'!W49</x:f>
        <x:v>0</x:v>
      </x:c>
      <x:c r="X87" s="256">
        <x:f>'AJUSTES - SF-T'!X49</x:f>
        <x:v>0</x:v>
      </x:c>
      <x:c r="Y87" s="256">
        <x:f>'AJUSTES - SF-T'!Y49</x:f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f>'AJUSTES - SF-T'!AC49</x:f>
        <x:v>0</x:v>
      </x:c>
      <x:c r="AE87" s="235">
        <x:f>'AJUSTES - SF-T'!AD49</x:f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8"/>
        <x:v>1</x:v>
      </x:c>
      <x:c r="AI87" s="242"/>
    </x:row>
    <x:row r="88" spans="1:35" s="241" customFormat="1" ht="12" x14ac:dyDescent="0.25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5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6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7"/>
        <x:v>0</x:v>
      </x:c>
      <x:c r="AE88" s="235">
        <x:v>0</x:v>
      </x:c>
      <x:c r="AF88" s="301">
        <x:f t="shared" ref="AF88:AF89" si="39">SUM(U88:AD88)</x:f>
        <x:v>0</x:v>
      </x:c>
      <x:c r="AG88" s="487">
        <x:f>AF88-O88</x:f>
        <x:v>0</x:v>
      </x:c>
      <x:c r="AH88" s="1" t="b">
        <x:f t="shared" si="38"/>
        <x:v>1</x:v>
      </x:c>
      <x:c r="AI88" s="242"/>
    </x:row>
    <x:row r="89" spans="1:35" s="241" customFormat="1" ht="12.6" thickBot="1" x14ac:dyDescent="0.3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5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6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9"/>
        <x:v>0</x:v>
      </x:c>
      <x:c r="AG89" s="492">
        <x:f>AF89-O89</x:f>
        <x:v>0</x:v>
      </x:c>
      <x:c r="AH89" s="1" t="b">
        <x:f t="shared" si="38"/>
        <x:v>1</x:v>
      </x:c>
      <x:c r="AI89" s="242"/>
    </x:row>
    <x:row r="90" spans="1:35" s="241" customFormat="1" ht="13.8" thickBot="1" x14ac:dyDescent="0.3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485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268">
        <x:f t="shared" si="41"/>
        <x:v>0</x:v>
      </x:c>
      <x:c r="AH90" s="1" t="b">
        <x:f t="shared" si="38"/>
        <x:v>1</x:v>
      </x:c>
      <x:c r="AI90" s="242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11" t="s">
        <x:v>17</x:v>
      </x:c>
      <x:c r="D101" s="9">
        <x:f>D6</x:f>
        <x:v>46238</x:v>
      </x:c>
      <x:c r="F101" s="58" t="s">
        <x:v>216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ht="12" x14ac:dyDescent="0.25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8">
        <x:f t="shared" si="43"/>
        <x:v>0</x:v>
      </x:c>
      <x:c r="K104" s="229">
        <x:f>D104-E104-F104-G104-H104-I104-J104</x:f>
        <x:v>0</x:v>
      </x:c>
      <x:c r="L104" s="230">
        <x:f>L9+L28+L47+L66+L85</x:f>
        <x:v>189185987</x:v>
      </x:c>
      <x:c r="M104" s="229">
        <x:f>K104-L104</x:f>
        <x:v>-189185987</x:v>
      </x:c>
      <x:c r="N104" s="230">
        <x:f>N9+N28+N47+N66+N85</x:f>
        <x:v>0</x:v>
      </x:c>
      <x:c r="O104" s="229">
        <x:f>M104+N104</x:f>
        <x:v>-189185987</x:v>
      </x:c>
      <x:c r="Q104" s="242"/>
      <x:c r="S104" s="239">
        <x:v>1</x:v>
      </x:c>
      <x:c r="T104" s="240" t="s">
        <x:v>10</x:v>
      </x:c>
      <x:c r="U104" s="243">
        <x:f t="shared" ref="U104:AB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-189185987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-189185987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ht="12" x14ac:dyDescent="0.25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8">
        <x:f t="shared" si="43"/>
        <x:v>0</x:v>
      </x:c>
      <x:c r="K105" s="231">
        <x:f t="shared" ref="K105:K108" si="45">D105-E105-F105-G105-H105-I105-J105</x:f>
        <x:v>0</x:v>
      </x:c>
      <x:c r="L105" s="230">
        <x:f>L10+L29+L48+L67+L86</x:f>
        <x:v>266580255</x:v>
      </x:c>
      <x:c r="M105" s="231">
        <x:f>K105-L105</x:f>
        <x:v>-266580255</x:v>
      </x:c>
      <x:c r="N105" s="230">
        <x:f>N10+N29+N48+N67+N86</x:f>
        <x:v>0</x:v>
      </x:c>
      <x:c r="O105" s="231">
        <x:f t="shared" ref="O105:O108" si="46">M105+N105</x:f>
        <x:v>-266580255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-266580255</x:v>
      </x:c>
      <x:c r="AA105" s="256">
        <x:f t="shared" si="44"/>
        <x:v>0</x:v>
      </x:c>
      <x:c r="AB105" s="230">
        <x:f t="shared" si="44"/>
        <x:v>0</x:v>
      </x:c>
      <x:c r="AC105" s="256">
        <x:f t="shared" ref="AC105" si="47">AC10+AC29+AC48+AC67+AC86</x:f>
        <x:v>0</x:v>
      </x:c>
      <x:c r="AD105" s="227">
        <x:f t="shared" ref="AD105:AD106" si="48">-J105+AE105</x:f>
        <x:v>0</x:v>
      </x:c>
      <x:c r="AE105" s="227">
        <x:f>AE10+AE29+AE48+AE67+AE86</x:f>
        <x:v>0</x:v>
      </x:c>
      <x:c r="AF105" s="258">
        <x:f>SUM(U105:AD105)</x:f>
        <x:v>-266580255</x:v>
      </x:c>
      <x:c r="AG105" s="259">
        <x:f>AF105-O105</x:f>
        <x:v>0</x:v>
      </x:c>
      <x:c r="AH105" s="1" t="b">
        <x:f t="shared" ref="AH105:AH109" si="49">INT(AG105)=0</x:f>
        <x:v>1</x:v>
      </x:c>
      <x:c r="AI105" s="242"/>
    </x:row>
    <x:row r="106" spans="2:36" s="241" customFormat="1" ht="12" x14ac:dyDescent="0.25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8">
        <x:f t="shared" si="43"/>
        <x:v>0</x:v>
      </x:c>
      <x:c r="K106" s="231">
        <x:f t="shared" si="45"/>
        <x:v>0</x:v>
      </x:c>
      <x:c r="L106" s="230">
        <x:f>L11+L30+L49+L68+L87</x:f>
        <x:v>154788535</x:v>
      </x:c>
      <x:c r="M106" s="231">
        <x:f>K106-L106</x:f>
        <x:v>-154788535</x:v>
      </x:c>
      <x:c r="N106" s="230">
        <x:f>N11+N30+N49+N68+N87</x:f>
        <x:v>0</x:v>
      </x:c>
      <x:c r="O106" s="231">
        <x:f t="shared" si="46"/>
        <x:v>-154788535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-154788535</x:v>
      </x:c>
      <x:c r="AA106" s="256">
        <x:f t="shared" si="44"/>
        <x:v>0</x:v>
      </x:c>
      <x:c r="AB106" s="230">
        <x:f t="shared" si="44"/>
        <x:v>0</x:v>
      </x:c>
      <x:c r="AC106" s="256">
        <x:f t="shared" ref="AC106" si="50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-154788535</x:v>
      </x:c>
      <x:c r="AG106" s="259">
        <x:f>AF106-O106</x:f>
        <x:v>0</x:v>
      </x:c>
      <x:c r="AH106" s="1" t="b">
        <x:f t="shared" si="49"/>
        <x:v>1</x:v>
      </x:c>
      <x:c r="AI106" s="242"/>
    </x:row>
    <x:row r="107" spans="2:36" s="241" customFormat="1" ht="12" x14ac:dyDescent="0.25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8">
        <x:f t="shared" si="43"/>
        <x:v>0</x:v>
      </x:c>
      <x:c r="K107" s="231">
        <x:f t="shared" si="45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-120391083</x:v>
      </x:c>
      <x:c r="AA107" s="256">
        <x:f>AA12+AA31+AA50+AA69+AA88</x:f>
        <x:v>0</x:v>
      </x:c>
      <x:c r="AB107" s="230">
        <x:f t="shared" si="44"/>
        <x:v>0</x:v>
      </x:c>
      <x:c r="AC107" s="256">
        <x:f t="shared" ref="AC107" si="51">AC12+AC31+AC50+AC69+AC88</x:f>
        <x:v>0</x:v>
      </x:c>
      <x:c r="AD107" s="227">
        <x:f t="shared" ref="AD107" si="52">-J107+AE107</x:f>
        <x:v>0</x:v>
      </x:c>
      <x:c r="AE107" s="227">
        <x:f>AE12+AE31+AE50+AE69+AE88</x:f>
        <x:v>0</x:v>
      </x:c>
      <x:c r="AF107" s="258">
        <x:f t="shared" ref="AF107:AF108" si="53">SUM(U107:AD107)</x:f>
        <x:v>-120391083</x:v>
      </x:c>
      <x:c r="AG107" s="259">
        <x:f>AF117-O117</x:f>
        <x:v>0</x:v>
      </x:c>
      <x:c r="AH107" s="1" t="b">
        <x:f t="shared" si="49"/>
        <x:v>1</x:v>
      </x:c>
      <x:c r="AI107" s="242"/>
    </x:row>
    <x:row r="108" spans="2:36" s="241" customFormat="1" ht="12.6" thickBot="1" x14ac:dyDescent="0.3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33">
        <x:f t="shared" si="43"/>
        <x:v>0</x:v>
      </x:c>
      <x:c r="K108" s="231">
        <x:f t="shared" si="45"/>
        <x:v>0</x:v>
      </x:c>
      <x:c r="L108" s="230">
        <x:f>L13+L32+L51+L70+L89</x:f>
        <x:v>128990445</x:v>
      </x:c>
      <x:c r="M108" s="234">
        <x:f>K108-L108</x:f>
        <x:v>-128990445</x:v>
      </x:c>
      <x:c r="N108" s="235">
        <x:f>N13+N32+N51+N70+N89</x:f>
        <x:v>0</x:v>
      </x:c>
      <x:c r="O108" s="234">
        <x:f t="shared" si="46"/>
        <x:v>-128990445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-128990445</x:v>
      </x:c>
      <x:c r="AA108" s="256">
        <x:f t="shared" si="44"/>
        <x:v>0</x:v>
      </x:c>
      <x:c r="AB108" s="230">
        <x:f t="shared" si="44"/>
        <x:v>0</x:v>
      </x:c>
      <x:c r="AC108" s="256">
        <x:f t="shared" ref="AC108" si="54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 t="shared" si="53"/>
        <x:v>-128990445</x:v>
      </x:c>
      <x:c r="AG108" s="262">
        <x:f>AF108-O108</x:f>
        <x:v>0</x:v>
      </x:c>
      <x:c r="AH108" s="1" t="b">
        <x:f t="shared" si="49"/>
        <x:v>1</x:v>
      </x:c>
      <x:c r="AI108" s="242"/>
    </x:row>
    <x:row r="109" spans="2:36" s="241" customFormat="1" ht="13.8" thickBot="1" x14ac:dyDescent="0.3">
      <x:c r="B109" s="263"/>
      <x:c r="C109" s="264" t="s">
        <x:v>2</x:v>
      </x:c>
      <x:c r="D109" s="226">
        <x:f t="shared" ref="D109:O109" si="55">SUM(D104:D108)</x:f>
        <x:v>0</x:v>
      </x:c>
      <x:c r="E109" s="226">
        <x:f t="shared" si="55"/>
        <x:v>0</x:v>
      </x:c>
      <x:c r="F109" s="226">
        <x:f t="shared" si="55"/>
        <x:v>0</x:v>
      </x:c>
      <x:c r="G109" s="226">
        <x:f t="shared" si="55"/>
        <x:v>0</x:v>
      </x:c>
      <x:c r="H109" s="226">
        <x:f t="shared" si="55"/>
        <x:v>0</x:v>
      </x:c>
      <x:c r="I109" s="226">
        <x:f t="shared" si="55"/>
        <x:v>0</x:v>
      </x:c>
      <x:c r="J109" s="226">
        <x:f t="shared" si="55"/>
        <x:v>0</x:v>
      </x:c>
      <x:c r="K109" s="236">
        <x:f t="shared" si="55"/>
        <x:v>0</x:v>
      </x:c>
      <x:c r="L109" s="237">
        <x:f t="shared" si="55"/>
        <x:v>859936305</x:v>
      </x:c>
      <x:c r="M109" s="238">
        <x:f t="shared" si="55"/>
        <x:v>-859936305</x:v>
      </x:c>
      <x:c r="N109" s="237">
        <x:f t="shared" si="55"/>
        <x:v>0</x:v>
      </x:c>
      <x:c r="O109" s="238">
        <x:f t="shared" si="55"/>
        <x:v>-859936305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6">SUM(V104:V108)</x:f>
        <x:v>0</x:v>
      </x:c>
      <x:c r="W109" s="266">
        <x:f t="shared" si="56"/>
        <x:v>0</x:v>
      </x:c>
      <x:c r="X109" s="266">
        <x:f t="shared" si="56"/>
        <x:v>0</x:v>
      </x:c>
      <x:c r="Y109" s="266">
        <x:f t="shared" si="56"/>
        <x:v>0</x:v>
      </x:c>
      <x:c r="Z109" s="226">
        <x:f t="shared" si="56"/>
        <x:v>-859936305</x:v>
      </x:c>
      <x:c r="AA109" s="226">
        <x:f t="shared" si="56"/>
        <x:v>0</x:v>
      </x:c>
      <x:c r="AB109" s="226">
        <x:f t="shared" si="56"/>
        <x:v>0</x:v>
      </x:c>
      <x:c r="AC109" s="226">
        <x:f t="shared" si="56"/>
        <x:v>0</x:v>
      </x:c>
      <x:c r="AD109" s="226">
        <x:f t="shared" si="56"/>
        <x:v>0</x:v>
      </x:c>
      <x:c r="AE109" s="226">
        <x:f>SUM(AE104:AE108)</x:f>
        <x:v>0</x:v>
      </x:c>
      <x:c r="AF109" s="267">
        <x:f t="shared" si="56"/>
        <x:v>-859936305</x:v>
      </x:c>
      <x:c r="AG109" s="268">
        <x:f>SUM(AG104:AG108)</x:f>
        <x:v>0</x:v>
      </x:c>
      <x:c r="AH109" s="1" t="b">
        <x:f t="shared" si="49"/>
        <x:v>1</x:v>
      </x:c>
      <x:c r="AI109" s="242"/>
    </x:row>
    <x:row r="110" spans="2:36" ht="12.6" thickBot="1" x14ac:dyDescent="0.3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1">
        <x:v>1</x:v>
      </x:c>
      <x:c r="C125" s="102" t="s">
        <x:v>10</x:v>
      </x:c>
      <x:c r="D125" s="103">
        <x:f>'ANTICIPOS USUARIOS'!I3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USUARIOS'!I12</x:f>
        <x:v>0</x:v>
      </x:c>
      <x:c r="L125" s="245">
        <x:f>-'ANTICIPOS USUARIOS'!I21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7">D67+N67</x:f>
        <x:v>0</x:v>
      </x:c>
      <x:c r="K126" s="224">
        <x:f>'ANTICIPOS USUARIOS'!I13</x:f>
        <x:v>0</x:v>
      </x:c>
      <x:c r="L126" s="224">
        <x:f>-'ANTICIPOS USUARIOS'!I22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7"/>
        <x:v>0</x:v>
      </x:c>
      <x:c r="K127" s="224">
        <x:f>'ANTICIPOS USUARIOS'!I14</x:f>
        <x:v>0</x:v>
      </x:c>
      <x:c r="L127" s="224">
        <x:f>-'ANTICIPOS USUARIOS'!I23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7"/>
        <x:v>0</x:v>
      </x:c>
      <x:c r="K128" s="224">
        <x:f>'ANTICIPOS USUARIOS'!I15</x:f>
        <x:v>0</x:v>
      </x:c>
      <x:c r="L128" s="224">
        <x:f>-'ANTICIPOS USUARIOS'!I24</x:f>
        <x:v>0</x:v>
      </x:c>
      <x:c r="O128" s="44"/>
      <x:c r="Q128" s="4"/>
    </x:row>
    <x:row r="129" spans="1:18" ht="12" x14ac:dyDescent="0.25">
      <x:c r="B129" s="122">
        <x:v>5</x:v>
      </x:c>
      <x:c r="C129" s="127" t="s">
        <x:v>14</x:v>
      </x:c>
      <x:c r="D129" s="15">
        <x:f>'ANTICIPOS USUARIOS'!I7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7"/>
        <x:v>0</x:v>
      </x:c>
      <x:c r="K129" s="224">
        <x:f>'ANTICIPOS USUARIOS'!I16</x:f>
        <x:v>0</x:v>
      </x:c>
      <x:c r="L129" s="224">
        <x:f>-'ANTICIPOS USUARIOS'!I25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6" thickBot="1" x14ac:dyDescent="0.3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8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ENEL'!F21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BANCO'!E62)</x:f>
        <x:v>0</x:v>
      </x:c>
      <x:c r="J142" s="103">
        <x:f t="shared" ref="J142:K146" si="59">G125</x:f>
        <x:v>0</x:v>
      </x:c>
      <x:c r="K142" s="104">
        <x:f t="shared" si="59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443">
        <x:f>D143-E143-F143-G143-J143-H143-I143</x:f>
        <x:v>0</x:v>
      </x:c>
      <x:c r="M143" s="1" t="b">
        <x:f t="shared" ref="M143:M147" si="60">INT(L143)=0</x:f>
        <x:v>1</x:v>
      </x:c>
      <x:c r="O143" s="119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443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443">
        <x:f>D145-E145-F145-G145-J145-H145-I145</x:f>
        <x:v>0</x:v>
      </x:c>
      <x:c r="M145" s="1" t="b">
        <x:f t="shared" si="60"/>
        <x:v>1</x:v>
      </x:c>
      <x:c r="O145" s="93"/>
      <x:c r="P145" s="24"/>
      <x:c r="Q145" s="35"/>
      <x:c r="R145" s="24"/>
    </x:row>
    <x:row r="146" spans="1:20" ht="12.6" thickBot="1" x14ac:dyDescent="0.3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ENEL'!F25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BANCO'!E72)</x:f>
        <x:v>0</x:v>
      </x:c>
      <x:c r="J146" s="123">
        <x:f t="shared" si="59"/>
        <x:v>0</x:v>
      </x:c>
      <x:c r="K146" s="125">
        <x:f t="shared" si="59"/>
        <x:v>0</x:v>
      </x:c>
      <x:c r="L146" s="443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443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M16" sqref="M16"/>
    </x:sheetView>
  </x:sheetViews>
  <x:sheetFormatPr baseColWidth="10" defaultRowHeight="13.2" x14ac:dyDescent="0.25"/>
  <x:cols>
    <x:col min="1" max="1" width="3" customWidth="1"/>
    <x:col min="2" max="2" width="4.33203125" bestFit="1" customWidth="1"/>
    <x:col min="3" max="3" width="16.6640625" customWidth="1"/>
    <x:col min="4" max="4" width="14.33203125" customWidth="1"/>
    <x:col min="5" max="7" width="17.6640625" customWidth="1"/>
    <x:col min="8" max="8" width="18.33203125" customWidth="1"/>
    <x:col min="9" max="9" width="15.6640625" customWidth="1"/>
    <x:col min="10" max="10" width="16.44140625" customWidth="1"/>
    <x:col min="11" max="11" width="15.6640625" customWidth="1"/>
    <x:col min="12" max="13" width="18.33203125" customWidth="1"/>
    <x:col min="14" max="14" width="15.6640625" customWidth="1"/>
    <x:col min="15" max="15" width="14.3320312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5">
      <x:c r="B3" s="239">
        <x:v>1</x:v>
      </x:c>
      <x:c r="C3" s="228">
        <x:f>'Recaudo ENEL'!F21</x:f>
        <x:v>0</x:v>
      </x:c>
      <x:c r="D3" s="228">
        <x:f>REMUNERACION_ENEL!G125</x:f>
        <x:v>0</x:v>
      </x:c>
      <x:c r="E3" s="228">
        <x:f>REMUNERACION_ENEL!D28+REMUNERACION_ENEL!N28</x:f>
        <x:v>0</x:v>
      </x:c>
      <x:c r="F3" s="228">
        <x:f>REMUNERACION_ENEL!I142</x:f>
        <x:v>0</x:v>
      </x:c>
      <x:c r="G3" s="228">
        <x:f>REMUNERACION_ENEL!H142</x:f>
        <x:v>0</x:v>
      </x:c>
      <x:c r="H3" s="276">
        <x:f>SUM(C3:G3)</x:f>
        <x:v>0</x:v>
      </x:c>
      <x:c r="I3" s="227">
        <x:f>REMUNERACION_ENEL!D104</x:f>
        <x:v>0</x:v>
      </x:c>
      <x:c r="J3" s="228">
        <x:f>REMUNERACION_ENEL!N104</x:f>
        <x:v>0</x:v>
      </x:c>
      <x:c r="K3" s="228">
        <x:f>REMUNERACION_ENEL!D125</x:f>
        <x:v>0</x:v>
      </x:c>
      <x:c r="L3" s="289">
        <x:f>REMUNERACION_ENEL!E125</x:f>
        <x:v>0</x:v>
      </x:c>
      <x:c r="M3" s="228">
        <x:f>-REMUNERACION_ENEL!D66-REMUNERACION_ENEL!N66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5">
      <x:c r="B4" s="250">
        <x:v>2</x:v>
      </x:c>
      <x:c r="C4" s="253">
        <x:f>'Recaudo ENEL'!F22</x:f>
        <x:v>0</x:v>
      </x:c>
      <x:c r="D4" s="228">
        <x:f>REMUNERACION_ENEL!G126</x:f>
        <x:v>0</x:v>
      </x:c>
      <x:c r="E4" s="228">
        <x:f>REMUNERACION_ENEL!D29+REMUNERACION_ENEL!N29</x:f>
        <x:v>0</x:v>
      </x:c>
      <x:c r="F4" s="228">
        <x:f>REMUNERACION_ENEL!I143</x:f>
        <x:v>0</x:v>
      </x:c>
      <x:c r="G4" s="228">
        <x:f>REMUNERACION_ENEL!H143</x:f>
        <x:v>0</x:v>
      </x:c>
      <x:c r="H4" s="276">
        <x:f t="shared" ref="H4:H8" si="1">SUM(C4:G4)</x:f>
        <x:v>0</x:v>
      </x:c>
      <x:c r="I4" s="227">
        <x:f>REMUNERACION_ENEL!D105</x:f>
        <x:v>0</x:v>
      </x:c>
      <x:c r="J4" s="228">
        <x:f>REMUNERACION_ENEL!N105</x:f>
        <x:v>0</x:v>
      </x:c>
      <x:c r="K4" s="228">
        <x:f>REMUNERACION_ENEL!D126</x:f>
        <x:v>0</x:v>
      </x:c>
      <x:c r="L4" s="289">
        <x:f>REMUNERACION_ENEL!E126</x:f>
        <x:v>0</x:v>
      </x:c>
      <x:c r="M4" s="228">
        <x:f>-REMUNERACION_ENEL!D67-REMUNERACION_ENEL!N67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5">
      <x:c r="B5" s="250">
        <x:v>3</x:v>
      </x:c>
      <x:c r="C5" s="253">
        <x:f>'Recaudo ENEL'!F23</x:f>
        <x:v>0</x:v>
      </x:c>
      <x:c r="D5" s="228">
        <x:f>REMUNERACION_ENEL!G127</x:f>
        <x:v>0</x:v>
      </x:c>
      <x:c r="E5" s="228">
        <x:f>REMUNERACION_ENEL!D30+REMUNERACION_ENEL!N30</x:f>
        <x:v>0</x:v>
      </x:c>
      <x:c r="F5" s="228">
        <x:f>REMUNERACION_ENEL!I144</x:f>
        <x:v>0</x:v>
      </x:c>
      <x:c r="G5" s="228">
        <x:f>REMUNERACION_ENEL!H144</x:f>
        <x:v>0</x:v>
      </x:c>
      <x:c r="H5" s="276">
        <x:f t="shared" si="1"/>
        <x:v>0</x:v>
      </x:c>
      <x:c r="I5" s="227">
        <x:f>REMUNERACION_ENEL!D106</x:f>
        <x:v>0</x:v>
      </x:c>
      <x:c r="J5" s="228">
        <x:f>REMUNERACION_ENEL!N106</x:f>
        <x:v>0</x:v>
      </x:c>
      <x:c r="K5" s="228">
        <x:f>REMUNERACION_ENEL!D127</x:f>
        <x:v>0</x:v>
      </x:c>
      <x:c r="L5" s="289">
        <x:f>REMUNERACION_ENEL!E127</x:f>
        <x:v>0</x:v>
      </x:c>
      <x:c r="M5" s="228">
        <x:f>-REMUNERACION_ENEL!D68-REMUNERACION_ENEL!N68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5">
      <x:c r="B6" s="250">
        <x:v>4</x:v>
      </x:c>
      <x:c r="C6" s="253">
        <x:f>'Recaudo ENEL'!F24</x:f>
        <x:v>0</x:v>
      </x:c>
      <x:c r="D6" s="228">
        <x:f>REMUNERACION_ENEL!G128</x:f>
        <x:v>0</x:v>
      </x:c>
      <x:c r="E6" s="228">
        <x:f>REMUNERACION_ENEL!D31+REMUNERACION_ENEL!N31</x:f>
        <x:v>0</x:v>
      </x:c>
      <x:c r="F6" s="228">
        <x:f>REMUNERACION_ENEL!I145</x:f>
        <x:v>0</x:v>
      </x:c>
      <x:c r="G6" s="228">
        <x:f>REMUNERACION_ENEL!H145</x:f>
        <x:v>0</x:v>
      </x:c>
      <x:c r="H6" s="276">
        <x:f t="shared" si="1"/>
        <x:v>0</x:v>
      </x:c>
      <x:c r="I6" s="227">
        <x:f>REMUNERACION_ENEL!D107</x:f>
        <x:v>0</x:v>
      </x:c>
      <x:c r="J6" s="228">
        <x:f>REMUNERACION_ENEL!N107</x:f>
        <x:v>0</x:v>
      </x:c>
      <x:c r="K6" s="228">
        <x:f>REMUNERACION_ENEL!D128</x:f>
        <x:v>0</x:v>
      </x:c>
      <x:c r="L6" s="289">
        <x:f>REMUNERACION_ENEL!E128</x:f>
        <x:v>0</x:v>
      </x:c>
      <x:c r="M6" s="228">
        <x:f>-REMUNERACION_ENEL!D69-REMUNERACION_ENEL!N69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5">
      <x:c r="B7" s="250">
        <x:v>5</x:v>
      </x:c>
      <x:c r="C7" s="253">
        <x:f>'Recaudo ENEL'!F25</x:f>
        <x:v>0</x:v>
      </x:c>
      <x:c r="D7" s="228">
        <x:f>REMUNERACION_ENEL!G129</x:f>
        <x:v>0</x:v>
      </x:c>
      <x:c r="E7" s="228">
        <x:f>REMUNERACION_ENEL!D32+REMUNERACION_ENEL!N32</x:f>
        <x:v>0</x:v>
      </x:c>
      <x:c r="F7" s="228">
        <x:f>REMUNERACION_ENEL!I146</x:f>
        <x:v>0</x:v>
      </x:c>
      <x:c r="G7" s="228">
        <x:f>REMUNERACION_ENEL!H146</x:f>
        <x:v>0</x:v>
      </x:c>
      <x:c r="H7" s="276">
        <x:f t="shared" si="1"/>
        <x:v>0</x:v>
      </x:c>
      <x:c r="I7" s="227">
        <x:f>REMUNERACION_ENEL!D108</x:f>
        <x:v>0</x:v>
      </x:c>
      <x:c r="J7" s="228">
        <x:f>REMUNERACION_ENEL!N108</x:f>
        <x:v>0</x:v>
      </x:c>
      <x:c r="K7" s="228">
        <x:f>REMUNERACION_ENEL!D129</x:f>
        <x:v>0</x:v>
      </x:c>
      <x:c r="L7" s="289">
        <x:f>REMUNERACION_ENEL!E129</x:f>
        <x:v>0</x:v>
      </x:c>
      <x:c r="M7" s="228">
        <x:f>-REMUNERACION_ENEL!D70-REMUNERACION_ENEL!N70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8" thickBot="1" x14ac:dyDescent="0.3">
      <x:c r="B8" s="277" t="s">
        <x:v>89</x:v>
      </x:c>
      <x:c r="C8" s="253">
        <x:f>'Recaudo ENEL'!F26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REMUNERACION_ENEL!E130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8" thickBot="1" x14ac:dyDescent="0.3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5">
      <x:c r="B11" s="95" t="s">
        <x:v>89</x:v>
      </x:c>
      <x:c r="C11" s="96" t="s">
        <x:v>90</x:v>
      </x:c>
      <x:c r="M11" s="130"/>
      <x:c r="O11" s="126"/>
    </x:row>
    <x:row r="12" spans="2:16" x14ac:dyDescent="0.25">
      <x:c r="C12" s="132"/>
    </x:row>
    <x:row r="13" spans="2:16" x14ac:dyDescent="0.25">
      <x:c r="B13" s="131"/>
      <x:c r="C13" s="132" t="s">
        <x:v>1</x:v>
      </x:c>
    </x:row>
    <x:row r="14" spans="2:16" x14ac:dyDescent="0.25">
      <x:c r="C14" s="200">
        <x:f>'Valida - Control Recaudo'!D7</x:f>
        <x:v>0</x:v>
      </x:c>
    </x:row>
    <x:row r="15" spans="2:16" x14ac:dyDescent="0.25">
      <x:c r="C15" s="202" t="b">
        <x:f>C14=C9</x:f>
        <x:v>1</x:v>
      </x:c>
    </x:row>
    <x:row r="16" spans="2:16" x14ac:dyDescent="0.25">
      <x:c r="C16" s="191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zoomScaleNormal="100" workbookViewId="0">
      <x:selection activeCell="F17" sqref="F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9.44140625" style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REMUNERACION_ENEL!D101</x:f>
        <x:v>46238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11" t="s">
        <x:v>0</x:v>
      </x:c>
      <x:c r="D7" s="198">
        <x:f>REMUNERACION_ENEL!D102</x:f>
        <x:v>0.58333333333333337</x:v>
      </x:c>
      <x:c r="F7" s="2" t="s">
        <x:v>27</x:v>
      </x:c>
      <x:c r="G7" s="9">
        <x:f>REMUNERACION_ENEL!G102</x:f>
        <x:v>46219</x:v>
      </x:c>
      <x:c r="J7" s="2" t="s">
        <x:v>28</x:v>
      </x:c>
      <x:c r="K7" s="9">
        <x:f>REMUNERACION_ENEL!K102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189185987</x:v>
      </x:c>
      <x:c r="M9" s="30">
        <x:f>K9-L9</x:f>
        <x:v>-189185987</x:v>
      </x:c>
      <x:c r="N9" s="66">
        <x:f>REMUNERACION_ENEL!N104</x:f>
        <x:v>0</x:v>
      </x:c>
      <x:c r="O9" s="30">
        <x:f>M9+N9</x:f>
        <x:v>-189185987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-189185987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-189185987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266580255</x:v>
      </x:c>
      <x:c r="M10" s="31">
        <x:f>K10-L10</x:f>
        <x:v>-266580255</x:v>
      </x:c>
      <x:c r="N10" s="66">
        <x:f>REMUNERACION_ENEL!N105</x:f>
        <x:v>0</x:v>
      </x:c>
      <x:c r="O10" s="31">
        <x:f t="shared" ref="O10:O13" si="1">M10+N10</x:f>
        <x:v>-266580255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-266580255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-266580255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154788535</x:v>
      </x:c>
      <x:c r="M11" s="31">
        <x:f>K11-L11</x:f>
        <x:v>-154788535</x:v>
      </x:c>
      <x:c r="N11" s="66">
        <x:f>REMUNERACION_ENEL!N106</x:f>
        <x:v>0</x:v>
      </x:c>
      <x:c r="O11" s="31">
        <x:f t="shared" si="1"/>
        <x:v>-154788535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-154788535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-154788535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128990445</x:v>
      </x:c>
      <x:c r="M13" s="40">
        <x:f>K13-L13</x:f>
        <x:v>-128990445</x:v>
      </x:c>
      <x:c r="N13" s="66">
        <x:f>REMUNERACION_ENEL!N108</x:f>
        <x:v>0</x:v>
      </x:c>
      <x:c r="O13" s="40">
        <x:f t="shared" si="1"/>
        <x:v>-128990445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-128990445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-128990445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859936305</x:v>
      </x:c>
      <x:c r="M14" s="76">
        <x:f t="shared" si="3"/>
        <x:v>-859936305</x:v>
      </x:c>
      <x:c r="N14" s="23">
        <x:f t="shared" si="3"/>
        <x:v>0</x:v>
      </x:c>
      <x:c r="O14" s="76">
        <x:f t="shared" si="3"/>
        <x:v>-859936305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-859936305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-859936305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REMUNERACION_ENEL!G122</x:f>
        <x:v>46219</x:v>
      </x:c>
      <x:c r="J27" s="2" t="s">
        <x:v>28</x:v>
      </x:c>
      <x:c r="K27" s="9">
        <x:f>REMUNERACION_ENEL!K122</x:f>
        <x:v>46234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1">
        <x:v>1</x:v>
      </x:c>
      <x:c r="C30" s="102" t="s">
        <x:v>10</x:v>
      </x:c>
      <x:c r="D30" s="103">
        <x:f>REMUNERACION_ENEL!D125</x:f>
        <x:v>0</x:v>
      </x:c>
      <x:c r="E30" s="104">
        <x:f>REMUNERACION_ENEL!E125</x:f>
        <x:v>0</x:v>
      </x:c>
      <x:c r="G30" s="272">
        <x:f>REMUNERACION_ENEL!G125</x:f>
        <x:v>0</x:v>
      </x:c>
      <x:c r="H30" s="246">
        <x:f>REMUNERACION_ENEL!H125</x:f>
        <x:v>0</x:v>
      </x:c>
      <x:c r="I30" s="245">
        <x:f>REMUNERACION_ENEL!I125</x:f>
        <x:v>0</x:v>
      </x:c>
      <x:c r="J30" s="245">
        <x:f>REMUNERACION_ENEL!J125</x:f>
        <x:v>0</x:v>
      </x:c>
      <x:c r="K30" s="245">
        <x:f>REMUNERACION_ENEL!K125</x:f>
        <x:v>0</x:v>
      </x:c>
      <x:c r="L30" s="245">
        <x:f>REMUNERACION_ENEL!L125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275">
        <x:f>REMUNERACION_ENEL!G126</x:f>
        <x:v>0</x:v>
      </x:c>
      <x:c r="H31" s="276">
        <x:f>REMUNERACION_ENEL!H126</x:f>
        <x:v>0</x:v>
      </x:c>
      <x:c r="I31" s="224">
        <x:f>REMUNERACION_ENEL!I126</x:f>
        <x:v>0</x:v>
      </x:c>
      <x:c r="J31" s="224">
        <x:f>REMUNERACION_ENEL!J126</x:f>
        <x:v>0</x:v>
      </x:c>
      <x:c r="K31" s="224">
        <x:f>REMUNERACION_ENEL!K126</x:f>
        <x:v>0</x:v>
      </x:c>
      <x:c r="L31" s="224">
        <x:f>REMUNERACION_ENEL!L126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275">
        <x:f>REMUNERACION_ENEL!G127</x:f>
        <x:v>0</x:v>
      </x:c>
      <x:c r="H32" s="276">
        <x:f>REMUNERACION_ENEL!H127</x:f>
        <x:v>0</x:v>
      </x:c>
      <x:c r="I32" s="224">
        <x:f>REMUNERACION_ENEL!I127</x:f>
        <x:v>0</x:v>
      </x:c>
      <x:c r="J32" s="224">
        <x:f>REMUNERACION_ENEL!J127</x:f>
        <x:v>0</x:v>
      </x:c>
      <x:c r="K32" s="224">
        <x:f>REMUNERACION_ENEL!K127</x:f>
        <x:v>0</x:v>
      </x:c>
      <x:c r="L32" s="224">
        <x:f>REMUNERACION_ENEL!L127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275">
        <x:f>REMUNERACION_ENEL!G128</x:f>
        <x:v>0</x:v>
      </x:c>
      <x:c r="H33" s="276">
        <x:f>REMUNERACION_ENEL!H128</x:f>
        <x:v>0</x:v>
      </x:c>
      <x:c r="I33" s="224">
        <x:f>REMUNERACION_ENEL!I128</x:f>
        <x:v>0</x:v>
      </x:c>
      <x:c r="J33" s="224">
        <x:f>REMUNERACION_ENEL!J128</x:f>
        <x:v>0</x:v>
      </x:c>
      <x:c r="K33" s="224">
        <x:f>REMUNERACION_ENEL!K128</x:f>
        <x:v>0</x:v>
      </x:c>
      <x:c r="L33" s="224">
        <x:f>REMUNERACION_ENEL!L128</x:f>
        <x:v>0</x:v>
      </x:c>
      <x:c r="O33" s="44"/>
      <x:c r="Q33" s="4"/>
    </x:row>
    <x:row r="34" spans="1:20" ht="12" x14ac:dyDescent="0.25">
      <x:c r="B34" s="122">
        <x:v>5</x:v>
      </x:c>
      <x:c r="C34" s="127" t="s">
        <x:v>14</x:v>
      </x:c>
      <x:c r="D34" s="124">
        <x:f>REMUNERACION_ENEL!D129</x:f>
        <x:v>0</x:v>
      </x:c>
      <x:c r="E34" s="128">
        <x:f>REMUNERACION_ENEL!E129</x:f>
        <x:v>0</x:v>
      </x:c>
      <x:c r="G34" s="275">
        <x:f>REMUNERACION_ENEL!G129</x:f>
        <x:v>0</x:v>
      </x:c>
      <x:c r="H34" s="276">
        <x:f>REMUNERACION_ENEL!H129</x:f>
        <x:v>0</x:v>
      </x:c>
      <x:c r="I34" s="224">
        <x:f>REMUNERACION_ENEL!I129</x:f>
        <x:v>0</x:v>
      </x:c>
      <x:c r="J34" s="224">
        <x:f>REMUNERACION_ENEL!J129</x:f>
        <x:v>0</x:v>
      </x:c>
      <x:c r="K34" s="224">
        <x:f>REMUNERACION_ENEL!K129</x:f>
        <x:v>0</x:v>
      </x:c>
      <x:c r="L34" s="224">
        <x:f>REMUNERACION_ENEL!L129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6" thickBot="1" x14ac:dyDescent="0.3">
      <x:c r="B36" s="92"/>
      <x:c r="C36" s="99" t="s">
        <x:v>2</x:v>
      </x:c>
      <x:c r="D36" s="100">
        <x:f t="shared" ref="D36" si="5">SUM(D30:D34)</x:f>
        <x:v>0</x:v>
      </x:c>
      <x:c r="E36" s="100">
        <x:f>REMUNERACION_ENEL!E131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D14=REMUNERACION_ENEL!D109</x:f>
        <x:v>1</x:v>
      </x:c>
      <x:c r="E45" s="208" t="b">
        <x:f>E14=REMUNERACION_ENEL!E109</x:f>
        <x:v>1</x:v>
      </x:c>
      <x:c r="F45" s="208" t="b">
        <x:f>F14=REMUNERACION_ENEL!F109</x:f>
        <x:v>1</x:v>
      </x:c>
      <x:c r="G45" s="208" t="b">
        <x:f>G14=REMUNERACION_ENEL!G109</x:f>
        <x:v>1</x:v>
      </x:c>
      <x:c r="H45" s="208" t="b">
        <x:f>H14=REMUNERACION_ENEL!H109</x:f>
        <x:v>1</x:v>
      </x:c>
      <x:c r="I45" s="208" t="b">
        <x:f>I14=REMUNERACION_ENEL!I109</x:f>
        <x:v>1</x:v>
      </x:c>
      <x:c r="J45" s="208" t="b">
        <x:f>J14=REMUNERACION_ENEL!J109</x:f>
        <x:v>1</x:v>
      </x:c>
      <x:c r="K45" s="208" t="b">
        <x:f>K14=REMUNERACION_ENEL!K109</x:f>
        <x:v>1</x:v>
      </x:c>
      <x:c r="L45" s="208" t="b">
        <x:f>L14=REMUNERACION_ENEL!L109</x:f>
        <x:v>1</x:v>
      </x:c>
      <x:c r="M45" s="208" t="b">
        <x:f>M14=REMUNERACION_ENEL!M109</x:f>
        <x:v>1</x:v>
      </x:c>
      <x:c r="N45" s="208" t="b">
        <x:f>N14=REMUNERACION_ENEL!N109</x:f>
        <x:v>1</x:v>
      </x:c>
      <x:c r="O45" s="208" t="b">
        <x:f>O14=REMUNERACION_ENEL!O109</x:f>
        <x:v>1</x:v>
      </x:c>
      <x:c r="Q45" s="24"/>
      <x:c r="T45" s="24"/>
    </x:row>
    <x:row r="46" spans="1:20" x14ac:dyDescent="0.2">
      <x:c r="D46" s="208" t="b">
        <x:f>D36=REMUNERACION_ENEL!D131</x:f>
        <x:v>1</x:v>
      </x:c>
      <x:c r="E46" s="208" t="b">
        <x:f>E36=REMUNERACION_ENEL!E131</x:f>
        <x:v>1</x:v>
      </x:c>
      <x:c r="F46" s="208" t="b">
        <x:f>F36=REMUNERACION_ENEL!F131</x:f>
        <x:v>1</x:v>
      </x:c>
      <x:c r="G46" s="208" t="b">
        <x:f>G36=REMUNERACION_ENEL!G131</x:f>
        <x:v>1</x:v>
      </x:c>
      <x:c r="H46" s="208" t="b">
        <x:f>H36=REMUNERACION_ENEL!H131</x:f>
        <x:v>1</x:v>
      </x:c>
      <x:c r="I46" s="208" t="b">
        <x:f>I36=REMUNERACION_ENEL!I131</x:f>
        <x:v>1</x:v>
      </x:c>
      <x:c r="J46" s="208" t="b">
        <x:f>J36=REMUNERACION_ENEL!J131</x:f>
        <x:v>1</x:v>
      </x:c>
      <x:c r="K46" s="208" t="b">
        <x:f>K36=REMUNERACION_ENEL!K131</x:f>
        <x:v>1</x:v>
      </x:c>
      <x:c r="L46" s="208" t="b">
        <x:f>L36=REMUNERACION_ENEL!L131</x:f>
        <x:v>1</x:v>
      </x:c>
      <x:c r="M46" s="208" t="b">
        <x:f>M36=REMUNERACION_ENEL!M131</x:f>
        <x:v>1</x:v>
      </x:c>
      <x:c r="N46" s="208" t="b">
        <x:f>N36=REMUNERACION_ENEL!N131</x:f>
        <x:v>1</x:v>
      </x:c>
      <x:c r="O46" s="208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zoomScaleNormal="100" workbookViewId="0">
      <x:selection activeCell="K17" sqref="K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6640625" style="1" bestFit="1" customWidth="1"/>
    <x:col min="13" max="13" width="21" style="1" bestFit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16384" width="11.44140625" style="1"/>
  </x:cols>
  <x:sheetData>
    <x:row r="1" spans="1:35" ht="12.6" thickBot="1" x14ac:dyDescent="0.3">
      <x:c r="A1" s="198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ht="12" x14ac:dyDescent="0.25">
      <x:c r="B9" s="239">
        <x:v>1</x:v>
      </x:c>
      <x:c r="C9" s="240" t="s">
        <x:v>10</x:v>
      </x:c>
      <x:c r="D9" s="227">
        <x:f>'Reporte Componentes R1'!F61</x:f>
        <x:v>0</x:v>
      </x:c>
      <x:c r="E9" s="227">
        <x:f>'Reporte Componentes R1'!G61</x:f>
        <x:v>0</x:v>
      </x:c>
      <x:c r="F9" s="227">
        <x:f>'Reporte Componentes R1'!H61</x:f>
        <x:v>0</x:v>
      </x:c>
      <x:c r="G9" s="227">
        <x:f>'Reporte Componentes R1'!I61</x:f>
        <x:v>0</x:v>
      </x:c>
      <x:c r="H9" s="227">
        <x:f>'Reporte Componentes R1'!J61</x:f>
        <x:v>0</x:v>
      </x:c>
      <x:c r="I9" s="227">
        <x:f>'Reporte Componentes R1'!K61</x:f>
        <x:v>0</x:v>
      </x:c>
      <x:c r="J9" s="227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R1'!L61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R1'!M61</x:f>
        <x:v>0</x:v>
      </x:c>
      <x:c r="V9" s="243">
        <x:f>'Reporte Componentes R1'!N61</x:f>
        <x:v>0</x:v>
      </x:c>
      <x:c r="W9" s="243">
        <x:f>'Reporte Componentes R1'!O61</x:f>
        <x:v>0</x:v>
      </x:c>
      <x:c r="X9" s="243">
        <x:f>'Reporte Componentes R1'!P61</x:f>
        <x:v>0</x:v>
      </x:c>
      <x:c r="Y9" s="243">
        <x:f>'Reporte Componentes R1'!Q61</x:f>
        <x:v>0</x:v>
      </x:c>
      <x:c r="Z9" s="255">
        <x:f>L9*-1</x:f>
        <x:v>0</x:v>
      </x:c>
      <x:c r="AA9" s="256">
        <x:f>'Reporte Componentes R1'!R61+'Reporte Componentes R1'!V157+'Reporte Componentes R1'!U61</x:f>
        <x:v>0</x:v>
      </x:c>
      <x:c r="AB9" s="230">
        <x:f>N9</x:f>
        <x:v>0</x:v>
      </x:c>
      <x:c r="AC9" s="256">
        <x:f>'Reporte Componentes R1'!T61+'Reporte Componentes R1'!W61+'Reporte Componentes R1'!X61+'Reporte Componentes R1'!Y61+'Reporte Componentes R1'!Z61+'Reporte Componentes R1'!S61</x:f>
        <x:v>0</x:v>
      </x:c>
      <x:c r="AD9" s="227">
        <x:f>-J9+AE9</x:f>
        <x:v>0</x:v>
      </x:c>
      <x:c r="AE9" s="227">
        <x:f>'Reporte Componentes R1'!F62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ht="12" x14ac:dyDescent="0.25">
      <x:c r="B10" s="250">
        <x:v>2</x:v>
      </x:c>
      <x:c r="C10" s="251" t="s">
        <x:v>11</x:v>
      </x:c>
      <x:c r="D10" s="227">
        <x:f>'Reporte Componentes R1'!F191</x:f>
        <x:v>0</x:v>
      </x:c>
      <x:c r="E10" s="227">
        <x:f>'Reporte Componentes R1'!G191</x:f>
        <x:v>0</x:v>
      </x:c>
      <x:c r="F10" s="227">
        <x:f>'Reporte Componentes R1'!H191</x:f>
        <x:v>0</x:v>
      </x:c>
      <x:c r="G10" s="227">
        <x:f>'Reporte Componentes R1'!I191</x:f>
        <x:v>0</x:v>
      </x:c>
      <x:c r="H10" s="227">
        <x:f>'Reporte Componentes R1'!J191</x:f>
        <x:v>0</x:v>
      </x:c>
      <x:c r="I10" s="227">
        <x:f>'Reporte Componentes R1'!K191</x:f>
        <x:v>0</x:v>
      </x:c>
      <x:c r="J10" s="227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R1'!L191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R1'!M191</x:f>
        <x:v>0</x:v>
      </x:c>
      <x:c r="V10" s="252">
        <x:f>'Reporte Componentes R1'!N191</x:f>
        <x:v>0</x:v>
      </x:c>
      <x:c r="W10" s="252">
        <x:f>'Reporte Componentes R1'!O191</x:f>
        <x:v>0</x:v>
      </x:c>
      <x:c r="X10" s="252">
        <x:f>'Reporte Componentes R1'!P191</x:f>
        <x:v>0</x:v>
      </x:c>
      <x:c r="Y10" s="252">
        <x:f>'Reporte Componentes R1'!Q191</x:f>
        <x:v>0</x:v>
      </x:c>
      <x:c r="Z10" s="255">
        <x:f>L10*-1</x:f>
        <x:v>0</x:v>
      </x:c>
      <x:c r="AA10" s="256">
        <x:f>'Reporte Componentes R1'!R191+'Reporte Componentes R1'!V191+'Reporte Componentes R1'!U191</x:f>
        <x:v>0</x:v>
      </x:c>
      <x:c r="AB10" s="230">
        <x:f>N10</x:f>
        <x:v>0</x:v>
      </x:c>
      <x:c r="AC10" s="256">
        <x:f>'Reporte Componentes R1'!T271+'Reporte Componentes R1'!W271+'Reporte Componentes R1'!X271+'Reporte Componentes R1'!Y271+'Reporte Componentes R1'!Z271+'Reporte Componentes R1'!S271</x:f>
        <x:v>0</x:v>
      </x:c>
      <x:c r="AD10" s="227">
        <x:f t="shared" ref="AD10:AD13" si="2">-J10+AE10</x:f>
        <x:v>0</x:v>
      </x:c>
      <x:c r="AE10" s="227">
        <x:f>'Reporte Componentes R1'!F192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ht="12" x14ac:dyDescent="0.25">
      <x:c r="B11" s="250">
        <x:v>3</x:v>
      </x:c>
      <x:c r="C11" s="251" t="s">
        <x:v>12</x:v>
      </x:c>
      <x:c r="D11" s="227">
        <x:f>'Reporte Componentes R1'!F331</x:f>
        <x:v>0</x:v>
      </x:c>
      <x:c r="E11" s="227">
        <x:f>'Reporte Componentes R1'!G331</x:f>
        <x:v>0</x:v>
      </x:c>
      <x:c r="F11" s="227">
        <x:f>'Reporte Componentes R1'!H331</x:f>
        <x:v>0</x:v>
      </x:c>
      <x:c r="G11" s="227">
        <x:f>'Reporte Componentes R1'!I331</x:f>
        <x:v>0</x:v>
      </x:c>
      <x:c r="H11" s="227">
        <x:f>'Reporte Componentes R1'!J331</x:f>
        <x:v>0</x:v>
      </x:c>
      <x:c r="I11" s="227">
        <x:f>'Reporte Componentes R1'!K331</x:f>
        <x:v>0</x:v>
      </x:c>
      <x:c r="J11" s="227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R1'!L331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R1'!M331</x:f>
        <x:v>0</x:v>
      </x:c>
      <x:c r="V11" s="252">
        <x:f>'Reporte Componentes R1'!N331</x:f>
        <x:v>0</x:v>
      </x:c>
      <x:c r="W11" s="252">
        <x:f>'Reporte Componentes R1'!O331</x:f>
        <x:v>0</x:v>
      </x:c>
      <x:c r="X11" s="252">
        <x:f>'Reporte Componentes R1'!P331</x:f>
        <x:v>0</x:v>
      </x:c>
      <x:c r="Y11" s="252">
        <x:f>'Reporte Componentes R1'!Q331</x:f>
        <x:v>0</x:v>
      </x:c>
      <x:c r="Z11" s="255">
        <x:f>L11*-1</x:f>
        <x:v>0</x:v>
      </x:c>
      <x:c r="AA11" s="256">
        <x:f>'Reporte Componentes R1'!R331+'Reporte Componentes R1'!V331+'Reporte Componentes R1'!U331</x:f>
        <x:v>0</x:v>
      </x:c>
      <x:c r="AB11" s="230">
        <x:f>N11</x:f>
        <x:v>0</x:v>
      </x:c>
      <x:c r="AC11" s="256">
        <x:f>'Reporte Componentes R1'!T331+'Reporte Componentes R1'!W331+'Reporte Componentes R1'!X331+'Reporte Componentes R1'!Y331+'Reporte Componentes R1'!Z331+'Reporte Componentes R1'!S331</x:f>
        <x:v>0</x:v>
      </x:c>
      <x:c r="AD11" s="227">
        <x:f t="shared" si="2"/>
        <x:v>0</x:v>
      </x:c>
      <x:c r="AE11" s="227">
        <x:f>'Reporte Componentes R1'!F332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1:35" s="241" customFormat="1" ht="12" x14ac:dyDescent="0.25">
      <x:c r="B12" s="250">
        <x:v>4</x:v>
      </x:c>
      <x:c r="C12" s="251" t="s">
        <x:v>13</x:v>
      </x:c>
      <x:c r="D12" s="227">
        <x:f>'Reporte Componentes R1'!F452</x:f>
        <x:v>0</x:v>
      </x:c>
      <x:c r="E12" s="227">
        <x:f>'Reporte Componentes R1'!G452</x:f>
        <x:v>0</x:v>
      </x:c>
      <x:c r="F12" s="227">
        <x:f>'Reporte Componentes R1'!H452</x:f>
        <x:v>0</x:v>
      </x:c>
      <x:c r="G12" s="227">
        <x:f>'Reporte Componentes R1'!I452</x:f>
        <x:v>0</x:v>
      </x:c>
      <x:c r="H12" s="227">
        <x:f>'Reporte Componentes R1'!J452</x:f>
        <x:v>0</x:v>
      </x:c>
      <x:c r="I12" s="227">
        <x:f>'Reporte Componentes R1'!K452</x:f>
        <x:v>0</x:v>
      </x:c>
      <x:c r="J12" s="227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R1'!L452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R1'!M452</x:f>
        <x:v>0</x:v>
      </x:c>
      <x:c r="V12" s="252">
        <x:f>'Reporte Componentes R1'!N452</x:f>
        <x:v>0</x:v>
      </x:c>
      <x:c r="W12" s="252">
        <x:f>'Reporte Componentes R1'!O452</x:f>
        <x:v>0</x:v>
      </x:c>
      <x:c r="X12" s="252">
        <x:f>'Reporte Componentes R1'!P452</x:f>
        <x:v>0</x:v>
      </x:c>
      <x:c r="Y12" s="252">
        <x:f>'Reporte Componentes R1'!Q452</x:f>
        <x:v>0</x:v>
      </x:c>
      <x:c r="Z12" s="255">
        <x:f>L12*-1</x:f>
        <x:v>0</x:v>
      </x:c>
      <x:c r="AA12" s="256">
        <x:f>'Reporte Componentes R1'!R452+'Reporte Componentes R1'!V452+'Reporte Componentes R1'!U452</x:f>
        <x:v>0</x:v>
      </x:c>
      <x:c r="AB12" s="230">
        <x:f>N12</x:f>
        <x:v>0</x:v>
      </x:c>
      <x:c r="AC12" s="256">
        <x:f>'Reporte Componentes R1'!T452+'Reporte Componentes R1'!W452+'Reporte Componentes R1'!X452+'Reporte Componentes R1'!Y452+'Reporte Componentes R1'!Z452+'Reporte Componentes R1'!S452</x:f>
        <x:v>0</x:v>
      </x:c>
      <x:c r="AD12" s="227">
        <x:f t="shared" si="2"/>
        <x:v>0</x:v>
      </x:c>
      <x:c r="AE12" s="227">
        <x:f>'Reporte Componentes R1'!F453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1:35" s="241" customFormat="1" ht="12.6" thickBot="1" x14ac:dyDescent="0.3">
      <x:c r="B13" s="260">
        <x:v>5</x:v>
      </x:c>
      <x:c r="C13" s="261" t="s">
        <x:v>14</x:v>
      </x:c>
      <x:c r="D13" s="232">
        <x:f>'Reporte Componentes R1'!F534</x:f>
        <x:v>0</x:v>
      </x:c>
      <x:c r="E13" s="232">
        <x:f>'Reporte Componentes R1'!G534</x:f>
        <x:v>0</x:v>
      </x:c>
      <x:c r="F13" s="232">
        <x:f>'Reporte Componentes R1'!H534</x:f>
        <x:v>0</x:v>
      </x:c>
      <x:c r="G13" s="232">
        <x:f>'Reporte Componentes R1'!I534</x:f>
        <x:v>0</x:v>
      </x:c>
      <x:c r="H13" s="232">
        <x:f>'Reporte Componentes R1'!J534</x:f>
        <x:v>0</x:v>
      </x:c>
      <x:c r="I13" s="232">
        <x:f>'Reporte Componentes R1'!K534</x:f>
        <x:v>0</x:v>
      </x:c>
      <x:c r="J13" s="232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R1'!L534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R1'!M534</x:f>
        <x:v>0</x:v>
      </x:c>
      <x:c r="V13" s="232">
        <x:f>'Reporte Componentes R1'!N534</x:f>
        <x:v>0</x:v>
      </x:c>
      <x:c r="W13" s="232">
        <x:f>'Reporte Componentes R1'!O534</x:f>
        <x:v>0</x:v>
      </x:c>
      <x:c r="X13" s="232">
        <x:f>'Reporte Componentes R1'!P534</x:f>
        <x:v>0</x:v>
      </x:c>
      <x:c r="Y13" s="232">
        <x:f>'Reporte Componentes R1'!Q534</x:f>
        <x:v>0</x:v>
      </x:c>
      <x:c r="Z13" s="255">
        <x:f>L13*-1</x:f>
        <x:v>0</x:v>
      </x:c>
      <x:c r="AA13" s="256">
        <x:f>'Reporte Componentes R1'!R534+'Reporte Componentes R1'!V534+'Reporte Componentes R1'!U534</x:f>
        <x:v>0</x:v>
      </x:c>
      <x:c r="AB13" s="230">
        <x:f>N13</x:f>
        <x:v>0</x:v>
      </x:c>
      <x:c r="AC13" s="256">
        <x:f>'Reporte Componentes R1'!T534+'Reporte Componentes R1'!W534+'Reporte Componentes R1'!X534+'Reporte Componentes R1'!Y534+'Reporte Componentes R1'!Z534+'Reporte Componentes R1'!S534</x:f>
        <x:v>0</x:v>
      </x:c>
      <x:c r="AD13" s="227">
        <x:f t="shared" si="2"/>
        <x:v>0</x:v>
      </x:c>
      <x:c r="AE13" s="227">
        <x:f>'Reporte Componentes R1'!F535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1:35" s="241" customFormat="1" ht="13.8" thickBot="1" x14ac:dyDescent="0.3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" x14ac:dyDescent="0.25">
      <x:c r="B28" s="239">
        <x:v>1</x:v>
      </x:c>
      <x:c r="C28" s="240" t="s">
        <x:v>10</x:v>
      </x:c>
      <x:c r="D28" s="227">
        <x:f>'Rem. Anticipos R2'!E52</x:f>
        <x:v>0</x:v>
      </x:c>
      <x:c r="E28" s="227">
        <x:f>'Rem. Anticipos R2'!F52</x:f>
        <x:v>0</x:v>
      </x:c>
      <x:c r="F28" s="227">
        <x:f>'Rem. Anticipos R2'!G52</x:f>
        <x:v>0</x:v>
      </x:c>
      <x:c r="G28" s="227">
        <x:f>'Rem. Anticipos R2'!H52</x:f>
        <x:v>0</x:v>
      </x:c>
      <x:c r="H28" s="227">
        <x:f>'Rem. Anticipos R2'!I52</x:f>
        <x:v>0</x:v>
      </x:c>
      <x:c r="I28" s="227">
        <x:f>'Rem. Anticipos R2'!J52</x:f>
        <x:v>0</x:v>
      </x:c>
      <x:c r="J28" s="227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R2'!K52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R2'!L52</x:f>
        <x:v>0</x:v>
      </x:c>
      <x:c r="V28" s="243">
        <x:f>'Rem. Anticipos R2'!M52</x:f>
        <x:v>0</x:v>
      </x:c>
      <x:c r="W28" s="243">
        <x:f>'Rem. Anticipos R2'!N52</x:f>
        <x:v>0</x:v>
      </x:c>
      <x:c r="X28" s="243">
        <x:f>'Rem. Anticipos R2'!O52</x:f>
        <x:v>0</x:v>
      </x:c>
      <x:c r="Y28" s="243">
        <x:f>'Rem. Anticipos R2'!P52</x:f>
        <x:v>0</x:v>
      </x:c>
      <x:c r="Z28" s="246">
        <x:f>L28*-1</x:f>
        <x:v>0</x:v>
      </x:c>
      <x:c r="AA28" s="247">
        <x:f>'Rem. Anticipos R2'!Q52</x:f>
        <x:v>0</x:v>
      </x:c>
      <x:c r="AB28" s="230">
        <x:f>N28</x:f>
        <x:v>0</x:v>
      </x:c>
      <x:c r="AC28" s="247">
        <x:f>'Rem. Anticipos R2'!R52</x:f>
        <x:v>0</x:v>
      </x:c>
      <x:c r="AD28" s="227">
        <x:f>-J28+AE28</x:f>
        <x:v>0</x:v>
      </x:c>
      <x:c r="AE28" s="227">
        <x:f>'Rem. Anticipos R2'!E53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ht="12" x14ac:dyDescent="0.25">
      <x:c r="B29" s="250">
        <x:v>2</x:v>
      </x:c>
      <x:c r="C29" s="251" t="s">
        <x:v>11</x:v>
      </x:c>
      <x:c r="D29" s="227">
        <x:f>'Rem. Anticipos R2'!E148</x:f>
        <x:v>0</x:v>
      </x:c>
      <x:c r="E29" s="228">
        <x:f>'Rem. Anticipos R2'!F148</x:f>
        <x:v>0</x:v>
      </x:c>
      <x:c r="F29" s="228">
        <x:f>'Rem. Anticipos R2'!G148</x:f>
        <x:v>0</x:v>
      </x:c>
      <x:c r="G29" s="228">
        <x:f>'Rem. Anticipos R2'!H148</x:f>
        <x:v>0</x:v>
      </x:c>
      <x:c r="H29" s="228">
        <x:f>'Rem. Anticipos R2'!I148</x:f>
        <x:v>0</x:v>
      </x:c>
      <x:c r="I29" s="228">
        <x:f>'Rem. Anticipos R2'!J148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R2'!K148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'Rem. Anticipos R2'!L148</x:f>
        <x:v>0</x:v>
      </x:c>
      <x:c r="V29" s="253">
        <x:f>'Rem. Anticipos R2'!M148</x:f>
        <x:v>0</x:v>
      </x:c>
      <x:c r="W29" s="253">
        <x:f>'Rem. Anticipos R2'!N148</x:f>
        <x:v>0</x:v>
      </x:c>
      <x:c r="X29" s="253">
        <x:f>'Rem. Anticipos R2'!O148</x:f>
        <x:v>0</x:v>
      </x:c>
      <x:c r="Y29" s="254">
        <x:f>'Rem. Anticipos R2'!P148</x:f>
        <x:v>0</x:v>
      </x:c>
      <x:c r="Z29" s="255">
        <x:f>L29*-1</x:f>
        <x:v>0</x:v>
      </x:c>
      <x:c r="AA29" s="256">
        <x:f>'Rem. Anticipos R2'!Q148</x:f>
        <x:v>0</x:v>
      </x:c>
      <x:c r="AB29" s="230">
        <x:f>N29</x:f>
        <x:v>0</x:v>
      </x:c>
      <x:c r="AC29" s="256">
        <x:f>'Rem. Anticipos R2'!R148</x:f>
        <x:v>0</x:v>
      </x:c>
      <x:c r="AD29" s="227">
        <x:f>-J29+AE29</x:f>
        <x:v>0</x:v>
      </x:c>
      <x:c r="AE29" s="227">
        <x:f>'Rem. Anticipos R2'!E149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8">INT(AG29)=0</x:f>
        <x:v>1</x:v>
      </x:c>
      <x:c r="AI29" s="242"/>
    </x:row>
    <x:row r="30" spans="1:35" s="241" customFormat="1" ht="12" x14ac:dyDescent="0.25">
      <x:c r="B30" s="250">
        <x:v>3</x:v>
      </x:c>
      <x:c r="C30" s="251" t="s">
        <x:v>12</x:v>
      </x:c>
      <x:c r="D30" s="227">
        <x:f>'Rem. Anticipos R2'!E265</x:f>
        <x:v>0</x:v>
      </x:c>
      <x:c r="E30" s="227">
        <x:f>'Rem. Anticipos R2'!F265</x:f>
        <x:v>0</x:v>
      </x:c>
      <x:c r="F30" s="227">
        <x:f>'Rem. Anticipos R2'!G265</x:f>
        <x:v>0</x:v>
      </x:c>
      <x:c r="G30" s="227">
        <x:f>'Rem. Anticipos R2'!H265</x:f>
        <x:v>0</x:v>
      </x:c>
      <x:c r="H30" s="227">
        <x:f>'Rem. Anticipos R2'!I265</x:f>
        <x:v>0</x:v>
      </x:c>
      <x:c r="I30" s="227">
        <x:f>'Rem. Anticipos R2'!J265</x:f>
        <x:v>0</x:v>
      </x:c>
      <x:c r="J30" s="224">
        <x:v>0</x:v>
      </x:c>
      <x:c r="K30" s="231">
        <x:f t="shared" ref="K30:K31" si="9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R2'!K265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'Rem. Anticipos R2'!L265</x:f>
        <x:v>0</x:v>
      </x:c>
      <x:c r="V30" s="252">
        <x:f>'Rem. Anticipos R2'!M265</x:f>
        <x:v>0</x:v>
      </x:c>
      <x:c r="W30" s="252">
        <x:f>'Rem. Anticipos R2'!N265</x:f>
        <x:v>0</x:v>
      </x:c>
      <x:c r="X30" s="252">
        <x:f>'Rem. Anticipos R2'!O265</x:f>
        <x:v>0</x:v>
      </x:c>
      <x:c r="Y30" s="252">
        <x:f>'Rem. Anticipos R2'!P265</x:f>
        <x:v>0</x:v>
      </x:c>
      <x:c r="Z30" s="255">
        <x:f>L30*-1</x:f>
        <x:v>0</x:v>
      </x:c>
      <x:c r="AA30" s="256">
        <x:f>'Rem. Anticipos R2'!Q265</x:f>
        <x:v>0</x:v>
      </x:c>
      <x:c r="AB30" s="230">
        <x:f>N30</x:f>
        <x:v>0</x:v>
      </x:c>
      <x:c r="AC30" s="256">
        <x:f>'Rem. Anticipos R2'!R265</x:f>
        <x:v>0</x:v>
      </x:c>
      <x:c r="AD30" s="227">
        <x:f t="shared" ref="AD30:AD32" si="10">-J30+AE30</x:f>
        <x:v>0</x:v>
      </x:c>
      <x:c r="AE30" s="227">
        <x:f>'Rem. Anticipos R2'!E266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8"/>
        <x:v>1</x:v>
      </x:c>
      <x:c r="AI30" s="242"/>
    </x:row>
    <x:row r="31" spans="1:35" s="241" customFormat="1" ht="12" x14ac:dyDescent="0.25">
      <x:c r="B31" s="250">
        <x:v>4</x:v>
      </x:c>
      <x:c r="C31" s="251" t="s">
        <x:v>13</x:v>
      </x:c>
      <x:c r="D31" s="227">
        <x:f>'Rem. Anticipos R2'!E367</x:f>
        <x:v>0</x:v>
      </x:c>
      <x:c r="E31" s="227">
        <x:f>'Rem. Anticipos R2'!F367</x:f>
        <x:v>0</x:v>
      </x:c>
      <x:c r="F31" s="227">
        <x:f>'Rem. Anticipos R2'!G367</x:f>
        <x:v>0</x:v>
      </x:c>
      <x:c r="G31" s="227">
        <x:f>'Rem. Anticipos R2'!H367</x:f>
        <x:v>0</x:v>
      </x:c>
      <x:c r="H31" s="227">
        <x:f>'Rem. Anticipos R2'!I367</x:f>
        <x:v>0</x:v>
      </x:c>
      <x:c r="I31" s="227">
        <x:f>'Rem. Anticipos R2'!J367</x:f>
        <x:v>0</x:v>
      </x:c>
      <x:c r="J31" s="224">
        <x:v>0</x:v>
      </x:c>
      <x:c r="K31" s="231">
        <x:f t="shared" si="9"/>
        <x:v>0</x:v>
      </x:c>
      <x:c r="L31" s="230">
        <x:v>0</x:v>
      </x:c>
      <x:c r="M31" s="231">
        <x:f>K31-L31</x:f>
        <x:v>0</x:v>
      </x:c>
      <x:c r="N31" s="230">
        <x:f>'Rem. Anticipos R2'!K367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'Rem. Anticipos R2'!L367</x:f>
        <x:v>0</x:v>
      </x:c>
      <x:c r="V31" s="252">
        <x:f>'Rem. Anticipos R2'!M367</x:f>
        <x:v>0</x:v>
      </x:c>
      <x:c r="W31" s="252">
        <x:f>'Rem. Anticipos R2'!N367</x:f>
        <x:v>0</x:v>
      </x:c>
      <x:c r="X31" s="252">
        <x:f>'Rem. Anticipos R2'!O367</x:f>
        <x:v>0</x:v>
      </x:c>
      <x:c r="Y31" s="252">
        <x:f>'Rem. Anticipos R2'!P367</x:f>
        <x:v>0</x:v>
      </x:c>
      <x:c r="Z31" s="255">
        <x:f>L31*-1</x:f>
        <x:v>0</x:v>
      </x:c>
      <x:c r="AA31" s="256">
        <x:f>'Rem. Anticipos R2'!Q367</x:f>
        <x:v>0</x:v>
      </x:c>
      <x:c r="AB31" s="230">
        <x:f>N31</x:f>
        <x:v>0</x:v>
      </x:c>
      <x:c r="AC31" s="256">
        <x:f>'Rem. Anticipos R2'!R367</x:f>
        <x:v>0</x:v>
      </x:c>
      <x:c r="AD31" s="227">
        <x:f t="shared" si="10"/>
        <x:v>0</x:v>
      </x:c>
      <x:c r="AE31" s="227">
        <x:f>'Rem. Anticipos R2'!E368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8"/>
        <x:v>1</x:v>
      </x:c>
      <x:c r="AI31" s="242"/>
    </x:row>
    <x:row r="32" spans="1:35" s="241" customFormat="1" ht="12.6" thickBot="1" x14ac:dyDescent="0.3">
      <x:c r="B32" s="260">
        <x:v>5</x:v>
      </x:c>
      <x:c r="C32" s="261" t="s">
        <x:v>14</x:v>
      </x:c>
      <x:c r="D32" s="232">
        <x:f>'Rem. Anticipos R2'!E447</x:f>
        <x:v>0</x:v>
      </x:c>
      <x:c r="E32" s="232">
        <x:f>'Rem. Anticipos R2'!F447</x:f>
        <x:v>0</x:v>
      </x:c>
      <x:c r="F32" s="232">
        <x:f>'Rem. Anticipos R2'!G447</x:f>
        <x:v>0</x:v>
      </x:c>
      <x:c r="G32" s="232">
        <x:f>'Rem. Anticipos R2'!H447</x:f>
        <x:v>0</x:v>
      </x:c>
      <x:c r="H32" s="232">
        <x:f>'Rem. Anticipos R2'!I447</x:f>
        <x:v>0</x:v>
      </x:c>
      <x:c r="I32" s="232">
        <x:f>'Rem. Anticipos R2'!J447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R2'!K447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'Rem. Anticipos R2'!L447</x:f>
        <x:v>0</x:v>
      </x:c>
      <x:c r="V32" s="233">
        <x:f>'Rem. Anticipos R2'!M447</x:f>
        <x:v>0</x:v>
      </x:c>
      <x:c r="W32" s="233">
        <x:f>'Rem. Anticipos R2'!N447</x:f>
        <x:v>0</x:v>
      </x:c>
      <x:c r="X32" s="233">
        <x:f>'Rem. Anticipos R2'!O447</x:f>
        <x:v>0</x:v>
      </x:c>
      <x:c r="Y32" s="225">
        <x:f>'Rem. Anticipos R2'!P447</x:f>
        <x:v>0</x:v>
      </x:c>
      <x:c r="Z32" s="255">
        <x:f>L32*-1</x:f>
        <x:v>0</x:v>
      </x:c>
      <x:c r="AA32" s="256">
        <x:f>'Rem. Anticipos R2'!Q447</x:f>
        <x:v>0</x:v>
      </x:c>
      <x:c r="AB32" s="230">
        <x:f>N32</x:f>
        <x:v>0</x:v>
      </x:c>
      <x:c r="AC32" s="256">
        <x:f>'Rem. Anticipos R2'!R447</x:f>
        <x:v>0</x:v>
      </x:c>
      <x:c r="AD32" s="227">
        <x:f t="shared" si="10"/>
        <x:v>0</x:v>
      </x:c>
      <x:c r="AE32" s="227">
        <x:f>'Rem. Anticipos R2'!E448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8"/>
        <x:v>1</x:v>
      </x:c>
      <x:c r="AI32" s="242"/>
    </x:row>
    <x:row r="33" spans="1:35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8"/>
        <x:v>1</x:v>
      </x:c>
      <x:c r="AI33" s="242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" x14ac:dyDescent="0.25">
      <x:c r="B47" s="239">
        <x:v>1</x:v>
      </x:c>
      <x:c r="C47" s="240" t="s">
        <x:v>10</x:v>
      </x:c>
      <x:c r="D47" s="227">
        <x:f>'Reporte Componentes R1'!F63</x:f>
        <x:v>0</x:v>
      </x:c>
      <x:c r="E47" s="227">
        <x:f>'Reporte Componentes R1'!G63</x:f>
        <x:v>0</x:v>
      </x:c>
      <x:c r="F47" s="227">
        <x:f>'Reporte Componentes R1'!H63</x:f>
        <x:v>0</x:v>
      </x:c>
      <x:c r="G47" s="227">
        <x:f>'Reporte Componentes R1'!I63</x:f>
        <x:v>0</x:v>
      </x:c>
      <x:c r="H47" s="227">
        <x:f>'Reporte Componentes R1'!J63</x:f>
        <x:v>0</x:v>
      </x:c>
      <x:c r="I47" s="227">
        <x:f>'Reporte Componentes R1'!K63</x:f>
        <x:v>0</x:v>
      </x:c>
      <x:c r="J47" s="227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R1'!L63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R1'!M63</x:f>
        <x:v>0</x:v>
      </x:c>
      <x:c r="V47" s="243">
        <x:f>'Reporte Componentes R1'!N63</x:f>
        <x:v>0</x:v>
      </x:c>
      <x:c r="W47" s="243">
        <x:f>'Reporte Componentes R1'!O63</x:f>
        <x:v>0</x:v>
      </x:c>
      <x:c r="X47" s="243">
        <x:f>'Reporte Componentes R1'!P63</x:f>
        <x:v>0</x:v>
      </x:c>
      <x:c r="Y47" s="243">
        <x:f>'Reporte Componentes R1'!Q63</x:f>
        <x:v>0</x:v>
      </x:c>
      <x:c r="Z47" s="246">
        <x:f>-L47</x:f>
        <x:v>0</x:v>
      </x:c>
      <x:c r="AA47" s="256">
        <x:f>'Reporte Componentes R1'!R63+'Reporte Componentes R1'!V63+'Reporte Componentes R1'!U63</x:f>
        <x:v>0</x:v>
      </x:c>
      <x:c r="AB47" s="230">
        <x:f>N47</x:f>
        <x:v>0</x:v>
      </x:c>
      <x:c r="AC47" s="247">
        <x:f>'Reporte Componentes R1'!T63+'Reporte Componentes R1'!W63+'Reporte Componentes R1'!X63+'Reporte Componentes R1'!Y63+'Reporte Componentes R1'!Z63+'Reporte Componentes R1'!S63</x:f>
        <x:v>0</x:v>
      </x:c>
      <x:c r="AD47" s="227">
        <x:f>-J47+AE47</x:f>
        <x:v>0</x:v>
      </x:c>
      <x:c r="AE47" s="227">
        <x:f>'Reporte Componentes R1'!F64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ht="12" x14ac:dyDescent="0.25">
      <x:c r="B48" s="250">
        <x:v>2</x:v>
      </x:c>
      <x:c r="C48" s="251" t="s">
        <x:v>11</x:v>
      </x:c>
      <x:c r="D48" s="227">
        <x:f>'Reporte Componentes R1'!F193</x:f>
        <x:v>0</x:v>
      </x:c>
      <x:c r="E48" s="227">
        <x:f>'Reporte Componentes R1'!G193</x:f>
        <x:v>0</x:v>
      </x:c>
      <x:c r="F48" s="227">
        <x:f>'Reporte Componentes R1'!H193</x:f>
        <x:v>0</x:v>
      </x:c>
      <x:c r="G48" s="227">
        <x:f>'Reporte Componentes R1'!I193</x:f>
        <x:v>0</x:v>
      </x:c>
      <x:c r="H48" s="227">
        <x:f>'Reporte Componentes R1'!J193</x:f>
        <x:v>0</x:v>
      </x:c>
      <x:c r="I48" s="227">
        <x:f>'Reporte Componentes R1'!K193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R1'!L193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R1'!M193</x:f>
        <x:v>0</x:v>
      </x:c>
      <x:c r="V48" s="252">
        <x:f>'Reporte Componentes R1'!N193</x:f>
        <x:v>0</x:v>
      </x:c>
      <x:c r="W48" s="252">
        <x:f>'Reporte Componentes R1'!O193</x:f>
        <x:v>0</x:v>
      </x:c>
      <x:c r="X48" s="252">
        <x:f>'Reporte Componentes R1'!P193</x:f>
        <x:v>0</x:v>
      </x:c>
      <x:c r="Y48" s="252">
        <x:f>'Reporte Componentes R1'!Q193</x:f>
        <x:v>0</x:v>
      </x:c>
      <x:c r="Z48" s="255">
        <x:f>-L48</x:f>
        <x:v>0</x:v>
      </x:c>
      <x:c r="AA48" s="256">
        <x:f>'Reporte Componentes R1'!R193+'Reporte Componentes R1'!V193+'Reporte Componentes R1'!U193</x:f>
        <x:v>0</x:v>
      </x:c>
      <x:c r="AB48" s="230">
        <x:f>N48</x:f>
        <x:v>0</x:v>
      </x:c>
      <x:c r="AC48" s="256">
        <x:f>'Reporte Componentes R1'!T193+'Reporte Componentes R1'!W193+'Reporte Componentes R1'!X193+'Reporte Componentes R1'!Y193+'Reporte Componentes R1'!Z193+'Reporte Componentes R1'!S193</x:f>
        <x:v>0</x:v>
      </x:c>
      <x:c r="AD48" s="227">
        <x:f t="shared" ref="AD48:AD51" si="16">-J48+AE48</x:f>
        <x:v>0</x:v>
      </x:c>
      <x:c r="AE48" s="227">
        <x:f>'Reporte Componentes R1'!F194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ht="12" x14ac:dyDescent="0.25">
      <x:c r="B49" s="250">
        <x:v>3</x:v>
      </x:c>
      <x:c r="C49" s="251" t="s">
        <x:v>12</x:v>
      </x:c>
      <x:c r="D49" s="227">
        <x:f>'Reporte Componentes R1'!F333</x:f>
        <x:v>0</x:v>
      </x:c>
      <x:c r="E49" s="227">
        <x:f>'Reporte Componentes R1'!G333</x:f>
        <x:v>0</x:v>
      </x:c>
      <x:c r="F49" s="227">
        <x:f>'Reporte Componentes R1'!H333</x:f>
        <x:v>0</x:v>
      </x:c>
      <x:c r="G49" s="227">
        <x:f>'Reporte Componentes R1'!I333</x:f>
        <x:v>0</x:v>
      </x:c>
      <x:c r="H49" s="227">
        <x:f>'Reporte Componentes R1'!J333</x:f>
        <x:v>0</x:v>
      </x:c>
      <x:c r="I49" s="227">
        <x:f>'Reporte Componentes R1'!K333</x:f>
        <x:v>0</x:v>
      </x:c>
      <x:c r="J49" s="227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R1'!L333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R1'!M333</x:f>
        <x:v>0</x:v>
      </x:c>
      <x:c r="V49" s="252">
        <x:f>'Reporte Componentes R1'!N333</x:f>
        <x:v>0</x:v>
      </x:c>
      <x:c r="W49" s="252">
        <x:f>'Reporte Componentes R1'!O333</x:f>
        <x:v>0</x:v>
      </x:c>
      <x:c r="X49" s="252">
        <x:f>'Reporte Componentes R1'!P333</x:f>
        <x:v>0</x:v>
      </x:c>
      <x:c r="Y49" s="252">
        <x:f>'Reporte Componentes R1'!Q333</x:f>
        <x:v>0</x:v>
      </x:c>
      <x:c r="Z49" s="255">
        <x:f>-L49</x:f>
        <x:v>0</x:v>
      </x:c>
      <x:c r="AA49" s="256">
        <x:f>'Reporte Componentes R1'!R333+'Reporte Componentes R1'!V333+'Reporte Componentes R1'!U333</x:f>
        <x:v>0</x:v>
      </x:c>
      <x:c r="AB49" s="230">
        <x:f>N49</x:f>
        <x:v>0</x:v>
      </x:c>
      <x:c r="AC49" s="256">
        <x:f>'Reporte Componentes R1'!T333+'Reporte Componentes R1'!W333+'Reporte Componentes R1'!X333+'Reporte Componentes R1'!Y333+'Reporte Componentes R1'!Z333+'Reporte Componentes R1'!S333</x:f>
        <x:v>0</x:v>
      </x:c>
      <x:c r="AD49" s="227">
        <x:f t="shared" si="16"/>
        <x:v>0</x:v>
      </x:c>
      <x:c r="AE49" s="227">
        <x:f>'Reporte Componentes R1'!F334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ht="12" x14ac:dyDescent="0.25">
      <x:c r="B50" s="250">
        <x:v>4</x:v>
      </x:c>
      <x:c r="C50" s="251" t="s">
        <x:v>13</x:v>
      </x:c>
      <x:c r="D50" s="227">
        <x:f>'Reporte Componentes R1'!F454</x:f>
        <x:v>0</x:v>
      </x:c>
      <x:c r="E50" s="227">
        <x:f>'Reporte Componentes R1'!G454</x:f>
        <x:v>0</x:v>
      </x:c>
      <x:c r="F50" s="227">
        <x:f>'Reporte Componentes R1'!H454</x:f>
        <x:v>0</x:v>
      </x:c>
      <x:c r="G50" s="227">
        <x:f>'Reporte Componentes R1'!I454</x:f>
        <x:v>0</x:v>
      </x:c>
      <x:c r="H50" s="227">
        <x:f>'Reporte Componentes R1'!J454</x:f>
        <x:v>0</x:v>
      </x:c>
      <x:c r="I50" s="227">
        <x:f>'Reporte Componentes R1'!K454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R1'!L454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R1'!M454</x:f>
        <x:v>0</x:v>
      </x:c>
      <x:c r="V50" s="252">
        <x:f>'Reporte Componentes R1'!N454</x:f>
        <x:v>0</x:v>
      </x:c>
      <x:c r="W50" s="252">
        <x:f>'Reporte Componentes R1'!O454</x:f>
        <x:v>0</x:v>
      </x:c>
      <x:c r="X50" s="252">
        <x:f>'Reporte Componentes R1'!P454</x:f>
        <x:v>0</x:v>
      </x:c>
      <x:c r="Y50" s="252">
        <x:f>'Reporte Componentes R1'!Q454</x:f>
        <x:v>0</x:v>
      </x:c>
      <x:c r="Z50" s="255">
        <x:f>-L50</x:f>
        <x:v>0</x:v>
      </x:c>
      <x:c r="AA50" s="256">
        <x:f>'Reporte Componentes R1'!R454+'Reporte Componentes R1'!V454+'Reporte Componentes R1'!U454</x:f>
        <x:v>0</x:v>
      </x:c>
      <x:c r="AB50" s="230">
        <x:f>N50</x:f>
        <x:v>0</x:v>
      </x:c>
      <x:c r="AC50" s="256">
        <x:f>'Reporte Componentes R1'!T454+'Reporte Componentes R1'!W454+'Reporte Componentes R1'!X454+'Reporte Componentes R1'!Y454+'Reporte Componentes R1'!Z454+'Reporte Componentes R1'!S454</x:f>
        <x:v>0</x:v>
      </x:c>
      <x:c r="AD50" s="227">
        <x:f t="shared" si="16"/>
        <x:v>0</x:v>
      </x:c>
      <x:c r="AE50" s="227">
        <x:f>'Reporte Componentes R1'!F455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6" thickBot="1" x14ac:dyDescent="0.3">
      <x:c r="B51" s="260">
        <x:v>5</x:v>
      </x:c>
      <x:c r="C51" s="261" t="s">
        <x:v>14</x:v>
      </x:c>
      <x:c r="D51" s="232">
        <x:f>'Reporte Componentes R1'!F536</x:f>
        <x:v>0</x:v>
      </x:c>
      <x:c r="E51" s="232">
        <x:f>'Reporte Componentes R1'!G536</x:f>
        <x:v>0</x:v>
      </x:c>
      <x:c r="F51" s="232">
        <x:f>'Reporte Componentes R1'!H536</x:f>
        <x:v>0</x:v>
      </x:c>
      <x:c r="G51" s="232">
        <x:f>'Reporte Componentes R1'!I536</x:f>
        <x:v>0</x:v>
      </x:c>
      <x:c r="H51" s="232">
        <x:f>'Reporte Componentes R1'!J536</x:f>
        <x:v>0</x:v>
      </x:c>
      <x:c r="I51" s="232">
        <x:f>'Reporte Componentes R1'!K536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R1'!L536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R1'!M536</x:f>
        <x:v>0</x:v>
      </x:c>
      <x:c r="V51" s="232">
        <x:f>'Reporte Componentes R1'!N536</x:f>
        <x:v>0</x:v>
      </x:c>
      <x:c r="W51" s="232">
        <x:f>'Reporte Componentes R1'!O536</x:f>
        <x:v>0</x:v>
      </x:c>
      <x:c r="X51" s="232">
        <x:f>'Reporte Componentes R1'!P536</x:f>
        <x:v>0</x:v>
      </x:c>
      <x:c r="Y51" s="225">
        <x:f>'Reporte Componentes R1'!Q536</x:f>
        <x:v>0</x:v>
      </x:c>
      <x:c r="Z51" s="255">
        <x:f>-L51</x:f>
        <x:v>0</x:v>
      </x:c>
      <x:c r="AA51" s="256">
        <x:f>'Reporte Componentes R1'!R536+'Reporte Componentes R1'!V536+'Reporte Componentes R1'!U536</x:f>
        <x:v>0</x:v>
      </x:c>
      <x:c r="AB51" s="230">
        <x:f>N51</x:f>
        <x:v>0</x:v>
      </x:c>
      <x:c r="AC51" s="256">
        <x:f>'Reporte Componentes R1'!T536+'Reporte Componentes R1'!W536+'Reporte Componentes R1'!X536+'Reporte Componentes R1'!Y536+'Reporte Componentes R1'!Z536+'Reporte Componentes R1'!S536</x:f>
        <x:v>0</x:v>
      </x:c>
      <x:c r="AD51" s="227">
        <x:f t="shared" si="16"/>
        <x:v>0</x:v>
      </x:c>
      <x:c r="AE51" s="227">
        <x:f>'Reporte Componentes R1'!F537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8" thickBot="1" x14ac:dyDescent="0.3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si="22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ht="12" x14ac:dyDescent="0.25">
      <x:c r="B66" s="239">
        <x:v>1</x:v>
      </x:c>
      <x:c r="C66" s="240" t="s">
        <x:v>10</x:v>
      </x:c>
      <x:c r="D66" s="227">
        <x:f>'Reversion Pagos R4'!D82</x:f>
        <x:v>0</x:v>
      </x:c>
      <x:c r="E66" s="227">
        <x:f>'Reversion Pagos R4'!E82</x:f>
        <x:v>0</x:v>
      </x:c>
      <x:c r="F66" s="227">
        <x:f>'Reversion Pagos R4'!F82</x:f>
        <x:v>0</x:v>
      </x:c>
      <x:c r="G66" s="227">
        <x:f>'Reversion Pagos R4'!G82</x:f>
        <x:v>0</x:v>
      </x:c>
      <x:c r="H66" s="227">
        <x:f>'Reversion Pagos R4'!H82</x:f>
        <x:v>0</x:v>
      </x:c>
      <x:c r="I66" s="227">
        <x:f>'Reversion Pagos R4'!I82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R4'!P82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R4'!J82</x:f>
        <x:v>0</x:v>
      </x:c>
      <x:c r="V66" s="243">
        <x:f>'Reversion Pagos R4'!K82</x:f>
        <x:v>0</x:v>
      </x:c>
      <x:c r="W66" s="243">
        <x:f>'Reversion Pagos R4'!L82</x:f>
        <x:v>0</x:v>
      </x:c>
      <x:c r="X66" s="243">
        <x:f>'Reversion Pagos R4'!M82</x:f>
        <x:v>0</x:v>
      </x:c>
      <x:c r="Y66" s="243">
        <x:f>'Reversion Pagos R4'!N82</x:f>
        <x:v>0</x:v>
      </x:c>
      <x:c r="Z66" s="246">
        <x:f>-L66</x:f>
        <x:v>0</x:v>
      </x:c>
      <x:c r="AA66" s="247">
        <x:f>+'Reversion Pagos R4'!O82</x:f>
        <x:v>0</x:v>
      </x:c>
      <x:c r="AB66" s="230">
        <x:f>N66</x:f>
        <x:v>0</x:v>
      </x:c>
      <x:c r="AC66" s="247">
        <x:f>+'Reversion Pagos R4'!Q82+'Reversion Pagos R4'!R82</x:f>
        <x:v>0</x:v>
      </x:c>
      <x:c r="AD66" s="227">
        <x:f>-J66+AE66</x:f>
        <x:v>0</x:v>
      </x:c>
      <x:c r="AE66" s="227">
        <x:f>'Reversion Pagos R4'!D83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ht="12" x14ac:dyDescent="0.25">
      <x:c r="B67" s="250">
        <x:v>2</x:v>
      </x:c>
      <x:c r="C67" s="251" t="s">
        <x:v>11</x:v>
      </x:c>
      <x:c r="D67" s="227">
        <x:f>'Reversion Pagos R4'!D177</x:f>
        <x:v>0</x:v>
      </x:c>
      <x:c r="E67" s="227">
        <x:f>'Reversion Pagos R4'!E177</x:f>
        <x:v>0</x:v>
      </x:c>
      <x:c r="F67" s="227">
        <x:f>'Reversion Pagos R4'!F177</x:f>
        <x:v>0</x:v>
      </x:c>
      <x:c r="G67" s="227">
        <x:f>'Reversion Pagos R4'!G177</x:f>
        <x:v>0</x:v>
      </x:c>
      <x:c r="H67" s="227">
        <x:f>'Reversion Pagos R4'!H177</x:f>
        <x:v>0</x:v>
      </x:c>
      <x:c r="I67" s="227">
        <x:f>'Reversion Pagos R4'!I177</x:f>
        <x:v>0</x:v>
      </x:c>
      <x:c r="J67" s="224">
        <x:v>0</x:v>
      </x:c>
      <x:c r="K67" s="231">
        <x:f t="shared" ref="K67:K70" si="23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R4'!P177</x:f>
        <x:v>0</x:v>
      </x:c>
      <x:c r="O67" s="231">
        <x:f t="shared" ref="O67:O70" si="24">M67+N67</x:f>
        <x:v>0</x:v>
      </x:c>
      <x:c r="Q67" s="242"/>
      <x:c r="S67" s="250">
        <x:v>2</x:v>
      </x:c>
      <x:c r="T67" s="251" t="s">
        <x:v>11</x:v>
      </x:c>
      <x:c r="U67" s="252">
        <x:f>'Reversion Pagos R4'!J177</x:f>
        <x:v>0</x:v>
      </x:c>
      <x:c r="V67" s="252">
        <x:f>'Reversion Pagos R4'!K177</x:f>
        <x:v>0</x:v>
      </x:c>
      <x:c r="W67" s="252">
        <x:f>'Reversion Pagos R4'!L177</x:f>
        <x:v>0</x:v>
      </x:c>
      <x:c r="X67" s="252">
        <x:f>'Reversion Pagos R4'!M177</x:f>
        <x:v>0</x:v>
      </x:c>
      <x:c r="Y67" s="252">
        <x:f>'Reversion Pagos R4'!N177</x:f>
        <x:v>0</x:v>
      </x:c>
      <x:c r="Z67" s="255">
        <x:f t="shared" ref="Z67:Z70" si="25">-L67</x:f>
        <x:v>0</x:v>
      </x:c>
      <x:c r="AA67" s="256">
        <x:f>'Reversion Pagos R4'!O177</x:f>
        <x:v>0</x:v>
      </x:c>
      <x:c r="AB67" s="230">
        <x:f t="shared" ref="AB67:AB70" si="26">N67</x:f>
        <x:v>0</x:v>
      </x:c>
      <x:c r="AC67" s="256">
        <x:f>'Reversion Pagos R4'!Q177+'Reversion Pagos R4'!R177</x:f>
        <x:v>0</x:v>
      </x:c>
      <x:c r="AD67" s="227">
        <x:f t="shared" ref="AD67:AD70" si="27">-J67+AE67</x:f>
        <x:v>0</x:v>
      </x:c>
      <x:c r="AE67" s="227">
        <x:f>'Reversion Pagos R4'!D178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8">INT(AG67)=0</x:f>
        <x:v>1</x:v>
      </x:c>
      <x:c r="AI67" s="242"/>
    </x:row>
    <x:row r="68" spans="1:35" s="241" customFormat="1" ht="12" x14ac:dyDescent="0.25">
      <x:c r="B68" s="250">
        <x:v>3</x:v>
      </x:c>
      <x:c r="C68" s="251" t="s">
        <x:v>12</x:v>
      </x:c>
      <x:c r="D68" s="227">
        <x:f>'Reversion Pagos R4'!D214</x:f>
        <x:v>0</x:v>
      </x:c>
      <x:c r="E68" s="227">
        <x:f>'Reversion Pagos R4'!E214</x:f>
        <x:v>0</x:v>
      </x:c>
      <x:c r="F68" s="227">
        <x:f>'Reversion Pagos R4'!F214</x:f>
        <x:v>0</x:v>
      </x:c>
      <x:c r="G68" s="227">
        <x:f>'Reversion Pagos R4'!G214</x:f>
        <x:v>0</x:v>
      </x:c>
      <x:c r="H68" s="227">
        <x:f>'Reversion Pagos R4'!H214</x:f>
        <x:v>0</x:v>
      </x:c>
      <x:c r="I68" s="227">
        <x:f>'Reversion Pagos R4'!I214</x:f>
        <x:v>0</x:v>
      </x:c>
      <x:c r="J68" s="224">
        <x:v>0</x:v>
      </x:c>
      <x:c r="K68" s="231">
        <x:f t="shared" si="23"/>
        <x:v>0</x:v>
      </x:c>
      <x:c r="L68" s="230">
        <x:v>0</x:v>
      </x:c>
      <x:c r="M68" s="231">
        <x:f>K68-L68</x:f>
        <x:v>0</x:v>
      </x:c>
      <x:c r="N68" s="230">
        <x:f>'Reversion Pagos R4'!P214</x:f>
        <x:v>0</x:v>
      </x:c>
      <x:c r="O68" s="231">
        <x:f t="shared" si="24"/>
        <x:v>0</x:v>
      </x:c>
      <x:c r="Q68" s="242"/>
      <x:c r="S68" s="250">
        <x:v>3</x:v>
      </x:c>
      <x:c r="T68" s="251" t="s">
        <x:v>12</x:v>
      </x:c>
      <x:c r="U68" s="252">
        <x:f>'Reversion Pagos R4'!J214</x:f>
        <x:v>0</x:v>
      </x:c>
      <x:c r="V68" s="252">
        <x:f>'Reversion Pagos R4'!K214</x:f>
        <x:v>0</x:v>
      </x:c>
      <x:c r="W68" s="252">
        <x:f>'Reversion Pagos R4'!L214</x:f>
        <x:v>0</x:v>
      </x:c>
      <x:c r="X68" s="252">
        <x:f>'Reversion Pagos R4'!M214</x:f>
        <x:v>0</x:v>
      </x:c>
      <x:c r="Y68" s="252">
        <x:f>'Reversion Pagos R4'!N214</x:f>
        <x:v>0</x:v>
      </x:c>
      <x:c r="Z68" s="255">
        <x:f t="shared" si="25"/>
        <x:v>0</x:v>
      </x:c>
      <x:c r="AA68" s="256">
        <x:f>'Reversion Pagos R4'!O214</x:f>
        <x:v>0</x:v>
      </x:c>
      <x:c r="AB68" s="230">
        <x:f t="shared" si="26"/>
        <x:v>0</x:v>
      </x:c>
      <x:c r="AC68" s="256">
        <x:f>'Reversion Pagos R4'!Q214+'Reversion Pagos R4'!R214</x:f>
        <x:v>0</x:v>
      </x:c>
      <x:c r="AD68" s="227">
        <x:f t="shared" si="27"/>
        <x:v>0</x:v>
      </x:c>
      <x:c r="AE68" s="227">
        <x:f>'Reversion Pagos R4'!D215</x:f>
        <x:v>0</x:v>
      </x:c>
      <x:c r="AF68" s="258">
        <x:f t="shared" ref="AF68:AF70" si="29">SUM(U68:AD68)</x:f>
        <x:v>0</x:v>
      </x:c>
      <x:c r="AG68" s="259">
        <x:f t="shared" ref="AG68:AG70" si="30">(AF68-O68)</x:f>
        <x:v>0</x:v>
      </x:c>
      <x:c r="AH68" s="1" t="b">
        <x:f t="shared" si="28"/>
        <x:v>1</x:v>
      </x:c>
      <x:c r="AI68" s="242"/>
    </x:row>
    <x:row r="69" spans="1:35" s="241" customFormat="1" ht="12" x14ac:dyDescent="0.25">
      <x:c r="B69" s="250">
        <x:v>4</x:v>
      </x:c>
      <x:c r="C69" s="251" t="s">
        <x:v>13</x:v>
      </x:c>
      <x:c r="D69" s="227">
        <x:f>'Reversion Pagos R4'!D329</x:f>
        <x:v>0</x:v>
      </x:c>
      <x:c r="E69" s="227">
        <x:f>'Reversion Pagos R4'!E329</x:f>
        <x:v>0</x:v>
      </x:c>
      <x:c r="F69" s="227">
        <x:f>'Reversion Pagos R4'!F329</x:f>
        <x:v>0</x:v>
      </x:c>
      <x:c r="G69" s="227">
        <x:f>'Reversion Pagos R4'!G329</x:f>
        <x:v>0</x:v>
      </x:c>
      <x:c r="H69" s="227">
        <x:f>'Reversion Pagos R4'!H329</x:f>
        <x:v>0</x:v>
      </x:c>
      <x:c r="I69" s="227">
        <x:f>'Reversion Pagos R4'!I329</x:f>
        <x:v>0</x:v>
      </x:c>
      <x:c r="J69" s="224">
        <x:v>0</x:v>
      </x:c>
      <x:c r="K69" s="231">
        <x:f t="shared" si="23"/>
        <x:v>0</x:v>
      </x:c>
      <x:c r="L69" s="230">
        <x:v>0</x:v>
      </x:c>
      <x:c r="M69" s="231">
        <x:f>K69-L69</x:f>
        <x:v>0</x:v>
      </x:c>
      <x:c r="N69" s="230">
        <x:f>'Reversion Pagos R4'!P329</x:f>
        <x:v>0</x:v>
      </x:c>
      <x:c r="O69" s="231">
        <x:f t="shared" si="24"/>
        <x:v>0</x:v>
      </x:c>
      <x:c r="Q69" s="242"/>
      <x:c r="S69" s="250">
        <x:v>4</x:v>
      </x:c>
      <x:c r="T69" s="251" t="s">
        <x:v>13</x:v>
      </x:c>
      <x:c r="U69" s="252">
        <x:f>'Reversion Pagos R4'!J329</x:f>
        <x:v>0</x:v>
      </x:c>
      <x:c r="V69" s="252">
        <x:f>'Reversion Pagos R4'!K329</x:f>
        <x:v>0</x:v>
      </x:c>
      <x:c r="W69" s="252">
        <x:f>'Reversion Pagos R4'!L329</x:f>
        <x:v>0</x:v>
      </x:c>
      <x:c r="X69" s="252">
        <x:f>'Reversion Pagos R4'!M329</x:f>
        <x:v>0</x:v>
      </x:c>
      <x:c r="Y69" s="252">
        <x:f>'Reversion Pagos R4'!N329</x:f>
        <x:v>0</x:v>
      </x:c>
      <x:c r="Z69" s="255">
        <x:f t="shared" si="25"/>
        <x:v>0</x:v>
      </x:c>
      <x:c r="AA69" s="256">
        <x:f>'Reversion Pagos R4'!O329</x:f>
        <x:v>0</x:v>
      </x:c>
      <x:c r="AB69" s="230">
        <x:f t="shared" si="26"/>
        <x:v>0</x:v>
      </x:c>
      <x:c r="AC69" s="256">
        <x:f>'Reversion Pagos R4'!Q329+'Reversion Pagos R4'!R329</x:f>
        <x:v>0</x:v>
      </x:c>
      <x:c r="AD69" s="227">
        <x:f t="shared" si="27"/>
        <x:v>0</x:v>
      </x:c>
      <x:c r="AE69" s="227">
        <x:f>'Reversion Pagos R4'!D330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8"/>
        <x:v>1</x:v>
      </x:c>
      <x:c r="AI69" s="242"/>
    </x:row>
    <x:row r="70" spans="1:35" s="241" customFormat="1" ht="12.6" thickBot="1" x14ac:dyDescent="0.3">
      <x:c r="B70" s="260">
        <x:v>5</x:v>
      </x:c>
      <x:c r="C70" s="261" t="s">
        <x:v>14</x:v>
      </x:c>
      <x:c r="D70" s="232">
        <x:f>'Reversion Pagos R4'!D364</x:f>
        <x:v>0</x:v>
      </x:c>
      <x:c r="E70" s="232">
        <x:f>'Reversion Pagos R4'!E364</x:f>
        <x:v>0</x:v>
      </x:c>
      <x:c r="F70" s="232">
        <x:f>'Reversion Pagos R4'!F364</x:f>
        <x:v>0</x:v>
      </x:c>
      <x:c r="G70" s="232">
        <x:f>'Reversion Pagos R4'!G364</x:f>
        <x:v>0</x:v>
      </x:c>
      <x:c r="H70" s="232">
        <x:f>'Reversion Pagos R4'!H364</x:f>
        <x:v>0</x:v>
      </x:c>
      <x:c r="I70" s="232">
        <x:f>'Reversion Pagos R4'!I364</x:f>
        <x:v>0</x:v>
      </x:c>
      <x:c r="J70" s="225">
        <x:v>0</x:v>
      </x:c>
      <x:c r="K70" s="231">
        <x:f t="shared" si="23"/>
        <x:v>0</x:v>
      </x:c>
      <x:c r="L70" s="230">
        <x:v>0</x:v>
      </x:c>
      <x:c r="M70" s="234">
        <x:f>K70-L70</x:f>
        <x:v>0</x:v>
      </x:c>
      <x:c r="N70" s="230">
        <x:f>'Reversion Pagos R4'!P364</x:f>
        <x:v>0</x:v>
      </x:c>
      <x:c r="O70" s="234">
        <x:f t="shared" si="24"/>
        <x:v>0</x:v>
      </x:c>
      <x:c r="Q70" s="242"/>
      <x:c r="S70" s="260">
        <x:v>5</x:v>
      </x:c>
      <x:c r="T70" s="261" t="s">
        <x:v>14</x:v>
      </x:c>
      <x:c r="U70" s="232">
        <x:f>'Reversion Pagos R4'!J364</x:f>
        <x:v>0</x:v>
      </x:c>
      <x:c r="V70" s="232">
        <x:f>'Reversion Pagos R4'!K364</x:f>
        <x:v>0</x:v>
      </x:c>
      <x:c r="W70" s="232">
        <x:f>'Reversion Pagos R4'!L364</x:f>
        <x:v>0</x:v>
      </x:c>
      <x:c r="X70" s="232">
        <x:f>'Reversion Pagos R4'!M364</x:f>
        <x:v>0</x:v>
      </x:c>
      <x:c r="Y70" s="232">
        <x:f>'Reversion Pagos R4'!N364</x:f>
        <x:v>0</x:v>
      </x:c>
      <x:c r="Z70" s="255">
        <x:f t="shared" si="25"/>
        <x:v>0</x:v>
      </x:c>
      <x:c r="AA70" s="256">
        <x:f>'Reversion Pagos R4'!O364</x:f>
        <x:v>0</x:v>
      </x:c>
      <x:c r="AB70" s="230">
        <x:f t="shared" si="26"/>
        <x:v>0</x:v>
      </x:c>
      <x:c r="AC70" s="256">
        <x:f>'Reversion Pagos R4'!Q364+'Reversion Pagos R4'!R364</x:f>
        <x:v>0</x:v>
      </x:c>
      <x:c r="AD70" s="227">
        <x:f t="shared" si="27"/>
        <x:v>0</x:v>
      </x:c>
      <x:c r="AE70" s="227">
        <x:f>'Reversion Pagos R4'!D365</x:f>
        <x:v>0</x:v>
      </x:c>
      <x:c r="AF70" s="258">
        <x:f t="shared" si="29"/>
        <x:v>0</x:v>
      </x:c>
      <x:c r="AG70" s="262">
        <x:f t="shared" si="30"/>
        <x:v>0</x:v>
      </x:c>
      <x:c r="AH70" s="1" t="b">
        <x:f t="shared" si="28"/>
        <x:v>1</x:v>
      </x:c>
      <x:c r="AI70" s="242"/>
    </x:row>
    <x:row r="71" spans="1:35" s="241" customFormat="1" ht="13.8" thickBot="1" x14ac:dyDescent="0.3">
      <x:c r="B71" s="263"/>
      <x:c r="C71" s="264" t="s">
        <x:v>2</x:v>
      </x:c>
      <x:c r="D71" s="226">
        <x:f t="shared" ref="D71:O71" si="31">SUM(D66:D70)</x:f>
        <x:v>0</x:v>
      </x:c>
      <x:c r="E71" s="226">
        <x:f t="shared" si="31"/>
        <x:v>0</x:v>
      </x:c>
      <x:c r="F71" s="226">
        <x:f t="shared" si="31"/>
        <x:v>0</x:v>
      </x:c>
      <x:c r="G71" s="226">
        <x:f t="shared" si="31"/>
        <x:v>0</x:v>
      </x:c>
      <x:c r="H71" s="226">
        <x:f t="shared" si="31"/>
        <x:v>0</x:v>
      </x:c>
      <x:c r="I71" s="226">
        <x:f t="shared" si="31"/>
        <x:v>0</x:v>
      </x:c>
      <x:c r="J71" s="226">
        <x:f t="shared" si="31"/>
        <x:v>0</x:v>
      </x:c>
      <x:c r="K71" s="236">
        <x:f t="shared" si="31"/>
        <x:v>0</x:v>
      </x:c>
      <x:c r="L71" s="237">
        <x:f t="shared" si="31"/>
        <x:v>0</x:v>
      </x:c>
      <x:c r="M71" s="238">
        <x:f t="shared" si="31"/>
        <x:v>0</x:v>
      </x:c>
      <x:c r="N71" s="237">
        <x:f t="shared" si="31"/>
        <x:v>0</x:v>
      </x:c>
      <x:c r="O71" s="238">
        <x:f t="shared" si="31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2">SUM(V66:V70)</x:f>
        <x:v>0</x:v>
      </x:c>
      <x:c r="W71" s="266">
        <x:f t="shared" si="32"/>
        <x:v>0</x:v>
      </x:c>
      <x:c r="X71" s="266">
        <x:f t="shared" si="32"/>
        <x:v>0</x:v>
      </x:c>
      <x:c r="Y71" s="266">
        <x:f t="shared" si="32"/>
        <x:v>0</x:v>
      </x:c>
      <x:c r="Z71" s="226">
        <x:f t="shared" si="32"/>
        <x:v>0</x:v>
      </x:c>
      <x:c r="AA71" s="226">
        <x:f>SUM(AA66:AA70)</x:f>
        <x:v>0</x:v>
      </x:c>
      <x:c r="AB71" s="226">
        <x:f t="shared" si="32"/>
        <x:v>0</x:v>
      </x:c>
      <x:c r="AC71" s="226">
        <x:f t="shared" si="32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2"/>
        <x:v>0</x:v>
      </x:c>
      <x:c r="AG71" s="268">
        <x:f t="shared" si="32"/>
        <x:v>0</x:v>
      </x:c>
      <x:c r="AH71" s="1" t="b">
        <x:f t="shared" si="28"/>
        <x:v>1</x:v>
      </x:c>
      <x:c r="AI71" s="242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ht="12" x14ac:dyDescent="0.25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v>0</x:v>
      </x:c>
      <x:c r="V85" s="248">
        <x:v>0</x:v>
      </x:c>
      <x:c r="W85" s="248">
        <x:v>0</x:v>
      </x:c>
      <x:c r="X85" s="248">
        <x:v>0</x:v>
      </x:c>
      <x:c r="Y85" s="248">
        <x:v>0</x:v>
      </x:c>
      <x:c r="Z85" s="248">
        <x:f>'AJUSTES - SF-T'!Z47</x:f>
        <x:v>0</x:v>
      </x:c>
      <x:c r="AA85" s="247">
        <x:v>0</x:v>
      </x:c>
      <x:c r="AB85" s="248">
        <x:f>'AJUSTES - SF-T'!AB47</x:f>
        <x:v>0</x:v>
      </x:c>
      <x:c r="AC85" s="488">
        <x:v>0</x:v>
      </x:c>
      <x:c r="AD85" s="257">
        <x:v>0</x:v>
      </x:c>
      <x:c r="AE85" s="230"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ht="12" x14ac:dyDescent="0.25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3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4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5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ht="12" x14ac:dyDescent="0.25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v>0</x:v>
      </x:c>
      <x:c r="V87" s="256">
        <x:v>0</x:v>
      </x:c>
      <x:c r="W87" s="256">
        <x:v>0</x:v>
      </x:c>
      <x:c r="X87" s="256">
        <x:v>0</x:v>
      </x:c>
      <x:c r="Y87" s="256"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v>0</x:v>
      </x:c>
      <x:c r="AE87" s="235"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6"/>
        <x:v>1</x:v>
      </x:c>
      <x:c r="AI87" s="242"/>
    </x:row>
    <x:row r="88" spans="1:35" s="241" customFormat="1" ht="12" x14ac:dyDescent="0.25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3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4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5"/>
        <x:v>0</x:v>
      </x:c>
      <x:c r="AE88" s="235">
        <x:v>0</x:v>
      </x:c>
      <x:c r="AF88" s="301">
        <x:f t="shared" ref="AF88:AF89" si="37">SUM(U88:AD88)</x:f>
        <x:v>0</x:v>
      </x:c>
      <x:c r="AG88" s="487">
        <x:f>AF88-O88</x:f>
        <x:v>0</x:v>
      </x:c>
      <x:c r="AH88" s="1" t="b">
        <x:f t="shared" si="36"/>
        <x:v>1</x:v>
      </x:c>
      <x:c r="AI88" s="242"/>
    </x:row>
    <x:row r="89" spans="1:35" s="241" customFormat="1" ht="12.6" thickBot="1" x14ac:dyDescent="0.3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3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4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7"/>
        <x:v>0</x:v>
      </x:c>
      <x:c r="AG89" s="492">
        <x:f>AF89-O89</x:f>
        <x:v>0</x:v>
      </x:c>
      <x:c r="AH89" s="1" t="b">
        <x:f t="shared" si="36"/>
        <x:v>1</x:v>
      </x:c>
      <x:c r="AI89" s="242"/>
    </x:row>
    <x:row r="90" spans="1:35" s="241" customFormat="1" ht="13.8" thickBot="1" x14ac:dyDescent="0.3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485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11" t="s">
        <x:v>17</x:v>
      </x:c>
      <x:c r="D101" s="9">
        <x:f>D6</x:f>
        <x:v>46238</x:v>
      </x:c>
      <x:c r="F101" s="58" t="s">
        <x:v>328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ht="12" x14ac:dyDescent="0.25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8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ht="12" x14ac:dyDescent="0.25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8">
        <x:f t="shared" si="40"/>
        <x:v>0</x:v>
      </x:c>
      <x:c r="K105" s="231">
        <x:f t="shared" ref="K105:K108" si="42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3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6">
        <x:f t="shared" si="41"/>
        <x:v>0</x:v>
      </x:c>
      <x:c r="AD105" s="227">
        <x:f t="shared" ref="AD105:AD106" si="44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5">INT(AG105)=0</x:f>
        <x:v>1</x:v>
      </x:c>
      <x:c r="AI105" s="242"/>
    </x:row>
    <x:row r="106" spans="2:36" s="241" customFormat="1" ht="12" x14ac:dyDescent="0.25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8">
        <x:f t="shared" si="40"/>
        <x:v>0</x:v>
      </x:c>
      <x:c r="K106" s="231">
        <x:f t="shared" si="42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3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6">
        <x:f>AC11+AC30+AC49+AC68+AC87</x:f>
        <x:v>0</x:v>
      </x:c>
      <x:c r="AD106" s="227">
        <x:f t="shared" si="44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5"/>
        <x:v>1</x:v>
      </x:c>
      <x:c r="AI106" s="242"/>
    </x:row>
    <x:row r="107" spans="2:36" s="241" customFormat="1" ht="12" x14ac:dyDescent="0.25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8">
        <x:f t="shared" si="40"/>
        <x:v>0</x:v>
      </x:c>
      <x:c r="K107" s="231">
        <x:f t="shared" si="42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>M107+N107</x:f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6">
        <x:f t="shared" si="41"/>
        <x:v>0</x:v>
      </x:c>
      <x:c r="AD107" s="227">
        <x:f>-J117+AE117</x:f>
        <x:v>0</x:v>
      </x:c>
      <x:c r="AE107" s="227">
        <x:f>AE12+AE31+AE50+AE69+AE88</x:f>
        <x:v>0</x:v>
      </x:c>
      <x:c r="AF107" s="258">
        <x:f>SUM(U117:AD117)</x:f>
        <x:v>0</x:v>
      </x:c>
      <x:c r="AG107" s="259">
        <x:f>AF117-O117</x:f>
        <x:v>0</x:v>
      </x:c>
      <x:c r="AH107" s="1" t="b">
        <x:f t="shared" si="45"/>
        <x:v>1</x:v>
      </x:c>
      <x:c r="AI107" s="242"/>
    </x:row>
    <x:row r="108" spans="2:36" s="241" customFormat="1" ht="12.6" thickBot="1" x14ac:dyDescent="0.3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33">
        <x:f t="shared" si="40"/>
        <x:v>0</x:v>
      </x:c>
      <x:c r="K108" s="231">
        <x:f t="shared" si="42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3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6">
        <x:f t="shared" si="41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5"/>
        <x:v>1</x:v>
      </x:c>
      <x:c r="AI108" s="242"/>
    </x:row>
    <x:row r="109" spans="2:36" s="241" customFormat="1" ht="13.8" thickBot="1" x14ac:dyDescent="0.3">
      <x:c r="B109" s="263"/>
      <x:c r="C109" s="264" t="s">
        <x:v>2</x:v>
      </x:c>
      <x:c r="D109" s="226">
        <x:f t="shared" ref="D109:O109" si="46">SUM(D104:D108)</x:f>
        <x:v>0</x:v>
      </x:c>
      <x:c r="E109" s="226">
        <x:f t="shared" si="46"/>
        <x:v>0</x:v>
      </x:c>
      <x:c r="F109" s="226">
        <x:f t="shared" si="46"/>
        <x:v>0</x:v>
      </x:c>
      <x:c r="G109" s="226">
        <x:f t="shared" si="46"/>
        <x:v>0</x:v>
      </x:c>
      <x:c r="H109" s="226">
        <x:f t="shared" si="46"/>
        <x:v>0</x:v>
      </x:c>
      <x:c r="I109" s="226">
        <x:f t="shared" si="46"/>
        <x:v>0</x:v>
      </x:c>
      <x:c r="J109" s="226">
        <x:f t="shared" si="46"/>
        <x:v>0</x:v>
      </x:c>
      <x:c r="K109" s="236">
        <x:f t="shared" si="46"/>
        <x:v>0</x:v>
      </x:c>
      <x:c r="L109" s="237">
        <x:f t="shared" si="46"/>
        <x:v>0</x:v>
      </x:c>
      <x:c r="M109" s="238">
        <x:f t="shared" si="46"/>
        <x:v>0</x:v>
      </x:c>
      <x:c r="N109" s="237">
        <x:f t="shared" si="46"/>
        <x:v>0</x:v>
      </x:c>
      <x:c r="O109" s="238">
        <x:f t="shared" si="46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47">SUM(V104:V108)</x:f>
        <x:v>0</x:v>
      </x:c>
      <x:c r="W109" s="266">
        <x:f t="shared" si="47"/>
        <x:v>0</x:v>
      </x:c>
      <x:c r="X109" s="266">
        <x:f t="shared" si="47"/>
        <x:v>0</x:v>
      </x:c>
      <x:c r="Y109" s="266">
        <x:f t="shared" si="47"/>
        <x:v>0</x:v>
      </x:c>
      <x:c r="Z109" s="226">
        <x:f t="shared" si="47"/>
        <x:v>0</x:v>
      </x:c>
      <x:c r="AA109" s="226">
        <x:f t="shared" si="47"/>
        <x:v>0</x:v>
      </x:c>
      <x:c r="AB109" s="226">
        <x:f t="shared" si="47"/>
        <x:v>0</x:v>
      </x:c>
      <x:c r="AC109" s="226">
        <x:f t="shared" si="47"/>
        <x:v>0</x:v>
      </x:c>
      <x:c r="AD109" s="226">
        <x:f t="shared" si="47"/>
        <x:v>0</x:v>
      </x:c>
      <x:c r="AE109" s="226">
        <x:f>SUM(AE104:AE108)</x:f>
        <x:v>0</x:v>
      </x:c>
      <x:c r="AF109" s="267">
        <x:f t="shared" si="47"/>
        <x:v>0</x:v>
      </x:c>
      <x:c r="AG109" s="268">
        <x:f>SUM(AG104:AG108)</x:f>
        <x:v>0</x:v>
      </x:c>
      <x:c r="AH109" s="1" t="b">
        <x:f t="shared" si="45"/>
        <x:v>1</x:v>
      </x:c>
      <x:c r="AI109" s="242"/>
    </x:row>
    <x:row r="110" spans="2:36" ht="12.6" thickBot="1" x14ac:dyDescent="0.3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1">
        <x:v>1</x:v>
      </x:c>
      <x:c r="C125" s="102" t="s">
        <x:v>10</x:v>
      </x:c>
      <x:c r="D125" s="103">
        <x:f>'ANTICIPOS USUARIOS'!L3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USUARIOS'!L12</x:f>
        <x:v>0</x:v>
      </x:c>
      <x:c r="L125" s="245">
        <x:f>-'ANTICIPOS USUARIOS'!L21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48">D67+N67</x:f>
        <x:v>0</x:v>
      </x:c>
      <x:c r="K126" s="224">
        <x:f>'ANTICIPOS USUARIOS'!L13</x:f>
        <x:v>0</x:v>
      </x:c>
      <x:c r="L126" s="224">
        <x:f>-'ANTICIPOS USUARIOS'!L22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48"/>
        <x:v>0</x:v>
      </x:c>
      <x:c r="K127" s="224">
        <x:f>'ANTICIPOS USUARIOS'!L14</x:f>
        <x:v>0</x:v>
      </x:c>
      <x:c r="L127" s="224">
        <x:f>-'ANTICIPOS USUARIOS'!L23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48"/>
        <x:v>0</x:v>
      </x:c>
      <x:c r="K128" s="224">
        <x:f>'ANTICIPOS USUARIOS'!L15</x:f>
        <x:v>0</x:v>
      </x:c>
      <x:c r="L128" s="224">
        <x:f>-'ANTICIPOS USUARIOS'!L24</x:f>
        <x:v>0</x:v>
      </x:c>
      <x:c r="O128" s="44"/>
      <x:c r="Q128" s="4"/>
    </x:row>
    <x:row r="129" spans="1:18" ht="12" x14ac:dyDescent="0.25">
      <x:c r="B129" s="122">
        <x:v>5</x:v>
      </x:c>
      <x:c r="C129" s="127" t="s">
        <x:v>14</x:v>
      </x:c>
      <x:c r="D129" s="15">
        <x:f>'ANTICIPOS USUARIOS'!L7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48"/>
        <x:v>0</x:v>
      </x:c>
      <x:c r="K129" s="224">
        <x:f>'ANTICIPOS USUARIOS'!L16</x:f>
        <x:v>0</x:v>
      </x:c>
      <x:c r="L129" s="224">
        <x:f>-'ANTICIPOS USUARIOS'!L25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6" thickBot="1" x14ac:dyDescent="0.3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49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ENERBIT'!D21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BANCO'!E63)</x:f>
        <x:v>0</x:v>
      </x:c>
      <x:c r="J142" s="103">
        <x:f t="shared" ref="J142:K146" si="50">G125</x:f>
        <x:v>0</x:v>
      </x:c>
      <x:c r="K142" s="104">
        <x:f t="shared" si="50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443">
        <x:f>D143-E143-F143-G143-J143-H143-I143</x:f>
        <x:v>0</x:v>
      </x:c>
      <x:c r="M143" s="1" t="b">
        <x:f t="shared" ref="M143:M147" si="51">INT(L143)=0</x:f>
        <x:v>1</x:v>
      </x:c>
      <x:c r="O143" s="119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443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443">
        <x:f>D145-E145-F145-G145-J145-H145-I145</x:f>
        <x:v>0</x:v>
      </x:c>
      <x:c r="M145" s="1" t="b">
        <x:f t="shared" si="51"/>
        <x:v>1</x:v>
      </x:c>
      <x:c r="O145" s="93"/>
      <x:c r="P145" s="24"/>
      <x:c r="Q145" s="35"/>
      <x:c r="R145" s="24"/>
    </x:row>
    <x:row r="146" spans="1:20" ht="12.6" thickBot="1" x14ac:dyDescent="0.3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BANCO'!E73)</x:f>
        <x:v>0</x:v>
      </x:c>
      <x:c r="J146" s="123">
        <x:f t="shared" si="50"/>
        <x:v>0</x:v>
      </x:c>
      <x:c r="K146" s="125">
        <x:f t="shared" si="50"/>
        <x:v>0</x:v>
      </x:c>
      <x:c r="L146" s="443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443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topLeftCell="C1" zoomScale="90" zoomScaleNormal="90" workbookViewId="0">
      <x:selection activeCell="L13" sqref="L13"/>
    </x:sheetView>
  </x:sheetViews>
  <x:sheetFormatPr baseColWidth="10" defaultRowHeight="13.2" x14ac:dyDescent="0.25"/>
  <x:cols>
    <x:col min="1" max="1" width="3" customWidth="1"/>
    <x:col min="2" max="2" width="4.33203125" bestFit="1" customWidth="1"/>
    <x:col min="3" max="3" width="16.6640625" customWidth="1"/>
    <x:col min="4" max="4" width="14.33203125" customWidth="1"/>
    <x:col min="5" max="7" width="17.6640625" customWidth="1"/>
    <x:col min="8" max="8" width="18.33203125" customWidth="1"/>
    <x:col min="9" max="9" width="15.6640625" customWidth="1"/>
    <x:col min="10" max="10" width="16.44140625" customWidth="1"/>
    <x:col min="11" max="11" width="15.6640625" customWidth="1"/>
    <x:col min="12" max="13" width="18.33203125" customWidth="1"/>
    <x:col min="14" max="14" width="15.6640625" customWidth="1"/>
    <x:col min="15" max="15" width="14.3320312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5">
      <x:c r="B3" s="239">
        <x:v>1</x:v>
      </x:c>
      <x:c r="C3" s="228">
        <x:f>'Recaudo ENERBIT'!D21</x:f>
        <x:v>0</x:v>
      </x:c>
      <x:c r="D3" s="228">
        <x:f>REMUNERACION_ENERBIT!G125</x:f>
        <x:v>0</x:v>
      </x:c>
      <x:c r="E3" s="228">
        <x:f>REMUNERACION_ENERBIT!D28+REMUNERACION_ENERBIT!N28</x:f>
        <x:v>0</x:v>
      </x:c>
      <x:c r="F3" s="228">
        <x:f>REMUNERACION_ENERBIT!I142</x:f>
        <x:v>0</x:v>
      </x:c>
      <x:c r="G3" s="228">
        <x:f>REMUNERACION_ENERBIT!H142</x:f>
        <x:v>0</x:v>
      </x:c>
      <x:c r="H3" s="276">
        <x:f>SUM(C3:G3)</x:f>
        <x:v>0</x:v>
      </x:c>
      <x:c r="I3" s="227">
        <x:f>REMUNERACION_ENERBIT!D104</x:f>
        <x:v>0</x:v>
      </x:c>
      <x:c r="J3" s="228">
        <x:f>REMUNERACION_ENERBIT!N104</x:f>
        <x:v>0</x:v>
      </x:c>
      <x:c r="K3" s="228">
        <x:f>REMUNERACION_ENERBIT!D125</x:f>
        <x:v>0</x:v>
      </x:c>
      <x:c r="L3" s="289">
        <x:f>REMUNERACION_ENERBIT!E125</x:f>
        <x:v>0</x:v>
      </x:c>
      <x:c r="M3" s="228">
        <x:f>-REMUNERACION_ENERBIT!D66-REMUNERACION_ENERBIT!N66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5">
      <x:c r="B4" s="250">
        <x:v>2</x:v>
      </x:c>
      <x:c r="C4" s="253">
        <x:f>'Recaudo ENERBIT'!D22</x:f>
        <x:v>0</x:v>
      </x:c>
      <x:c r="D4" s="228">
        <x:f>REMUNERACION_ENERBIT!G126</x:f>
        <x:v>0</x:v>
      </x:c>
      <x:c r="E4" s="228">
        <x:f>REMUNERACION_ENERBIT!D29+REMUNERACION_ENERBIT!N29</x:f>
        <x:v>0</x:v>
      </x:c>
      <x:c r="F4" s="228">
        <x:f>REMUNERACION_ENERBIT!I143</x:f>
        <x:v>0</x:v>
      </x:c>
      <x:c r="G4" s="228">
        <x:f>REMUNERACION_ENERBIT!H143</x:f>
        <x:v>0</x:v>
      </x:c>
      <x:c r="H4" s="276">
        <x:f t="shared" ref="H4:H8" si="1">SUM(C4:G4)</x:f>
        <x:v>0</x:v>
      </x:c>
      <x:c r="I4" s="227">
        <x:f>REMUNERACION_ENERBIT!D105</x:f>
        <x:v>0</x:v>
      </x:c>
      <x:c r="J4" s="228">
        <x:f>REMUNERACION_ENERBIT!N105</x:f>
        <x:v>0</x:v>
      </x:c>
      <x:c r="K4" s="228">
        <x:f>REMUNERACION_ENERBIT!D126</x:f>
        <x:v>0</x:v>
      </x:c>
      <x:c r="L4" s="289">
        <x:f>REMUNERACION_ENERBIT!E126</x:f>
        <x:v>0</x:v>
      </x:c>
      <x:c r="M4" s="228">
        <x:f>-REMUNERACION_ENERBIT!D67-REMUNERACION_ENERBIT!N67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5">
      <x:c r="B5" s="250">
        <x:v>3</x:v>
      </x:c>
      <x:c r="C5" s="253">
        <x:f>'Recaudo ENERBIT'!D23</x:f>
        <x:v>0</x:v>
      </x:c>
      <x:c r="D5" s="228">
        <x:f>REMUNERACION_ENERBIT!G127</x:f>
        <x:v>0</x:v>
      </x:c>
      <x:c r="E5" s="228">
        <x:f>REMUNERACION_ENERBIT!D30+REMUNERACION_ENERBIT!N30</x:f>
        <x:v>0</x:v>
      </x:c>
      <x:c r="F5" s="228">
        <x:f>REMUNERACION_ENERBIT!I144</x:f>
        <x:v>0</x:v>
      </x:c>
      <x:c r="G5" s="228">
        <x:f>REMUNERACION_ENERBIT!H144</x:f>
        <x:v>0</x:v>
      </x:c>
      <x:c r="H5" s="276">
        <x:f t="shared" si="1"/>
        <x:v>0</x:v>
      </x:c>
      <x:c r="I5" s="227">
        <x:f>REMUNERACION_ENERBIT!D106</x:f>
        <x:v>0</x:v>
      </x:c>
      <x:c r="J5" s="228">
        <x:f>REMUNERACION_ENERBIT!N106</x:f>
        <x:v>0</x:v>
      </x:c>
      <x:c r="K5" s="228">
        <x:f>REMUNERACION_ENERBIT!D127</x:f>
        <x:v>0</x:v>
      </x:c>
      <x:c r="L5" s="289">
        <x:f>REMUNERACION_ENERBIT!E127</x:f>
        <x:v>0</x:v>
      </x:c>
      <x:c r="M5" s="228">
        <x:f>-REMUNERACION_ENERBIT!D68-REMUNERACION_ENERBIT!N68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5">
      <x:c r="B6" s="250">
        <x:v>4</x:v>
      </x:c>
      <x:c r="C6" s="253">
        <x:f>'Recaudo ENERBIT'!D24</x:f>
        <x:v>0</x:v>
      </x:c>
      <x:c r="D6" s="228">
        <x:f>REMUNERACION_ENERBIT!G128</x:f>
        <x:v>0</x:v>
      </x:c>
      <x:c r="E6" s="228">
        <x:f>REMUNERACION_ENERBIT!D31+REMUNERACION_ENERBIT!N31</x:f>
        <x:v>0</x:v>
      </x:c>
      <x:c r="F6" s="228">
        <x:f>REMUNERACION_ENERBIT!I145</x:f>
        <x:v>0</x:v>
      </x:c>
      <x:c r="G6" s="228">
        <x:f>REMUNERACION_ENERBIT!H145</x:f>
        <x:v>0</x:v>
      </x:c>
      <x:c r="H6" s="276">
        <x:f t="shared" si="1"/>
        <x:v>0</x:v>
      </x:c>
      <x:c r="I6" s="227">
        <x:f>REMUNERACION_ENERBIT!D107</x:f>
        <x:v>0</x:v>
      </x:c>
      <x:c r="J6" s="228">
        <x:f>REMUNERACION_ENERBIT!N107</x:f>
        <x:v>0</x:v>
      </x:c>
      <x:c r="K6" s="228">
        <x:f>REMUNERACION_ENERBIT!D128</x:f>
        <x:v>0</x:v>
      </x:c>
      <x:c r="L6" s="289">
        <x:f>REMUNERACION_ENERBIT!E128</x:f>
        <x:v>0</x:v>
      </x:c>
      <x:c r="M6" s="228">
        <x:f>-REMUNERACION_ENERBIT!D69-REMUNERACION_ENERBIT!N69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5">
      <x:c r="B7" s="250">
        <x:v>5</x:v>
      </x:c>
      <x:c r="C7" s="253">
        <x:f>'Recaudo ENERBIT'!F25</x:f>
        <x:v>0</x:v>
      </x:c>
      <x:c r="D7" s="228">
        <x:f>REMUNERACION_ENERBIT!G129</x:f>
        <x:v>0</x:v>
      </x:c>
      <x:c r="E7" s="228">
        <x:f>REMUNERACION_ENERBIT!D32+REMUNERACION_ENERBIT!N32</x:f>
        <x:v>0</x:v>
      </x:c>
      <x:c r="F7" s="228">
        <x:f>REMUNERACION_ENERBIT!I146</x:f>
        <x:v>0</x:v>
      </x:c>
      <x:c r="G7" s="228">
        <x:f>REMUNERACION_ENERBIT!H146</x:f>
        <x:v>0</x:v>
      </x:c>
      <x:c r="H7" s="276">
        <x:f t="shared" si="1"/>
        <x:v>0</x:v>
      </x:c>
      <x:c r="I7" s="227">
        <x:f>REMUNERACION_ENERBIT!D108</x:f>
        <x:v>0</x:v>
      </x:c>
      <x:c r="J7" s="228">
        <x:f>REMUNERACION_ENERBIT!N108</x:f>
        <x:v>0</x:v>
      </x:c>
      <x:c r="K7" s="228">
        <x:f>REMUNERACION_ENERBIT!D129</x:f>
        <x:v>0</x:v>
      </x:c>
      <x:c r="L7" s="289">
        <x:f>REMUNERACION_ENERBIT!E129</x:f>
        <x:v>0</x:v>
      </x:c>
      <x:c r="M7" s="228">
        <x:f>-REMUNERACION_ENERBIT!D70-REMUNERACION_ENERBIT!N70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8" thickBot="1" x14ac:dyDescent="0.3">
      <x:c r="B8" s="277" t="s">
        <x:v>89</x:v>
      </x:c>
      <x:c r="C8" s="253">
        <x:f>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REMUNERACION_ENERBIT!E130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8" thickBot="1" x14ac:dyDescent="0.3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5">
      <x:c r="B11" s="95" t="s">
        <x:v>89</x:v>
      </x:c>
      <x:c r="C11" s="96" t="s">
        <x:v>90</x:v>
      </x:c>
      <x:c r="M11" s="130"/>
      <x:c r="O11" s="126"/>
    </x:row>
    <x:row r="12" spans="2:16" x14ac:dyDescent="0.25">
      <x:c r="C12" s="132"/>
    </x:row>
    <x:row r="13" spans="2:16" x14ac:dyDescent="0.25">
      <x:c r="B13" s="131"/>
      <x:c r="C13" s="132" t="s">
        <x:v>1</x:v>
      </x:c>
    </x:row>
    <x:row r="14" spans="2:16" x14ac:dyDescent="0.25">
      <x:c r="C14" s="200">
        <x:f>'Valida - Control Recaudo'!D8</x:f>
        <x:v>0</x:v>
      </x:c>
    </x:row>
    <x:row r="15" spans="2:16" x14ac:dyDescent="0.25">
      <x:c r="C15" s="202" t="b">
        <x:f>C14=C9</x:f>
        <x:v>1</x:v>
      </x:c>
    </x:row>
    <x:row r="16" spans="2:16" x14ac:dyDescent="0.25">
      <x:c r="C16" s="191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J16" sqref="J1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9.44140625" style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REMUNERACION_ENERBIT!D101</x:f>
        <x:v>46238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11" t="s">
        <x:v>0</x:v>
      </x:c>
      <x:c r="D7" s="198">
        <x:f>REMUNERACION_ENERBIT!D102</x:f>
        <x:v>0.58333333333333337</x:v>
      </x:c>
      <x:c r="F7" s="2" t="s">
        <x:v>27</x:v>
      </x:c>
      <x:c r="G7" s="9">
        <x:f>REMUNERACION_ENERBIT!G102</x:f>
        <x:v>46219</x:v>
      </x:c>
      <x:c r="J7" s="2" t="s">
        <x:v>28</x:v>
      </x:c>
      <x:c r="K7" s="9">
        <x:f>REMUNERACION_ENERBIT!K102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590">
        <x:f>REMUNERACION_ENERBIT!D106</x:f>
        <x:v>0</x:v>
      </x:c>
      <x:c r="E11" s="590">
        <x:f>REMUNERACION_ENERBIT!E106</x:f>
        <x:v>0</x:v>
      </x:c>
      <x:c r="F11" s="590">
        <x:f>REMUNERACION_ENERBIT!F106</x:f>
        <x:v>0</x:v>
      </x:c>
      <x:c r="G11" s="590">
        <x:f>REMUNERACION_ENERBIT!G106</x:f>
        <x:v>0</x:v>
      </x:c>
      <x:c r="H11" s="590">
        <x:f>REMUNERACION_ENERBIT!H106</x:f>
        <x:v>0</x:v>
      </x:c>
      <x:c r="I11" s="590">
        <x:f>REMUNERACION_ENERBIT!I106</x:f>
        <x:v>0</x:v>
      </x:c>
      <x:c r="J11" s="590">
        <x:f>REMUNERACION_ENERBIT!J106</x:f>
        <x:v>0</x:v>
      </x:c>
      <x:c r="K11" s="591">
        <x:f t="shared" si="0"/>
        <x:v>0</x:v>
      </x:c>
      <x:c r="L11" s="590">
        <x:f>REMUNERACION_ENERBIT!L106</x:f>
        <x:v>0</x:v>
      </x:c>
      <x:c r="M11" s="591">
        <x:f>K11-L11</x:f>
        <x:v>0</x:v>
      </x:c>
      <x:c r="N11" s="590">
        <x:f>REMUNERACION_ENERBIT!N106</x:f>
        <x:v>0</x:v>
      </x:c>
      <x:c r="O11" s="591">
        <x:f t="shared" si="1"/>
        <x:v>0</x:v>
      </x:c>
      <x:c r="Q11" s="4"/>
      <x:c r="S11" s="16">
        <x:v>3</x:v>
      </x:c>
      <x:c r="T11" s="62" t="s">
        <x:v>12</x:v>
      </x:c>
      <x:c r="U11" s="590">
        <x:f>REMUNERACION_ENERBIT!U106</x:f>
        <x:v>0</x:v>
      </x:c>
      <x:c r="V11" s="590">
        <x:f>REMUNERACION_ENERBIT!V106</x:f>
        <x:v>0</x:v>
      </x:c>
      <x:c r="W11" s="590">
        <x:f>REMUNERACION_ENERBIT!W106</x:f>
        <x:v>0</x:v>
      </x:c>
      <x:c r="X11" s="590">
        <x:f>REMUNERACION_ENERBIT!X106</x:f>
        <x:v>0</x:v>
      </x:c>
      <x:c r="Y11" s="590">
        <x:f>REMUNERACION_ENERBIT!Y106</x:f>
        <x:v>0</x:v>
      </x:c>
      <x:c r="Z11" s="590">
        <x:f>REMUNERACION_ENERBIT!Z106</x:f>
        <x:v>0</x:v>
      </x:c>
      <x:c r="AA11" s="590">
        <x:f>REMUNERACION_ENERBIT!AA106</x:f>
        <x:v>0</x:v>
      </x:c>
      <x:c r="AB11" s="590">
        <x:f>REMUNERACION_ENERBIT!AB106</x:f>
        <x:v>0</x:v>
      </x:c>
      <x:c r="AC11" s="590">
        <x:f>REMUNERACION_ENERBIT!AC106</x:f>
        <x:v>0</x:v>
      </x:c>
      <x:c r="AD11" s="590">
        <x:f>REMUNERACION_ENERBIT!AD106</x:f>
        <x:v>0</x:v>
      </x:c>
      <x:c r="AE11" s="590">
        <x:f>REMUNERACION_ENERBIT!AE106</x:f>
        <x:v>0</x:v>
      </x:c>
      <x:c r="AF11" s="589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REMUNERACION_ENERBIT!G122</x:f>
        <x:v>46219</x:v>
      </x:c>
      <x:c r="J27" s="2" t="s">
        <x:v>28</x:v>
      </x:c>
      <x:c r="K27" s="9">
        <x:f>REMUNERACION_ENERBIT!K122</x:f>
        <x:v>46234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1">
        <x:v>1</x:v>
      </x:c>
      <x:c r="C30" s="102" t="s">
        <x:v>10</x:v>
      </x:c>
      <x:c r="D30" s="103">
        <x:f>REMUNERACION_ENERBIT!D125</x:f>
        <x:v>0</x:v>
      </x:c>
      <x:c r="E30" s="104">
        <x:f>REMUNERACION_ENERBIT!E125</x:f>
        <x:v>0</x:v>
      </x:c>
      <x:c r="G30" s="272">
        <x:f>REMUNERACION_ENERBIT!G125</x:f>
        <x:v>0</x:v>
      </x:c>
      <x:c r="H30" s="246">
        <x:f>REMUNERACION_ENERBIT!H125</x:f>
        <x:v>0</x:v>
      </x:c>
      <x:c r="I30" s="245">
        <x:f>REMUNERACION_ENERBIT!I125</x:f>
        <x:v>0</x:v>
      </x:c>
      <x:c r="J30" s="245">
        <x:f>REMUNERACION_ENERBIT!J125</x:f>
        <x:v>0</x:v>
      </x:c>
      <x:c r="K30" s="245">
        <x:f>REMUNERACION_ENERBIT!K125</x:f>
        <x:v>0</x:v>
      </x:c>
      <x:c r="L30" s="245">
        <x:f>REMUNERACION_ENERBIT!L125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275">
        <x:f>REMUNERACION_ENERBIT!G126</x:f>
        <x:v>0</x:v>
      </x:c>
      <x:c r="H31" s="276">
        <x:f>REMUNERACION_ENERBIT!H126</x:f>
        <x:v>0</x:v>
      </x:c>
      <x:c r="I31" s="224">
        <x:f>REMUNERACION_ENERBIT!I126</x:f>
        <x:v>0</x:v>
      </x:c>
      <x:c r="J31" s="224">
        <x:f>REMUNERACION_ENERBIT!J126</x:f>
        <x:v>0</x:v>
      </x:c>
      <x:c r="K31" s="224">
        <x:f>REMUNERACION_ENERBIT!K126</x:f>
        <x:v>0</x:v>
      </x:c>
      <x:c r="L31" s="224">
        <x:f>REMUNERACION_ENERBIT!L126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275">
        <x:f>REMUNERACION_ENERBIT!G127</x:f>
        <x:v>0</x:v>
      </x:c>
      <x:c r="H32" s="276">
        <x:f>REMUNERACION_ENERBIT!H127</x:f>
        <x:v>0</x:v>
      </x:c>
      <x:c r="I32" s="224">
        <x:f>REMUNERACION_ENERBIT!I127</x:f>
        <x:v>0</x:v>
      </x:c>
      <x:c r="J32" s="224">
        <x:f>REMUNERACION_ENERBIT!J127</x:f>
        <x:v>0</x:v>
      </x:c>
      <x:c r="K32" s="224">
        <x:f>REMUNERACION_ENERBIT!K127</x:f>
        <x:v>0</x:v>
      </x:c>
      <x:c r="L32" s="224">
        <x:f>REMUNERACION_ENERBIT!L127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275">
        <x:f>REMUNERACION_ENERBIT!G128</x:f>
        <x:v>0</x:v>
      </x:c>
      <x:c r="H33" s="276">
        <x:f>REMUNERACION_ENERBIT!H128</x:f>
        <x:v>0</x:v>
      </x:c>
      <x:c r="I33" s="224">
        <x:f>REMUNERACION_ENERBIT!I128</x:f>
        <x:v>0</x:v>
      </x:c>
      <x:c r="J33" s="224">
        <x:f>REMUNERACION_ENERBIT!J128</x:f>
        <x:v>0</x:v>
      </x:c>
      <x:c r="K33" s="224">
        <x:f>REMUNERACION_ENERBIT!K128</x:f>
        <x:v>0</x:v>
      </x:c>
      <x:c r="L33" s="224">
        <x:f>REMUNERACION_ENERBIT!L128</x:f>
        <x:v>0</x:v>
      </x:c>
      <x:c r="O33" s="44"/>
      <x:c r="Q33" s="4"/>
    </x:row>
    <x:row r="34" spans="1:20" ht="12" x14ac:dyDescent="0.25">
      <x:c r="B34" s="122">
        <x:v>5</x:v>
      </x:c>
      <x:c r="C34" s="127" t="s">
        <x:v>14</x:v>
      </x:c>
      <x:c r="D34" s="124">
        <x:f>REMUNERACION_ENERBIT!D129</x:f>
        <x:v>0</x:v>
      </x:c>
      <x:c r="E34" s="128">
        <x:f>REMUNERACION_ENERBIT!E129</x:f>
        <x:v>0</x:v>
      </x:c>
      <x:c r="G34" s="275">
        <x:f>REMUNERACION_ENERBIT!G129</x:f>
        <x:v>0</x:v>
      </x:c>
      <x:c r="H34" s="276">
        <x:f>REMUNERACION_ENERBIT!H129</x:f>
        <x:v>0</x:v>
      </x:c>
      <x:c r="I34" s="224">
        <x:f>REMUNERACION_ENERBIT!I129</x:f>
        <x:v>0</x:v>
      </x:c>
      <x:c r="J34" s="224">
        <x:f>REMUNERACION_ENERBIT!J129</x:f>
        <x:v>0</x:v>
      </x:c>
      <x:c r="K34" s="224">
        <x:f>REMUNERACION_ENERBIT!K129</x:f>
        <x:v>0</x:v>
      </x:c>
      <x:c r="L34" s="224">
        <x:f>REMUNERACION_ENERBIT!L129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6" thickBot="1" x14ac:dyDescent="0.3">
      <x:c r="B36" s="92"/>
      <x:c r="C36" s="99" t="s">
        <x:v>2</x:v>
      </x:c>
      <x:c r="D36" s="100">
        <x:f t="shared" ref="D36" si="5">SUM(D30:D34)</x:f>
        <x:v>0</x:v>
      </x:c>
      <x:c r="E36" s="100">
        <x:f>REMUNERACION_ENERBIT!E131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D14=REMUNERACION_ENERBIT!D109</x:f>
        <x:v>1</x:v>
      </x:c>
      <x:c r="E45" s="208" t="b">
        <x:f>E14=REMUNERACION_ENERBIT!E109</x:f>
        <x:v>1</x:v>
      </x:c>
      <x:c r="F45" s="208" t="b">
        <x:f>F14=REMUNERACION_ENERBIT!F109</x:f>
        <x:v>1</x:v>
      </x:c>
      <x:c r="G45" s="208" t="b">
        <x:f>G14=REMUNERACION_ENERBIT!G109</x:f>
        <x:v>1</x:v>
      </x:c>
      <x:c r="H45" s="208" t="b">
        <x:f>H14=REMUNERACION_ENERBIT!H109</x:f>
        <x:v>1</x:v>
      </x:c>
      <x:c r="I45" s="208" t="b">
        <x:f>I14=REMUNERACION_ENERBIT!I109</x:f>
        <x:v>1</x:v>
      </x:c>
      <x:c r="J45" s="208" t="b">
        <x:f>J14=REMUNERACION_ENERBIT!J109</x:f>
        <x:v>1</x:v>
      </x:c>
      <x:c r="K45" s="208" t="b">
        <x:f>K14=REMUNERACION_ENERBIT!K109</x:f>
        <x:v>1</x:v>
      </x:c>
      <x:c r="L45" s="208" t="b">
        <x:f>L14=REMUNERACION_ENERBIT!L109</x:f>
        <x:v>1</x:v>
      </x:c>
      <x:c r="M45" s="208" t="b">
        <x:f>M14=REMUNERACION_ENERBIT!M109</x:f>
        <x:v>1</x:v>
      </x:c>
      <x:c r="N45" s="208" t="b">
        <x:f>N14=REMUNERACION_ENERBIT!N109</x:f>
        <x:v>1</x:v>
      </x:c>
      <x:c r="O45" s="208" t="b">
        <x:f>O14=REMUNERACION_ENERBIT!O109</x:f>
        <x:v>1</x:v>
      </x:c>
      <x:c r="Q45" s="24"/>
      <x:c r="T45" s="24"/>
    </x:row>
    <x:row r="46" spans="1:20" x14ac:dyDescent="0.2">
      <x:c r="D46" s="208" t="b">
        <x:f>D36=REMUNERACION_ENERBIT!D131</x:f>
        <x:v>1</x:v>
      </x:c>
      <x:c r="E46" s="208" t="b">
        <x:f>E36=REMUNERACION_ENERBIT!E131</x:f>
        <x:v>1</x:v>
      </x:c>
      <x:c r="F46" s="208" t="b">
        <x:f>F36=REMUNERACION_ENERBIT!F131</x:f>
        <x:v>1</x:v>
      </x:c>
      <x:c r="G46" s="208" t="b">
        <x:f>G36=REMUNERACION_ENERBIT!G131</x:f>
        <x:v>1</x:v>
      </x:c>
      <x:c r="H46" s="208" t="b">
        <x:f>H36=REMUNERACION_ENERBIT!H131</x:f>
        <x:v>1</x:v>
      </x:c>
      <x:c r="I46" s="208" t="b">
        <x:f>I36=REMUNERACION_ENERBIT!I131</x:f>
        <x:v>1</x:v>
      </x:c>
      <x:c r="J46" s="208" t="b">
        <x:f>J36=REMUNERACION_ENERBIT!J131</x:f>
        <x:v>1</x:v>
      </x:c>
      <x:c r="K46" s="208" t="b">
        <x:f>K36=REMUNERACION_ENERBIT!K131</x:f>
        <x:v>1</x:v>
      </x:c>
      <x:c r="L46" s="208" t="b">
        <x:f>L36=REMUNERACION_ENERBIT!L131</x:f>
        <x:v>1</x:v>
      </x:c>
      <x:c r="M46" s="208" t="b">
        <x:f>M36=REMUNERACION_ENERBIT!M131</x:f>
        <x:v>1</x:v>
      </x:c>
      <x:c r="N46" s="208" t="b">
        <x:f>N36=REMUNERACION_ENERBIT!N131</x:f>
        <x:v>1</x:v>
      </x:c>
      <x:c r="O46" s="208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Z1" zoomScaleNormal="100" workbookViewId="0">
      <x:selection activeCell="AL4" sqref="AL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2:35" s="241" customFormat="1" ht="12" x14ac:dyDescent="0.25">
      <x:c r="B9" s="239">
        <x:v>1</x:v>
      </x:c>
      <x:c r="C9" s="240" t="s">
        <x:v>10</x:v>
      </x:c>
      <x:c r="D9" s="227">
        <x:f>'Reporte Componentes R1'!F66</x:f>
        <x:v>0</x:v>
      </x:c>
      <x:c r="E9" s="228">
        <x:f>'Reporte Componentes R1'!G66</x:f>
        <x:v>0</x:v>
      </x:c>
      <x:c r="F9" s="228">
        <x:f>'Reporte Componentes R1'!H66</x:f>
        <x:v>0</x:v>
      </x:c>
      <x:c r="G9" s="228">
        <x:f>'Reporte Componentes R1'!I66</x:f>
        <x:v>0</x:v>
      </x:c>
      <x:c r="H9" s="228">
        <x:f>'Reporte Componentes R1'!J66</x:f>
        <x:v>0</x:v>
      </x:c>
      <x:c r="I9" s="228">
        <x:f>'Reporte Componentes R1'!K66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R1'!L66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R1'!M66</x:f>
        <x:v>0</x:v>
      </x:c>
      <x:c r="V9" s="244">
        <x:f>'Reporte Componentes R1'!N66</x:f>
        <x:v>0</x:v>
      </x:c>
      <x:c r="W9" s="244">
        <x:f>'Reporte Componentes R1'!O66</x:f>
        <x:v>0</x:v>
      </x:c>
      <x:c r="X9" s="244">
        <x:f>'Reporte Componentes R1'!P66</x:f>
        <x:v>0</x:v>
      </x:c>
      <x:c r="Y9" s="245">
        <x:f>'Reporte Componentes R1'!Q66</x:f>
        <x:v>0</x:v>
      </x:c>
      <x:c r="Z9" s="246">
        <x:f>L9*-1</x:f>
        <x:v>0</x:v>
      </x:c>
      <x:c r="AA9" s="247">
        <x:f>'Reporte Componentes R1'!R66+'Reporte Componentes R1'!V66+'Reporte Componentes R1'!U66</x:f>
        <x:v>0</x:v>
      </x:c>
      <x:c r="AB9" s="230">
        <x:f>N9</x:f>
        <x:v>0</x:v>
      </x:c>
      <x:c r="AC9" s="247">
        <x:f>'Reporte Componentes R1'!T66+'Reporte Componentes R1'!W66+'Reporte Componentes R1'!X66+'Reporte Componentes R1'!Y66+'Reporte Componentes R1'!Z66+'Reporte Componentes R1'!S66</x:f>
        <x:v>0</x:v>
      </x:c>
      <x:c r="AD9" s="227">
        <x:f>-J9+AE9</x:f>
        <x:v>0</x:v>
      </x:c>
      <x:c r="AE9" s="227">
        <x:f>'Reporte Componentes R1'!F67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2:35" s="241" customFormat="1" ht="12" x14ac:dyDescent="0.25">
      <x:c r="B10" s="250">
        <x:v>2</x:v>
      </x:c>
      <x:c r="C10" s="251" t="s">
        <x:v>11</x:v>
      </x:c>
      <x:c r="D10" s="227">
        <x:f>'Reporte Componentes R1'!F196</x:f>
        <x:v>0</x:v>
      </x:c>
      <x:c r="E10" s="228">
        <x:f>'Reporte Componentes R1'!G196</x:f>
        <x:v>0</x:v>
      </x:c>
      <x:c r="F10" s="228">
        <x:f>'Reporte Componentes R1'!H196</x:f>
        <x:v>0</x:v>
      </x:c>
      <x:c r="G10" s="228">
        <x:f>'Reporte Componentes R1'!I196</x:f>
        <x:v>0</x:v>
      </x:c>
      <x:c r="H10" s="228">
        <x:f>'Reporte Componentes R1'!J196</x:f>
        <x:v>0</x:v>
      </x:c>
      <x:c r="I10" s="228">
        <x:f>'Reporte Componentes R1'!K196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R1'!L196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R1'!M196</x:f>
        <x:v>0</x:v>
      </x:c>
      <x:c r="V10" s="253">
        <x:f>'Reporte Componentes R1'!N196</x:f>
        <x:v>0</x:v>
      </x:c>
      <x:c r="W10" s="253">
        <x:f>'Reporte Componentes R1'!O196</x:f>
        <x:v>0</x:v>
      </x:c>
      <x:c r="X10" s="253">
        <x:f>'Reporte Componentes R1'!P196</x:f>
        <x:v>0</x:v>
      </x:c>
      <x:c r="Y10" s="254">
        <x:f>'Reporte Componentes R1'!Q196</x:f>
        <x:v>0</x:v>
      </x:c>
      <x:c r="Z10" s="255">
        <x:f>L10*-1</x:f>
        <x:v>0</x:v>
      </x:c>
      <x:c r="AA10" s="256">
        <x:f>'Reporte Componentes R1'!R196+'Reporte Componentes R1'!V196+'Reporte Componentes R1'!U196</x:f>
        <x:v>0</x:v>
      </x:c>
      <x:c r="AB10" s="230">
        <x:f>N10</x:f>
        <x:v>0</x:v>
      </x:c>
      <x:c r="AC10" s="256">
        <x:f>'Reporte Componentes R1'!T196+'Reporte Componentes R1'!W196+'Reporte Componentes R1'!X196+'Reporte Componentes R1'!Y196+'Reporte Componentes R1'!Z196+'Reporte Componentes R1'!S196</x:f>
        <x:v>0</x:v>
      </x:c>
      <x:c r="AD10" s="227">
        <x:f t="shared" ref="AD10:AD13" si="2">-J10+AE10</x:f>
        <x:v>0</x:v>
      </x:c>
      <x:c r="AE10" s="227">
        <x:f>'Reporte Componentes R1'!F197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2:35" s="241" customFormat="1" ht="12" x14ac:dyDescent="0.25">
      <x:c r="B11" s="250">
        <x:v>3</x:v>
      </x:c>
      <x:c r="C11" s="251" t="s">
        <x:v>12</x:v>
      </x:c>
      <x:c r="D11" s="227">
        <x:f>'Reporte Componentes R1'!F336</x:f>
        <x:v>0</x:v>
      </x:c>
      <x:c r="E11" s="228">
        <x:f>'Reporte Componentes R1'!G336</x:f>
        <x:v>0</x:v>
      </x:c>
      <x:c r="F11" s="228">
        <x:f>'Reporte Componentes R1'!H336</x:f>
        <x:v>0</x:v>
      </x:c>
      <x:c r="G11" s="228">
        <x:f>'Reporte Componentes R1'!I336</x:f>
        <x:v>0</x:v>
      </x:c>
      <x:c r="H11" s="228">
        <x:f>'Reporte Componentes R1'!J336</x:f>
        <x:v>0</x:v>
      </x:c>
      <x:c r="I11" s="228">
        <x:f>'Reporte Componentes R1'!K336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R1'!L336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R1'!M336</x:f>
        <x:v>0</x:v>
      </x:c>
      <x:c r="V11" s="253">
        <x:f>'Reporte Componentes R1'!N336</x:f>
        <x:v>0</x:v>
      </x:c>
      <x:c r="W11" s="253">
        <x:f>'Reporte Componentes R1'!O336</x:f>
        <x:v>0</x:v>
      </x:c>
      <x:c r="X11" s="253">
        <x:f>'Reporte Componentes R1'!P336</x:f>
        <x:v>0</x:v>
      </x:c>
      <x:c r="Y11" s="254">
        <x:f>'Reporte Componentes R1'!Q336</x:f>
        <x:v>0</x:v>
      </x:c>
      <x:c r="Z11" s="255">
        <x:f>L11*-1</x:f>
        <x:v>0</x:v>
      </x:c>
      <x:c r="AA11" s="256">
        <x:f>'Reporte Componentes R1'!R336+'Reporte Componentes R1'!V336+'Reporte Componentes R1'!U336</x:f>
        <x:v>0</x:v>
      </x:c>
      <x:c r="AB11" s="230">
        <x:f>N11</x:f>
        <x:v>0</x:v>
      </x:c>
      <x:c r="AC11" s="256">
        <x:f>'Reporte Componentes R1'!T336+'Reporte Componentes R1'!W336+'Reporte Componentes R1'!X336+'Reporte Componentes R1'!Y336+'Reporte Componentes R1'!Z336+'Reporte Componentes R1'!S336</x:f>
        <x:v>0</x:v>
      </x:c>
      <x:c r="AD11" s="227">
        <x:f t="shared" si="2"/>
        <x:v>0</x:v>
      </x:c>
      <x:c r="AE11" s="227">
        <x:f>'Reporte Componentes R1'!F337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2:35" s="241" customFormat="1" ht="12" x14ac:dyDescent="0.25">
      <x:c r="B12" s="250">
        <x:v>4</x:v>
      </x:c>
      <x:c r="C12" s="251" t="s">
        <x:v>13</x:v>
      </x:c>
      <x:c r="D12" s="227">
        <x:f>'Reporte Componentes R1'!F457</x:f>
        <x:v>0</x:v>
      </x:c>
      <x:c r="E12" s="228">
        <x:f>'Reporte Componentes R1'!G457</x:f>
        <x:v>0</x:v>
      </x:c>
      <x:c r="F12" s="228">
        <x:f>'Reporte Componentes R1'!H457</x:f>
        <x:v>0</x:v>
      </x:c>
      <x:c r="G12" s="228">
        <x:f>'Reporte Componentes R1'!I457</x:f>
        <x:v>0</x:v>
      </x:c>
      <x:c r="H12" s="228">
        <x:f>'Reporte Componentes R1'!J457</x:f>
        <x:v>0</x:v>
      </x:c>
      <x:c r="I12" s="228">
        <x:f>'Reporte Componentes R1'!K457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R1'!L457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R1'!M457</x:f>
        <x:v>0</x:v>
      </x:c>
      <x:c r="V12" s="253">
        <x:f>'Reporte Componentes R1'!N457</x:f>
        <x:v>0</x:v>
      </x:c>
      <x:c r="W12" s="253">
        <x:f>'Reporte Componentes R1'!O457</x:f>
        <x:v>0</x:v>
      </x:c>
      <x:c r="X12" s="253">
        <x:f>'Reporte Componentes R1'!P457</x:f>
        <x:v>0</x:v>
      </x:c>
      <x:c r="Y12" s="254">
        <x:f>'Reporte Componentes R1'!Q457</x:f>
        <x:v>0</x:v>
      </x:c>
      <x:c r="Z12" s="255">
        <x:f>L12*-1</x:f>
        <x:v>0</x:v>
      </x:c>
      <x:c r="AA12" s="256">
        <x:f>'Reporte Componentes R1'!R457+'Reporte Componentes R1'!V457+'Reporte Componentes R1'!U457</x:f>
        <x:v>0</x:v>
      </x:c>
      <x:c r="AB12" s="230">
        <x:f>N12</x:f>
        <x:v>0</x:v>
      </x:c>
      <x:c r="AC12" s="256">
        <x:f>'Reporte Componentes R1'!T457+'Reporte Componentes R1'!W457+'Reporte Componentes R1'!X457+'Reporte Componentes R1'!Y457+'Reporte Componentes R1'!Z457+'Reporte Componentes R1'!S457</x:f>
        <x:v>0</x:v>
      </x:c>
      <x:c r="AD12" s="227">
        <x:f t="shared" si="2"/>
        <x:v>0</x:v>
      </x:c>
      <x:c r="AE12" s="227">
        <x:f>'Reporte Componentes R1'!F458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2:35" s="241" customFormat="1" ht="12.6" thickBot="1" x14ac:dyDescent="0.3">
      <x:c r="B13" s="260">
        <x:v>5</x:v>
      </x:c>
      <x:c r="C13" s="261" t="s">
        <x:v>14</x:v>
      </x:c>
      <x:c r="D13" s="232">
        <x:f>'Reporte Componentes R1'!F539</x:f>
        <x:v>0</x:v>
      </x:c>
      <x:c r="E13" s="233">
        <x:f>'Reporte Componentes R1'!G539</x:f>
        <x:v>0</x:v>
      </x:c>
      <x:c r="F13" s="233">
        <x:f>'Reporte Componentes R1'!H539</x:f>
        <x:v>0</x:v>
      </x:c>
      <x:c r="G13" s="233">
        <x:f>'Reporte Componentes R1'!I539</x:f>
        <x:v>0</x:v>
      </x:c>
      <x:c r="H13" s="233">
        <x:f>'Reporte Componentes R1'!J539</x:f>
        <x:v>0</x:v>
      </x:c>
      <x:c r="I13" s="233">
        <x:f>'Reporte Componentes R1'!K539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R1'!L539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R1'!M539</x:f>
        <x:v>0</x:v>
      </x:c>
      <x:c r="V13" s="233">
        <x:f>'Reporte Componentes R1'!N539</x:f>
        <x:v>0</x:v>
      </x:c>
      <x:c r="W13" s="233">
        <x:f>'Reporte Componentes R1'!O539</x:f>
        <x:v>0</x:v>
      </x:c>
      <x:c r="X13" s="233">
        <x:f>'Reporte Componentes R1'!P539</x:f>
        <x:v>0</x:v>
      </x:c>
      <x:c r="Y13" s="225">
        <x:f>'Reporte Componentes R1'!Q539</x:f>
        <x:v>0</x:v>
      </x:c>
      <x:c r="Z13" s="255">
        <x:f>L13*-1</x:f>
        <x:v>0</x:v>
      </x:c>
      <x:c r="AA13" s="256">
        <x:f>'Reporte Componentes R1'!R539+'Reporte Componentes R1'!V539+'Reporte Componentes R1'!U539</x:f>
        <x:v>0</x:v>
      </x:c>
      <x:c r="AB13" s="230">
        <x:f>N13</x:f>
        <x:v>0</x:v>
      </x:c>
      <x:c r="AC13" s="256">
        <x:f>'Reporte Componentes R1'!T539+'Reporte Componentes R1'!W539+'Reporte Componentes R1'!X539+'Reporte Componentes R1'!Y539+'Reporte Componentes R1'!Z539+'Reporte Componentes R1'!S539</x:f>
        <x:v>0</x:v>
      </x:c>
      <x:c r="AD13" s="227">
        <x:f t="shared" si="2"/>
        <x:v>0</x:v>
      </x:c>
      <x:c r="AE13" s="227">
        <x:f>'Reporte Componentes R1'!F540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2:35" s="241" customFormat="1" ht="13.8" thickBot="1" x14ac:dyDescent="0.3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" x14ac:dyDescent="0.25">
      <x:c r="B28" s="239">
        <x:v>1</x:v>
      </x:c>
      <x:c r="C28" s="240" t="s">
        <x:v>10</x:v>
      </x:c>
      <x:c r="D28" s="227">
        <x:f>'Rem. Anticipos R2'!E55</x:f>
        <x:v>0</x:v>
      </x:c>
      <x:c r="E28" s="228">
        <x:f>'Rem. Anticipos R2'!F55</x:f>
        <x:v>0</x:v>
      </x:c>
      <x:c r="F28" s="228">
        <x:f>'Rem. Anticipos R2'!G55</x:f>
        <x:v>0</x:v>
      </x:c>
      <x:c r="G28" s="228">
        <x:f>'Rem. Anticipos R2'!H55</x:f>
        <x:v>0</x:v>
      </x:c>
      <x:c r="H28" s="228">
        <x:f>'Rem. Anticipos R2'!I55</x:f>
        <x:v>0</x:v>
      </x:c>
      <x:c r="I28" s="228">
        <x:f>'Rem. Anticipos R2'!J55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R2'!K55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R2'!L55</x:f>
        <x:v>0</x:v>
      </x:c>
      <x:c r="V28" s="244">
        <x:f>'Rem. Anticipos R2'!M55</x:f>
        <x:v>0</x:v>
      </x:c>
      <x:c r="W28" s="244">
        <x:f>'Rem. Anticipos R2'!N55</x:f>
        <x:v>0</x:v>
      </x:c>
      <x:c r="X28" s="244">
        <x:f>'Rem. Anticipos R2'!O55</x:f>
        <x:v>0</x:v>
      </x:c>
      <x:c r="Y28" s="244">
        <x:f>'Rem. Anticipos R2'!P55</x:f>
        <x:v>0</x:v>
      </x:c>
      <x:c r="Z28" s="246">
        <x:f>L28*-1</x:f>
        <x:v>0</x:v>
      </x:c>
      <x:c r="AA28" s="247">
        <x:f>'Rem. Anticipos R2'!Q55</x:f>
        <x:v>0</x:v>
      </x:c>
      <x:c r="AB28" s="230">
        <x:f>N28</x:f>
        <x:v>0</x:v>
      </x:c>
      <x:c r="AC28" s="247">
        <x:f>'Rem. Anticipos R2'!R55</x:f>
        <x:v>0</x:v>
      </x:c>
      <x:c r="AD28" s="227">
        <x:f>-J28+AE28</x:f>
        <x:v>0</x:v>
      </x:c>
      <x:c r="AE28" s="227">
        <x:f>'Rem. Anticipos R2'!E56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ht="12" x14ac:dyDescent="0.25">
      <x:c r="B29" s="250">
        <x:v>2</x:v>
      </x:c>
      <x:c r="C29" s="251" t="s">
        <x:v>11</x:v>
      </x:c>
      <x:c r="D29" s="227">
        <x:f>'Rem. Anticipos R2'!E151</x:f>
        <x:v>0</x:v>
      </x:c>
      <x:c r="E29" s="228">
        <x:f>'Rem. Anticipos R2'!F151</x:f>
        <x:v>0</x:v>
      </x:c>
      <x:c r="F29" s="228">
        <x:f>'Rem. Anticipos R2'!G151</x:f>
        <x:v>0</x:v>
      </x:c>
      <x:c r="G29" s="228">
        <x:f>'Rem. Anticipos R2'!H151</x:f>
        <x:v>0</x:v>
      </x:c>
      <x:c r="H29" s="228">
        <x:f>'Rem. Anticipos R2'!I151</x:f>
        <x:v>0</x:v>
      </x:c>
      <x:c r="I29" s="228">
        <x:f>'Rem. Anticipos R2'!J151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R2'!K151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R2'!L151</x:f>
        <x:v>0</x:v>
      </x:c>
      <x:c r="V29" s="253">
        <x:f>'Rem. Anticipos R2'!M151</x:f>
        <x:v>0</x:v>
      </x:c>
      <x:c r="W29" s="253">
        <x:f>'Rem. Anticipos R2'!N151</x:f>
        <x:v>0</x:v>
      </x:c>
      <x:c r="X29" s="253">
        <x:f>'Rem. Anticipos R2'!O151</x:f>
        <x:v>0</x:v>
      </x:c>
      <x:c r="Y29" s="254">
        <x:f>'Rem. Anticipos R2'!P151</x:f>
        <x:v>0</x:v>
      </x:c>
      <x:c r="Z29" s="255">
        <x:f>L29*-1</x:f>
        <x:v>0</x:v>
      </x:c>
      <x:c r="AA29" s="256">
        <x:f>'Rem. Anticipos R2'!Q151</x:f>
        <x:v>0</x:v>
      </x:c>
      <x:c r="AB29" s="230">
        <x:f>N29</x:f>
        <x:v>0</x:v>
      </x:c>
      <x:c r="AC29" s="256">
        <x:f>'Rem. Anticipos R2'!R151</x:f>
        <x:v>0</x:v>
      </x:c>
      <x:c r="AD29" s="227">
        <x:f>-J29+AE29</x:f>
        <x:v>0</x:v>
      </x:c>
      <x:c r="AE29" s="227">
        <x:f>'Rem. Anticipos R2'!E152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ht="12" x14ac:dyDescent="0.25">
      <x:c r="B30" s="250">
        <x:v>3</x:v>
      </x:c>
      <x:c r="C30" s="251" t="s">
        <x:v>12</x:v>
      </x:c>
      <x:c r="D30" s="227">
        <x:f>'Rem. Anticipos R2'!E268</x:f>
        <x:v>0</x:v>
      </x:c>
      <x:c r="E30" s="228">
        <x:f>'Rem. Anticipos R2'!F268</x:f>
        <x:v>0</x:v>
      </x:c>
      <x:c r="F30" s="228">
        <x:f>'Rem. Anticipos R2'!G268</x:f>
        <x:v>0</x:v>
      </x:c>
      <x:c r="G30" s="228">
        <x:f>'Rem. Anticipos R2'!H268</x:f>
        <x:v>0</x:v>
      </x:c>
      <x:c r="H30" s="228">
        <x:f>'Rem. Anticipos R2'!I268</x:f>
        <x:v>0</x:v>
      </x:c>
      <x:c r="I30" s="228">
        <x:f>'Rem. Anticipos R2'!J268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R2'!K268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R2'!L268</x:f>
        <x:v>0</x:v>
      </x:c>
      <x:c r="V30" s="253">
        <x:f>'Rem. Anticipos R2'!M268</x:f>
        <x:v>0</x:v>
      </x:c>
      <x:c r="W30" s="253">
        <x:f>'Rem. Anticipos R2'!N268</x:f>
        <x:v>0</x:v>
      </x:c>
      <x:c r="X30" s="253">
        <x:f>'Rem. Anticipos R2'!O268</x:f>
        <x:v>0</x:v>
      </x:c>
      <x:c r="Y30" s="254">
        <x:f>'Rem. Anticipos R2'!P268</x:f>
        <x:v>0</x:v>
      </x:c>
      <x:c r="Z30" s="255">
        <x:f>L30*-1</x:f>
        <x:v>0</x:v>
      </x:c>
      <x:c r="AA30" s="256">
        <x:f>'Rem. Anticipos R2'!Q268</x:f>
        <x:v>0</x:v>
      </x:c>
      <x:c r="AB30" s="230">
        <x:f>N30</x:f>
        <x:v>0</x:v>
      </x:c>
      <x:c r="AC30" s="256">
        <x:f>'Rem. Anticipos R2'!R268</x:f>
        <x:v>0</x:v>
      </x:c>
      <x:c r="AD30" s="227">
        <x:f t="shared" ref="AD30:AD32" si="10">-J30+AE30</x:f>
        <x:v>0</x:v>
      </x:c>
      <x:c r="AE30" s="227">
        <x:f>'Rem. Anticipos R2'!E269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ht="12" x14ac:dyDescent="0.25">
      <x:c r="B31" s="250">
        <x:v>4</x:v>
      </x:c>
      <x:c r="C31" s="251" t="s">
        <x:v>13</x:v>
      </x:c>
      <x:c r="D31" s="227">
        <x:f>'Rem. Anticipos R2'!E370</x:f>
        <x:v>0</x:v>
      </x:c>
      <x:c r="E31" s="228">
        <x:f>'Rem. Anticipos R2'!F370</x:f>
        <x:v>0</x:v>
      </x:c>
      <x:c r="F31" s="228">
        <x:f>'Rem. Anticipos R2'!G370</x:f>
        <x:v>0</x:v>
      </x:c>
      <x:c r="G31" s="228">
        <x:f>'Rem. Anticipos R2'!H370</x:f>
        <x:v>0</x:v>
      </x:c>
      <x:c r="H31" s="228">
        <x:f>'Rem. Anticipos R2'!I370</x:f>
        <x:v>0</x:v>
      </x:c>
      <x:c r="I31" s="228">
        <x:f>'Rem. Anticipos R2'!J370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R2'!K370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R2'!L370</x:f>
        <x:v>0</x:v>
      </x:c>
      <x:c r="V31" s="253">
        <x:f>'Rem. Anticipos R2'!M370</x:f>
        <x:v>0</x:v>
      </x:c>
      <x:c r="W31" s="253">
        <x:f>'Rem. Anticipos R2'!N370</x:f>
        <x:v>0</x:v>
      </x:c>
      <x:c r="X31" s="253">
        <x:f>'Rem. Anticipos R2'!O370</x:f>
        <x:v>0</x:v>
      </x:c>
      <x:c r="Y31" s="254">
        <x:f>'Rem. Anticipos R2'!P370</x:f>
        <x:v>0</x:v>
      </x:c>
      <x:c r="Z31" s="255">
        <x:f>L31*-1</x:f>
        <x:v>0</x:v>
      </x:c>
      <x:c r="AA31" s="256">
        <x:f>'Rem. Anticipos R2'!Q370</x:f>
        <x:v>0</x:v>
      </x:c>
      <x:c r="AB31" s="230">
        <x:f>N31</x:f>
        <x:v>0</x:v>
      </x:c>
      <x:c r="AC31" s="256">
        <x:f>'Rem. Anticipos R2'!R370</x:f>
        <x:v>0</x:v>
      </x:c>
      <x:c r="AD31" s="227">
        <x:f t="shared" si="10"/>
        <x:v>0</x:v>
      </x:c>
      <x:c r="AE31" s="227">
        <x:f>'Rem. Anticipos R2'!E371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6" thickBot="1" x14ac:dyDescent="0.3">
      <x:c r="B32" s="260">
        <x:v>5</x:v>
      </x:c>
      <x:c r="C32" s="261" t="s">
        <x:v>14</x:v>
      </x:c>
      <x:c r="D32" s="232">
        <x:f>'Rem. Anticipos R2'!E450</x:f>
        <x:v>0</x:v>
      </x:c>
      <x:c r="E32" s="233">
        <x:f>'Rem. Anticipos R2'!F450</x:f>
        <x:v>0</x:v>
      </x:c>
      <x:c r="F32" s="233">
        <x:f>'Rem. Anticipos R2'!G450</x:f>
        <x:v>0</x:v>
      </x:c>
      <x:c r="G32" s="233">
        <x:f>'Rem. Anticipos R2'!H450</x:f>
        <x:v>0</x:v>
      </x:c>
      <x:c r="H32" s="233">
        <x:f>'Rem. Anticipos R2'!I450</x:f>
        <x:v>0</x:v>
      </x:c>
      <x:c r="I32" s="233">
        <x:f>'Rem. Anticipos R2'!J450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R2'!K450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R2'!L450</x:f>
        <x:v>0</x:v>
      </x:c>
      <x:c r="V32" s="233">
        <x:f>'Rem. Anticipos R2'!M450</x:f>
        <x:v>0</x:v>
      </x:c>
      <x:c r="W32" s="233">
        <x:f>'Rem. Anticipos R2'!N450</x:f>
        <x:v>0</x:v>
      </x:c>
      <x:c r="X32" s="233">
        <x:f>'Rem. Anticipos R2'!O450</x:f>
        <x:v>0</x:v>
      </x:c>
      <x:c r="Y32" s="225">
        <x:f>'Rem. Anticipos R2'!P450</x:f>
        <x:v>0</x:v>
      </x:c>
      <x:c r="Z32" s="255">
        <x:f>L32*-1</x:f>
        <x:v>0</x:v>
      </x:c>
      <x:c r="AA32" s="256">
        <x:f>'Rem. Anticipos R2'!Q450</x:f>
        <x:v>0</x:v>
      </x:c>
      <x:c r="AB32" s="230">
        <x:f>N32</x:f>
        <x:v>0</x:v>
      </x:c>
      <x:c r="AC32" s="256">
        <x:f>'Rem. Anticipos R2'!R450</x:f>
        <x:v>0</x:v>
      </x:c>
      <x:c r="AD32" s="227">
        <x:f t="shared" si="10"/>
        <x:v>0</x:v>
      </x:c>
      <x:c r="AE32" s="227">
        <x:f>'Rem. Anticipos R2'!E451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" x14ac:dyDescent="0.25">
      <x:c r="B47" s="239">
        <x:v>1</x:v>
      </x:c>
      <x:c r="C47" s="240" t="s">
        <x:v>10</x:v>
      </x:c>
      <x:c r="D47" s="227">
        <x:f>'Reporte Componentes R1'!F68</x:f>
        <x:v>0</x:v>
      </x:c>
      <x:c r="E47" s="228">
        <x:f>'Reporte Componentes R1'!G68</x:f>
        <x:v>0</x:v>
      </x:c>
      <x:c r="F47" s="228">
        <x:f>'Reporte Componentes R1'!H68</x:f>
        <x:v>0</x:v>
      </x:c>
      <x:c r="G47" s="228">
        <x:f>'Reporte Componentes R1'!I68</x:f>
        <x:v>0</x:v>
      </x:c>
      <x:c r="H47" s="228">
        <x:f>'Reporte Componentes R1'!J68</x:f>
        <x:v>0</x:v>
      </x:c>
      <x:c r="I47" s="228">
        <x:f>'Reporte Componentes R1'!K68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R1'!L68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R1'!M68</x:f>
        <x:v>0</x:v>
      </x:c>
      <x:c r="V47" s="244">
        <x:f>'Reporte Componentes R1'!N68</x:f>
        <x:v>0</x:v>
      </x:c>
      <x:c r="W47" s="244">
        <x:f>'Reporte Componentes R1'!O68</x:f>
        <x:v>0</x:v>
      </x:c>
      <x:c r="X47" s="244">
        <x:f>'Reporte Componentes R1'!P68</x:f>
        <x:v>0</x:v>
      </x:c>
      <x:c r="Y47" s="245">
        <x:f>'Reporte Componentes R1'!Q68</x:f>
        <x:v>0</x:v>
      </x:c>
      <x:c r="Z47" s="246">
        <x:f>-L47</x:f>
        <x:v>0</x:v>
      </x:c>
      <x:c r="AA47" s="247">
        <x:f>'Reporte Componentes R1'!R68+'Reporte Componentes R1'!V68+'Reporte Componentes R1'!U68</x:f>
        <x:v>0</x:v>
      </x:c>
      <x:c r="AB47" s="230">
        <x:f>N47</x:f>
        <x:v>0</x:v>
      </x:c>
      <x:c r="AC47" s="247">
        <x:f>'Reporte Componentes R1'!T68+'Reporte Componentes R1'!S68+'Reporte Componentes R1'!W68+'Reporte Componentes R1'!X68+'Reporte Componentes R1'!Y68+'Reporte Componentes R1'!Z68</x:f>
        <x:v>0</x:v>
      </x:c>
      <x:c r="AD47" s="227">
        <x:f>-J47+AE47</x:f>
        <x:v>0</x:v>
      </x:c>
      <x:c r="AE47" s="227">
        <x:f>'Reporte Componentes R1'!F69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ht="12" x14ac:dyDescent="0.25">
      <x:c r="B48" s="250">
        <x:v>2</x:v>
      </x:c>
      <x:c r="C48" s="251" t="s">
        <x:v>11</x:v>
      </x:c>
      <x:c r="D48" s="227">
        <x:f>'Reporte Componentes R1'!F198</x:f>
        <x:v>0</x:v>
      </x:c>
      <x:c r="E48" s="228">
        <x:f>'Reporte Componentes R1'!G198</x:f>
        <x:v>0</x:v>
      </x:c>
      <x:c r="F48" s="228">
        <x:f>'Reporte Componentes R1'!H198</x:f>
        <x:v>0</x:v>
      </x:c>
      <x:c r="G48" s="228">
        <x:f>'Reporte Componentes R1'!I198</x:f>
        <x:v>0</x:v>
      </x:c>
      <x:c r="H48" s="228">
        <x:f>'Reporte Componentes R1'!J198</x:f>
        <x:v>0</x:v>
      </x:c>
      <x:c r="I48" s="228">
        <x:f>'Reporte Componentes R1'!K198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R1'!L198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R1'!M198</x:f>
        <x:v>0</x:v>
      </x:c>
      <x:c r="V48" s="253">
        <x:f>'Reporte Componentes R1'!N198</x:f>
        <x:v>0</x:v>
      </x:c>
      <x:c r="W48" s="253">
        <x:f>'Reporte Componentes R1'!O198</x:f>
        <x:v>0</x:v>
      </x:c>
      <x:c r="X48" s="253">
        <x:f>'Reporte Componentes R1'!P198</x:f>
        <x:v>0</x:v>
      </x:c>
      <x:c r="Y48" s="254">
        <x:f>'Reporte Componentes R1'!Q198</x:f>
        <x:v>0</x:v>
      </x:c>
      <x:c r="Z48" s="255">
        <x:f>-L48</x:f>
        <x:v>0</x:v>
      </x:c>
      <x:c r="AA48" s="256">
        <x:f>'Reporte Componentes R1'!R198+'Reporte Componentes R1'!V198+'Reporte Componentes R1'!U198</x:f>
        <x:v>0</x:v>
      </x:c>
      <x:c r="AB48" s="230">
        <x:f>N48</x:f>
        <x:v>0</x:v>
      </x:c>
      <x:c r="AC48" s="256">
        <x:f>'Reporte Componentes R1'!T198+'Reporte Componentes R1'!S198+'Reporte Componentes R1'!W198+'Reporte Componentes R1'!X198+'Reporte Componentes R1'!Y198+'Reporte Componentes R1'!Z198</x:f>
        <x:v>0</x:v>
      </x:c>
      <x:c r="AD48" s="227">
        <x:f t="shared" ref="AD48:AD51" si="16">-J48+AE48</x:f>
        <x:v>0</x:v>
      </x:c>
      <x:c r="AE48" s="227">
        <x:f>'Reporte Componentes R1'!F199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ht="12" x14ac:dyDescent="0.25">
      <x:c r="B49" s="250">
        <x:v>3</x:v>
      </x:c>
      <x:c r="C49" s="251" t="s">
        <x:v>12</x:v>
      </x:c>
      <x:c r="D49" s="227">
        <x:f>'Reporte Componentes R1'!F338</x:f>
        <x:v>0</x:v>
      </x:c>
      <x:c r="E49" s="228">
        <x:f>'Reporte Componentes R1'!G338</x:f>
        <x:v>0</x:v>
      </x:c>
      <x:c r="F49" s="228">
        <x:f>'Reporte Componentes R1'!H338</x:f>
        <x:v>0</x:v>
      </x:c>
      <x:c r="G49" s="228">
        <x:f>'Reporte Componentes R1'!I338</x:f>
        <x:v>0</x:v>
      </x:c>
      <x:c r="H49" s="228">
        <x:f>'Reporte Componentes R1'!J338</x:f>
        <x:v>0</x:v>
      </x:c>
      <x:c r="I49" s="228">
        <x:f>'Reporte Componentes R1'!K338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R1'!L338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R1'!M338</x:f>
        <x:v>0</x:v>
      </x:c>
      <x:c r="V49" s="253">
        <x:f>'Reporte Componentes R1'!N338</x:f>
        <x:v>0</x:v>
      </x:c>
      <x:c r="W49" s="253">
        <x:f>'Reporte Componentes R1'!O338</x:f>
        <x:v>0</x:v>
      </x:c>
      <x:c r="X49" s="253">
        <x:f>'Reporte Componentes R1'!P338</x:f>
        <x:v>0</x:v>
      </x:c>
      <x:c r="Y49" s="254">
        <x:f>'Reporte Componentes R1'!Q338</x:f>
        <x:v>0</x:v>
      </x:c>
      <x:c r="Z49" s="255">
        <x:f>-L49</x:f>
        <x:v>0</x:v>
      </x:c>
      <x:c r="AA49" s="256">
        <x:f>'Reporte Componentes R1'!R338+'Reporte Componentes R1'!V338+'Reporte Componentes R1'!U338</x:f>
        <x:v>0</x:v>
      </x:c>
      <x:c r="AB49" s="230">
        <x:f>N49</x:f>
        <x:v>0</x:v>
      </x:c>
      <x:c r="AC49" s="256">
        <x:f>'Reporte Componentes R1'!T338+'Reporte Componentes R1'!S338+'Reporte Componentes R1'!W338+'Reporte Componentes R1'!X338+'Reporte Componentes R1'!Y338+'Reporte Componentes R1'!Z338</x:f>
        <x:v>0</x:v>
      </x:c>
      <x:c r="AD49" s="227">
        <x:f t="shared" si="16"/>
        <x:v>0</x:v>
      </x:c>
      <x:c r="AE49" s="227">
        <x:f>'Reporte Componentes R1'!F339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ht="12" x14ac:dyDescent="0.25">
      <x:c r="B50" s="250">
        <x:v>4</x:v>
      </x:c>
      <x:c r="C50" s="251" t="s">
        <x:v>13</x:v>
      </x:c>
      <x:c r="D50" s="227">
        <x:f>'Reporte Componentes R1'!F459</x:f>
        <x:v>0</x:v>
      </x:c>
      <x:c r="E50" s="228">
        <x:f>'Reporte Componentes R1'!G459</x:f>
        <x:v>0</x:v>
      </x:c>
      <x:c r="F50" s="228">
        <x:f>'Reporte Componentes R1'!H459</x:f>
        <x:v>0</x:v>
      </x:c>
      <x:c r="G50" s="228">
        <x:f>'Reporte Componentes R1'!I459</x:f>
        <x:v>0</x:v>
      </x:c>
      <x:c r="H50" s="228">
        <x:f>'Reporte Componentes R1'!J459</x:f>
        <x:v>0</x:v>
      </x:c>
      <x:c r="I50" s="228">
        <x:f>'Reporte Componentes R1'!K459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R1'!L459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R1'!M459</x:f>
        <x:v>0</x:v>
      </x:c>
      <x:c r="V50" s="253">
        <x:f>'Reporte Componentes R1'!N459</x:f>
        <x:v>0</x:v>
      </x:c>
      <x:c r="W50" s="253">
        <x:f>'Reporte Componentes R1'!O459</x:f>
        <x:v>0</x:v>
      </x:c>
      <x:c r="X50" s="253">
        <x:f>'Reporte Componentes R1'!P459</x:f>
        <x:v>0</x:v>
      </x:c>
      <x:c r="Y50" s="254">
        <x:f>'Reporte Componentes R1'!Q459</x:f>
        <x:v>0</x:v>
      </x:c>
      <x:c r="Z50" s="255">
        <x:f>-L50</x:f>
        <x:v>0</x:v>
      </x:c>
      <x:c r="AA50" s="256">
        <x:f>'Reporte Componentes R1'!R459+'Reporte Componentes R1'!V459+'Reporte Componentes R1'!U459</x:f>
        <x:v>0</x:v>
      </x:c>
      <x:c r="AB50" s="230">
        <x:f>N50</x:f>
        <x:v>0</x:v>
      </x:c>
      <x:c r="AC50" s="256">
        <x:f>'Reporte Componentes R1'!T459+'Reporte Componentes R1'!S459+'Reporte Componentes R1'!W459+'Reporte Componentes R1'!X459+'Reporte Componentes R1'!Y459+'Reporte Componentes R1'!Z459</x:f>
        <x:v>0</x:v>
      </x:c>
      <x:c r="AD50" s="227">
        <x:f t="shared" si="16"/>
        <x:v>0</x:v>
      </x:c>
      <x:c r="AE50" s="227">
        <x:f>'Reporte Componentes R1'!F460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6" thickBot="1" x14ac:dyDescent="0.3">
      <x:c r="B51" s="260">
        <x:v>5</x:v>
      </x:c>
      <x:c r="C51" s="261" t="s">
        <x:v>14</x:v>
      </x:c>
      <x:c r="D51" s="232">
        <x:f>'Reporte Componentes R1'!F541</x:f>
        <x:v>0</x:v>
      </x:c>
      <x:c r="E51" s="233">
        <x:f>'Reporte Componentes R1'!G541</x:f>
        <x:v>0</x:v>
      </x:c>
      <x:c r="F51" s="233">
        <x:f>'Reporte Componentes R1'!H541</x:f>
        <x:v>0</x:v>
      </x:c>
      <x:c r="G51" s="233">
        <x:f>'Reporte Componentes R1'!I541</x:f>
        <x:v>0</x:v>
      </x:c>
      <x:c r="H51" s="233">
        <x:f>'Reporte Componentes R1'!J541</x:f>
        <x:v>0</x:v>
      </x:c>
      <x:c r="I51" s="233">
        <x:f>'Reporte Componentes R1'!K541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R1'!L541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R1'!M541</x:f>
        <x:v>0</x:v>
      </x:c>
      <x:c r="V51" s="233">
        <x:f>'Reporte Componentes R1'!N541</x:f>
        <x:v>0</x:v>
      </x:c>
      <x:c r="W51" s="233">
        <x:f>'Reporte Componentes R1'!O541</x:f>
        <x:v>0</x:v>
      </x:c>
      <x:c r="X51" s="233">
        <x:f>'Reporte Componentes R1'!P541</x:f>
        <x:v>0</x:v>
      </x:c>
      <x:c r="Y51" s="225">
        <x:f>'Reporte Componentes R1'!Q541</x:f>
        <x:v>0</x:v>
      </x:c>
      <x:c r="Z51" s="255">
        <x:f>-L51</x:f>
        <x:v>0</x:v>
      </x:c>
      <x:c r="AA51" s="256">
        <x:f>'Reporte Componentes R1'!R541+'Reporte Componentes R1'!V541+'Reporte Componentes R1'!U541</x:f>
        <x:v>0</x:v>
      </x:c>
      <x:c r="AB51" s="230">
        <x:f>N51</x:f>
        <x:v>0</x:v>
      </x:c>
      <x:c r="AC51" s="256">
        <x:f>'Reporte Componentes R1'!T541+'Reporte Componentes R1'!S541+'Reporte Componentes R1'!W541+'Reporte Componentes R1'!X541+'Reporte Componentes R1'!Y541+'Reporte Componentes R1'!Z541</x:f>
        <x:v>0</x:v>
      </x:c>
      <x:c r="AD51" s="227">
        <x:f t="shared" si="16"/>
        <x:v>0</x:v>
      </x:c>
      <x:c r="AE51" s="227">
        <x:f>'Reporte Componentes R1'!F542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8" thickBot="1" x14ac:dyDescent="0.3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ht="12" x14ac:dyDescent="0.25">
      <x:c r="B66" s="239">
        <x:v>1</x:v>
      </x:c>
      <x:c r="C66" s="240" t="s">
        <x:v>10</x:v>
      </x:c>
      <x:c r="D66" s="227">
        <x:f>'Reversion Pagos R4'!D85</x:f>
        <x:v>0</x:v>
      </x:c>
      <x:c r="E66" s="228">
        <x:f>'Reversion Pagos R4'!E85</x:f>
        <x:v>0</x:v>
      </x:c>
      <x:c r="F66" s="228">
        <x:f>'Reversion Pagos R4'!F85</x:f>
        <x:v>0</x:v>
      </x:c>
      <x:c r="G66" s="228">
        <x:f>'Reversion Pagos R4'!G85</x:f>
        <x:v>0</x:v>
      </x:c>
      <x:c r="H66" s="228">
        <x:f>'Reversion Pagos R4'!H85</x:f>
        <x:v>0</x:v>
      </x:c>
      <x:c r="I66" s="228">
        <x:f>'Reversion Pagos R4'!I85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R4'!P85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R4'!J85</x:f>
        <x:v>0</x:v>
      </x:c>
      <x:c r="V66" s="244">
        <x:f>'Reversion Pagos R4'!K85</x:f>
        <x:v>0</x:v>
      </x:c>
      <x:c r="W66" s="244">
        <x:f>'Reversion Pagos R4'!L85</x:f>
        <x:v>0</x:v>
      </x:c>
      <x:c r="X66" s="244">
        <x:f>'Reversion Pagos R4'!M85</x:f>
        <x:v>0</x:v>
      </x:c>
      <x:c r="Y66" s="244">
        <x:f>'Reversion Pagos R4'!N85</x:f>
        <x:v>0</x:v>
      </x:c>
      <x:c r="Z66" s="246">
        <x:f>-L66</x:f>
        <x:v>0</x:v>
      </x:c>
      <x:c r="AA66" s="256">
        <x:f>'Reversion Pagos R4'!O85</x:f>
        <x:v>0</x:v>
      </x:c>
      <x:c r="AB66" s="230">
        <x:f>N66</x:f>
        <x:v>0</x:v>
      </x:c>
      <x:c r="AC66" s="256">
        <x:f>+'Reversion Pagos R4'!Q85+'Reversion Pagos R4'!R85</x:f>
        <x:v>0</x:v>
      </x:c>
      <x:c r="AD66" s="227">
        <x:f>-J66+AE66</x:f>
        <x:v>0</x:v>
      </x:c>
      <x:c r="AE66" s="227">
        <x:f>'Reversion Pagos R4'!D86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ht="12" x14ac:dyDescent="0.25">
      <x:c r="B67" s="250">
        <x:v>2</x:v>
      </x:c>
      <x:c r="C67" s="251" t="s">
        <x:v>11</x:v>
      </x:c>
      <x:c r="D67" s="227">
        <x:f>'Reversion Pagos R4'!D180</x:f>
        <x:v>0</x:v>
      </x:c>
      <x:c r="E67" s="228">
        <x:f>'Reversion Pagos R4'!E180</x:f>
        <x:v>0</x:v>
      </x:c>
      <x:c r="F67" s="228">
        <x:f>'Reversion Pagos R4'!F180</x:f>
        <x:v>0</x:v>
      </x:c>
      <x:c r="G67" s="228">
        <x:f>'Reversion Pagos R4'!G180</x:f>
        <x:v>0</x:v>
      </x:c>
      <x:c r="H67" s="228">
        <x:f>'Reversion Pagos R4'!H180</x:f>
        <x:v>0</x:v>
      </x:c>
      <x:c r="I67" s="228">
        <x:f>'Reversion Pagos R4'!I180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R4'!P180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R4'!J180</x:f>
        <x:v>0</x:v>
      </x:c>
      <x:c r="V67" s="253">
        <x:f>'Reversion Pagos R4'!K180</x:f>
        <x:v>0</x:v>
      </x:c>
      <x:c r="W67" s="253">
        <x:f>'Reversion Pagos R4'!L180</x:f>
        <x:v>0</x:v>
      </x:c>
      <x:c r="X67" s="253">
        <x:f>'Reversion Pagos R4'!M180</x:f>
        <x:v>0</x:v>
      </x:c>
      <x:c r="Y67" s="254">
        <x:f>'Reversion Pagos R4'!N180</x:f>
        <x:v>0</x:v>
      </x:c>
      <x:c r="Z67" s="255">
        <x:f t="shared" ref="Z67:Z70" si="26">-L67</x:f>
        <x:v>0</x:v>
      </x:c>
      <x:c r="AA67" s="256">
        <x:f>'Reversion Pagos R4'!O180</x:f>
        <x:v>0</x:v>
      </x:c>
      <x:c r="AB67" s="230">
        <x:f t="shared" ref="AB67:AB70" si="27">N67</x:f>
        <x:v>0</x:v>
      </x:c>
      <x:c r="AC67" s="256">
        <x:f>+'Reversion Pagos R4'!Q180+'Reversion Pagos R4'!R180</x:f>
        <x:v>0</x:v>
      </x:c>
      <x:c r="AD67" s="227">
        <x:f t="shared" ref="AD67:AD70" si="28">-J67+AE67</x:f>
        <x:v>0</x:v>
      </x:c>
      <x:c r="AE67" s="227">
        <x:f>'Reversion Pagos R4'!D181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ht="12" x14ac:dyDescent="0.25">
      <x:c r="B68" s="250">
        <x:v>3</x:v>
      </x:c>
      <x:c r="C68" s="251" t="s">
        <x:v>12</x:v>
      </x:c>
      <x:c r="D68" s="227">
        <x:f>'Reversion Pagos R4'!D217</x:f>
        <x:v>0</x:v>
      </x:c>
      <x:c r="E68" s="228">
        <x:f>'Reversion Pagos R4'!E217</x:f>
        <x:v>0</x:v>
      </x:c>
      <x:c r="F68" s="228">
        <x:f>'Reversion Pagos R4'!F217</x:f>
        <x:v>0</x:v>
      </x:c>
      <x:c r="G68" s="228">
        <x:f>'Reversion Pagos R4'!G217</x:f>
        <x:v>0</x:v>
      </x:c>
      <x:c r="H68" s="228">
        <x:f>'Reversion Pagos R4'!H217</x:f>
        <x:v>0</x:v>
      </x:c>
      <x:c r="I68" s="228">
        <x:f>'Reversion Pagos R4'!I217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R4'!P217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R4'!J217</x:f>
        <x:v>0</x:v>
      </x:c>
      <x:c r="V68" s="253">
        <x:f>'Reversion Pagos R4'!K217</x:f>
        <x:v>0</x:v>
      </x:c>
      <x:c r="W68" s="253">
        <x:f>'Reversion Pagos R4'!L217</x:f>
        <x:v>0</x:v>
      </x:c>
      <x:c r="X68" s="253">
        <x:f>'Reversion Pagos R4'!M217</x:f>
        <x:v>0</x:v>
      </x:c>
      <x:c r="Y68" s="254">
        <x:f>'Reversion Pagos R4'!N217</x:f>
        <x:v>0</x:v>
      </x:c>
      <x:c r="Z68" s="255">
        <x:f t="shared" si="26"/>
        <x:v>0</x:v>
      </x:c>
      <x:c r="AA68" s="256">
        <x:f>'Reversion Pagos R4'!O217</x:f>
        <x:v>0</x:v>
      </x:c>
      <x:c r="AB68" s="230">
        <x:f t="shared" si="27"/>
        <x:v>0</x:v>
      </x:c>
      <x:c r="AC68" s="256">
        <x:f>+'Reversion Pagos R4'!Q217+'Reversion Pagos R4'!R217</x:f>
        <x:v>0</x:v>
      </x:c>
      <x:c r="AD68" s="227">
        <x:f t="shared" si="28"/>
        <x:v>0</x:v>
      </x:c>
      <x:c r="AE68" s="227">
        <x:f>'Reversion Pagos R4'!D218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ht="12" x14ac:dyDescent="0.25">
      <x:c r="B69" s="250">
        <x:v>4</x:v>
      </x:c>
      <x:c r="C69" s="251" t="s">
        <x:v>13</x:v>
      </x:c>
      <x:c r="D69" s="227">
        <x:f>'Reversion Pagos R4'!D332</x:f>
        <x:v>0</x:v>
      </x:c>
      <x:c r="E69" s="228">
        <x:f>'Reversion Pagos R4'!E332</x:f>
        <x:v>0</x:v>
      </x:c>
      <x:c r="F69" s="228">
        <x:f>'Reversion Pagos R4'!F332</x:f>
        <x:v>0</x:v>
      </x:c>
      <x:c r="G69" s="228">
        <x:f>'Reversion Pagos R4'!G332</x:f>
        <x:v>0</x:v>
      </x:c>
      <x:c r="H69" s="228">
        <x:f>'Reversion Pagos R4'!H332</x:f>
        <x:v>0</x:v>
      </x:c>
      <x:c r="I69" s="228">
        <x:f>'Reversion Pagos R4'!I332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R4'!P332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R4'!J332</x:f>
        <x:v>0</x:v>
      </x:c>
      <x:c r="V69" s="253">
        <x:f>'Reversion Pagos R4'!K332</x:f>
        <x:v>0</x:v>
      </x:c>
      <x:c r="W69" s="253">
        <x:f>'Reversion Pagos R4'!L332</x:f>
        <x:v>0</x:v>
      </x:c>
      <x:c r="X69" s="253">
        <x:f>'Reversion Pagos R4'!M332</x:f>
        <x:v>0</x:v>
      </x:c>
      <x:c r="Y69" s="254">
        <x:f>'Reversion Pagos R4'!N332</x:f>
        <x:v>0</x:v>
      </x:c>
      <x:c r="Z69" s="255">
        <x:f t="shared" si="26"/>
        <x:v>0</x:v>
      </x:c>
      <x:c r="AA69" s="256">
        <x:f>'Reversion Pagos R4'!O332</x:f>
        <x:v>0</x:v>
      </x:c>
      <x:c r="AB69" s="230">
        <x:f t="shared" si="27"/>
        <x:v>0</x:v>
      </x:c>
      <x:c r="AC69" s="256">
        <x:f>+'Reversion Pagos R4'!Q332+'Reversion Pagos R4'!R332</x:f>
        <x:v>0</x:v>
      </x:c>
      <x:c r="AD69" s="227">
        <x:f t="shared" si="28"/>
        <x:v>0</x:v>
      </x:c>
      <x:c r="AE69" s="227">
        <x:f>'Reversion Pagos R4'!D333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6" thickBot="1" x14ac:dyDescent="0.3">
      <x:c r="B70" s="260">
        <x:v>5</x:v>
      </x:c>
      <x:c r="C70" s="261" t="s">
        <x:v>14</x:v>
      </x:c>
      <x:c r="D70" s="232">
        <x:f>'Reversion Pagos R4'!D367</x:f>
        <x:v>0</x:v>
      </x:c>
      <x:c r="E70" s="233">
        <x:f>'Reversion Pagos R4'!E367</x:f>
        <x:v>0</x:v>
      </x:c>
      <x:c r="F70" s="233">
        <x:f>'Reversion Pagos R4'!F367</x:f>
        <x:v>0</x:v>
      </x:c>
      <x:c r="G70" s="233">
        <x:f>'Reversion Pagos R4'!G367</x:f>
        <x:v>0</x:v>
      </x:c>
      <x:c r="H70" s="233">
        <x:f>'Reversion Pagos R4'!H367</x:f>
        <x:v>0</x:v>
      </x:c>
      <x:c r="I70" s="233">
        <x:f>'Reversion Pagos R4'!I367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R4'!P367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R4'!J367</x:f>
        <x:v>0</x:v>
      </x:c>
      <x:c r="V70" s="233">
        <x:f>'Reversion Pagos R4'!K367</x:f>
        <x:v>0</x:v>
      </x:c>
      <x:c r="W70" s="233">
        <x:f>'Reversion Pagos R4'!L367</x:f>
        <x:v>0</x:v>
      </x:c>
      <x:c r="X70" s="233">
        <x:f>'Reversion Pagos R4'!M367</x:f>
        <x:v>0</x:v>
      </x:c>
      <x:c r="Y70" s="225">
        <x:f>'Reversion Pagos R4'!N367</x:f>
        <x:v>0</x:v>
      </x:c>
      <x:c r="Z70" s="255">
        <x:f t="shared" si="26"/>
        <x:v>0</x:v>
      </x:c>
      <x:c r="AA70" s="256">
        <x:f>'Reversion Pagos R4'!O367</x:f>
        <x:v>0</x:v>
      </x:c>
      <x:c r="AB70" s="230">
        <x:f t="shared" si="27"/>
        <x:v>0</x:v>
      </x:c>
      <x:c r="AC70" s="256">
        <x:f>+'Reversion Pagos R4'!Q367+'Reversion Pagos R4'!R367</x:f>
        <x:v>0</x:v>
      </x:c>
      <x:c r="AD70" s="227">
        <x:f t="shared" si="28"/>
        <x:v>0</x:v>
      </x:c>
      <x:c r="AE70" s="227">
        <x:f>'Reversion Pagos R4'!D368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8" thickBot="1" x14ac:dyDescent="0.3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ht="12" x14ac:dyDescent="0.25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v>0</x:v>
      </x:c>
      <x:c r="AA85" s="246">
        <x:v>0</x:v>
      </x:c>
      <x:c r="AB85" s="246">
        <x:v>0</x:v>
      </x:c>
      <x:c r="AC85" s="247">
        <x:v>0</x:v>
      </x:c>
      <x:c r="AD85" s="246">
        <x:v>0</x:v>
      </x:c>
      <x:c r="AE85" s="246">
        <x:v>0</x:v>
      </x:c>
      <x:c r="AF85" s="249">
        <x:f>SUM(U85:AD85)</x:f>
        <x:v>0</x:v>
      </x:c>
      <x:c r="AG85" s="247">
        <x:f>AF85-O85</x:f>
        <x:v>0</x:v>
      </x:c>
      <x:c r="AH85" s="1" t="b">
        <x:f>INT(AG85)=0</x:f>
        <x:v>1</x:v>
      </x:c>
      <x:c r="AI85" s="242"/>
    </x:row>
    <x:row r="86" spans="1:35" s="241" customFormat="1" ht="12" x14ac:dyDescent="0.25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v>0</x:v>
      </x:c>
      <x:c r="AA86" s="255">
        <x:v>0</x:v>
      </x:c>
      <x:c r="AB86" s="255">
        <x:v>0</x:v>
      </x:c>
      <x:c r="AC86" s="256">
        <x:v>0</x:v>
      </x:c>
      <x:c r="AD86" s="255">
        <x:v>0</x:v>
      </x:c>
      <x:c r="AE86" s="255">
        <x:v>0</x:v>
      </x:c>
      <x:c r="AF86" s="258">
        <x:f>SUM(U86:AD86)</x:f>
        <x:v>0</x:v>
      </x:c>
      <x:c r="AG86" s="259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ht="12" x14ac:dyDescent="0.25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5">
        <x:v>0</x:v>
      </x:c>
      <x:c r="AB87" s="255">
        <x:v>0</x:v>
      </x:c>
      <x:c r="AC87" s="256">
        <x:v>0</x:v>
      </x:c>
      <x:c r="AD87" s="255">
        <x:v>0</x:v>
      </x:c>
      <x:c r="AE87" s="255">
        <x:v>0</x:v>
      </x:c>
      <x:c r="AF87" s="258">
        <x:f t="shared" ref="AF87:AF89" si="37">SUM(U87:AD87)</x:f>
        <x:v>0</x:v>
      </x:c>
      <x:c r="AG87" s="259">
        <x:f>AF87-O87</x:f>
        <x:v>0</x:v>
      </x:c>
      <x:c r="AH87" s="1" t="b">
        <x:f t="shared" si="36"/>
        <x:v>1</x:v>
      </x:c>
      <x:c r="AI87" s="242"/>
    </x:row>
    <x:row r="88" spans="1:35" s="241" customFormat="1" ht="12" x14ac:dyDescent="0.25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v>0</x:v>
      </x:c>
      <x:c r="AA88" s="255">
        <x:v>0</x:v>
      </x:c>
      <x:c r="AB88" s="255">
        <x:v>0</x:v>
      </x:c>
      <x:c r="AC88" s="256">
        <x:v>0</x:v>
      </x:c>
      <x:c r="AD88" s="255">
        <x:v>0</x:v>
      </x:c>
      <x:c r="AE88" s="255">
        <x:v>0</x:v>
      </x:c>
      <x:c r="AF88" s="258">
        <x:f t="shared" si="37"/>
        <x:v>0</x:v>
      </x:c>
      <x:c r="AG88" s="259">
        <x:f>AF88-O88</x:f>
        <x:v>0</x:v>
      </x:c>
      <x:c r="AH88" s="1" t="b">
        <x:f t="shared" si="36"/>
        <x:v>1</x:v>
      </x:c>
      <x:c r="AI88" s="242"/>
    </x:row>
    <x:row r="89" spans="1:35" s="241" customFormat="1" ht="12.6" thickBot="1" x14ac:dyDescent="0.3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5">
        <x:v>0</x:v>
      </x:c>
      <x:c r="AB89" s="255">
        <x:v>0</x:v>
      </x:c>
      <x:c r="AC89" s="256">
        <x:v>0</x:v>
      </x:c>
      <x:c r="AD89" s="255">
        <x:v>0</x:v>
      </x:c>
      <x:c r="AE89" s="255">
        <x:v>0</x:v>
      </x:c>
      <x:c r="AF89" s="258">
        <x:f t="shared" si="37"/>
        <x:v>0</x:v>
      </x:c>
      <x:c r="AG89" s="262">
        <x:f>AF89-O89</x:f>
        <x:v>0</x:v>
      </x:c>
      <x:c r="AH89" s="1" t="b">
        <x:f t="shared" si="36"/>
        <x:v>1</x:v>
      </x:c>
      <x:c r="AI89" s="242"/>
    </x:row>
    <x:row r="90" spans="1:35" s="241" customFormat="1" ht="13.8" thickBot="1" x14ac:dyDescent="0.3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266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11" t="s">
        <x:v>17</x:v>
      </x:c>
      <x:c r="D101" s="9">
        <x:f>D6</x:f>
        <x:v>46238</x:v>
      </x:c>
      <x:c r="F101" s="58" t="s">
        <x:v>219</x:v>
      </x:c>
      <x:c r="G101" s="58"/>
      <x:c r="H101" s="59"/>
      <x:c r="I101" s="60"/>
      <x:c r="J101" s="59"/>
      <x:c r="K101" s="60"/>
      <x:c r="L101" s="392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ht="12" x14ac:dyDescent="0.25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4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 t="shared" si="41"/>
        <x:v>0</x:v>
      </x:c>
      <x:c r="AB104" s="230">
        <x:f t="shared" si="41"/>
        <x:v>0</x:v>
      </x:c>
      <x:c r="AC104" s="248">
        <x:f t="shared" ref="AC104" si="42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ht="12" x14ac:dyDescent="0.25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4">
        <x:f t="shared" si="40"/>
        <x:v>0</x:v>
      </x:c>
      <x:c r="K105" s="231">
        <x:f t="shared" ref="K105:K108" si="43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4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7">
        <x:f t="shared" ref="AC105" si="45">AC10+AC29+AC48+AC67+AC86</x:f>
        <x:v>0</x:v>
      </x:c>
      <x:c r="AD105" s="227">
        <x:f t="shared" ref="AD105:AD107" si="46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7">INT(AG105)=0</x:f>
        <x:v>1</x:v>
      </x:c>
      <x:c r="AI105" s="242"/>
    </x:row>
    <x:row r="106" spans="2:36" s="241" customFormat="1" ht="12" x14ac:dyDescent="0.25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4">
        <x:f t="shared" si="40"/>
        <x:v>0</x:v>
      </x:c>
      <x:c r="K106" s="231">
        <x:f t="shared" si="43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4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7">
        <x:f t="shared" ref="AC106" si="48">AC11+AC30+AC49+AC68+AC87</x:f>
        <x:v>0</x:v>
      </x:c>
      <x:c r="AD106" s="227">
        <x:f t="shared" si="46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7"/>
        <x:v>1</x:v>
      </x:c>
      <x:c r="AI106" s="242"/>
    </x:row>
    <x:row r="107" spans="2:36" s="241" customFormat="1" ht="12" x14ac:dyDescent="0.25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4">
        <x:f t="shared" si="40"/>
        <x:v>0</x:v>
      </x:c>
      <x:c r="K107" s="231">
        <x:f t="shared" si="43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4"/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7">
        <x:f t="shared" ref="AC107" si="49">AC12+AC31+AC50+AC69+AC88</x:f>
        <x:v>0</x:v>
      </x:c>
      <x:c r="AD107" s="227">
        <x:f t="shared" si="46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7"/>
        <x:v>1</x:v>
      </x:c>
      <x:c r="AI107" s="242"/>
    </x:row>
    <x:row r="108" spans="2:36" s="241" customFormat="1" ht="12.6" thickBot="1" x14ac:dyDescent="0.3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25">
        <x:f t="shared" si="40"/>
        <x:v>0</x:v>
      </x:c>
      <x:c r="K108" s="231">
        <x:f t="shared" si="43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4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7">
        <x:f t="shared" ref="AC108" si="50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7"/>
        <x:v>1</x:v>
      </x:c>
      <x:c r="AI108" s="242"/>
    </x:row>
    <x:row r="109" spans="2:36" s="241" customFormat="1" ht="13.8" thickBot="1" x14ac:dyDescent="0.3">
      <x:c r="B109" s="263"/>
      <x:c r="C109" s="264" t="s">
        <x:v>2</x:v>
      </x:c>
      <x:c r="D109" s="226">
        <x:f t="shared" ref="D109:O109" si="51">SUM(D104:D108)</x:f>
        <x:v>0</x:v>
      </x:c>
      <x:c r="E109" s="226">
        <x:f t="shared" si="51"/>
        <x:v>0</x:v>
      </x:c>
      <x:c r="F109" s="226">
        <x:f t="shared" si="51"/>
        <x:v>0</x:v>
      </x:c>
      <x:c r="G109" s="226">
        <x:f t="shared" si="51"/>
        <x:v>0</x:v>
      </x:c>
      <x:c r="H109" s="226">
        <x:f t="shared" si="51"/>
        <x:v>0</x:v>
      </x:c>
      <x:c r="I109" s="226">
        <x:f t="shared" si="51"/>
        <x:v>0</x:v>
      </x:c>
      <x:c r="J109" s="226">
        <x:f t="shared" si="51"/>
        <x:v>0</x:v>
      </x:c>
      <x:c r="K109" s="236">
        <x:f t="shared" si="51"/>
        <x:v>0</x:v>
      </x:c>
      <x:c r="L109" s="237">
        <x:f t="shared" si="51"/>
        <x:v>0</x:v>
      </x:c>
      <x:c r="M109" s="238">
        <x:f t="shared" si="51"/>
        <x:v>0</x:v>
      </x:c>
      <x:c r="N109" s="237">
        <x:f t="shared" si="51"/>
        <x:v>0</x:v>
      </x:c>
      <x:c r="O109" s="238">
        <x:f t="shared" si="51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2">SUM(V104:V108)</x:f>
        <x:v>0</x:v>
      </x:c>
      <x:c r="W109" s="266">
        <x:f t="shared" si="52"/>
        <x:v>0</x:v>
      </x:c>
      <x:c r="X109" s="266">
        <x:f t="shared" si="52"/>
        <x:v>0</x:v>
      </x:c>
      <x:c r="Y109" s="266">
        <x:f t="shared" si="52"/>
        <x:v>0</x:v>
      </x:c>
      <x:c r="Z109" s="226">
        <x:f t="shared" si="52"/>
        <x:v>0</x:v>
      </x:c>
      <x:c r="AA109" s="226">
        <x:f t="shared" si="52"/>
        <x:v>0</x:v>
      </x:c>
      <x:c r="AB109" s="393">
        <x:f t="shared" si="52"/>
        <x:v>0</x:v>
      </x:c>
      <x:c r="AC109" s="226">
        <x:f t="shared" ref="AC109" si="53">SUM(AC104:AC108)</x:f>
        <x:v>0</x:v>
      </x:c>
      <x:c r="AD109" s="226">
        <x:f t="shared" si="52"/>
        <x:v>0</x:v>
      </x:c>
      <x:c r="AE109" s="226">
        <x:f>SUM(AE104:AE108)</x:f>
        <x:v>0</x:v>
      </x:c>
      <x:c r="AF109" s="267">
        <x:f t="shared" si="52"/>
        <x:v>0</x:v>
      </x:c>
      <x:c r="AG109" s="268">
        <x:f>SUM(AG104:AG108)</x:f>
        <x:v>0</x:v>
      </x:c>
      <x:c r="AH109" s="1" t="b">
        <x:f t="shared" si="47"/>
        <x:v>1</x:v>
      </x:c>
      <x:c r="AI109" s="242"/>
    </x:row>
    <x:row r="110" spans="2:36" ht="12.6" thickBot="1" x14ac:dyDescent="0.3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ht="12" x14ac:dyDescent="0.25">
      <x:c r="B125" s="270">
        <x:v>1</x:v>
      </x:c>
      <x:c r="C125" s="271" t="s">
        <x:v>10</x:v>
      </x:c>
      <x:c r="D125" s="244">
        <x:f>'ANTICIPOS USUARIOS'!O3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USUARIOS'!O12</x:f>
        <x:v>0</x:v>
      </x:c>
      <x:c r="L125" s="245">
        <x:f>-'ANTICIPOS USUARIOS'!O21</x:f>
        <x:v>0</x:v>
      </x:c>
      <x:c r="O125" s="273"/>
      <x:c r="Q125" s="242"/>
    </x:row>
    <x:row r="126" spans="1:35" s="241" customFormat="1" ht="12" x14ac:dyDescent="0.25">
      <x:c r="B126" s="250">
        <x:v>2</x:v>
      </x:c>
      <x:c r="C126" s="274" t="s">
        <x:v>11</x:v>
      </x:c>
      <x:c r="D126" s="228">
        <x:f>'ANTICIPOS USUARIOS'!O4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4">D67+N67</x:f>
        <x:v>0</x:v>
      </x:c>
      <x:c r="K126" s="224">
        <x:f>'ANTICIPOS USUARIOS'!O13</x:f>
        <x:v>0</x:v>
      </x:c>
      <x:c r="L126" s="224">
        <x:f>-'ANTICIPOS USUARIOS'!O22</x:f>
        <x:v>0</x:v>
      </x:c>
      <x:c r="O126" s="273"/>
      <x:c r="Q126" s="242"/>
    </x:row>
    <x:row r="127" spans="1:35" s="241" customFormat="1" ht="12" x14ac:dyDescent="0.25">
      <x:c r="B127" s="250">
        <x:v>3</x:v>
      </x:c>
      <x:c r="C127" s="274" t="s">
        <x:v>12</x:v>
      </x:c>
      <x:c r="D127" s="228">
        <x:f>'ANTICIPOS USUARIOS'!O5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4"/>
        <x:v>0</x:v>
      </x:c>
      <x:c r="K127" s="224">
        <x:f>'ANTICIPOS USUARIOS'!O14</x:f>
        <x:v>0</x:v>
      </x:c>
      <x:c r="L127" s="224">
        <x:f>-'ANTICIPOS USUARIOS'!O23</x:f>
        <x:v>0</x:v>
      </x:c>
      <x:c r="O127" s="273"/>
      <x:c r="Q127" s="242"/>
    </x:row>
    <x:row r="128" spans="1:35" s="241" customFormat="1" ht="12" x14ac:dyDescent="0.25">
      <x:c r="B128" s="250">
        <x:v>4</x:v>
      </x:c>
      <x:c r="C128" s="274" t="s">
        <x:v>13</x:v>
      </x:c>
      <x:c r="D128" s="228">
        <x:f>'ANTICIPOS USUARIOS'!O6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4"/>
        <x:v>0</x:v>
      </x:c>
      <x:c r="K128" s="224">
        <x:f>'ANTICIPOS USUARIOS'!O15</x:f>
        <x:v>0</x:v>
      </x:c>
      <x:c r="L128" s="224">
        <x:f>-'ANTICIPOS USUARIOS'!O24</x:f>
        <x:v>0</x:v>
      </x:c>
      <x:c r="O128" s="273"/>
      <x:c r="Q128" s="242"/>
    </x:row>
    <x:row r="129" spans="1:18" s="241" customFormat="1" ht="12" x14ac:dyDescent="0.25">
      <x:c r="B129" s="277">
        <x:v>5</x:v>
      </x:c>
      <x:c r="C129" s="278" t="s">
        <x:v>14</x:v>
      </x:c>
      <x:c r="D129" s="228">
        <x:f>'ANTICIPOS USUARIOS'!O7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4"/>
        <x:v>0</x:v>
      </x:c>
      <x:c r="K129" s="224">
        <x:f>'ANTICIPOS USUARIOS'!O16</x:f>
        <x:v>0</x:v>
      </x:c>
      <x:c r="L129" s="224">
        <x:f>-'ANTICIPOS USUARIOS'!O25</x:f>
        <x:v>0</x:v>
      </x:c>
      <x:c r="O129" s="273"/>
      <x:c r="Q129" s="242"/>
    </x:row>
    <x:row r="130" spans="1:18" s="241" customFormat="1" ht="12.6" thickBot="1" x14ac:dyDescent="0.3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8" s="241" customFormat="1" ht="12.6" thickBot="1" x14ac:dyDescent="0.3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Directa Occidente'!F21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BANCO'!E75)</x:f>
        <x:v>0</x:v>
      </x:c>
      <x:c r="J142" s="103">
        <x:f t="shared" ref="J142:K146" si="56">G125</x:f>
        <x:v>0</x:v>
      </x:c>
      <x:c r="K142" s="104">
        <x:f t="shared" si="56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443">
        <x:f>D143-E143-F143-G143-J143-H143-I143</x:f>
        <x:v>0</x:v>
      </x:c>
      <x:c r="M143" s="1" t="b">
        <x:f t="shared" ref="M143:M147" si="57">INT(L143)=0</x:f>
        <x:v>1</x:v>
      </x:c>
      <x:c r="O143" s="119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443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443">
        <x:f>D145-E145-F145-G145-J145-H145-I145</x:f>
        <x:v>0</x:v>
      </x:c>
      <x:c r="M145" s="1" t="b">
        <x:f t="shared" si="57"/>
        <x:v>1</x:v>
      </x:c>
      <x:c r="O145" s="93"/>
      <x:c r="P145" s="24"/>
      <x:c r="Q145" s="35"/>
      <x:c r="R145" s="24"/>
    </x:row>
    <x:row r="146" spans="1:20" ht="12.6" thickBot="1" x14ac:dyDescent="0.3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Directa Occidente'!F25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BANCO'!E79)</x:f>
        <x:v>0</x:v>
      </x:c>
      <x:c r="J146" s="123">
        <x:f t="shared" si="56"/>
        <x:v>0</x:v>
      </x:c>
      <x:c r="K146" s="125">
        <x:f t="shared" si="56"/>
        <x:v>0</x:v>
      </x:c>
      <x:c r="L146" s="443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443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241"/>
      <x:c r="N154" s="24"/>
      <x:c r="O154" s="24"/>
      <x:c r="Q154" s="24"/>
      <x:c r="T154" s="24"/>
    </x:row>
    <x:row r="155" spans="1:20" x14ac:dyDescent="0.2">
      <x:c r="E155" s="241"/>
      <x:c r="N155" s="24"/>
      <x:c r="O155" s="24"/>
      <x:c r="Q155" s="24"/>
      <x:c r="T155" s="24"/>
    </x:row>
    <x:row r="156" spans="1:20" x14ac:dyDescent="0.2">
      <x:c r="E156" s="241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E15" sqref="E15"/>
    </x:sheetView>
  </x:sheetViews>
  <x:sheetFormatPr baseColWidth="10" defaultRowHeight="13.2" x14ac:dyDescent="0.25"/>
  <x:cols>
    <x:col min="1" max="1" width="3" customWidth="1"/>
    <x:col min="2" max="2" width="4.33203125" bestFit="1" customWidth="1"/>
    <x:col min="3" max="3" width="16.6640625" customWidth="1"/>
    <x:col min="4" max="4" width="14.33203125" customWidth="1"/>
    <x:col min="5" max="7" width="17.6640625" customWidth="1"/>
    <x:col min="8" max="8" width="18.33203125" customWidth="1"/>
    <x:col min="9" max="9" width="15.6640625" customWidth="1"/>
    <x:col min="10" max="10" width="16.44140625" customWidth="1"/>
    <x:col min="11" max="11" width="15.6640625" customWidth="1"/>
    <x:col min="12" max="13" width="18.33203125" customWidth="1"/>
    <x:col min="14" max="14" width="15.6640625" customWidth="1"/>
    <x:col min="15" max="15" width="14.3320312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5">
      <x:c r="B3" s="239">
        <x:v>1</x:v>
      </x:c>
      <x:c r="C3" s="228">
        <x:f>'Recaudo Directa Occidente'!F21</x:f>
        <x:v>0</x:v>
      </x:c>
      <x:c r="D3" s="228">
        <x:f>'REMUNERACION_OCCIDENTE_ Directa'!G125</x:f>
        <x:v>0</x:v>
      </x:c>
      <x:c r="E3" s="228">
        <x:f>'REMUNERACION_OCCIDENTE_ Directa'!D28+'REMUNERACION_OCCIDENTE_ Directa'!N28</x:f>
        <x:v>0</x:v>
      </x:c>
      <x:c r="F3" s="228">
        <x:f>'REMUNERACION_OCCIDENTE_ Directa'!I142</x:f>
        <x:v>0</x:v>
      </x:c>
      <x:c r="G3" s="228">
        <x:f>'REMUNERACION_OCCIDENTE_ Directa'!H142</x:f>
        <x:v>0</x:v>
      </x:c>
      <x:c r="H3" s="276">
        <x:f>SUM(C3:G3)</x:f>
        <x:v>0</x:v>
      </x:c>
      <x:c r="I3" s="227">
        <x:f>'REMUNERACION_OCCIDENTE_ Directa'!D104</x:f>
        <x:v>0</x:v>
      </x:c>
      <x:c r="J3" s="228">
        <x:f>'REMUNERACION_OCCIDENTE_ Directa'!N104</x:f>
        <x:v>0</x:v>
      </x:c>
      <x:c r="K3" s="228">
        <x:f>'REMUNERACION_OCCIDENTE_ Directa'!D125</x:f>
        <x:v>0</x:v>
      </x:c>
      <x:c r="L3" s="289">
        <x:f>'REMUNERACION_OCCIDENTE_ Directa'!E125</x:f>
        <x:v>0</x:v>
      </x:c>
      <x:c r="M3" s="228">
        <x:f>-'REMUNERACION_OCCIDENTE_ Directa'!D66-'REMUNERACION_OCCIDENTE_ Directa'!N66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5">
      <x:c r="B4" s="250">
        <x:v>2</x:v>
      </x:c>
      <x:c r="C4" s="253">
        <x:f>'Recaudo Directa Occidente'!F22</x:f>
        <x:v>0</x:v>
      </x:c>
      <x:c r="D4" s="228">
        <x:f>'REMUNERACION_OCCIDENTE_ Directa'!G126</x:f>
        <x:v>0</x:v>
      </x:c>
      <x:c r="E4" s="228">
        <x:f>'REMUNERACION_OCCIDENTE_ Directa'!D29+'REMUNERACION_OCCIDENTE_ Directa'!N29</x:f>
        <x:v>0</x:v>
      </x:c>
      <x:c r="F4" s="228">
        <x:f>'REMUNERACION_OCCIDENTE_ Directa'!I143</x:f>
        <x:v>0</x:v>
      </x:c>
      <x:c r="G4" s="228">
        <x:f>'REMUNERACION_OCCIDENTE_ Directa'!H143</x:f>
        <x:v>0</x:v>
      </x:c>
      <x:c r="H4" s="276">
        <x:f t="shared" ref="H4:H8" si="1">SUM(C4:G4)</x:f>
        <x:v>0</x:v>
      </x:c>
      <x:c r="I4" s="227">
        <x:f>'REMUNERACION_OCCIDENTE_ Directa'!D105</x:f>
        <x:v>0</x:v>
      </x:c>
      <x:c r="J4" s="228">
        <x:f>'REMUNERACION_OCCIDENTE_ Directa'!N105</x:f>
        <x:v>0</x:v>
      </x:c>
      <x:c r="K4" s="228">
        <x:f>'REMUNERACION_OCCIDENTE_ Directa'!D126</x:f>
        <x:v>0</x:v>
      </x:c>
      <x:c r="L4" s="289">
        <x:f>'REMUNERACION_OCCIDENTE_ Directa'!E126</x:f>
        <x:v>0</x:v>
      </x:c>
      <x:c r="M4" s="228">
        <x:f>-'REMUNERACION_OCCIDENTE_ Directa'!D67-'REMUNERACION_OCCIDENTE_ Directa'!N67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5">
      <x:c r="B5" s="250">
        <x:v>3</x:v>
      </x:c>
      <x:c r="C5" s="253">
        <x:f>'Recaudo Directa Occidente'!F23</x:f>
        <x:v>0</x:v>
      </x:c>
      <x:c r="D5" s="228">
        <x:f>'REMUNERACION_OCCIDENTE_ Directa'!G127</x:f>
        <x:v>0</x:v>
      </x:c>
      <x:c r="E5" s="228">
        <x:f>'REMUNERACION_OCCIDENTE_ Directa'!D30+'REMUNERACION_OCCIDENTE_ Directa'!N30</x:f>
        <x:v>0</x:v>
      </x:c>
      <x:c r="F5" s="228">
        <x:f>'REMUNERACION_OCCIDENTE_ Directa'!I144</x:f>
        <x:v>0</x:v>
      </x:c>
      <x:c r="G5" s="228">
        <x:f>'REMUNERACION_OCCIDENTE_ Directa'!H144</x:f>
        <x:v>0</x:v>
      </x:c>
      <x:c r="H5" s="276">
        <x:f t="shared" si="1"/>
        <x:v>0</x:v>
      </x:c>
      <x:c r="I5" s="227">
        <x:f>'REMUNERACION_OCCIDENTE_ Directa'!D106</x:f>
        <x:v>0</x:v>
      </x:c>
      <x:c r="J5" s="228">
        <x:f>'REMUNERACION_OCCIDENTE_ Directa'!N106</x:f>
        <x:v>0</x:v>
      </x:c>
      <x:c r="K5" s="228">
        <x:f>'REMUNERACION_OCCIDENTE_ Directa'!D127</x:f>
        <x:v>0</x:v>
      </x:c>
      <x:c r="L5" s="289">
        <x:f>'REMUNERACION_OCCIDENTE_ Directa'!E127</x:f>
        <x:v>0</x:v>
      </x:c>
      <x:c r="M5" s="228">
        <x:f>-'REMUNERACION_OCCIDENTE_ Directa'!D68-'REMUNERACION_OCCIDENTE_ Directa'!N68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5">
      <x:c r="B6" s="250">
        <x:v>4</x:v>
      </x:c>
      <x:c r="C6" s="253">
        <x:f>'Recaudo Directa Occidente'!F24</x:f>
        <x:v>0</x:v>
      </x:c>
      <x:c r="D6" s="228">
        <x:f>'REMUNERACION_OCCIDENTE_ Directa'!G128</x:f>
        <x:v>0</x:v>
      </x:c>
      <x:c r="E6" s="228">
        <x:f>'REMUNERACION_OCCIDENTE_ Directa'!D31+'REMUNERACION_OCCIDENTE_ Directa'!N31</x:f>
        <x:v>0</x:v>
      </x:c>
      <x:c r="F6" s="228">
        <x:f>'REMUNERACION_OCCIDENTE_ Directa'!I145</x:f>
        <x:v>0</x:v>
      </x:c>
      <x:c r="G6" s="228">
        <x:f>'REMUNERACION_OCCIDENTE_ Directa'!H145</x:f>
        <x:v>0</x:v>
      </x:c>
      <x:c r="H6" s="276">
        <x:f t="shared" si="1"/>
        <x:v>0</x:v>
      </x:c>
      <x:c r="I6" s="227">
        <x:f>'REMUNERACION_OCCIDENTE_ Directa'!D107</x:f>
        <x:v>0</x:v>
      </x:c>
      <x:c r="J6" s="228">
        <x:f>'REMUNERACION_OCCIDENTE_ Directa'!N107</x:f>
        <x:v>0</x:v>
      </x:c>
      <x:c r="K6" s="228">
        <x:f>'REMUNERACION_OCCIDENTE_ Directa'!D128</x:f>
        <x:v>0</x:v>
      </x:c>
      <x:c r="L6" s="289">
        <x:f>'REMUNERACION_OCCIDENTE_ Directa'!E128</x:f>
        <x:v>0</x:v>
      </x:c>
      <x:c r="M6" s="228">
        <x:f>-'REMUNERACION_OCCIDENTE_ Directa'!D69-'REMUNERACION_OCCIDENTE_ Directa'!N69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5">
      <x:c r="B7" s="250">
        <x:v>5</x:v>
      </x:c>
      <x:c r="C7" s="253">
        <x:f>'Recaudo Directa Occidente'!F25</x:f>
        <x:v>0</x:v>
      </x:c>
      <x:c r="D7" s="228">
        <x:f>'REMUNERACION_OCCIDENTE_ Directa'!G129</x:f>
        <x:v>0</x:v>
      </x:c>
      <x:c r="E7" s="228">
        <x:f>'REMUNERACION_OCCIDENTE_ Directa'!D32+'REMUNERACION_OCCIDENTE_ Directa'!N32</x:f>
        <x:v>0</x:v>
      </x:c>
      <x:c r="F7" s="228">
        <x:f>'REMUNERACION_OCCIDENTE_ Directa'!I146</x:f>
        <x:v>0</x:v>
      </x:c>
      <x:c r="G7" s="228">
        <x:f>'REMUNERACION_OCCIDENTE_ Directa'!H146</x:f>
        <x:v>0</x:v>
      </x:c>
      <x:c r="H7" s="276">
        <x:f t="shared" si="1"/>
        <x:v>0</x:v>
      </x:c>
      <x:c r="I7" s="227">
        <x:f>'REMUNERACION_OCCIDENTE_ Directa'!D108</x:f>
        <x:v>0</x:v>
      </x:c>
      <x:c r="J7" s="228">
        <x:f>'REMUNERACION_OCCIDENTE_ Directa'!N108</x:f>
        <x:v>0</x:v>
      </x:c>
      <x:c r="K7" s="228">
        <x:f>'REMUNERACION_OCCIDENTE_ Directa'!D129</x:f>
        <x:v>0</x:v>
      </x:c>
      <x:c r="L7" s="289">
        <x:f>'REMUNERACION_OCCIDENTE_ Directa'!E129</x:f>
        <x:v>0</x:v>
      </x:c>
      <x:c r="M7" s="228">
        <x:f>-'REMUNERACION_OCCIDENTE_ Directa'!D70-'REMUNERACION_OCCIDENTE_ Directa'!N70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8" thickBot="1" x14ac:dyDescent="0.3">
      <x:c r="B8" s="277" t="s">
        <x:v>89</x:v>
      </x:c>
      <x:c r="C8" s="253">
        <x:f>'Recaudo Directa Occidente'!F26</x:f>
        <x:v>0</x:v>
      </x:c>
      <x:c r="D8" s="292">
        <x:v>0</x:v>
      </x:c>
      <x:c r="E8" s="292">
        <x:v>0</x:v>
      </x:c>
      <x:c r="F8" s="228"/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'REMUNERACION_OCCIDENTE_ Directa'!E130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8" thickBot="1" x14ac:dyDescent="0.3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5">
      <x:c r="B11" s="95" t="s">
        <x:v>89</x:v>
      </x:c>
      <x:c r="C11" s="96" t="s">
        <x:v>90</x:v>
      </x:c>
      <x:c r="M11" s="130"/>
      <x:c r="O11" s="126"/>
    </x:row>
    <x:row r="12" spans="2:16" x14ac:dyDescent="0.25">
      <x:c r="C12" s="132"/>
    </x:row>
    <x:row r="13" spans="2:16" x14ac:dyDescent="0.25">
      <x:c r="B13" s="131"/>
      <x:c r="C13" s="132" t="s">
        <x:v>1</x:v>
      </x:c>
    </x:row>
    <x:row r="14" spans="2:16" x14ac:dyDescent="0.25">
      <x:c r="C14" s="200">
        <x:f>'Valida - Control Recaudo'!D10</x:f>
        <x:v>0</x:v>
      </x:c>
    </x:row>
    <x:row r="15" spans="2:16" x14ac:dyDescent="0.25">
      <x:c r="C15" s="202" t="b">
        <x:f>C14=C9</x:f>
        <x:v>1</x:v>
      </x:c>
    </x:row>
    <x:row r="16" spans="2:16" x14ac:dyDescent="0.25">
      <x:c r="C16" s="191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>
      <x:selection activeCell="H17" sqref="H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9.44140625" style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'REMUNERACION_OCCIDENTE_ Directa'!D101</x:f>
        <x:v>46238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11" t="s">
        <x:v>0</x:v>
      </x:c>
      <x:c r="D7" s="223">
        <x:f>'REMUNERACION_OCCIDENTE_ Directa'!D102</x:f>
        <x:v>0.58333333333333337</x:v>
      </x:c>
      <x:c r="F7" s="2" t="s">
        <x:v>27</x:v>
      </x:c>
      <x:c r="G7" s="9">
        <x:f>'REMUNERACION_OCCIDENTE_ Directa'!G102</x:f>
        <x:v>46219</x:v>
      </x:c>
      <x:c r="J7" s="2" t="s">
        <x:v>28</x:v>
      </x:c>
      <x:c r="K7" s="9">
        <x:f>'REMUNERACION_OCCIDENTE_ Directa'!K102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05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'REMUNERACION_OCCIDENTE_ Directa'!G122</x:f>
        <x:v>46219</x:v>
      </x:c>
      <x:c r="J27" s="2" t="s">
        <x:v>28</x:v>
      </x:c>
      <x:c r="K27" s="9">
        <x:f>'REMUNERACION_OCCIDENTE_ Directa'!K122</x:f>
        <x:v>46234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1">
        <x:v>1</x:v>
      </x:c>
      <x:c r="C30" s="102" t="s">
        <x:v>10</x:v>
      </x:c>
      <x:c r="D30" s="103">
        <x:f>'REMUNERACION_OCCIDENTE_ Directa'!D125</x:f>
        <x:v>0</x:v>
      </x:c>
      <x:c r="E30" s="104">
        <x:f>'REMUNERACION_OCCIDENTE_ Directa'!E125</x:f>
        <x:v>0</x:v>
      </x:c>
      <x:c r="G30" s="272">
        <x:f>'REMUNERACION_OCCIDENTE_ Directa'!G125</x:f>
        <x:v>0</x:v>
      </x:c>
      <x:c r="H30" s="246">
        <x:f>'REMUNERACION_OCCIDENTE_ Directa'!H125</x:f>
        <x:v>0</x:v>
      </x:c>
      <x:c r="I30" s="245">
        <x:f>'REMUNERACION_OCCIDENTE_ Directa'!I125</x:f>
        <x:v>0</x:v>
      </x:c>
      <x:c r="J30" s="245">
        <x:f>'REMUNERACION_OCCIDENTE_ Directa'!J125</x:f>
        <x:v>0</x:v>
      </x:c>
      <x:c r="K30" s="245">
        <x:f>'REMUNERACION_OCCIDENTE_ Directa'!K125</x:f>
        <x:v>0</x:v>
      </x:c>
      <x:c r="L30" s="245">
        <x:f>'REMUNERACION_OCCIDENTE_ Directa'!L125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275">
        <x:f>'REMUNERACION_OCCIDENTE_ Directa'!G126</x:f>
        <x:v>0</x:v>
      </x:c>
      <x:c r="H31" s="276">
        <x:f>'REMUNERACION_OCCIDENTE_ Directa'!H126</x:f>
        <x:v>0</x:v>
      </x:c>
      <x:c r="I31" s="224">
        <x:f>'REMUNERACION_OCCIDENTE_ Directa'!I126</x:f>
        <x:v>0</x:v>
      </x:c>
      <x:c r="J31" s="224">
        <x:f>'REMUNERACION_OCCIDENTE_ Directa'!J126</x:f>
        <x:v>0</x:v>
      </x:c>
      <x:c r="K31" s="224">
        <x:f>'REMUNERACION_OCCIDENTE_ Directa'!K126</x:f>
        <x:v>0</x:v>
      </x:c>
      <x:c r="L31" s="224">
        <x:f>'REMUNERACION_OCCIDENTE_ Directa'!L126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275">
        <x:f>'REMUNERACION_OCCIDENTE_ Directa'!G127</x:f>
        <x:v>0</x:v>
      </x:c>
      <x:c r="H32" s="276">
        <x:f>'REMUNERACION_OCCIDENTE_ Directa'!H127</x:f>
        <x:v>0</x:v>
      </x:c>
      <x:c r="I32" s="224">
        <x:f>'REMUNERACION_OCCIDENTE_ Directa'!I127</x:f>
        <x:v>0</x:v>
      </x:c>
      <x:c r="J32" s="224">
        <x:f>'REMUNERACION_OCCIDENTE_ Directa'!J127</x:f>
        <x:v>0</x:v>
      </x:c>
      <x:c r="K32" s="224">
        <x:f>'REMUNERACION_OCCIDENTE_ Directa'!K127</x:f>
        <x:v>0</x:v>
      </x:c>
      <x:c r="L32" s="224">
        <x:f>'REMUNERACION_OCCIDENTE_ Directa'!L127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275">
        <x:f>'REMUNERACION_OCCIDENTE_ Directa'!G128</x:f>
        <x:v>0</x:v>
      </x:c>
      <x:c r="H33" s="276">
        <x:f>'REMUNERACION_OCCIDENTE_ Directa'!H128</x:f>
        <x:v>0</x:v>
      </x:c>
      <x:c r="I33" s="224">
        <x:f>'REMUNERACION_OCCIDENTE_ Directa'!I128</x:f>
        <x:v>0</x:v>
      </x:c>
      <x:c r="J33" s="224">
        <x:f>'REMUNERACION_OCCIDENTE_ Directa'!J128</x:f>
        <x:v>0</x:v>
      </x:c>
      <x:c r="K33" s="224">
        <x:f>'REMUNERACION_OCCIDENTE_ Directa'!K128</x:f>
        <x:v>0</x:v>
      </x:c>
      <x:c r="L33" s="224">
        <x:f>'REMUNERACION_OCCIDENTE_ Directa'!L128</x:f>
        <x:v>0</x:v>
      </x:c>
      <x:c r="O33" s="44"/>
      <x:c r="Q33" s="4"/>
    </x:row>
    <x:row r="34" spans="1:20" ht="12" x14ac:dyDescent="0.25">
      <x:c r="B34" s="122">
        <x:v>5</x:v>
      </x:c>
      <x:c r="C34" s="127" t="s">
        <x:v>14</x:v>
      </x:c>
      <x:c r="D34" s="124">
        <x:f>'REMUNERACION_OCCIDENTE_ Directa'!D129</x:f>
        <x:v>0</x:v>
      </x:c>
      <x:c r="E34" s="128">
        <x:f>'REMUNERACION_OCCIDENTE_ Directa'!E129</x:f>
        <x:v>0</x:v>
      </x:c>
      <x:c r="G34" s="275">
        <x:f>'REMUNERACION_OCCIDENTE_ Directa'!G129</x:f>
        <x:v>0</x:v>
      </x:c>
      <x:c r="H34" s="276">
        <x:f>'REMUNERACION_OCCIDENTE_ Directa'!H129</x:f>
        <x:v>0</x:v>
      </x:c>
      <x:c r="I34" s="224">
        <x:f>'REMUNERACION_OCCIDENTE_ Directa'!I129</x:f>
        <x:v>0</x:v>
      </x:c>
      <x:c r="J34" s="224">
        <x:f>'REMUNERACION_OCCIDENTE_ Directa'!J129</x:f>
        <x:v>0</x:v>
      </x:c>
      <x:c r="K34" s="224">
        <x:f>'REMUNERACION_OCCIDENTE_ Directa'!K129</x:f>
        <x:v>0</x:v>
      </x:c>
      <x:c r="L34" s="224">
        <x:f>'REMUNERACION_OCCIDENTE_ Directa'!L129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6" thickBot="1" x14ac:dyDescent="0.3">
      <x:c r="B36" s="92"/>
      <x:c r="C36" s="99" t="s">
        <x:v>119</x:v>
      </x:c>
      <x:c r="D36" s="100">
        <x:f t="shared" ref="D36" si="5">SUM(D30:D34)</x:f>
        <x:v>0</x:v>
      </x:c>
      <x:c r="E36" s="100">
        <x:f>'REMUNERACION_OCCIDENTE_ Directa'!E131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D14='REMUNERACION_OCCIDENTE_ Directa'!D109</x:f>
        <x:v>1</x:v>
      </x:c>
      <x:c r="E44" s="208" t="b">
        <x:f>E14='REMUNERACION_OCCIDENTE_ Directa'!E109</x:f>
        <x:v>1</x:v>
      </x:c>
      <x:c r="F44" s="208" t="b">
        <x:f>F14='REMUNERACION_OCCIDENTE_ Directa'!F109</x:f>
        <x:v>1</x:v>
      </x:c>
      <x:c r="G44" s="208" t="b">
        <x:f>G14='REMUNERACION_OCCIDENTE_ Directa'!G109</x:f>
        <x:v>1</x:v>
      </x:c>
      <x:c r="H44" s="208" t="b">
        <x:f>H14='REMUNERACION_OCCIDENTE_ Directa'!H109</x:f>
        <x:v>1</x:v>
      </x:c>
      <x:c r="I44" s="208" t="b">
        <x:f>I14='REMUNERACION_OCCIDENTE_ Directa'!I109</x:f>
        <x:v>1</x:v>
      </x:c>
      <x:c r="J44" s="208" t="b">
        <x:f>J14='REMUNERACION_OCCIDENTE_ Directa'!J109</x:f>
        <x:v>1</x:v>
      </x:c>
      <x:c r="K44" s="208" t="b">
        <x:f>K14='REMUNERACION_OCCIDENTE_ Directa'!K109</x:f>
        <x:v>1</x:v>
      </x:c>
      <x:c r="L44" s="208" t="b">
        <x:f>L14='REMUNERACION_OCCIDENTE_ Directa'!L109</x:f>
        <x:v>1</x:v>
      </x:c>
      <x:c r="M44" s="208" t="b">
        <x:f>M14='REMUNERACION_OCCIDENTE_ Directa'!M109</x:f>
        <x:v>1</x:v>
      </x:c>
      <x:c r="N44" s="208" t="b">
        <x:f>N14='REMUNERACION_OCCIDENTE_ Directa'!N109</x:f>
        <x:v>1</x:v>
      </x:c>
      <x:c r="O44" s="208" t="b">
        <x:f>O14='REMUNERACION_OCCIDENTE_ Directa'!O109</x:f>
        <x:v>1</x:v>
      </x:c>
      <x:c r="Q44" s="24"/>
      <x:c r="T44" s="24"/>
    </x:row>
    <x:row r="45" spans="1:20" x14ac:dyDescent="0.2">
      <x:c r="D45" s="208" t="b">
        <x:f>D36='REMUNERACION_OCCIDENTE_ Directa'!D131</x:f>
        <x:v>1</x:v>
      </x:c>
      <x:c r="E45" s="208" t="b">
        <x:f>E36='REMUNERACION_OCCIDENTE_ Directa'!E131</x:f>
        <x:v>1</x:v>
      </x:c>
      <x:c r="F45" s="208" t="b">
        <x:f>F36='REMUNERACION_OCCIDENTE_ Directa'!F131</x:f>
        <x:v>1</x:v>
      </x:c>
      <x:c r="G45" s="208" t="b">
        <x:f>G36='REMUNERACION_OCCIDENTE_ Directa'!G131</x:f>
        <x:v>1</x:v>
      </x:c>
      <x:c r="H45" s="208" t="b">
        <x:f>H36='REMUNERACION_OCCIDENTE_ Directa'!H131</x:f>
        <x:v>1</x:v>
      </x:c>
      <x:c r="I45" s="208" t="b">
        <x:f>I36='REMUNERACION_OCCIDENTE_ Directa'!I131</x:f>
        <x:v>1</x:v>
      </x:c>
      <x:c r="J45" s="208" t="b">
        <x:f>J36='REMUNERACION_OCCIDENTE_ Directa'!J131</x:f>
        <x:v>1</x:v>
      </x:c>
      <x:c r="K45" s="208" t="b">
        <x:f>K36='REMUNERACION_OCCIDENTE_ Directa'!K131</x:f>
        <x:v>1</x:v>
      </x:c>
      <x:c r="L45" s="208" t="b">
        <x:f>L36='REMUNERACION_OCCIDENTE_ Directa'!L131</x:f>
        <x:v>1</x:v>
      </x:c>
      <x:c r="M45" s="208" t="b">
        <x:f>M36='REMUNERACION_OCCIDENTE_ Directa'!M131</x:f>
        <x:v>1</x:v>
      </x:c>
      <x:c r="N45" s="208" t="b">
        <x:f>N36='REMUNERACION_OCCIDENTE_ Directa'!N131</x:f>
        <x:v>1</x:v>
      </x:c>
      <x:c r="O45" s="208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Z1" zoomScaleNormal="100" workbookViewId="0">
      <x:selection activeCell="AM17" sqref="AM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106</x:v>
      </x:c>
      <x:c r="AF8" s="39" t="s">
        <x:v>23</x:v>
      </x:c>
      <x:c r="AG8" s="13"/>
      <x:c r="AI8" s="4"/>
    </x:row>
    <x:row r="9" spans="2:35" s="241" customFormat="1" ht="12" x14ac:dyDescent="0.25">
      <x:c r="B9" s="239">
        <x:v>1</x:v>
      </x:c>
      <x:c r="C9" s="240" t="s">
        <x:v>10</x:v>
      </x:c>
      <x:c r="D9" s="227">
        <x:f>'Reporte Componentes R1'!F71</x:f>
        <x:v>0</x:v>
      </x:c>
      <x:c r="E9" s="228">
        <x:f>'Reporte Componentes R1'!G71</x:f>
        <x:v>0</x:v>
      </x:c>
      <x:c r="F9" s="228">
        <x:f>'Reporte Componentes R1'!H71</x:f>
        <x:v>0</x:v>
      </x:c>
      <x:c r="G9" s="228">
        <x:f>'Reporte Componentes R1'!I71</x:f>
        <x:v>0</x:v>
      </x:c>
      <x:c r="H9" s="228">
        <x:f>'Reporte Componentes R1'!J71</x:f>
        <x:v>0</x:v>
      </x:c>
      <x:c r="I9" s="228">
        <x:f>'Reporte Componentes R1'!K71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R1'!L71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R1'!M71</x:f>
        <x:v>0</x:v>
      </x:c>
      <x:c r="V9" s="244">
        <x:f>'Reporte Componentes R1'!N71</x:f>
        <x:v>0</x:v>
      </x:c>
      <x:c r="W9" s="244">
        <x:f>'Reporte Componentes R1'!O71</x:f>
        <x:v>0</x:v>
      </x:c>
      <x:c r="X9" s="244">
        <x:f>'Reporte Componentes R1'!P71</x:f>
        <x:v>0</x:v>
      </x:c>
      <x:c r="Y9" s="245">
        <x:f>'Reporte Componentes R1'!Q71</x:f>
        <x:v>0</x:v>
      </x:c>
      <x:c r="Z9" s="246">
        <x:f>L9*-1</x:f>
        <x:v>0</x:v>
      </x:c>
      <x:c r="AA9" s="247">
        <x:f>'Reporte Componentes R1'!R71+'Reporte Componentes R1'!S71</x:f>
        <x:v>0</x:v>
      </x:c>
      <x:c r="AB9" s="230">
        <x:f>N9</x:f>
        <x:v>0</x:v>
      </x:c>
      <x:c r="AC9" s="247">
        <x:f>'Reporte Componentes R1'!Z71</x:f>
        <x:v>0</x:v>
      </x:c>
      <x:c r="AD9" s="227">
        <x:f>-J9+AE9</x:f>
        <x:v>0</x:v>
      </x:c>
      <x:c r="AE9" s="227">
        <x:f>'Reporte Componentes R1'!F72</x:f>
        <x:v>0</x:v>
      </x:c>
      <x:c r="AF9" s="249">
        <x:f>SUM(U9:AD9)</x:f>
        <x:v>0</x:v>
      </x:c>
      <x:c r="AG9" s="247">
        <x:f>(AF9-O9)</x:f>
        <x:v>0</x:v>
      </x:c>
      <x:c r="AH9" s="241" t="b">
        <x:f>INT(AG9)=0</x:f>
        <x:v>1</x:v>
      </x:c>
      <x:c r="AI9" s="242"/>
    </x:row>
    <x:row r="10" spans="2:35" s="241" customFormat="1" ht="12" x14ac:dyDescent="0.25">
      <x:c r="B10" s="250">
        <x:v>2</x:v>
      </x:c>
      <x:c r="C10" s="251" t="s">
        <x:v>11</x:v>
      </x:c>
      <x:c r="D10" s="227">
        <x:f>'Reporte Componentes R1'!F201</x:f>
        <x:v>0</x:v>
      </x:c>
      <x:c r="E10" s="228">
        <x:f>'Reporte Componentes R1'!G201</x:f>
        <x:v>0</x:v>
      </x:c>
      <x:c r="F10" s="228">
        <x:f>'Reporte Componentes R1'!H201</x:f>
        <x:v>0</x:v>
      </x:c>
      <x:c r="G10" s="228">
        <x:f>'Reporte Componentes R1'!I201</x:f>
        <x:v>0</x:v>
      </x:c>
      <x:c r="H10" s="228">
        <x:f>'Reporte Componentes R1'!J201</x:f>
        <x:v>0</x:v>
      </x:c>
      <x:c r="I10" s="228">
        <x:f>'Reporte Componentes R1'!K201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R1'!L201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R1'!M201</x:f>
        <x:v>0</x:v>
      </x:c>
      <x:c r="V10" s="253">
        <x:f>'Reporte Componentes R1'!N201</x:f>
        <x:v>0</x:v>
      </x:c>
      <x:c r="W10" s="253">
        <x:f>'Reporte Componentes R1'!O201</x:f>
        <x:v>0</x:v>
      </x:c>
      <x:c r="X10" s="253">
        <x:f>'Reporte Componentes R1'!P201</x:f>
        <x:v>0</x:v>
      </x:c>
      <x:c r="Y10" s="254">
        <x:f>'Reporte Componentes R1'!Q201</x:f>
        <x:v>0</x:v>
      </x:c>
      <x:c r="Z10" s="255">
        <x:f>L10*-1</x:f>
        <x:v>0</x:v>
      </x:c>
      <x:c r="AA10" s="256">
        <x:f>'Reporte Componentes R1'!R201+'Reporte Componentes R1'!S201+'Reporte Componentes R1'!T201</x:f>
        <x:v>0</x:v>
      </x:c>
      <x:c r="AB10" s="230">
        <x:f>N10</x:f>
        <x:v>0</x:v>
      </x:c>
      <x:c r="AC10" s="256">
        <x:f>'Reporte Componentes R1'!Z201</x:f>
        <x:v>0</x:v>
      </x:c>
      <x:c r="AD10" s="227">
        <x:f t="shared" ref="AD10:AD13" si="2">-J10+AE10</x:f>
        <x:v>0</x:v>
      </x:c>
      <x:c r="AE10" s="227">
        <x:f>'Reporte Componentes R1'!F202</x:f>
        <x:v>0</x:v>
      </x:c>
      <x:c r="AF10" s="258">
        <x:f>SUM(U10:AD10)</x:f>
        <x:v>0</x:v>
      </x:c>
      <x:c r="AG10" s="259">
        <x:f>(AF10-O10)</x:f>
        <x:v>0</x:v>
      </x:c>
      <x:c r="AH10" s="241" t="b">
        <x:f t="shared" ref="AH10:AH13" si="3">INT(AG10)=0</x:f>
        <x:v>1</x:v>
      </x:c>
      <x:c r="AI10" s="242"/>
    </x:row>
    <x:row r="11" spans="2:35" s="241" customFormat="1" ht="12" x14ac:dyDescent="0.25">
      <x:c r="B11" s="250">
        <x:v>3</x:v>
      </x:c>
      <x:c r="C11" s="251" t="s">
        <x:v>12</x:v>
      </x:c>
      <x:c r="D11" s="227">
        <x:f>'Reporte Componentes R1'!F341</x:f>
        <x:v>0</x:v>
      </x:c>
      <x:c r="E11" s="228">
        <x:f>'Reporte Componentes R1'!G341</x:f>
        <x:v>0</x:v>
      </x:c>
      <x:c r="F11" s="228">
        <x:f>'Reporte Componentes R1'!H341</x:f>
        <x:v>0</x:v>
      </x:c>
      <x:c r="G11" s="228">
        <x:f>'Reporte Componentes R1'!I341</x:f>
        <x:v>0</x:v>
      </x:c>
      <x:c r="H11" s="228">
        <x:f>'Reporte Componentes R1'!J341</x:f>
        <x:v>0</x:v>
      </x:c>
      <x:c r="I11" s="228">
        <x:f>'Reporte Componentes R1'!K341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R1'!L341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R1'!M341</x:f>
        <x:v>0</x:v>
      </x:c>
      <x:c r="V11" s="253">
        <x:f>'Reporte Componentes R1'!N341</x:f>
        <x:v>0</x:v>
      </x:c>
      <x:c r="W11" s="253">
        <x:f>'Reporte Componentes R1'!O341</x:f>
        <x:v>0</x:v>
      </x:c>
      <x:c r="X11" s="253">
        <x:f>'Reporte Componentes R1'!P341</x:f>
        <x:v>0</x:v>
      </x:c>
      <x:c r="Y11" s="254">
        <x:f>'Reporte Componentes R1'!Q341</x:f>
        <x:v>0</x:v>
      </x:c>
      <x:c r="Z11" s="255">
        <x:f>L11*-1</x:f>
        <x:v>0</x:v>
      </x:c>
      <x:c r="AA11" s="256">
        <x:f>'Reporte Componentes R1'!R341+'Reporte Componentes R1'!S341+'Reporte Componentes R1'!T341</x:f>
        <x:v>0</x:v>
      </x:c>
      <x:c r="AB11" s="230">
        <x:f>N11</x:f>
        <x:v>0</x:v>
      </x:c>
      <x:c r="AC11" s="256">
        <x:f>'Reporte Componentes R1'!X341</x:f>
        <x:v>0</x:v>
      </x:c>
      <x:c r="AD11" s="227">
        <x:f t="shared" si="2"/>
        <x:v>0</x:v>
      </x:c>
      <x:c r="AE11" s="227">
        <x:f>'Reporte Componentes R1'!F342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241" t="b">
        <x:f t="shared" si="3"/>
        <x:v>1</x:v>
      </x:c>
      <x:c r="AI11" s="242"/>
    </x:row>
    <x:row r="12" spans="2:35" s="241" customFormat="1" ht="12" x14ac:dyDescent="0.25">
      <x:c r="B12" s="250">
        <x:v>4</x:v>
      </x:c>
      <x:c r="C12" s="251" t="s">
        <x:v>13</x:v>
      </x:c>
      <x:c r="D12" s="227">
        <x:f>'Reporte Componentes R1'!F462</x:f>
        <x:v>0</x:v>
      </x:c>
      <x:c r="E12" s="228">
        <x:f>'Reporte Componentes R1'!G462</x:f>
        <x:v>0</x:v>
      </x:c>
      <x:c r="F12" s="228">
        <x:f>'Reporte Componentes R1'!H462</x:f>
        <x:v>0</x:v>
      </x:c>
      <x:c r="G12" s="228">
        <x:f>'Reporte Componentes R1'!I462</x:f>
        <x:v>0</x:v>
      </x:c>
      <x:c r="H12" s="228">
        <x:f>'Reporte Componentes R1'!J462</x:f>
        <x:v>0</x:v>
      </x:c>
      <x:c r="I12" s="228">
        <x:f>'Reporte Componentes R1'!K462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R1'!L462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R1'!M462</x:f>
        <x:v>0</x:v>
      </x:c>
      <x:c r="V12" s="253">
        <x:f>'Reporte Componentes R1'!N462</x:f>
        <x:v>0</x:v>
      </x:c>
      <x:c r="W12" s="253">
        <x:f>'Reporte Componentes R1'!O462</x:f>
        <x:v>0</x:v>
      </x:c>
      <x:c r="X12" s="253">
        <x:f>'Reporte Componentes R1'!P462</x:f>
        <x:v>0</x:v>
      </x:c>
      <x:c r="Y12" s="254">
        <x:f>'Reporte Componentes R1'!Q462</x:f>
        <x:v>0</x:v>
      </x:c>
      <x:c r="Z12" s="255">
        <x:f>L12*-1</x:f>
        <x:v>0</x:v>
      </x:c>
      <x:c r="AA12" s="256">
        <x:f>'Reporte Componentes R1'!R462+'Reporte Componentes R1'!S462</x:f>
        <x:v>0</x:v>
      </x:c>
      <x:c r="AB12" s="230">
        <x:f>N12</x:f>
        <x:v>0</x:v>
      </x:c>
      <x:c r="AC12" s="256">
        <x:f>'Reporte Componentes R1'!X462</x:f>
        <x:v>0</x:v>
      </x:c>
      <x:c r="AD12" s="227">
        <x:f t="shared" si="2"/>
        <x:v>0</x:v>
      </x:c>
      <x:c r="AE12" s="227">
        <x:f>'Reporte Componentes R1'!F463</x:f>
        <x:v>0</x:v>
      </x:c>
      <x:c r="AF12" s="258">
        <x:f t="shared" si="4"/>
        <x:v>0</x:v>
      </x:c>
      <x:c r="AG12" s="259">
        <x:f>(AF12-O12)</x:f>
        <x:v>0</x:v>
      </x:c>
      <x:c r="AH12" s="241" t="b">
        <x:f t="shared" si="3"/>
        <x:v>1</x:v>
      </x:c>
      <x:c r="AI12" s="242"/>
    </x:row>
    <x:row r="13" spans="2:35" s="241" customFormat="1" ht="12.6" thickBot="1" x14ac:dyDescent="0.3">
      <x:c r="B13" s="260">
        <x:v>5</x:v>
      </x:c>
      <x:c r="C13" s="261" t="s">
        <x:v>14</x:v>
      </x:c>
      <x:c r="D13" s="232">
        <x:f>'Reporte Componentes R1'!F544</x:f>
        <x:v>0</x:v>
      </x:c>
      <x:c r="E13" s="233">
        <x:f>'Reporte Componentes R1'!G544</x:f>
        <x:v>0</x:v>
      </x:c>
      <x:c r="F13" s="233">
        <x:f>'Reporte Componentes R1'!H544</x:f>
        <x:v>0</x:v>
      </x:c>
      <x:c r="G13" s="233">
        <x:f>'Reporte Componentes R1'!I544</x:f>
        <x:v>0</x:v>
      </x:c>
      <x:c r="H13" s="233">
        <x:f>'Reporte Componentes R1'!J544</x:f>
        <x:v>0</x:v>
      </x:c>
      <x:c r="I13" s="233">
        <x:f>'Reporte Componentes R1'!K544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R1'!L544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R1'!M544</x:f>
        <x:v>0</x:v>
      </x:c>
      <x:c r="V13" s="233">
        <x:f>'Reporte Componentes R1'!N544</x:f>
        <x:v>0</x:v>
      </x:c>
      <x:c r="W13" s="233">
        <x:f>'Reporte Componentes R1'!O544</x:f>
        <x:v>0</x:v>
      </x:c>
      <x:c r="X13" s="233">
        <x:f>'Reporte Componentes R1'!P544</x:f>
        <x:v>0</x:v>
      </x:c>
      <x:c r="Y13" s="225">
        <x:f>'Reporte Componentes R1'!Q544</x:f>
        <x:v>0</x:v>
      </x:c>
      <x:c r="Z13" s="255">
        <x:f>L13*-1</x:f>
        <x:v>0</x:v>
      </x:c>
      <x:c r="AA13" s="256">
        <x:f>'Reporte Componentes R1'!R544+'Reporte Componentes R1'!S544+'Reporte Componentes R1'!T544</x:f>
        <x:v>0</x:v>
      </x:c>
      <x:c r="AB13" s="230">
        <x:f>N13</x:f>
        <x:v>0</x:v>
      </x:c>
      <x:c r="AC13" s="256">
        <x:f>'Reporte Componentes R1'!X544</x:f>
        <x:v>0</x:v>
      </x:c>
      <x:c r="AD13" s="227">
        <x:f t="shared" si="2"/>
        <x:v>0</x:v>
      </x:c>
      <x:c r="AE13" s="227">
        <x:f>'Reporte Componentes R1'!F545</x:f>
        <x:v>0</x:v>
      </x:c>
      <x:c r="AF13" s="258">
        <x:f t="shared" si="4"/>
        <x:v>0</x:v>
      </x:c>
      <x:c r="AG13" s="262">
        <x:f>(AF13-O13)</x:f>
        <x:v>0</x:v>
      </x:c>
      <x:c r="AH13" s="241" t="b">
        <x:f t="shared" si="3"/>
        <x:v>1</x:v>
      </x:c>
      <x:c r="AI13" s="242"/>
    </x:row>
    <x:row r="14" spans="2:35" s="241" customFormat="1" ht="13.8" thickBot="1" x14ac:dyDescent="0.3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241" t="b">
        <x:f>INT(AG14)=0</x:f>
        <x:v>1</x:v>
      </x:c>
      <x:c r="AI14" s="242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106</x:v>
      </x:c>
      <x:c r="AF27" s="39" t="s">
        <x:v>23</x:v>
      </x:c>
      <x:c r="AG27" s="13"/>
      <x:c r="AI27" s="4"/>
    </x:row>
    <x:row r="28" spans="1:35" s="241" customFormat="1" ht="12" x14ac:dyDescent="0.25">
      <x:c r="B28" s="239">
        <x:v>1</x:v>
      </x:c>
      <x:c r="C28" s="240" t="s">
        <x:v>10</x:v>
      </x:c>
      <x:c r="D28" s="227">
        <x:f>'Rem. Anticipos R2'!E58</x:f>
        <x:v>0</x:v>
      </x:c>
      <x:c r="E28" s="228">
        <x:f>'Rem. Anticipos R2'!F58</x:f>
        <x:v>0</x:v>
      </x:c>
      <x:c r="F28" s="228">
        <x:f>'Rem. Anticipos R2'!G58</x:f>
        <x:v>0</x:v>
      </x:c>
      <x:c r="G28" s="228">
        <x:f>'Rem. Anticipos R2'!H58</x:f>
        <x:v>0</x:v>
      </x:c>
      <x:c r="H28" s="228">
        <x:f>'Rem. Anticipos R2'!I58</x:f>
        <x:v>0</x:v>
      </x:c>
      <x:c r="I28" s="228">
        <x:f>'Rem. Anticipos R2'!J58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R2'!K58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R2'!L58</x:f>
        <x:v>0</x:v>
      </x:c>
      <x:c r="V28" s="244">
        <x:f>'Rem. Anticipos R2'!M58</x:f>
        <x:v>0</x:v>
      </x:c>
      <x:c r="W28" s="244">
        <x:f>'Rem. Anticipos R2'!N58</x:f>
        <x:v>0</x:v>
      </x:c>
      <x:c r="X28" s="244">
        <x:f>'Rem. Anticipos R2'!O58</x:f>
        <x:v>0</x:v>
      </x:c>
      <x:c r="Y28" s="244">
        <x:f>'Rem. Anticipos R2'!P58</x:f>
        <x:v>0</x:v>
      </x:c>
      <x:c r="Z28" s="246">
        <x:f>L28*-1</x:f>
        <x:v>0</x:v>
      </x:c>
      <x:c r="AA28" s="247">
        <x:f>'Rem. Anticipos R2'!Q58</x:f>
        <x:v>0</x:v>
      </x:c>
      <x:c r="AB28" s="230">
        <x:f>N28</x:f>
        <x:v>0</x:v>
      </x:c>
      <x:c r="AC28" s="247">
        <x:v>0</x:v>
      </x:c>
      <x:c r="AD28" s="227">
        <x:f>-J28+AE28</x:f>
        <x:v>0</x:v>
      </x:c>
      <x:c r="AE28" s="227">
        <x:f>'Rem. Anticipos R2'!E59</x:f>
        <x:v>0</x:v>
      </x:c>
      <x:c r="AF28" s="249">
        <x:f>SUM(U28:AD28)</x:f>
        <x:v>0</x:v>
      </x:c>
      <x:c r="AG28" s="247">
        <x:f>(AF28-O28)</x:f>
        <x:v>0</x:v>
      </x:c>
      <x:c r="AH28" s="241" t="b">
        <x:f>INT(AG28)=0</x:f>
        <x:v>1</x:v>
      </x:c>
      <x:c r="AI28" s="242"/>
    </x:row>
    <x:row r="29" spans="1:35" s="241" customFormat="1" ht="12" x14ac:dyDescent="0.25">
      <x:c r="B29" s="250">
        <x:v>2</x:v>
      </x:c>
      <x:c r="C29" s="251" t="s">
        <x:v>11</x:v>
      </x:c>
      <x:c r="D29" s="227">
        <x:f>'Rem. Anticipos R2'!E154</x:f>
        <x:v>0</x:v>
      </x:c>
      <x:c r="E29" s="228">
        <x:f>'Rem. Anticipos R2'!F154</x:f>
        <x:v>0</x:v>
      </x:c>
      <x:c r="F29" s="228">
        <x:f>'Rem. Anticipos R2'!G154</x:f>
        <x:v>0</x:v>
      </x:c>
      <x:c r="G29" s="228">
        <x:f>'Rem. Anticipos R2'!H154</x:f>
        <x:v>0</x:v>
      </x:c>
      <x:c r="H29" s="228">
        <x:f>'Rem. Anticipos R2'!I154</x:f>
        <x:v>0</x:v>
      </x:c>
      <x:c r="I29" s="228">
        <x:f>'Rem. Anticipos R2'!J154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R2'!K154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R2'!L154</x:f>
        <x:v>0</x:v>
      </x:c>
      <x:c r="V29" s="253">
        <x:f>'Rem. Anticipos R2'!M154</x:f>
        <x:v>0</x:v>
      </x:c>
      <x:c r="W29" s="253">
        <x:f>'Rem. Anticipos R2'!N154</x:f>
        <x:v>0</x:v>
      </x:c>
      <x:c r="X29" s="253">
        <x:f>'Rem. Anticipos R2'!O154</x:f>
        <x:v>0</x:v>
      </x:c>
      <x:c r="Y29" s="254">
        <x:f>'Rem. Anticipos R2'!P154</x:f>
        <x:v>0</x:v>
      </x:c>
      <x:c r="Z29" s="255">
        <x:f>L29*-1</x:f>
        <x:v>0</x:v>
      </x:c>
      <x:c r="AA29" s="256">
        <x:f>'Rem. Anticipos R2'!Q154</x:f>
        <x:v>0</x:v>
      </x:c>
      <x:c r="AB29" s="230">
        <x:f>N29</x:f>
        <x:v>0</x:v>
      </x:c>
      <x:c r="AC29" s="256">
        <x:v>0</x:v>
      </x:c>
      <x:c r="AD29" s="227">
        <x:f>-J29+AE29</x:f>
        <x:v>0</x:v>
      </x:c>
      <x:c r="AE29" s="227">
        <x:f>'Rem. Anticipos R2'!E155</x:f>
        <x:v>0</x:v>
      </x:c>
      <x:c r="AF29" s="258">
        <x:f>SUM(U29:AD29)</x:f>
        <x:v>0</x:v>
      </x:c>
      <x:c r="AG29" s="259">
        <x:f>(AF29-O29)</x:f>
        <x:v>0</x:v>
      </x:c>
      <x:c r="AH29" s="241" t="b">
        <x:f t="shared" ref="AH29:AH32" si="9">INT(AG29)=0</x:f>
        <x:v>1</x:v>
      </x:c>
      <x:c r="AI29" s="242"/>
    </x:row>
    <x:row r="30" spans="1:35" s="241" customFormat="1" ht="12" x14ac:dyDescent="0.25">
      <x:c r="B30" s="250">
        <x:v>3</x:v>
      </x:c>
      <x:c r="C30" s="251" t="s">
        <x:v>12</x:v>
      </x:c>
      <x:c r="D30" s="227">
        <x:f>'Rem. Anticipos R2'!E271</x:f>
        <x:v>0</x:v>
      </x:c>
      <x:c r="E30" s="228">
        <x:f>'Rem. Anticipos R2'!F271</x:f>
        <x:v>0</x:v>
      </x:c>
      <x:c r="F30" s="228">
        <x:f>'Rem. Anticipos R2'!G271</x:f>
        <x:v>0</x:v>
      </x:c>
      <x:c r="G30" s="228">
        <x:f>'Rem. Anticipos R2'!H271</x:f>
        <x:v>0</x:v>
      </x:c>
      <x:c r="H30" s="228">
        <x:f>'Rem. Anticipos R2'!I271</x:f>
        <x:v>0</x:v>
      </x:c>
      <x:c r="I30" s="228">
        <x:f>'Rem. Anticipos R2'!J271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R2'!K271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R2'!L271</x:f>
        <x:v>0</x:v>
      </x:c>
      <x:c r="V30" s="253">
        <x:f>'Rem. Anticipos R2'!M271</x:f>
        <x:v>0</x:v>
      </x:c>
      <x:c r="W30" s="253">
        <x:f>'Rem. Anticipos R2'!N271</x:f>
        <x:v>0</x:v>
      </x:c>
      <x:c r="X30" s="253">
        <x:f>'Rem. Anticipos R2'!O271</x:f>
        <x:v>0</x:v>
      </x:c>
      <x:c r="Y30" s="254">
        <x:f>'Rem. Anticipos R2'!P271</x:f>
        <x:v>0</x:v>
      </x:c>
      <x:c r="Z30" s="255">
        <x:f>L30*-1</x:f>
        <x:v>0</x:v>
      </x:c>
      <x:c r="AA30" s="256">
        <x:f>'Rem. Anticipos R2'!Q271</x:f>
        <x:v>0</x:v>
      </x:c>
      <x:c r="AB30" s="230">
        <x:f>N30</x:f>
        <x:v>0</x:v>
      </x:c>
      <x:c r="AC30" s="256">
        <x:v>0</x:v>
      </x:c>
      <x:c r="AD30" s="227">
        <x:f t="shared" ref="AD30:AD32" si="10">-J30+AE30</x:f>
        <x:v>0</x:v>
      </x:c>
      <x:c r="AE30" s="227">
        <x:f>'Rem. Anticipos R2'!E272</x:f>
        <x:v>0</x:v>
      </x:c>
      <x:c r="AF30" s="258">
        <x:f>SUM(U30:AD30)</x:f>
        <x:v>0</x:v>
      </x:c>
      <x:c r="AG30" s="259">
        <x:f>(AF30-O30)</x:f>
        <x:v>0</x:v>
      </x:c>
      <x:c r="AH30" s="241" t="b">
        <x:f t="shared" si="9"/>
        <x:v>1</x:v>
      </x:c>
      <x:c r="AI30" s="242"/>
    </x:row>
    <x:row r="31" spans="1:35" s="241" customFormat="1" ht="12" x14ac:dyDescent="0.25">
      <x:c r="B31" s="250">
        <x:v>4</x:v>
      </x:c>
      <x:c r="C31" s="251" t="s">
        <x:v>13</x:v>
      </x:c>
      <x:c r="D31" s="227">
        <x:f>'Rem. Anticipos R2'!E373</x:f>
        <x:v>0</x:v>
      </x:c>
      <x:c r="E31" s="228">
        <x:f>'Rem. Anticipos R2'!F373</x:f>
        <x:v>0</x:v>
      </x:c>
      <x:c r="F31" s="228">
        <x:f>'Rem. Anticipos R2'!G373</x:f>
        <x:v>0</x:v>
      </x:c>
      <x:c r="G31" s="228">
        <x:f>'Rem. Anticipos R2'!H373</x:f>
        <x:v>0</x:v>
      </x:c>
      <x:c r="H31" s="228">
        <x:f>'Rem. Anticipos R2'!I373</x:f>
        <x:v>0</x:v>
      </x:c>
      <x:c r="I31" s="228">
        <x:f>'Rem. Anticipos R2'!J373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R2'!K373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R2'!L373</x:f>
        <x:v>0</x:v>
      </x:c>
      <x:c r="V31" s="253">
        <x:f>'Rem. Anticipos R2'!M373</x:f>
        <x:v>0</x:v>
      </x:c>
      <x:c r="W31" s="253">
        <x:f>'Rem. Anticipos R2'!N373</x:f>
        <x:v>0</x:v>
      </x:c>
      <x:c r="X31" s="253">
        <x:f>'Rem. Anticipos R2'!O373</x:f>
        <x:v>0</x:v>
      </x:c>
      <x:c r="Y31" s="254">
        <x:f>'Rem. Anticipos R2'!P373</x:f>
        <x:v>0</x:v>
      </x:c>
      <x:c r="Z31" s="255">
        <x:f>L31*-1</x:f>
        <x:v>0</x:v>
      </x:c>
      <x:c r="AA31" s="256">
        <x:f>'Rem. Anticipos R2'!Q373</x:f>
        <x:v>0</x:v>
      </x:c>
      <x:c r="AB31" s="230">
        <x:f>N31</x:f>
        <x:v>0</x:v>
      </x:c>
      <x:c r="AC31" s="256">
        <x:v>0</x:v>
      </x:c>
      <x:c r="AD31" s="227">
        <x:f t="shared" si="10"/>
        <x:v>0</x:v>
      </x:c>
      <x:c r="AE31" s="227">
        <x:f>'Rem. Anticipos R2'!E374</x:f>
        <x:v>0</x:v>
      </x:c>
      <x:c r="AF31" s="258">
        <x:f>SUM(U31:AD31)</x:f>
        <x:v>0</x:v>
      </x:c>
      <x:c r="AG31" s="259">
        <x:f t="shared" ref="AG31" si="11">(AF31-O31)</x:f>
        <x:v>0</x:v>
      </x:c>
      <x:c r="AH31" s="241" t="b">
        <x:f t="shared" si="9"/>
        <x:v>1</x:v>
      </x:c>
      <x:c r="AI31" s="242"/>
    </x:row>
    <x:row r="32" spans="1:35" s="241" customFormat="1" ht="12.6" thickBot="1" x14ac:dyDescent="0.3">
      <x:c r="B32" s="260">
        <x:v>5</x:v>
      </x:c>
      <x:c r="C32" s="261" t="s">
        <x:v>14</x:v>
      </x:c>
      <x:c r="D32" s="232">
        <x:f>'Rem. Anticipos R2'!E453</x:f>
        <x:v>0</x:v>
      </x:c>
      <x:c r="E32" s="233">
        <x:f>'Rem. Anticipos R2'!F453</x:f>
        <x:v>0</x:v>
      </x:c>
      <x:c r="F32" s="233">
        <x:f>'Rem. Anticipos R2'!G453</x:f>
        <x:v>0</x:v>
      </x:c>
      <x:c r="G32" s="233">
        <x:f>'Rem. Anticipos R2'!H453</x:f>
        <x:v>0</x:v>
      </x:c>
      <x:c r="H32" s="233">
        <x:f>'Rem. Anticipos R2'!I453</x:f>
        <x:v>0</x:v>
      </x:c>
      <x:c r="I32" s="233">
        <x:f>'Rem. Anticipos R2'!J453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R2'!K453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R2'!L453</x:f>
        <x:v>0</x:v>
      </x:c>
      <x:c r="V32" s="233">
        <x:f>'Rem. Anticipos R2'!M453</x:f>
        <x:v>0</x:v>
      </x:c>
      <x:c r="W32" s="233">
        <x:f>'Rem. Anticipos R2'!N453</x:f>
        <x:v>0</x:v>
      </x:c>
      <x:c r="X32" s="233">
        <x:f>'Rem. Anticipos R2'!O453</x:f>
        <x:v>0</x:v>
      </x:c>
      <x:c r="Y32" s="225">
        <x:f>'Rem. Anticipos R2'!P453</x:f>
        <x:v>0</x:v>
      </x:c>
      <x:c r="Z32" s="255">
        <x:f>L32*-1</x:f>
        <x:v>0</x:v>
      </x:c>
      <x:c r="AA32" s="256">
        <x:f>'Rem. Anticipos R2'!Q453</x:f>
        <x:v>0</x:v>
      </x:c>
      <x:c r="AB32" s="230">
        <x:f>N32</x:f>
        <x:v>0</x:v>
      </x:c>
      <x:c r="AC32" s="256">
        <x:v>0</x:v>
      </x:c>
      <x:c r="AD32" s="227">
        <x:f t="shared" si="10"/>
        <x:v>0</x:v>
      </x:c>
      <x:c r="AE32" s="227">
        <x:f>'Rem. Anticipos R2'!E454</x:f>
        <x:v>0</x:v>
      </x:c>
      <x:c r="AF32" s="258">
        <x:f>SUM(U32:AD32)</x:f>
        <x:v>0</x:v>
      </x:c>
      <x:c r="AG32" s="262">
        <x:f>(AF32-O32)</x:f>
        <x:v>0</x:v>
      </x:c>
      <x:c r="AH32" s="241" t="b">
        <x:f t="shared" si="9"/>
        <x:v>1</x:v>
      </x:c>
      <x:c r="AI32" s="242"/>
    </x:row>
    <x:row r="33" spans="1:35" s="241" customFormat="1" ht="13.8" thickBot="1" x14ac:dyDescent="0.3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241" t="b">
        <x:f>INT(AG33)=0</x:f>
        <x:v>1</x:v>
      </x:c>
      <x:c r="AI33" s="242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106</x:v>
      </x:c>
      <x:c r="AF46" s="39" t="s">
        <x:v>23</x:v>
      </x:c>
      <x:c r="AG46" s="13"/>
      <x:c r="AI46" s="4"/>
    </x:row>
    <x:row r="47" spans="1:35" s="241" customFormat="1" ht="12" x14ac:dyDescent="0.25">
      <x:c r="B47" s="239">
        <x:v>1</x:v>
      </x:c>
      <x:c r="C47" s="240" t="s">
        <x:v>10</x:v>
      </x:c>
      <x:c r="D47" s="227">
        <x:f>'Reporte Componentes R1'!F73</x:f>
        <x:v>0</x:v>
      </x:c>
      <x:c r="E47" s="228">
        <x:f>'Reporte Componentes R1'!G73</x:f>
        <x:v>0</x:v>
      </x:c>
      <x:c r="F47" s="228">
        <x:f>'Reporte Componentes R1'!H73</x:f>
        <x:v>0</x:v>
      </x:c>
      <x:c r="G47" s="228">
        <x:f>'Reporte Componentes R1'!I73</x:f>
        <x:v>0</x:v>
      </x:c>
      <x:c r="H47" s="228">
        <x:f>'Reporte Componentes R1'!J73</x:f>
        <x:v>0</x:v>
      </x:c>
      <x:c r="I47" s="228">
        <x:f>'Reporte Componentes R1'!K73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R1'!L73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R1'!M73</x:f>
        <x:v>0</x:v>
      </x:c>
      <x:c r="V47" s="244">
        <x:f>'Reporte Componentes R1'!N73</x:f>
        <x:v>0</x:v>
      </x:c>
      <x:c r="W47" s="244">
        <x:f>'Reporte Componentes R1'!O73</x:f>
        <x:v>0</x:v>
      </x:c>
      <x:c r="X47" s="244">
        <x:f>'Reporte Componentes R1'!P73</x:f>
        <x:v>0</x:v>
      </x:c>
      <x:c r="Y47" s="245">
        <x:f>'Reporte Componentes R1'!Q73</x:f>
        <x:v>0</x:v>
      </x:c>
      <x:c r="Z47" s="246">
        <x:f>-L47</x:f>
        <x:v>0</x:v>
      </x:c>
      <x:c r="AA47" s="247">
        <x:f>'Reporte Componentes R1'!R73+'Reporte Componentes R1'!S73</x:f>
        <x:v>0</x:v>
      </x:c>
      <x:c r="AB47" s="230">
        <x:f>N47</x:f>
        <x:v>0</x:v>
      </x:c>
      <x:c r="AC47" s="247">
        <x:v>0</x:v>
      </x:c>
      <x:c r="AD47" s="227">
        <x:f>-J47+AE47</x:f>
        <x:v>0</x:v>
      </x:c>
      <x:c r="AE47" s="227">
        <x:f>'Reporte Componentes R1'!F74</x:f>
        <x:v>0</x:v>
      </x:c>
      <x:c r="AF47" s="249">
        <x:f>SUM(U47:AD47)</x:f>
        <x:v>0</x:v>
      </x:c>
      <x:c r="AG47" s="247">
        <x:f>(AF47-O47)</x:f>
        <x:v>0</x:v>
      </x:c>
      <x:c r="AH47" s="241" t="b">
        <x:f>INT(AG47)=0</x:f>
        <x:v>1</x:v>
      </x:c>
      <x:c r="AI47" s="242"/>
    </x:row>
    <x:row r="48" spans="1:35" s="241" customFormat="1" ht="12" x14ac:dyDescent="0.25">
      <x:c r="B48" s="250">
        <x:v>2</x:v>
      </x:c>
      <x:c r="C48" s="251" t="s">
        <x:v>11</x:v>
      </x:c>
      <x:c r="D48" s="227">
        <x:f>'Reporte Componentes R1'!F203</x:f>
        <x:v>0</x:v>
      </x:c>
      <x:c r="E48" s="228">
        <x:f>'Reporte Componentes R1'!G203</x:f>
        <x:v>0</x:v>
      </x:c>
      <x:c r="F48" s="228">
        <x:f>'Reporte Componentes R1'!H203</x:f>
        <x:v>0</x:v>
      </x:c>
      <x:c r="G48" s="228">
        <x:f>'Reporte Componentes R1'!I203</x:f>
        <x:v>0</x:v>
      </x:c>
      <x:c r="H48" s="228">
        <x:f>'Reporte Componentes R1'!J203</x:f>
        <x:v>0</x:v>
      </x:c>
      <x:c r="I48" s="228">
        <x:f>'Reporte Componentes R1'!K203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R1'!L203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R1'!M203</x:f>
        <x:v>0</x:v>
      </x:c>
      <x:c r="V48" s="253">
        <x:f>'Reporte Componentes R1'!N203</x:f>
        <x:v>0</x:v>
      </x:c>
      <x:c r="W48" s="253">
        <x:f>'Reporte Componentes R1'!O203</x:f>
        <x:v>0</x:v>
      </x:c>
      <x:c r="X48" s="253">
        <x:f>'Reporte Componentes R1'!P203</x:f>
        <x:v>0</x:v>
      </x:c>
      <x:c r="Y48" s="254">
        <x:f>'Reporte Componentes R1'!Q203</x:f>
        <x:v>0</x:v>
      </x:c>
      <x:c r="Z48" s="255">
        <x:f>-L48</x:f>
        <x:v>0</x:v>
      </x:c>
      <x:c r="AA48" s="256">
        <x:f>'Reporte Componentes R1'!R203+'Reporte Componentes R1'!S203+'Reporte Componentes R1'!T203</x:f>
        <x:v>0</x:v>
      </x:c>
      <x:c r="AB48" s="230">
        <x:f>N48</x:f>
        <x:v>0</x:v>
      </x:c>
      <x:c r="AC48" s="256">
        <x:v>0</x:v>
      </x:c>
      <x:c r="AD48" s="227">
        <x:f t="shared" ref="AD48:AD51" si="16">-J48+AE48</x:f>
        <x:v>0</x:v>
      </x:c>
      <x:c r="AE48" s="227">
        <x:f>'Reporte Componentes R1'!F204</x:f>
        <x:v>0</x:v>
      </x:c>
      <x:c r="AF48" s="258">
        <x:f>SUM(U48:AD48)</x:f>
        <x:v>0</x:v>
      </x:c>
      <x:c r="AG48" s="259">
        <x:f>(AF48-O48)</x:f>
        <x:v>0</x:v>
      </x:c>
      <x:c r="AH48" s="241" t="b">
        <x:f t="shared" ref="AH48:AH51" si="17">INT(AG48)=0</x:f>
        <x:v>1</x:v>
      </x:c>
      <x:c r="AI48" s="242"/>
    </x:row>
    <x:row r="49" spans="1:35" s="241" customFormat="1" ht="12" x14ac:dyDescent="0.25">
      <x:c r="B49" s="250">
        <x:v>3</x:v>
      </x:c>
      <x:c r="C49" s="251" t="s">
        <x:v>12</x:v>
      </x:c>
      <x:c r="D49" s="227">
        <x:f>'Reporte Componentes R1'!F343</x:f>
        <x:v>0</x:v>
      </x:c>
      <x:c r="E49" s="228">
        <x:f>'Reporte Componentes R1'!G343</x:f>
        <x:v>0</x:v>
      </x:c>
      <x:c r="F49" s="228">
        <x:f>'Reporte Componentes R1'!H343</x:f>
        <x:v>0</x:v>
      </x:c>
      <x:c r="G49" s="228">
        <x:f>'Reporte Componentes R1'!I343</x:f>
        <x:v>0</x:v>
      </x:c>
      <x:c r="H49" s="228">
        <x:f>'Reporte Componentes R1'!J343</x:f>
        <x:v>0</x:v>
      </x:c>
      <x:c r="I49" s="228">
        <x:f>'Reporte Componentes R1'!K343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R1'!L343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R1'!M343</x:f>
        <x:v>0</x:v>
      </x:c>
      <x:c r="V49" s="253">
        <x:f>'Reporte Componentes R1'!N343</x:f>
        <x:v>0</x:v>
      </x:c>
      <x:c r="W49" s="253">
        <x:f>'Reporte Componentes R1'!O343</x:f>
        <x:v>0</x:v>
      </x:c>
      <x:c r="X49" s="253">
        <x:f>'Reporte Componentes R1'!P343</x:f>
        <x:v>0</x:v>
      </x:c>
      <x:c r="Y49" s="254">
        <x:f>'Reporte Componentes R1'!Q343</x:f>
        <x:v>0</x:v>
      </x:c>
      <x:c r="Z49" s="255">
        <x:f>-L49</x:f>
        <x:v>0</x:v>
      </x:c>
      <x:c r="AA49" s="256">
        <x:f>'Reporte Componentes R1'!R343+'Reporte Componentes R1'!S343+'Reporte Componentes R1'!T343</x:f>
        <x:v>0</x:v>
      </x:c>
      <x:c r="AB49" s="230">
        <x:f>N49</x:f>
        <x:v>0</x:v>
      </x:c>
      <x:c r="AC49" s="256">
        <x:v>0</x:v>
      </x:c>
      <x:c r="AD49" s="227">
        <x:f t="shared" si="16"/>
        <x:v>0</x:v>
      </x:c>
      <x:c r="AE49" s="227">
        <x:f>'Reporte Componentes R1'!F344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241" t="b">
        <x:f t="shared" si="17"/>
        <x:v>1</x:v>
      </x:c>
      <x:c r="AI49" s="242"/>
    </x:row>
    <x:row r="50" spans="1:35" s="241" customFormat="1" ht="12" x14ac:dyDescent="0.25">
      <x:c r="B50" s="250">
        <x:v>4</x:v>
      </x:c>
      <x:c r="C50" s="251" t="s">
        <x:v>13</x:v>
      </x:c>
      <x:c r="D50" s="227">
        <x:f>'Reporte Componentes R1'!F464</x:f>
        <x:v>0</x:v>
      </x:c>
      <x:c r="E50" s="228">
        <x:f>'Reporte Componentes R1'!G464</x:f>
        <x:v>0</x:v>
      </x:c>
      <x:c r="F50" s="228">
        <x:f>'Reporte Componentes R1'!H464</x:f>
        <x:v>0</x:v>
      </x:c>
      <x:c r="G50" s="228">
        <x:f>'Reporte Componentes R1'!I464</x:f>
        <x:v>0</x:v>
      </x:c>
      <x:c r="H50" s="228">
        <x:f>'Reporte Componentes R1'!J464</x:f>
        <x:v>0</x:v>
      </x:c>
      <x:c r="I50" s="228">
        <x:f>'Reporte Componentes R1'!K464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R1'!L464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R1'!M464</x:f>
        <x:v>0</x:v>
      </x:c>
      <x:c r="V50" s="253">
        <x:f>'Reporte Componentes R1'!N464</x:f>
        <x:v>0</x:v>
      </x:c>
      <x:c r="W50" s="253">
        <x:f>'Reporte Componentes R1'!O464</x:f>
        <x:v>0</x:v>
      </x:c>
      <x:c r="X50" s="253">
        <x:f>'Reporte Componentes R1'!P464</x:f>
        <x:v>0</x:v>
      </x:c>
      <x:c r="Y50" s="254">
        <x:f>'Reporte Componentes R1'!Q464</x:f>
        <x:v>0</x:v>
      </x:c>
      <x:c r="Z50" s="255">
        <x:f>-L50</x:f>
        <x:v>0</x:v>
      </x:c>
      <x:c r="AA50" s="256">
        <x:f>'Reporte Componentes R1'!R464+'Reporte Componentes R1'!S464</x:f>
        <x:v>0</x:v>
      </x:c>
      <x:c r="AB50" s="230">
        <x:f>N50</x:f>
        <x:v>0</x:v>
      </x:c>
      <x:c r="AC50" s="256">
        <x:v>0</x:v>
      </x:c>
      <x:c r="AD50" s="227">
        <x:f t="shared" si="16"/>
        <x:v>0</x:v>
      </x:c>
      <x:c r="AE50" s="227">
        <x:f>'Reporte Componentes R1'!F465</x:f>
        <x:v>0</x:v>
      </x:c>
      <x:c r="AF50" s="258">
        <x:f t="shared" si="18"/>
        <x:v>0</x:v>
      </x:c>
      <x:c r="AG50" s="259">
        <x:f t="shared" si="19"/>
        <x:v>0</x:v>
      </x:c>
      <x:c r="AH50" s="241" t="b">
        <x:f t="shared" si="17"/>
        <x:v>1</x:v>
      </x:c>
      <x:c r="AI50" s="242"/>
    </x:row>
    <x:row r="51" spans="1:35" s="241" customFormat="1" ht="12.6" thickBot="1" x14ac:dyDescent="0.3">
      <x:c r="B51" s="260">
        <x:v>5</x:v>
      </x:c>
      <x:c r="C51" s="261" t="s">
        <x:v>14</x:v>
      </x:c>
      <x:c r="D51" s="232">
        <x:f>'Reporte Componentes R1'!F546</x:f>
        <x:v>0</x:v>
      </x:c>
      <x:c r="E51" s="233">
        <x:f>'Reporte Componentes R1'!G546</x:f>
        <x:v>0</x:v>
      </x:c>
      <x:c r="F51" s="233">
        <x:f>'Reporte Componentes R1'!H546</x:f>
        <x:v>0</x:v>
      </x:c>
      <x:c r="G51" s="233">
        <x:f>'Reporte Componentes R1'!I546</x:f>
        <x:v>0</x:v>
      </x:c>
      <x:c r="H51" s="233">
        <x:f>'Reporte Componentes R1'!J546</x:f>
        <x:v>0</x:v>
      </x:c>
      <x:c r="I51" s="233">
        <x:f>'Reporte Componentes R1'!K546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R1'!L546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R1'!M546</x:f>
        <x:v>0</x:v>
      </x:c>
      <x:c r="V51" s="233">
        <x:f>'Reporte Componentes R1'!N546</x:f>
        <x:v>0</x:v>
      </x:c>
      <x:c r="W51" s="233">
        <x:f>'Reporte Componentes R1'!O546</x:f>
        <x:v>0</x:v>
      </x:c>
      <x:c r="X51" s="233">
        <x:f>'Reporte Componentes R1'!P546</x:f>
        <x:v>0</x:v>
      </x:c>
      <x:c r="Y51" s="225">
        <x:f>'Reporte Componentes R1'!Q546</x:f>
        <x:v>0</x:v>
      </x:c>
      <x:c r="Z51" s="255">
        <x:f>-L51</x:f>
        <x:v>0</x:v>
      </x:c>
      <x:c r="AA51" s="256">
        <x:f>'Reporte Componentes R1'!R546+'Reporte Componentes R1'!S546+'Reporte Componentes R1'!T546</x:f>
        <x:v>0</x:v>
      </x:c>
      <x:c r="AB51" s="230">
        <x:f>N51</x:f>
        <x:v>0</x:v>
      </x:c>
      <x:c r="AC51" s="256">
        <x:v>0</x:v>
      </x:c>
      <x:c r="AD51" s="227">
        <x:f t="shared" si="16"/>
        <x:v>0</x:v>
      </x:c>
      <x:c r="AE51" s="227">
        <x:f>'Reporte Componentes R1'!F547</x:f>
        <x:v>0</x:v>
      </x:c>
      <x:c r="AF51" s="258">
        <x:f t="shared" si="18"/>
        <x:v>0</x:v>
      </x:c>
      <x:c r="AG51" s="262">
        <x:f t="shared" si="19"/>
        <x:v>0</x:v>
      </x:c>
      <x:c r="AH51" s="241" t="b">
        <x:f t="shared" si="17"/>
        <x:v>1</x:v>
      </x:c>
      <x:c r="AI51" s="242"/>
    </x:row>
    <x:row r="52" spans="1:35" s="241" customFormat="1" ht="13.8" thickBot="1" x14ac:dyDescent="0.3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241" t="b">
        <x:f>INT(AG52)=0</x:f>
        <x:v>1</x:v>
      </x:c>
      <x:c r="AI52" s="242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106</x:v>
      </x:c>
      <x:c r="AF65" s="39" t="s">
        <x:v>23</x:v>
      </x:c>
      <x:c r="AG65" s="13"/>
      <x:c r="AI65" s="4"/>
    </x:row>
    <x:row r="66" spans="1:35" s="241" customFormat="1" ht="12" x14ac:dyDescent="0.25">
      <x:c r="B66" s="239">
        <x:v>1</x:v>
      </x:c>
      <x:c r="C66" s="240" t="s">
        <x:v>10</x:v>
      </x:c>
      <x:c r="D66" s="227">
        <x:f>'Reversion Pagos R4'!D88</x:f>
        <x:v>0</x:v>
      </x:c>
      <x:c r="E66" s="228">
        <x:f>'Reversion Pagos R4'!E88</x:f>
        <x:v>0</x:v>
      </x:c>
      <x:c r="F66" s="228">
        <x:f>'Reversion Pagos R4'!F88</x:f>
        <x:v>0</x:v>
      </x:c>
      <x:c r="G66" s="228">
        <x:f>'Reversion Pagos R4'!G88</x:f>
        <x:v>0</x:v>
      </x:c>
      <x:c r="H66" s="228">
        <x:f>'Reversion Pagos R4'!H88</x:f>
        <x:v>0</x:v>
      </x:c>
      <x:c r="I66" s="228">
        <x:f>'Reversion Pagos R4'!I88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R4'!P88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R4'!J88</x:f>
        <x:v>0</x:v>
      </x:c>
      <x:c r="V66" s="244">
        <x:f>'Reversion Pagos R4'!K88</x:f>
        <x:v>0</x:v>
      </x:c>
      <x:c r="W66" s="244">
        <x:f>'Reversion Pagos R4'!L88</x:f>
        <x:v>0</x:v>
      </x:c>
      <x:c r="X66" s="244">
        <x:f>'Reversion Pagos R4'!M88</x:f>
        <x:v>0</x:v>
      </x:c>
      <x:c r="Y66" s="244">
        <x:f>'Reversion Pagos R4'!N88</x:f>
        <x:v>0</x:v>
      </x:c>
      <x:c r="Z66" s="246">
        <x:f>-L66</x:f>
        <x:v>0</x:v>
      </x:c>
      <x:c r="AA66" s="247">
        <x:f>'Reversion Pagos R4'!O88+'Reversion Pagos R4'!Q88</x:f>
        <x:v>0</x:v>
      </x:c>
      <x:c r="AB66" s="230">
        <x:f>N66</x:f>
        <x:v>0</x:v>
      </x:c>
      <x:c r="AC66" s="247">
        <x:v>0</x:v>
      </x:c>
      <x:c r="AD66" s="227">
        <x:f>-J66+AE66</x:f>
        <x:v>0</x:v>
      </x:c>
      <x:c r="AE66" s="227">
        <x:f>'Reversion Pagos R4'!D89</x:f>
        <x:v>0</x:v>
      </x:c>
      <x:c r="AF66" s="249">
        <x:f>SUM(U66:AD66)</x:f>
        <x:v>0</x:v>
      </x:c>
      <x:c r="AG66" s="247">
        <x:f>(AF66-O66)</x:f>
        <x:v>0</x:v>
      </x:c>
      <x:c r="AH66" s="241" t="b">
        <x:f>INT(AG66)=0</x:f>
        <x:v>1</x:v>
      </x:c>
      <x:c r="AI66" s="242"/>
    </x:row>
    <x:row r="67" spans="1:35" s="241" customFormat="1" ht="12" x14ac:dyDescent="0.25">
      <x:c r="B67" s="250">
        <x:v>2</x:v>
      </x:c>
      <x:c r="C67" s="251" t="s">
        <x:v>11</x:v>
      </x:c>
      <x:c r="D67" s="227">
        <x:f>'Reversion Pagos R4'!D183</x:f>
        <x:v>0</x:v>
      </x:c>
      <x:c r="E67" s="228">
        <x:f>'Reversion Pagos R4'!E183</x:f>
        <x:v>0</x:v>
      </x:c>
      <x:c r="F67" s="228">
        <x:f>'Reversion Pagos R4'!F183</x:f>
        <x:v>0</x:v>
      </x:c>
      <x:c r="G67" s="228">
        <x:f>'Reversion Pagos R4'!G183</x:f>
        <x:v>0</x:v>
      </x:c>
      <x:c r="H67" s="228">
        <x:f>'Reversion Pagos R4'!H183</x:f>
        <x:v>0</x:v>
      </x:c>
      <x:c r="I67" s="228">
        <x:f>'Reversion Pagos R4'!I183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R4'!P183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R4'!J183</x:f>
        <x:v>0</x:v>
      </x:c>
      <x:c r="V67" s="253">
        <x:f>'Reversion Pagos R4'!K183</x:f>
        <x:v>0</x:v>
      </x:c>
      <x:c r="W67" s="253">
        <x:f>'Reversion Pagos R4'!L183</x:f>
        <x:v>0</x:v>
      </x:c>
      <x:c r="X67" s="253">
        <x:f>'Reversion Pagos R4'!M183</x:f>
        <x:v>0</x:v>
      </x:c>
      <x:c r="Y67" s="254">
        <x:f>'Reversion Pagos R4'!N183</x:f>
        <x:v>0</x:v>
      </x:c>
      <x:c r="Z67" s="255">
        <x:f t="shared" ref="Z67:Z70" si="26">-L67</x:f>
        <x:v>0</x:v>
      </x:c>
      <x:c r="AA67" s="256">
        <x:f>'Reversion Pagos R4'!O183</x:f>
        <x:v>0</x:v>
      </x:c>
      <x:c r="AB67" s="230">
        <x:f t="shared" ref="AB67:AB70" si="27">N67</x:f>
        <x:v>0</x:v>
      </x:c>
      <x:c r="AC67" s="256">
        <x:v>0</x:v>
      </x:c>
      <x:c r="AD67" s="227">
        <x:f t="shared" ref="AD67:AD70" si="28">-J67+AE67</x:f>
        <x:v>0</x:v>
      </x:c>
      <x:c r="AE67" s="227">
        <x:f>'Reversion Pagos R4'!D184</x:f>
        <x:v>0</x:v>
      </x:c>
      <x:c r="AF67" s="258">
        <x:f>SUM(U67:AD67)</x:f>
        <x:v>0</x:v>
      </x:c>
      <x:c r="AG67" s="259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ht="12" x14ac:dyDescent="0.25">
      <x:c r="B68" s="250">
        <x:v>3</x:v>
      </x:c>
      <x:c r="C68" s="251" t="s">
        <x:v>12</x:v>
      </x:c>
      <x:c r="D68" s="227">
        <x:f>'Reversion Pagos R4'!D220</x:f>
        <x:v>0</x:v>
      </x:c>
      <x:c r="E68" s="228">
        <x:f>'Reversion Pagos R4'!E220</x:f>
        <x:v>0</x:v>
      </x:c>
      <x:c r="F68" s="228">
        <x:f>'Reversion Pagos R4'!F220</x:f>
        <x:v>0</x:v>
      </x:c>
      <x:c r="G68" s="228">
        <x:f>'Reversion Pagos R4'!G220</x:f>
        <x:v>0</x:v>
      </x:c>
      <x:c r="H68" s="228">
        <x:f>'Reversion Pagos R4'!H220</x:f>
        <x:v>0</x:v>
      </x:c>
      <x:c r="I68" s="228">
        <x:f>'Reversion Pagos R4'!I220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R4'!P220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R4'!J220</x:f>
        <x:v>0</x:v>
      </x:c>
      <x:c r="V68" s="253">
        <x:f>'Reversion Pagos R4'!K220</x:f>
        <x:v>0</x:v>
      </x:c>
      <x:c r="W68" s="253">
        <x:f>'Reversion Pagos R4'!L220</x:f>
        <x:v>0</x:v>
      </x:c>
      <x:c r="X68" s="253">
        <x:f>'Reversion Pagos R4'!M220</x:f>
        <x:v>0</x:v>
      </x:c>
      <x:c r="Y68" s="254">
        <x:f>'Reversion Pagos R4'!N220</x:f>
        <x:v>0</x:v>
      </x:c>
      <x:c r="Z68" s="255">
        <x:f t="shared" si="26"/>
        <x:v>0</x:v>
      </x:c>
      <x:c r="AA68" s="256">
        <x:f>'Reversion Pagos R4'!O220</x:f>
        <x:v>0</x:v>
      </x:c>
      <x:c r="AB68" s="230">
        <x:f t="shared" si="27"/>
        <x:v>0</x:v>
      </x:c>
      <x:c r="AC68" s="256">
        <x:v>0</x:v>
      </x:c>
      <x:c r="AD68" s="227">
        <x:f t="shared" si="28"/>
        <x:v>0</x:v>
      </x:c>
      <x:c r="AE68" s="227">
        <x:f>'Reversion Pagos R4'!D221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241" t="b">
        <x:f t="shared" si="29"/>
        <x:v>1</x:v>
      </x:c>
      <x:c r="AI68" s="242"/>
    </x:row>
    <x:row r="69" spans="1:35" s="241" customFormat="1" ht="12" x14ac:dyDescent="0.25">
      <x:c r="B69" s="250">
        <x:v>4</x:v>
      </x:c>
      <x:c r="C69" s="251" t="s">
        <x:v>13</x:v>
      </x:c>
      <x:c r="D69" s="227">
        <x:f>'Reversion Pagos R4'!D335</x:f>
        <x:v>0</x:v>
      </x:c>
      <x:c r="E69" s="228">
        <x:f>'Reversion Pagos R4'!E335</x:f>
        <x:v>0</x:v>
      </x:c>
      <x:c r="F69" s="228">
        <x:f>'Reversion Pagos R4'!F335</x:f>
        <x:v>0</x:v>
      </x:c>
      <x:c r="G69" s="228">
        <x:f>'Reversion Pagos R4'!G335</x:f>
        <x:v>0</x:v>
      </x:c>
      <x:c r="H69" s="228">
        <x:f>'Reversion Pagos R4'!H335</x:f>
        <x:v>0</x:v>
      </x:c>
      <x:c r="I69" s="228">
        <x:f>'Reversion Pagos R4'!I335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R4'!P335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R4'!J335</x:f>
        <x:v>0</x:v>
      </x:c>
      <x:c r="V69" s="253">
        <x:f>'Reversion Pagos R4'!K335</x:f>
        <x:v>0</x:v>
      </x:c>
      <x:c r="W69" s="253">
        <x:f>'Reversion Pagos R4'!L335</x:f>
        <x:v>0</x:v>
      </x:c>
      <x:c r="X69" s="253">
        <x:f>'Reversion Pagos R4'!M335</x:f>
        <x:v>0</x:v>
      </x:c>
      <x:c r="Y69" s="254">
        <x:f>'Reversion Pagos R4'!N335</x:f>
        <x:v>0</x:v>
      </x:c>
      <x:c r="Z69" s="255">
        <x:f t="shared" si="26"/>
        <x:v>0</x:v>
      </x:c>
      <x:c r="AA69" s="256">
        <x:f>'Reversion Pagos R4'!O335</x:f>
        <x:v>0</x:v>
      </x:c>
      <x:c r="AB69" s="230">
        <x:f t="shared" si="27"/>
        <x:v>0</x:v>
      </x:c>
      <x:c r="AC69" s="256">
        <x:v>0</x:v>
      </x:c>
      <x:c r="AD69" s="227">
        <x:f t="shared" si="28"/>
        <x:v>0</x:v>
      </x:c>
      <x:c r="AE69" s="227">
        <x:f>'Reversion Pagos R4'!D336</x:f>
        <x:v>0</x:v>
      </x:c>
      <x:c r="AF69" s="258">
        <x:f>SUM(U69:AD69)</x:f>
        <x:v>0</x:v>
      </x:c>
      <x:c r="AG69" s="259">
        <x:f>(AF69-O69)</x:f>
        <x:v>0</x:v>
      </x:c>
      <x:c r="AH69" s="241" t="b">
        <x:f t="shared" si="29"/>
        <x:v>1</x:v>
      </x:c>
      <x:c r="AI69" s="242"/>
    </x:row>
    <x:row r="70" spans="1:35" s="241" customFormat="1" ht="12.6" thickBot="1" x14ac:dyDescent="0.3">
      <x:c r="B70" s="260">
        <x:v>5</x:v>
      </x:c>
      <x:c r="C70" s="261" t="s">
        <x:v>14</x:v>
      </x:c>
      <x:c r="D70" s="232">
        <x:f>'Reversion Pagos R4'!D370</x:f>
        <x:v>0</x:v>
      </x:c>
      <x:c r="E70" s="233">
        <x:f>'Reversion Pagos R4'!E370</x:f>
        <x:v>0</x:v>
      </x:c>
      <x:c r="F70" s="233">
        <x:f>'Reversion Pagos R4'!F370</x:f>
        <x:v>0</x:v>
      </x:c>
      <x:c r="G70" s="233">
        <x:f>'Reversion Pagos R4'!G370</x:f>
        <x:v>0</x:v>
      </x:c>
      <x:c r="H70" s="233">
        <x:f>'Reversion Pagos R4'!H370</x:f>
        <x:v>0</x:v>
      </x:c>
      <x:c r="I70" s="233">
        <x:f>'Reversion Pagos R4'!I370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R4'!P370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R4'!J370</x:f>
        <x:v>0</x:v>
      </x:c>
      <x:c r="V70" s="233">
        <x:f>'Reversion Pagos R4'!K370</x:f>
        <x:v>0</x:v>
      </x:c>
      <x:c r="W70" s="233">
        <x:f>'Reversion Pagos R4'!L370</x:f>
        <x:v>0</x:v>
      </x:c>
      <x:c r="X70" s="233">
        <x:f>'Reversion Pagos R4'!M370</x:f>
        <x:v>0</x:v>
      </x:c>
      <x:c r="Y70" s="225">
        <x:f>'Reversion Pagos R4'!N370</x:f>
        <x:v>0</x:v>
      </x:c>
      <x:c r="Z70" s="255">
        <x:f t="shared" si="26"/>
        <x:v>0</x:v>
      </x:c>
      <x:c r="AA70" s="256">
        <x:f>'Reversion Pagos R4'!O370</x:f>
        <x:v>0</x:v>
      </x:c>
      <x:c r="AB70" s="230">
        <x:f t="shared" si="27"/>
        <x:v>0</x:v>
      </x:c>
      <x:c r="AC70" s="256">
        <x:v>0</x:v>
      </x:c>
      <x:c r="AD70" s="227">
        <x:f t="shared" si="28"/>
        <x:v>0</x:v>
      </x:c>
      <x:c r="AE70" s="227">
        <x:f>'Reversion Pagos R4'!D371</x:f>
        <x:v>0</x:v>
      </x:c>
      <x:c r="AF70" s="258">
        <x:f t="shared" si="30"/>
        <x:v>0</x:v>
      </x:c>
      <x:c r="AG70" s="262">
        <x:f t="shared" si="31"/>
        <x:v>0</x:v>
      </x:c>
      <x:c r="AH70" s="241" t="b">
        <x:f t="shared" si="29"/>
        <x:v>1</x:v>
      </x:c>
      <x:c r="AI70" s="242"/>
    </x:row>
    <x:row r="71" spans="1:35" s="241" customFormat="1" ht="13.8" thickBot="1" x14ac:dyDescent="0.3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241" t="b">
        <x:f>INT(AG71)=0</x:f>
        <x:v>1</x:v>
      </x:c>
      <x:c r="AI71" s="242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ht="12" x14ac:dyDescent="0.25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247">
        <x:f>AF85-O85</x:f>
        <x:v>0</x:v>
      </x:c>
      <x:c r="AH85" s="241" t="b">
        <x:f>INT(AG85)=0</x:f>
        <x:v>1</x:v>
      </x:c>
      <x:c r="AI85" s="242"/>
    </x:row>
    <x:row r="86" spans="1:35" s="241" customFormat="1" ht="12" x14ac:dyDescent="0.25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f>-L86</x:f>
        <x:v>0</x:v>
      </x:c>
      <x:c r="AA86" s="256">
        <x:v>0</x:v>
      </x:c>
      <x:c r="AB86" s="230">
        <x:f>N86</x:f>
        <x:v>0</x:v>
      </x:c>
      <x:c r="AC86" s="256">
        <x:v>0</x:v>
      </x:c>
      <x:c r="AD86" s="227">
        <x:f t="shared" ref="AD86:AD89" si="36">-J86+AE86</x:f>
        <x:v>0</x:v>
      </x:c>
      <x:c r="AE86" s="227">
        <x:v>0</x:v>
      </x:c>
      <x:c r="AF86" s="258">
        <x:f>SUM(U86:AD86)</x:f>
        <x:v>0</x:v>
      </x:c>
      <x:c r="AG86" s="259">
        <x:f>AF86-O86</x:f>
        <x:v>0</x:v>
      </x:c>
      <x:c r="AH86" s="241" t="b">
        <x:f t="shared" ref="AH86:AH89" si="37">INT(AG86)=0</x:f>
        <x:v>1</x:v>
      </x:c>
      <x:c r="AI86" s="242"/>
    </x:row>
    <x:row r="87" spans="1:35" s="241" customFormat="1" ht="12" x14ac:dyDescent="0.25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f>-L87</x:f>
        <x:v>0</x:v>
      </x:c>
      <x:c r="AA87" s="256">
        <x:v>0</x:v>
      </x:c>
      <x:c r="AB87" s="230">
        <x:f>N87</x:f>
        <x:v>0</x:v>
      </x:c>
      <x:c r="AC87" s="256">
        <x:v>0</x:v>
      </x:c>
      <x:c r="AD87" s="227">
        <x:f t="shared" si="36"/>
        <x:v>0</x:v>
      </x:c>
      <x:c r="AE87" s="227">
        <x:v>0</x:v>
      </x:c>
      <x:c r="AF87" s="258">
        <x:f t="shared" ref="AF87:AF89" si="38">SUM(U87:AD87)</x:f>
        <x:v>0</x:v>
      </x:c>
      <x:c r="AG87" s="259">
        <x:f>AF87-O87</x:f>
        <x:v>0</x:v>
      </x:c>
      <x:c r="AH87" s="241" t="b">
        <x:f t="shared" si="37"/>
        <x:v>1</x:v>
      </x:c>
      <x:c r="AI87" s="242"/>
    </x:row>
    <x:row r="88" spans="1:35" s="241" customFormat="1" ht="12" x14ac:dyDescent="0.25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f>-L88</x:f>
        <x:v>0</x:v>
      </x:c>
      <x:c r="AA88" s="256">
        <x:v>0</x:v>
      </x:c>
      <x:c r="AB88" s="230">
        <x:f>N88</x:f>
        <x:v>0</x:v>
      </x:c>
      <x:c r="AC88" s="256">
        <x:v>0</x:v>
      </x:c>
      <x:c r="AD88" s="227">
        <x:f t="shared" si="36"/>
        <x:v>0</x:v>
      </x:c>
      <x:c r="AE88" s="227">
        <x:v>0</x:v>
      </x:c>
      <x:c r="AF88" s="258">
        <x:f t="shared" si="38"/>
        <x:v>0</x:v>
      </x:c>
      <x:c r="AG88" s="259">
        <x:f>AF88-O88</x:f>
        <x:v>0</x:v>
      </x:c>
      <x:c r="AH88" s="241" t="b">
        <x:f t="shared" si="37"/>
        <x:v>1</x:v>
      </x:c>
      <x:c r="AI88" s="242"/>
    </x:row>
    <x:row r="89" spans="1:35" s="241" customFormat="1" ht="12.6" thickBot="1" x14ac:dyDescent="0.3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f>-L89</x:f>
        <x:v>0</x:v>
      </x:c>
      <x:c r="AA89" s="256">
        <x:v>0</x:v>
      </x:c>
      <x:c r="AB89" s="230">
        <x:f>N89</x:f>
        <x:v>0</x:v>
      </x:c>
      <x:c r="AC89" s="256">
        <x:v>0</x:v>
      </x:c>
      <x:c r="AD89" s="227">
        <x:f t="shared" si="36"/>
        <x:v>0</x:v>
      </x:c>
      <x:c r="AE89" s="227">
        <x:v>0</x:v>
      </x:c>
      <x:c r="AF89" s="258">
        <x:f t="shared" si="38"/>
        <x:v>0</x:v>
      </x:c>
      <x:c r="AG89" s="262">
        <x:f>AF89-O89</x:f>
        <x:v>0</x:v>
      </x:c>
      <x:c r="AH89" s="241" t="b">
        <x:f t="shared" si="37"/>
        <x:v>1</x:v>
      </x:c>
      <x:c r="AI89" s="242"/>
    </x:row>
    <x:row r="90" spans="1:35" s="241" customFormat="1" ht="13.8" thickBot="1" x14ac:dyDescent="0.3">
      <x:c r="B90" s="263"/>
      <x:c r="C90" s="264" t="s">
        <x:v>2</x:v>
      </x:c>
      <x:c r="D90" s="226">
        <x:f t="shared" ref="D90:O90" si="39">SUM(D85:D89)</x:f>
        <x:v>0</x:v>
      </x:c>
      <x:c r="E90" s="226">
        <x:f t="shared" si="39"/>
        <x:v>0</x:v>
      </x:c>
      <x:c r="F90" s="226">
        <x:f t="shared" si="39"/>
        <x:v>0</x:v>
      </x:c>
      <x:c r="G90" s="226">
        <x:f t="shared" si="39"/>
        <x:v>0</x:v>
      </x:c>
      <x:c r="H90" s="226">
        <x:f t="shared" si="39"/>
        <x:v>0</x:v>
      </x:c>
      <x:c r="I90" s="226">
        <x:f t="shared" si="39"/>
        <x:v>0</x:v>
      </x:c>
      <x:c r="J90" s="226">
        <x:f t="shared" si="39"/>
        <x:v>0</x:v>
      </x:c>
      <x:c r="K90" s="236">
        <x:f t="shared" si="39"/>
        <x:v>0</x:v>
      </x:c>
      <x:c r="L90" s="237">
        <x:f t="shared" si="39"/>
        <x:v>0</x:v>
      </x:c>
      <x:c r="M90" s="238">
        <x:f t="shared" si="39"/>
        <x:v>0</x:v>
      </x:c>
      <x:c r="N90" s="237">
        <x:f t="shared" si="39"/>
        <x:v>0</x:v>
      </x:c>
      <x:c r="O90" s="238">
        <x:f t="shared" si="39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0">SUM(V85:V89)</x:f>
        <x:v>0</x:v>
      </x:c>
      <x:c r="W90" s="266">
        <x:f t="shared" si="40"/>
        <x:v>0</x:v>
      </x:c>
      <x:c r="X90" s="266">
        <x:f t="shared" si="40"/>
        <x:v>0</x:v>
      </x:c>
      <x:c r="Y90" s="266">
        <x:f t="shared" si="40"/>
        <x:v>0</x:v>
      </x:c>
      <x:c r="Z90" s="226">
        <x:f t="shared" si="40"/>
        <x:v>0</x:v>
      </x:c>
      <x:c r="AA90" s="226">
        <x:f t="shared" si="40"/>
        <x:v>0</x:v>
      </x:c>
      <x:c r="AB90" s="226">
        <x:f t="shared" si="40"/>
        <x:v>0</x:v>
      </x:c>
      <x:c r="AC90" s="226">
        <x:f t="shared" si="40"/>
        <x:v>0</x:v>
      </x:c>
      <x:c r="AD90" s="226">
        <x:f t="shared" si="40"/>
        <x:v>0</x:v>
      </x:c>
      <x:c r="AE90" s="226">
        <x:f t="shared" si="40"/>
        <x:v>0</x:v>
      </x:c>
      <x:c r="AF90" s="267">
        <x:f t="shared" si="40"/>
        <x:v>0</x:v>
      </x:c>
      <x:c r="AG90" s="268">
        <x:f t="shared" si="40"/>
        <x:v>0</x:v>
      </x:c>
      <x:c r="AH90" s="241" t="b">
        <x:f>INT(AG90)=0</x:f>
        <x:v>1</x:v>
      </x:c>
      <x:c r="AI90" s="242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11" t="s">
        <x:v>17</x:v>
      </x:c>
      <x:c r="D101" s="9">
        <x:f>D6</x:f>
        <x:v>46238</x:v>
      </x:c>
      <x:c r="F101" s="58" t="s">
        <x:v>220</x:v>
      </x:c>
      <x:c r="G101" s="58"/>
      <x:c r="H101" s="59"/>
      <x:c r="I101" s="60"/>
      <x:c r="J101" s="59"/>
      <x:c r="K101" s="60"/>
      <x:c r="L101" s="90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ht="12" x14ac:dyDescent="0.25">
      <x:c r="B104" s="239">
        <x:v>1</x:v>
      </x:c>
      <x:c r="C104" s="240" t="s">
        <x:v>10</x:v>
      </x:c>
      <x:c r="D104" s="227">
        <x:f t="shared" ref="D104:J108" si="41">D9+D28+D47+D66+D85</x:f>
        <x:v>0</x:v>
      </x:c>
      <x:c r="E104" s="228">
        <x:f t="shared" si="41"/>
        <x:v>0</x:v>
      </x:c>
      <x:c r="F104" s="228">
        <x:f t="shared" si="41"/>
        <x:v>0</x:v>
      </x:c>
      <x:c r="G104" s="228">
        <x:f t="shared" si="41"/>
        <x:v>0</x:v>
      </x:c>
      <x:c r="H104" s="228">
        <x:f t="shared" si="41"/>
        <x:v>0</x:v>
      </x:c>
      <x:c r="I104" s="228">
        <x:f t="shared" si="41"/>
        <x:v>0</x:v>
      </x:c>
      <x:c r="J104" s="224">
        <x:f t="shared" si="41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2">U9+U28+U47+U66+U85</x:f>
        <x:v>0</x:v>
      </x:c>
      <x:c r="V104" s="244">
        <x:f t="shared" si="42"/>
        <x:v>0</x:v>
      </x:c>
      <x:c r="W104" s="244">
        <x:f t="shared" si="42"/>
        <x:v>0</x:v>
      </x:c>
      <x:c r="X104" s="244">
        <x:f t="shared" si="42"/>
        <x:v>0</x:v>
      </x:c>
      <x:c r="Y104" s="245">
        <x:f t="shared" si="42"/>
        <x:v>0</x:v>
      </x:c>
      <x:c r="Z104" s="246">
        <x:f t="shared" si="42"/>
        <x:v>0</x:v>
      </x:c>
      <x:c r="AA104" s="247">
        <x:f t="shared" si="42"/>
        <x:v>0</x:v>
      </x:c>
      <x:c r="AB104" s="230">
        <x:f t="shared" si="42"/>
        <x:v>0</x:v>
      </x:c>
      <x:c r="AC104" s="247">
        <x:f t="shared" ref="AC104" si="43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 t="shared" ref="AH104:AH109" si="44">INT(ABS(AG104))=0</x:f>
        <x:v>1</x:v>
      </x:c>
      <x:c r="AI104" s="242"/>
    </x:row>
    <x:row r="105" spans="2:36" s="241" customFormat="1" ht="12" x14ac:dyDescent="0.25">
      <x:c r="B105" s="250">
        <x:v>2</x:v>
      </x:c>
      <x:c r="C105" s="251" t="s">
        <x:v>11</x:v>
      </x:c>
      <x:c r="D105" s="227">
        <x:f t="shared" si="41"/>
        <x:v>0</x:v>
      </x:c>
      <x:c r="E105" s="228">
        <x:f t="shared" si="41"/>
        <x:v>0</x:v>
      </x:c>
      <x:c r="F105" s="228">
        <x:f t="shared" si="41"/>
        <x:v>0</x:v>
      </x:c>
      <x:c r="G105" s="228">
        <x:f t="shared" si="41"/>
        <x:v>0</x:v>
      </x:c>
      <x:c r="H105" s="228">
        <x:f t="shared" si="41"/>
        <x:v>0</x:v>
      </x:c>
      <x:c r="I105" s="228">
        <x:f t="shared" si="41"/>
        <x:v>0</x:v>
      </x:c>
      <x:c r="J105" s="224">
        <x:f t="shared" si="41"/>
        <x:v>0</x:v>
      </x:c>
      <x:c r="K105" s="231">
        <x:f t="shared" ref="K105:K108" si="45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6">M105+N105</x:f>
        <x:v>0</x:v>
      </x:c>
      <x:c r="Q105" s="242"/>
      <x:c r="S105" s="250">
        <x:v>2</x:v>
      </x:c>
      <x:c r="T105" s="251" t="s">
        <x:v>11</x:v>
      </x:c>
      <x:c r="U105" s="252">
        <x:f t="shared" si="42"/>
        <x:v>0</x:v>
      </x:c>
      <x:c r="V105" s="253">
        <x:f t="shared" si="42"/>
        <x:v>0</x:v>
      </x:c>
      <x:c r="W105" s="253">
        <x:f t="shared" si="42"/>
        <x:v>0</x:v>
      </x:c>
      <x:c r="X105" s="253">
        <x:f t="shared" si="42"/>
        <x:v>0</x:v>
      </x:c>
      <x:c r="Y105" s="254">
        <x:f t="shared" si="42"/>
        <x:v>0</x:v>
      </x:c>
      <x:c r="Z105" s="255">
        <x:f t="shared" si="42"/>
        <x:v>0</x:v>
      </x:c>
      <x:c r="AA105" s="256">
        <x:f t="shared" si="42"/>
        <x:v>0</x:v>
      </x:c>
      <x:c r="AB105" s="230">
        <x:f t="shared" si="42"/>
        <x:v>0</x:v>
      </x:c>
      <x:c r="AC105" s="256">
        <x:f t="shared" ref="AC105" si="47">AC10+AC29+AC48+AC67+AC86</x:f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si="44"/>
        <x:v>1</x:v>
      </x:c>
      <x:c r="AI105" s="242"/>
    </x:row>
    <x:row r="106" spans="2:36" s="241" customFormat="1" ht="12" x14ac:dyDescent="0.25">
      <x:c r="B106" s="250">
        <x:v>3</x:v>
      </x:c>
      <x:c r="C106" s="251" t="s">
        <x:v>12</x:v>
      </x:c>
      <x:c r="D106" s="227">
        <x:f t="shared" si="41"/>
        <x:v>0</x:v>
      </x:c>
      <x:c r="E106" s="228">
        <x:f t="shared" si="41"/>
        <x:v>0</x:v>
      </x:c>
      <x:c r="F106" s="228">
        <x:f t="shared" si="41"/>
        <x:v>0</x:v>
      </x:c>
      <x:c r="G106" s="228">
        <x:f t="shared" si="41"/>
        <x:v>0</x:v>
      </x:c>
      <x:c r="H106" s="228">
        <x:f t="shared" si="41"/>
        <x:v>0</x:v>
      </x:c>
      <x:c r="I106" s="228">
        <x:f t="shared" si="41"/>
        <x:v>0</x:v>
      </x:c>
      <x:c r="J106" s="224">
        <x:f t="shared" si="41"/>
        <x:v>0</x:v>
      </x:c>
      <x:c r="K106" s="231">
        <x:f t="shared" si="45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6"/>
        <x:v>0</x:v>
      </x:c>
      <x:c r="Q106" s="242"/>
      <x:c r="S106" s="250">
        <x:v>3</x:v>
      </x:c>
      <x:c r="T106" s="251" t="s">
        <x:v>12</x:v>
      </x:c>
      <x:c r="U106" s="252">
        <x:f t="shared" si="42"/>
        <x:v>0</x:v>
      </x:c>
      <x:c r="V106" s="253">
        <x:f t="shared" si="42"/>
        <x:v>0</x:v>
      </x:c>
      <x:c r="W106" s="253">
        <x:f t="shared" si="42"/>
        <x:v>0</x:v>
      </x:c>
      <x:c r="X106" s="253">
        <x:f t="shared" si="42"/>
        <x:v>0</x:v>
      </x:c>
      <x:c r="Y106" s="254">
        <x:f t="shared" si="42"/>
        <x:v>0</x:v>
      </x:c>
      <x:c r="Z106" s="255">
        <x:f t="shared" si="42"/>
        <x:v>0</x:v>
      </x:c>
      <x:c r="AA106" s="256">
        <x:f t="shared" si="42"/>
        <x:v>0</x:v>
      </x:c>
      <x:c r="AB106" s="230">
        <x:f t="shared" si="42"/>
        <x:v>0</x:v>
      </x:c>
      <x:c r="AC106" s="256">
        <x:f t="shared" ref="AC106" si="49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4"/>
        <x:v>1</x:v>
      </x:c>
      <x:c r="AI106" s="242"/>
    </x:row>
    <x:row r="107" spans="2:36" s="241" customFormat="1" ht="12" x14ac:dyDescent="0.25">
      <x:c r="B107" s="250">
        <x:v>4</x:v>
      </x:c>
      <x:c r="C107" s="251" t="s">
        <x:v>13</x:v>
      </x:c>
      <x:c r="D107" s="227">
        <x:f t="shared" si="41"/>
        <x:v>0</x:v>
      </x:c>
      <x:c r="E107" s="228">
        <x:f t="shared" si="41"/>
        <x:v>0</x:v>
      </x:c>
      <x:c r="F107" s="228">
        <x:f t="shared" si="41"/>
        <x:v>0</x:v>
      </x:c>
      <x:c r="G107" s="228">
        <x:f t="shared" si="41"/>
        <x:v>0</x:v>
      </x:c>
      <x:c r="H107" s="228">
        <x:f t="shared" si="41"/>
        <x:v>0</x:v>
      </x:c>
      <x:c r="I107" s="228">
        <x:f t="shared" si="41"/>
        <x:v>0</x:v>
      </x:c>
      <x:c r="J107" s="224">
        <x:f t="shared" si="41"/>
        <x:v>0</x:v>
      </x:c>
      <x:c r="K107" s="231">
        <x:f t="shared" si="45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6"/>
        <x:v>0</x:v>
      </x:c>
      <x:c r="Q107" s="242"/>
      <x:c r="S107" s="250">
        <x:v>4</x:v>
      </x:c>
      <x:c r="T107" s="251" t="s">
        <x:v>13</x:v>
      </x:c>
      <x:c r="U107" s="252">
        <x:f t="shared" si="42"/>
        <x:v>0</x:v>
      </x:c>
      <x:c r="V107" s="253">
        <x:f t="shared" si="42"/>
        <x:v>0</x:v>
      </x:c>
      <x:c r="W107" s="253">
        <x:f t="shared" si="42"/>
        <x:v>0</x:v>
      </x:c>
      <x:c r="X107" s="253">
        <x:f t="shared" si="42"/>
        <x:v>0</x:v>
      </x:c>
      <x:c r="Y107" s="254">
        <x:f t="shared" si="42"/>
        <x:v>0</x:v>
      </x:c>
      <x:c r="Z107" s="255">
        <x:f t="shared" si="42"/>
        <x:v>0</x:v>
      </x:c>
      <x:c r="AA107" s="256">
        <x:f t="shared" si="42"/>
        <x:v>0</x:v>
      </x:c>
      <x:c r="AB107" s="230">
        <x:f t="shared" si="42"/>
        <x:v>0</x:v>
      </x:c>
      <x:c r="AC107" s="256">
        <x:f t="shared" ref="AC107" si="50">AC12+AC31+AC50+AC69+AC88</x:f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4"/>
        <x:v>1</x:v>
      </x:c>
      <x:c r="AI107" s="242"/>
    </x:row>
    <x:row r="108" spans="2:36" s="241" customFormat="1" ht="12.6" thickBot="1" x14ac:dyDescent="0.3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1"/>
        <x:v>0</x:v>
      </x:c>
      <x:c r="F108" s="233">
        <x:f t="shared" si="41"/>
        <x:v>0</x:v>
      </x:c>
      <x:c r="G108" s="233">
        <x:f t="shared" si="41"/>
        <x:v>0</x:v>
      </x:c>
      <x:c r="H108" s="233">
        <x:f t="shared" si="41"/>
        <x:v>0</x:v>
      </x:c>
      <x:c r="I108" s="233">
        <x:f t="shared" si="41"/>
        <x:v>0</x:v>
      </x:c>
      <x:c r="J108" s="225">
        <x:f t="shared" si="41"/>
        <x:v>0</x:v>
      </x:c>
      <x:c r="K108" s="231">
        <x:f t="shared" si="45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6"/>
        <x:v>0</x:v>
      </x:c>
      <x:c r="Q108" s="242"/>
      <x:c r="S108" s="260">
        <x:v>5</x:v>
      </x:c>
      <x:c r="T108" s="261" t="s">
        <x:v>14</x:v>
      </x:c>
      <x:c r="U108" s="232">
        <x:f t="shared" si="42"/>
        <x:v>0</x:v>
      </x:c>
      <x:c r="V108" s="233">
        <x:f t="shared" si="42"/>
        <x:v>0</x:v>
      </x:c>
      <x:c r="W108" s="233">
        <x:f t="shared" si="42"/>
        <x:v>0</x:v>
      </x:c>
      <x:c r="X108" s="233">
        <x:f t="shared" si="42"/>
        <x:v>0</x:v>
      </x:c>
      <x:c r="Y108" s="225">
        <x:f t="shared" si="42"/>
        <x:v>0</x:v>
      </x:c>
      <x:c r="Z108" s="255">
        <x:f t="shared" si="42"/>
        <x:v>0</x:v>
      </x:c>
      <x:c r="AA108" s="256">
        <x:f t="shared" si="42"/>
        <x:v>0</x:v>
      </x:c>
      <x:c r="AB108" s="230">
        <x:f t="shared" si="42"/>
        <x:v>0</x:v>
      </x:c>
      <x:c r="AC108" s="256">
        <x:f t="shared" ref="AC108" si="51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4"/>
        <x:v>1</x:v>
      </x:c>
      <x:c r="AI108" s="242"/>
    </x:row>
    <x:row r="109" spans="2:36" s="241" customFormat="1" ht="13.8" thickBot="1" x14ac:dyDescent="0.3">
      <x:c r="B109" s="263"/>
      <x:c r="C109" s="264" t="s">
        <x:v>2</x:v>
      </x:c>
      <x:c r="D109" s="226">
        <x:f t="shared" ref="D109:O109" si="52">SUM(D104:D108)</x:f>
        <x:v>0</x:v>
      </x:c>
      <x:c r="E109" s="226">
        <x:f t="shared" si="52"/>
        <x:v>0</x:v>
      </x:c>
      <x:c r="F109" s="226">
        <x:f t="shared" si="52"/>
        <x:v>0</x:v>
      </x:c>
      <x:c r="G109" s="226">
        <x:f t="shared" si="52"/>
        <x:v>0</x:v>
      </x:c>
      <x:c r="H109" s="226">
        <x:f t="shared" si="52"/>
        <x:v>0</x:v>
      </x:c>
      <x:c r="I109" s="226">
        <x:f t="shared" si="52"/>
        <x:v>0</x:v>
      </x:c>
      <x:c r="J109" s="226">
        <x:f t="shared" si="52"/>
        <x:v>0</x:v>
      </x:c>
      <x:c r="K109" s="236">
        <x:f t="shared" si="52"/>
        <x:v>0</x:v>
      </x:c>
      <x:c r="L109" s="237">
        <x:f t="shared" si="52"/>
        <x:v>0</x:v>
      </x:c>
      <x:c r="M109" s="238">
        <x:f t="shared" si="52"/>
        <x:v>0</x:v>
      </x:c>
      <x:c r="N109" s="237">
        <x:f t="shared" si="52"/>
        <x:v>0</x:v>
      </x:c>
      <x:c r="O109" s="238">
        <x:f t="shared" si="52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3">SUM(V104:V108)</x:f>
        <x:v>0</x:v>
      </x:c>
      <x:c r="W109" s="266">
        <x:f t="shared" si="53"/>
        <x:v>0</x:v>
      </x:c>
      <x:c r="X109" s="266">
        <x:f t="shared" si="53"/>
        <x:v>0</x:v>
      </x:c>
      <x:c r="Y109" s="266">
        <x:f t="shared" si="53"/>
        <x:v>0</x:v>
      </x:c>
      <x:c r="Z109" s="226">
        <x:f t="shared" si="53"/>
        <x:v>0</x:v>
      </x:c>
      <x:c r="AA109" s="226">
        <x:f t="shared" si="53"/>
        <x:v>0</x:v>
      </x:c>
      <x:c r="AB109" s="226">
        <x:f t="shared" si="53"/>
        <x:v>0</x:v>
      </x:c>
      <x:c r="AC109" s="226">
        <x:f t="shared" ref="AC109" si="54">SUM(AC104:AC108)</x:f>
        <x:v>0</x:v>
      </x:c>
      <x:c r="AD109" s="226">
        <x:f t="shared" si="53"/>
        <x:v>0</x:v>
      </x:c>
      <x:c r="AE109" s="226">
        <x:f>SUM(AE104:AE108)</x:f>
        <x:v>0</x:v>
      </x:c>
      <x:c r="AF109" s="267">
        <x:f t="shared" si="53"/>
        <x:v>0</x:v>
      </x:c>
      <x:c r="AG109" s="268">
        <x:f>SUM(AG104:AG108)</x:f>
        <x:v>0</x:v>
      </x:c>
      <x:c r="AH109" s="1" t="b">
        <x:f t="shared" si="44"/>
        <x:v>1</x:v>
      </x:c>
      <x:c r="AI109" s="242"/>
    </x:row>
    <x:row r="110" spans="2:36" ht="12.6" thickBot="1" x14ac:dyDescent="0.3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189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ht="12" x14ac:dyDescent="0.25">
      <x:c r="B125" s="270">
        <x:v>1</x:v>
      </x:c>
      <x:c r="C125" s="271" t="s">
        <x:v>10</x:v>
      </x:c>
      <x:c r="D125" s="244">
        <x:f>'ANTICIPOS USUARIOS'!R3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USUARIOS'!R12</x:f>
        <x:v>0</x:v>
      </x:c>
      <x:c r="L125" s="245">
        <x:f>-'ANTICIPOS USUARIOS'!R21</x:f>
        <x:v>0</x:v>
      </x:c>
      <x:c r="O125" s="273"/>
      <x:c r="Q125" s="242"/>
    </x:row>
    <x:row r="126" spans="1:35" s="241" customFormat="1" ht="12" x14ac:dyDescent="0.25">
      <x:c r="B126" s="250">
        <x:v>2</x:v>
      </x:c>
      <x:c r="C126" s="274" t="s">
        <x:v>11</x:v>
      </x:c>
      <x:c r="D126" s="228">
        <x:f>'ANTICIPOS USUARIOS'!R4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5">D67+N67</x:f>
        <x:v>0</x:v>
      </x:c>
      <x:c r="K126" s="224">
        <x:f>'ANTICIPOS USUARIOS'!R13</x:f>
        <x:v>0</x:v>
      </x:c>
      <x:c r="L126" s="224">
        <x:f>-'ANTICIPOS USUARIOS'!R22</x:f>
        <x:v>0</x:v>
      </x:c>
      <x:c r="O126" s="273"/>
      <x:c r="Q126" s="242"/>
    </x:row>
    <x:row r="127" spans="1:35" s="241" customFormat="1" ht="12" x14ac:dyDescent="0.25">
      <x:c r="B127" s="250">
        <x:v>3</x:v>
      </x:c>
      <x:c r="C127" s="274" t="s">
        <x:v>12</x:v>
      </x:c>
      <x:c r="D127" s="228">
        <x:f>'ANTICIPOS USUARIOS'!R5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5"/>
        <x:v>0</x:v>
      </x:c>
      <x:c r="K127" s="224">
        <x:f>'ANTICIPOS USUARIOS'!R14</x:f>
        <x:v>0</x:v>
      </x:c>
      <x:c r="L127" s="224">
        <x:f>-'ANTICIPOS USUARIOS'!R23</x:f>
        <x:v>0</x:v>
      </x:c>
      <x:c r="O127" s="273"/>
      <x:c r="Q127" s="242"/>
    </x:row>
    <x:row r="128" spans="1:35" s="241" customFormat="1" ht="12" x14ac:dyDescent="0.25">
      <x:c r="B128" s="250">
        <x:v>4</x:v>
      </x:c>
      <x:c r="C128" s="274" t="s">
        <x:v>13</x:v>
      </x:c>
      <x:c r="D128" s="228">
        <x:f>'ANTICIPOS USUARIOS'!R6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5"/>
        <x:v>0</x:v>
      </x:c>
      <x:c r="K128" s="224">
        <x:f>'ANTICIPOS USUARIOS'!R15</x:f>
        <x:v>0</x:v>
      </x:c>
      <x:c r="L128" s="224">
        <x:f>-'ANTICIPOS USUARIOS'!R24</x:f>
        <x:v>0</x:v>
      </x:c>
      <x:c r="O128" s="273"/>
      <x:c r="Q128" s="242"/>
    </x:row>
    <x:row r="129" spans="1:19" s="241" customFormat="1" ht="12" x14ac:dyDescent="0.25">
      <x:c r="B129" s="277">
        <x:v>5</x:v>
      </x:c>
      <x:c r="C129" s="278" t="s">
        <x:v>14</x:v>
      </x:c>
      <x:c r="D129" s="228">
        <x:f>'ANTICIPOS USUARIOS'!R7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5"/>
        <x:v>0</x:v>
      </x:c>
      <x:c r="K129" s="224">
        <x:f>'ANTICIPOS USUARIOS'!R16</x:f>
        <x:v>0</x:v>
      </x:c>
      <x:c r="L129" s="224">
        <x:f>-'ANTICIPOS USUARIOS'!R25</x:f>
        <x:v>0</x:v>
      </x:c>
      <x:c r="O129" s="273"/>
      <x:c r="Q129" s="242"/>
    </x:row>
    <x:row r="130" spans="1:19" s="241" customFormat="1" ht="12.6" thickBot="1" x14ac:dyDescent="0.3">
      <x:c r="B130" s="260" t="s">
        <x:v>89</x:v>
      </x:c>
      <x:c r="C130" s="281" t="s">
        <x:v>113</x:v>
      </x:c>
      <x:c r="D130" s="233"/>
      <x:c r="E130" s="225">
        <x:f>'Recaudo EAAB + Ciud Limp'!D26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9" s="241" customFormat="1" ht="12.6" thickBot="1" x14ac:dyDescent="0.3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6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9" ht="12" x14ac:dyDescent="0.25">
      <x:c r="B132" s="2"/>
      <x:c r="C132" s="2"/>
      <x:c r="D132" s="24"/>
      <x:c r="Q132" s="4"/>
    </x:row>
    <x:row r="133" spans="1:19" ht="12" x14ac:dyDescent="0.25">
      <x:c r="B133" s="2"/>
      <x:c r="C133" s="2"/>
      <x:c r="D133" s="24"/>
      <x:c r="L133" s="1" t="s">
        <x:v>1</x:v>
      </x:c>
      <x:c r="Q133" s="4"/>
    </x:row>
    <x:row r="134" spans="1:19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6" thickBot="1" x14ac:dyDescent="0.3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241" customFormat="1" ht="12" x14ac:dyDescent="0.25">
      <x:c r="B142" s="270">
        <x:v>1</x:v>
      </x:c>
      <x:c r="C142" s="271" t="s">
        <x:v>10</x:v>
      </x:c>
      <x:c r="D142" s="244">
        <x:f>D104+N104+D125+E125</x:f>
        <x:v>0</x:v>
      </x:c>
      <x:c r="E142" s="244">
        <x:f>'Recaudo EAAB + Ciud Limp'!D21</x:f>
        <x:v>0</x:v>
      </x:c>
      <x:c r="F142" s="244">
        <x:f>D28+N28</x:f>
        <x:v>0</x:v>
      </x:c>
      <x:c r="G142" s="244">
        <x:f>D66+N66</x:f>
        <x:v>0</x:v>
      </x:c>
      <x:c r="H142" s="244">
        <x:f>D85+N85</x:f>
        <x:v>0</x:v>
      </x:c>
      <x:c r="I142" s="244">
        <x:v>0</x:v>
      </x:c>
      <x:c r="J142" s="244">
        <x:f t="shared" ref="J142:K146" si="57">G125</x:f>
        <x:v>0</x:v>
      </x:c>
      <x:c r="K142" s="245">
        <x:f t="shared" si="57"/>
        <x:v>0</x:v>
      </x:c>
      <x:c r="L142" s="443">
        <x:f>D142-E142-F142-G142-J142-H142-I142</x:f>
        <x:v>0</x:v>
      </x:c>
      <x:c r="M142" s="1" t="b">
        <x:f t="shared" ref="M142:M147" si="58">INT(ABS(L142))=0</x:f>
        <x:v>1</x:v>
      </x:c>
      <x:c r="P142" s="296"/>
      <x:c r="Q142" s="297"/>
      <x:c r="R142" s="296"/>
      <x:c r="S142" s="1"/>
    </x:row>
    <x:row r="143" spans="1:19" s="241" customFormat="1" ht="12" x14ac:dyDescent="0.25">
      <x:c r="B143" s="250">
        <x:v>2</x:v>
      </x:c>
      <x:c r="C143" s="274" t="s">
        <x:v>11</x:v>
      </x:c>
      <x:c r="D143" s="253">
        <x:f>D105+N105+D126+E126</x:f>
        <x:v>0</x:v>
      </x:c>
      <x:c r="E143" s="253">
        <x:f>'Recaudo EAAB + Ciud Limp'!D22</x:f>
        <x:v>0</x:v>
      </x:c>
      <x:c r="F143" s="253">
        <x:f>D29+N29</x:f>
        <x:v>0</x:v>
      </x:c>
      <x:c r="G143" s="253">
        <x:f>D67+N67</x:f>
        <x:v>0</x:v>
      </x:c>
      <x:c r="H143" s="253">
        <x:f>D86+N86</x:f>
        <x:v>0</x:v>
      </x:c>
      <x:c r="I143" s="253">
        <x:v>0</x:v>
      </x:c>
      <x:c r="J143" s="253">
        <x:f t="shared" si="57"/>
        <x:v>0</x:v>
      </x:c>
      <x:c r="K143" s="254">
        <x:f t="shared" si="57"/>
        <x:v>0</x:v>
      </x:c>
      <x:c r="L143" s="443">
        <x:f>D143-E143-F143-G143-J143-H143-I143</x:f>
        <x:v>0</x:v>
      </x:c>
      <x:c r="M143" s="1" t="b">
        <x:f t="shared" si="58"/>
        <x:v>1</x:v>
      </x:c>
      <x:c r="P143" s="296"/>
      <x:c r="Q143" s="297"/>
      <x:c r="R143" s="296"/>
      <x:c r="S143" s="1"/>
    </x:row>
    <x:row r="144" spans="1:19" s="241" customFormat="1" ht="12" x14ac:dyDescent="0.25">
      <x:c r="B144" s="250">
        <x:v>3</x:v>
      </x:c>
      <x:c r="C144" s="274" t="s">
        <x:v>12</x:v>
      </x:c>
      <x:c r="D144" s="253">
        <x:f>D106+N106+D127+E127</x:f>
        <x:v>0</x:v>
      </x:c>
      <x:c r="E144" s="253">
        <x:f>'Recaudo EAAB + Ciud Limp'!D23</x:f>
        <x:v>0</x:v>
      </x:c>
      <x:c r="F144" s="253">
        <x:f>D30+N30</x:f>
        <x:v>0</x:v>
      </x:c>
      <x:c r="G144" s="253">
        <x:f>D68+N68</x:f>
        <x:v>0</x:v>
      </x:c>
      <x:c r="H144" s="253">
        <x:f>D87+N87</x:f>
        <x:v>0</x:v>
      </x:c>
      <x:c r="I144" s="253">
        <x:v>0</x:v>
      </x:c>
      <x:c r="J144" s="253">
        <x:f t="shared" si="57"/>
        <x:v>0</x:v>
      </x:c>
      <x:c r="K144" s="254">
        <x:f t="shared" si="57"/>
        <x:v>0</x:v>
      </x:c>
      <x:c r="L144" s="443">
        <x:f>D144-E144-F144-G144-J144-H144-I144</x:f>
        <x:v>0</x:v>
      </x:c>
      <x:c r="M144" s="1" t="b">
        <x:f t="shared" si="58"/>
        <x:v>1</x:v>
      </x:c>
      <x:c r="P144" s="296"/>
      <x:c r="Q144" s="297"/>
      <x:c r="R144" s="296"/>
      <x:c r="S144" s="1"/>
    </x:row>
    <x:row r="145" spans="1:20" s="241" customFormat="1" ht="12" x14ac:dyDescent="0.25">
      <x:c r="B145" s="250">
        <x:v>4</x:v>
      </x:c>
      <x:c r="C145" s="274" t="s">
        <x:v>13</x:v>
      </x:c>
      <x:c r="D145" s="253">
        <x:f>D107+N107+D128+E128</x:f>
        <x:v>0</x:v>
      </x:c>
      <x:c r="E145" s="253">
        <x:f>'Recaudo EAAB + Ciud Limp'!D24</x:f>
        <x:v>0</x:v>
      </x:c>
      <x:c r="F145" s="253">
        <x:f>D31+N31</x:f>
        <x:v>0</x:v>
      </x:c>
      <x:c r="G145" s="253">
        <x:f>D69+N69</x:f>
        <x:v>0</x:v>
      </x:c>
      <x:c r="H145" s="253">
        <x:f>D88+N88</x:f>
        <x:v>0</x:v>
      </x:c>
      <x:c r="I145" s="253">
        <x:v>0</x:v>
      </x:c>
      <x:c r="J145" s="253">
        <x:f t="shared" si="57"/>
        <x:v>0</x:v>
      </x:c>
      <x:c r="K145" s="254">
        <x:f t="shared" si="57"/>
        <x:v>0</x:v>
      </x:c>
      <x:c r="L145" s="443">
        <x:f>D145-E145-F145-G145-J145-H145-I145</x:f>
        <x:v>0</x:v>
      </x:c>
      <x:c r="M145" s="1" t="b">
        <x:f t="shared" si="58"/>
        <x:v>1</x:v>
      </x:c>
      <x:c r="P145" s="296"/>
      <x:c r="Q145" s="297"/>
      <x:c r="R145" s="296"/>
      <x:c r="S145" s="1"/>
    </x:row>
    <x:row r="146" spans="1:20" s="241" customFormat="1" ht="12.6" thickBot="1" x14ac:dyDescent="0.3">
      <x:c r="B146" s="277">
        <x:v>5</x:v>
      </x:c>
      <x:c r="C146" s="278" t="s">
        <x:v>14</x:v>
      </x:c>
      <x:c r="D146" s="292">
        <x:f>D108+N108+D129+E129</x:f>
        <x:v>0</x:v>
      </x:c>
      <x:c r="E146" s="253">
        <x:f>'Recaudo EAAB + Ciud Limp'!D25</x:f>
        <x:v>0</x:v>
      </x:c>
      <x:c r="F146" s="292">
        <x:f>D32+N32</x:f>
        <x:v>0</x:v>
      </x:c>
      <x:c r="G146" s="292">
        <x:f>D70+N70</x:f>
        <x:v>0</x:v>
      </x:c>
      <x:c r="H146" s="292">
        <x:f>D89+N89</x:f>
        <x:v>0</x:v>
      </x:c>
      <x:c r="I146" s="292">
        <x:v>0</x:v>
      </x:c>
      <x:c r="J146" s="292">
        <x:f t="shared" si="57"/>
        <x:v>0</x:v>
      </x:c>
      <x:c r="K146" s="294">
        <x:f t="shared" si="57"/>
        <x:v>0</x:v>
      </x:c>
      <x:c r="L146" s="443">
        <x:f>D146-E146-F146-G146-J146-H146-I146</x:f>
        <x:v>0</x:v>
      </x:c>
      <x:c r="M146" s="1" t="b">
        <x:f t="shared" si="58"/>
        <x:v>1</x:v>
      </x:c>
      <x:c r="P146" s="296"/>
      <x:c r="Q146" s="297"/>
      <x:c r="R146" s="296"/>
      <x:c r="S146" s="1"/>
    </x:row>
    <x:row r="147" spans="1:20" s="241" customFormat="1" ht="12.6" thickBot="1" x14ac:dyDescent="0.3">
      <x:c r="B147" s="263"/>
      <x:c r="C147" s="264" t="s">
        <x:v>2</x:v>
      </x:c>
      <x:c r="D147" s="298">
        <x:f>SUM(D142:D146)</x:f>
        <x:v>0</x:v>
      </x:c>
      <x:c r="E147" s="298">
        <x:f>SUM(E142:E146)</x:f>
        <x:v>0</x:v>
      </x:c>
      <x:c r="F147" s="298">
        <x:f t="shared" ref="F147:K147" si="59">SUM(F142:F146)</x:f>
        <x:v>0</x:v>
      </x:c>
      <x:c r="G147" s="298">
        <x:f t="shared" si="59"/>
        <x:v>0</x:v>
      </x:c>
      <x:c r="H147" s="298">
        <x:f t="shared" si="59"/>
        <x:v>0</x:v>
      </x:c>
      <x:c r="I147" s="298">
        <x:f t="shared" si="59"/>
        <x:v>0</x:v>
      </x:c>
      <x:c r="J147" s="298">
        <x:f t="shared" si="59"/>
        <x:v>0</x:v>
      </x:c>
      <x:c r="K147" s="298">
        <x:f t="shared" si="59"/>
        <x:v>0</x:v>
      </x:c>
      <x:c r="L147" s="443">
        <x:f>SUM(L142:L146)</x:f>
        <x:v>0</x:v>
      </x:c>
      <x:c r="M147" s="1" t="b">
        <x:f t="shared" si="58"/>
        <x:v>1</x:v>
      </x:c>
      <x:c r="P147" s="296"/>
      <x:c r="Q147" s="297"/>
      <x:c r="R147" s="296"/>
      <x:c r="S147" s="1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topLeftCell="C1" zoomScale="90" zoomScaleNormal="90" workbookViewId="0">
      <x:selection activeCell="M14" sqref="M14"/>
    </x:sheetView>
  </x:sheetViews>
  <x:sheetFormatPr baseColWidth="10" defaultRowHeight="13.2" x14ac:dyDescent="0.25"/>
  <x:cols>
    <x:col min="1" max="1" width="3" customWidth="1"/>
    <x:col min="2" max="2" width="4.33203125" bestFit="1" customWidth="1"/>
    <x:col min="3" max="3" width="16.6640625" customWidth="1"/>
    <x:col min="4" max="4" width="14.33203125" customWidth="1"/>
    <x:col min="5" max="7" width="17.6640625" customWidth="1"/>
    <x:col min="8" max="8" width="18.33203125" customWidth="1"/>
    <x:col min="9" max="9" width="15.6640625" customWidth="1"/>
    <x:col min="10" max="10" width="16.44140625" customWidth="1"/>
    <x:col min="11" max="11" width="15.6640625" customWidth="1"/>
    <x:col min="12" max="13" width="18.33203125" customWidth="1"/>
    <x:col min="14" max="14" width="15.6640625" customWidth="1"/>
    <x:col min="15" max="15" width="14.3320312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5">
      <x:c r="B3" s="239">
        <x:v>1</x:v>
      </x:c>
      <x:c r="C3" s="228">
        <x:f>'Recaudo EAAB + Ciud Limp'!D21</x:f>
        <x:v>0</x:v>
      </x:c>
      <x:c r="D3" s="228">
        <x:f>'REMUNERACION_EAAB-CL'!G125</x:f>
        <x:v>0</x:v>
      </x:c>
      <x:c r="E3" s="228">
        <x:f>'REMUNERACION_EAAB-CL'!H125</x:f>
        <x:v>0</x:v>
      </x:c>
      <x:c r="F3" s="228">
        <x:v>0</x:v>
      </x:c>
      <x:c r="G3" s="228">
        <x:f>'REMUNERACION_EAAB-CL'!I125</x:f>
        <x:v>0</x:v>
      </x:c>
      <x:c r="H3" s="276">
        <x:f t="shared" ref="H3:H8" si="0">SUM(C3:G3)</x:f>
        <x:v>0</x:v>
      </x:c>
      <x:c r="I3" s="227">
        <x:f>'REMUNERACION_EAAB-CL'!D104</x:f>
        <x:v>0</x:v>
      </x:c>
      <x:c r="J3" s="228">
        <x:f>'REMUNERACION_EAAB-CL'!N104</x:f>
        <x:v>0</x:v>
      </x:c>
      <x:c r="K3" s="228">
        <x:f>'REMUNERACION_EAAB-CL'!D125</x:f>
        <x:v>0</x:v>
      </x:c>
      <x:c r="L3" s="289">
        <x:f>'REMUNERACION_EAAB-CL'!E125</x:f>
        <x:v>0</x:v>
      </x:c>
      <x:c r="M3" s="228">
        <x:f>-'REMUNERACION_EAAB-CL'!D66+'REMUNERACION_EAAB-CL'!N66</x:f>
        <x:v>0</x:v>
      </x:c>
      <x:c r="N3" s="224">
        <x:f>SUM(I3:M3)</x:f>
        <x:v>0</x:v>
      </x:c>
      <x:c r="O3" s="290">
        <x:f t="shared" ref="O3:O8" si="1">H3-N3</x:f>
        <x:v>0</x:v>
      </x:c>
      <x:c r="P3" s="1" t="b">
        <x:f>INT(O3)=0</x:f>
        <x:v>1</x:v>
      </x:c>
    </x:row>
    <x:row r="4" spans="2:16" s="291" customFormat="1" x14ac:dyDescent="0.25">
      <x:c r="B4" s="250">
        <x:v>2</x:v>
      </x:c>
      <x:c r="C4" s="253">
        <x:f>'Recaudo EAAB + Ciud Limp'!D22</x:f>
        <x:v>0</x:v>
      </x:c>
      <x:c r="D4" s="228">
        <x:f>'REMUNERACION_EAAB-CL'!G126</x:f>
        <x:v>0</x:v>
      </x:c>
      <x:c r="E4" s="228">
        <x:f>'REMUNERACION_EAAB-CL'!H126</x:f>
        <x:v>0</x:v>
      </x:c>
      <x:c r="F4" s="228">
        <x:v>0</x:v>
      </x:c>
      <x:c r="G4" s="228">
        <x:f>'REMUNERACION_EAAB-CL'!I126</x:f>
        <x:v>0</x:v>
      </x:c>
      <x:c r="H4" s="276">
        <x:f t="shared" si="0"/>
        <x:v>0</x:v>
      </x:c>
      <x:c r="I4" s="227">
        <x:f>'REMUNERACION_EAAB-CL'!D105</x:f>
        <x:v>0</x:v>
      </x:c>
      <x:c r="J4" s="228">
        <x:f>'REMUNERACION_EAAB-CL'!N105</x:f>
        <x:v>0</x:v>
      </x:c>
      <x:c r="K4" s="228">
        <x:f>'REMUNERACION_EAAB-CL'!D126</x:f>
        <x:v>0</x:v>
      </x:c>
      <x:c r="L4" s="289">
        <x:f>'REMUNERACION_EAAB-CL'!E126</x:f>
        <x:v>0</x:v>
      </x:c>
      <x:c r="M4" s="228">
        <x:f>-'REMUNERACION_EAAB-CL'!D67+'REMUNERACION_EAAB-CL'!N67</x:f>
        <x:v>0</x:v>
      </x:c>
      <x:c r="N4" s="254">
        <x:f>SUM(I4:M4)</x:f>
        <x:v>0</x:v>
      </x:c>
      <x:c r="O4" s="290">
        <x:f t="shared" si="1"/>
        <x:v>0</x:v>
      </x:c>
      <x:c r="P4" s="1" t="b">
        <x:f t="shared" ref="P4:P9" si="2">INT(O4)=0</x:f>
        <x:v>1</x:v>
      </x:c>
    </x:row>
    <x:row r="5" spans="2:16" s="291" customFormat="1" x14ac:dyDescent="0.25">
      <x:c r="B5" s="250">
        <x:v>3</x:v>
      </x:c>
      <x:c r="C5" s="253">
        <x:f>'Recaudo EAAB + Ciud Limp'!D23</x:f>
        <x:v>0</x:v>
      </x:c>
      <x:c r="D5" s="228">
        <x:f>'REMUNERACION_EAAB-CL'!G127</x:f>
        <x:v>0</x:v>
      </x:c>
      <x:c r="E5" s="228">
        <x:f>'REMUNERACION_EAAB-CL'!H127</x:f>
        <x:v>0</x:v>
      </x:c>
      <x:c r="F5" s="228">
        <x:v>0</x:v>
      </x:c>
      <x:c r="G5" s="228">
        <x:f>'REMUNERACION_EAAB-CL'!I127</x:f>
        <x:v>0</x:v>
      </x:c>
      <x:c r="H5" s="276">
        <x:f t="shared" si="0"/>
        <x:v>0</x:v>
      </x:c>
      <x:c r="I5" s="227">
        <x:f>'REMUNERACION_EAAB-CL'!D106</x:f>
        <x:v>0</x:v>
      </x:c>
      <x:c r="J5" s="228">
        <x:f>'REMUNERACION_EAAB-CL'!N106</x:f>
        <x:v>0</x:v>
      </x:c>
      <x:c r="K5" s="228">
        <x:f>'REMUNERACION_EAAB-CL'!D127</x:f>
        <x:v>0</x:v>
      </x:c>
      <x:c r="L5" s="289">
        <x:f>'REMUNERACION_EAAB-CL'!E127</x:f>
        <x:v>0</x:v>
      </x:c>
      <x:c r="M5" s="228">
        <x:f>-'REMUNERACION_EAAB-CL'!D68+'REMUNERACION_EAAB-CL'!N68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5">
      <x:c r="B6" s="250">
        <x:v>4</x:v>
      </x:c>
      <x:c r="C6" s="253">
        <x:f>'Recaudo EAAB + Ciud Limp'!D24</x:f>
        <x:v>0</x:v>
      </x:c>
      <x:c r="D6" s="228">
        <x:f>'REMUNERACION_EAAB-CL'!G128</x:f>
        <x:v>0</x:v>
      </x:c>
      <x:c r="E6" s="228">
        <x:f>'REMUNERACION_EAAB-CL'!H128</x:f>
        <x:v>0</x:v>
      </x:c>
      <x:c r="F6" s="228">
        <x:v>0</x:v>
      </x:c>
      <x:c r="G6" s="228">
        <x:f>'REMUNERACION_EAAB-CL'!I128</x:f>
        <x:v>0</x:v>
      </x:c>
      <x:c r="H6" s="276">
        <x:f t="shared" si="0"/>
        <x:v>0</x:v>
      </x:c>
      <x:c r="I6" s="227">
        <x:f>'REMUNERACION_EAAB-CL'!D107</x:f>
        <x:v>0</x:v>
      </x:c>
      <x:c r="J6" s="228">
        <x:f>'REMUNERACION_EAAB-CL'!N107</x:f>
        <x:v>0</x:v>
      </x:c>
      <x:c r="K6" s="228">
        <x:f>'REMUNERACION_EAAB-CL'!D128</x:f>
        <x:v>0</x:v>
      </x:c>
      <x:c r="L6" s="289">
        <x:f>'REMUNERACION_EAAB-CL'!E128</x:f>
        <x:v>0</x:v>
      </x:c>
      <x:c r="M6" s="228">
        <x:f>-'REMUNERACION_EAAB-CL'!D69+'REMUNERACION_EAAB-CL'!N69</x:f>
        <x:v>0</x:v>
      </x:c>
      <x:c r="N6" s="254">
        <x:f t="shared" ref="N6:N7" si="3">SUM(I6:M6)</x:f>
        <x:v>0</x:v>
      </x:c>
      <x:c r="O6" s="290">
        <x:f t="shared" si="1"/>
        <x:v>0</x:v>
      </x:c>
      <x:c r="P6" s="1" t="b">
        <x:f t="shared" si="2"/>
        <x:v>1</x:v>
      </x:c>
    </x:row>
    <x:row r="7" spans="2:16" s="291" customFormat="1" x14ac:dyDescent="0.25">
      <x:c r="B7" s="250">
        <x:v>5</x:v>
      </x:c>
      <x:c r="C7" s="253">
        <x:f>'Recaudo EAAB + Ciud Limp'!D25</x:f>
        <x:v>0</x:v>
      </x:c>
      <x:c r="D7" s="228">
        <x:f>'REMUNERACION_EAAB-CL'!G129</x:f>
        <x:v>0</x:v>
      </x:c>
      <x:c r="E7" s="228">
        <x:f>'REMUNERACION_EAAB-CL'!H129</x:f>
        <x:v>0</x:v>
      </x:c>
      <x:c r="F7" s="228">
        <x:v>0</x:v>
      </x:c>
      <x:c r="G7" s="228">
        <x:f>'REMUNERACION_EAAB-CL'!I129</x:f>
        <x:v>0</x:v>
      </x:c>
      <x:c r="H7" s="276">
        <x:f t="shared" si="0"/>
        <x:v>0</x:v>
      </x:c>
      <x:c r="I7" s="227">
        <x:f>'REMUNERACION_EAAB-CL'!D108</x:f>
        <x:v>0</x:v>
      </x:c>
      <x:c r="J7" s="228">
        <x:f>'REMUNERACION_EAAB-CL'!N108</x:f>
        <x:v>0</x:v>
      </x:c>
      <x:c r="K7" s="228">
        <x:f>'REMUNERACION_EAAB-CL'!D129</x:f>
        <x:v>0</x:v>
      </x:c>
      <x:c r="L7" s="289">
        <x:f>'REMUNERACION_EAAB-CL'!E129</x:f>
        <x:v>0</x:v>
      </x:c>
      <x:c r="M7" s="228">
        <x:f>-'REMUNERACION_EAAB-CL'!D70+'REMUNERACION_EAAB-CL'!N70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8" thickBot="1" x14ac:dyDescent="0.3">
      <x:c r="B8" s="277" t="s">
        <x:v>89</x:v>
      </x:c>
      <x:c r="C8" s="253">
        <x:f>'Recaudo EAAB + Ciud Limp'!F26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0"/>
        <x:v>0</x:v>
      </x:c>
      <x:c r="I8" s="293">
        <x:v>0</x:v>
      </x:c>
      <x:c r="J8" s="279">
        <x:v>0</x:v>
      </x:c>
      <x:c r="K8" s="279">
        <x:v>0</x:v>
      </x:c>
      <x:c r="L8" s="289">
        <x:f>'REMUNERACION_EAAB-CL'!E130</x:f>
        <x:v>0</x:v>
      </x:c>
      <x:c r="M8" s="228">
        <x:v>0</x:v>
      </x:c>
      <x:c r="N8" s="294">
        <x:f>SUM(I8:L8)-M8</x:f>
        <x:v>0</x:v>
      </x:c>
      <x:c r="O8" s="290">
        <x:f t="shared" si="1"/>
        <x:v>0</x:v>
      </x:c>
      <x:c r="P8" s="1" t="b">
        <x:f t="shared" si="2"/>
        <x:v>1</x:v>
      </x:c>
    </x:row>
    <x:row r="9" spans="2:16" s="291" customFormat="1" ht="13.8" thickBot="1" x14ac:dyDescent="0.3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5">
      <x:c r="B11" s="95" t="s">
        <x:v>89</x:v>
      </x:c>
      <x:c r="C11" s="96" t="s">
        <x:v>90</x:v>
      </x:c>
      <x:c r="M11" s="130"/>
      <x:c r="O11" s="126"/>
    </x:row>
    <x:row r="12" spans="2:16" x14ac:dyDescent="0.25">
      <x:c r="C12" s="132"/>
    </x:row>
    <x:row r="13" spans="2:16" x14ac:dyDescent="0.25">
      <x:c r="B13" s="131"/>
      <x:c r="C13" s="96" t="s">
        <x:v>1</x:v>
      </x:c>
    </x:row>
    <x:row r="14" spans="2:16" x14ac:dyDescent="0.25">
      <x:c r="C14" s="200">
        <x:f>'Valida - Control Recaudo'!E3+'Valida - Control Recaudo'!E5</x:f>
        <x:v>0</x:v>
      </x:c>
    </x:row>
    <x:row r="15" spans="2:16" x14ac:dyDescent="0.25">
      <x:c r="C15" s="202" t="b">
        <x:f>C14=C9</x:f>
        <x:v>1</x:v>
      </x:c>
    </x:row>
    <x:row r="16" spans="2:16" x14ac:dyDescent="0.25">
      <x:c r="C16" s="191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topLeftCell="V1" zoomScale="98" zoomScaleNormal="98" workbookViewId="0">
      <x:selection activeCell="L17" sqref="L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5.33203125" style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9.44140625" style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11" t="s">
        <x:v>17</x:v>
      </x:c>
      <x:c r="D6" s="9">
        <x:f>'CONSOLIDADO_TOTAL RECAUDO'!D101</x:f>
        <x:v>46238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2" t="s">
        <x:v>0</x:v>
      </x:c>
      <x:c r="D7" s="198">
        <x:f>'CONSOLIDADO_TOTAL RECAUDO'!D102</x:f>
        <x:v>0.58333333333333337</x:v>
      </x:c>
      <x:c r="F7" s="2" t="s">
        <x:v>27</x:v>
      </x:c>
      <x:c r="G7" s="9">
        <x:f>'CONSOLIDADO_TOTAL RECAUDO'!G102</x:f>
        <x:v>46219</x:v>
      </x:c>
      <x:c r="J7" s="2" t="s">
        <x:v>28</x:v>
      </x:c>
      <x:c r="K7" s="9">
        <x:f>'CONSOLIDADO_TOTAL RECAUDO'!K102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241" customFormat="1" ht="12" x14ac:dyDescent="0.25">
      <x:c r="B9" s="239">
        <x:v>1</x:v>
      </x:c>
      <x:c r="C9" s="240" t="s">
        <x:v>10</x:v>
      </x:c>
      <x:c r="D9" s="227">
        <x:f>'REMUNERACION_EAAB-CL'!D104</x:f>
        <x:v>0</x:v>
      </x:c>
      <x:c r="E9" s="227">
        <x:f>'REMUNERACION_EAAB-CL'!E104</x:f>
        <x:v>0</x:v>
      </x:c>
      <x:c r="F9" s="227">
        <x:f>'REMUNERACION_EAAB-CL'!F104</x:f>
        <x:v>0</x:v>
      </x:c>
      <x:c r="G9" s="227">
        <x:f>'REMUNERACION_EAAB-CL'!G104</x:f>
        <x:v>0</x:v>
      </x:c>
      <x:c r="H9" s="227">
        <x:f>'REMUNERACION_EAAB-CL'!H104</x:f>
        <x:v>0</x:v>
      </x:c>
      <x:c r="I9" s="227">
        <x:f>'REMUNERACION_EAAB-CL'!I104</x:f>
        <x:v>0</x:v>
      </x:c>
      <x:c r="J9" s="227">
        <x:f>'REMUNERACION_EAAB-CL'!J104</x:f>
        <x:v>0</x:v>
      </x:c>
      <x:c r="K9" s="229">
        <x:f>D9-E9-F9-G9-H9-I9-J9</x:f>
        <x:v>0</x:v>
      </x:c>
      <x:c r="L9" s="227">
        <x:f>'REMUNERACION_EAAB-CL'!L104</x:f>
        <x:v>0</x:v>
      </x:c>
      <x:c r="M9" s="229">
        <x:f>K9-L9</x:f>
        <x:v>0</x:v>
      </x:c>
      <x:c r="N9" s="227">
        <x:f>'REMUNERACION_EAAB-CL'!N104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27">
        <x:f>'REMUNERACION_EAAB-CL'!U104</x:f>
        <x:v>0</x:v>
      </x:c>
      <x:c r="V9" s="227">
        <x:f>'REMUNERACION_EAAB-CL'!V104</x:f>
        <x:v>0</x:v>
      </x:c>
      <x:c r="W9" s="227">
        <x:f>'REMUNERACION_EAAB-CL'!W104</x:f>
        <x:v>0</x:v>
      </x:c>
      <x:c r="X9" s="227">
        <x:f>'REMUNERACION_EAAB-CL'!X104</x:f>
        <x:v>0</x:v>
      </x:c>
      <x:c r="Y9" s="227">
        <x:f>'REMUNERACION_EAAB-CL'!Y104</x:f>
        <x:v>0</x:v>
      </x:c>
      <x:c r="Z9" s="227">
        <x:f>'REMUNERACION_EAAB-CL'!Z104</x:f>
        <x:v>0</x:v>
      </x:c>
      <x:c r="AA9" s="227">
        <x:f>'REMUNERACION_EAAB-CL'!AA104</x:f>
        <x:v>0</x:v>
      </x:c>
      <x:c r="AB9" s="227">
        <x:f>'REMUNERACION_EAAB-CL'!AB104</x:f>
        <x:v>0</x:v>
      </x:c>
      <x:c r="AC9" s="227">
        <x:f>'REMUNERACION_EAAB-CL'!AC104</x:f>
        <x:v>0</x:v>
      </x:c>
      <x:c r="AD9" s="227">
        <x:f>'REMUNERACION_EAAB-CL'!AD104</x:f>
        <x:v>0</x:v>
      </x:c>
      <x:c r="AE9" s="227">
        <x:f>'REMUNERACION_EAAB-CL'!AE104</x:f>
        <x:v>0</x:v>
      </x:c>
      <x:c r="AF9" s="299">
        <x:f>SUM(U9:AD9)</x:f>
        <x:v>0</x:v>
      </x:c>
      <x:c r="AG9" s="300">
        <x:f>AF9-O9</x:f>
        <x:v>0</x:v>
      </x:c>
      <x:c r="AH9" s="1" t="b">
        <x:f>INT(AG9)=0</x:f>
        <x:v>1</x:v>
      </x:c>
      <x:c r="AI9" s="242"/>
    </x:row>
    <x:row r="10" spans="2:35" s="241" customFormat="1" ht="12" x14ac:dyDescent="0.25">
      <x:c r="B10" s="250">
        <x:v>2</x:v>
      </x:c>
      <x:c r="C10" s="251" t="s">
        <x:v>11</x:v>
      </x:c>
      <x:c r="D10" s="227">
        <x:f>'REMUNERACION_EAAB-CL'!D105</x:f>
        <x:v>0</x:v>
      </x:c>
      <x:c r="E10" s="227">
        <x:f>'REMUNERACION_EAAB-CL'!E105</x:f>
        <x:v>0</x:v>
      </x:c>
      <x:c r="F10" s="227">
        <x:f>'REMUNERACION_EAAB-CL'!F105</x:f>
        <x:v>0</x:v>
      </x:c>
      <x:c r="G10" s="227">
        <x:f>'REMUNERACION_EAAB-CL'!G105</x:f>
        <x:v>0</x:v>
      </x:c>
      <x:c r="H10" s="227">
        <x:f>'REMUNERACION_EAAB-CL'!H105</x:f>
        <x:v>0</x:v>
      </x:c>
      <x:c r="I10" s="227">
        <x:f>'REMUNERACION_EAAB-CL'!I105</x:f>
        <x:v>0</x:v>
      </x:c>
      <x:c r="J10" s="227">
        <x:f>'REMUNERACION_EAAB-CL'!J105</x:f>
        <x:v>0</x:v>
      </x:c>
      <x:c r="K10" s="231">
        <x:f t="shared" ref="K10:K13" si="0">D10-E10-F10-G10-H10-I10-J10</x:f>
        <x:v>0</x:v>
      </x:c>
      <x:c r="L10" s="227">
        <x:f>'REMUNERACION_EAAB-CL'!L105</x:f>
        <x:v>0</x:v>
      </x:c>
      <x:c r="M10" s="231">
        <x:f>K10-L10</x:f>
        <x:v>0</x:v>
      </x:c>
      <x:c r="N10" s="227">
        <x:f>'REMUNERACION_EAAB-CL'!N105</x:f>
        <x:v>0</x:v>
      </x:c>
      <x:c r="O10" s="231">
        <x:f t="shared" ref="O10:O13" si="1">M10+N10</x:f>
        <x:v>0</x:v>
      </x:c>
      <x:c r="Q10" s="242"/>
      <x:c r="S10" s="250">
        <x:v>2</x:v>
      </x:c>
      <x:c r="T10" s="251" t="s">
        <x:v>11</x:v>
      </x:c>
      <x:c r="U10" s="227">
        <x:f>'REMUNERACION_EAAB-CL'!U105</x:f>
        <x:v>0</x:v>
      </x:c>
      <x:c r="V10" s="227">
        <x:f>'REMUNERACION_EAAB-CL'!V105</x:f>
        <x:v>0</x:v>
      </x:c>
      <x:c r="W10" s="227">
        <x:f>'REMUNERACION_EAAB-CL'!W105</x:f>
        <x:v>0</x:v>
      </x:c>
      <x:c r="X10" s="227">
        <x:f>'REMUNERACION_EAAB-CL'!X105</x:f>
        <x:v>0</x:v>
      </x:c>
      <x:c r="Y10" s="227">
        <x:f>'REMUNERACION_EAAB-CL'!Y105</x:f>
        <x:v>0</x:v>
      </x:c>
      <x:c r="Z10" s="227">
        <x:f>'REMUNERACION_EAAB-CL'!Z105</x:f>
        <x:v>0</x:v>
      </x:c>
      <x:c r="AA10" s="227">
        <x:f>'REMUNERACION_EAAB-CL'!AA105</x:f>
        <x:v>0</x:v>
      </x:c>
      <x:c r="AB10" s="227">
        <x:f>'REMUNERACION_EAAB-CL'!AB105</x:f>
        <x:v>0</x:v>
      </x:c>
      <x:c r="AC10" s="227">
        <x:f>'REMUNERACION_EAAB-CL'!AC105</x:f>
        <x:v>0</x:v>
      </x:c>
      <x:c r="AD10" s="227">
        <x:f>'REMUNERACION_EAAB-CL'!AD105</x:f>
        <x:v>0</x:v>
      </x:c>
      <x:c r="AE10" s="227">
        <x:f>'REMUNERACION_EAAB-CL'!AE105</x:f>
        <x:v>0</x:v>
      </x:c>
      <x:c r="AF10" s="301">
        <x:f>SUM(U10:AD10)</x:f>
        <x:v>0</x:v>
      </x:c>
      <x:c r="AG10" s="302">
        <x:f>AF10-O10</x:f>
        <x:v>0</x:v>
      </x:c>
      <x:c r="AH10" s="1" t="b">
        <x:f t="shared" ref="AH10:AH14" si="2">INT(AG10)=0</x:f>
        <x:v>1</x:v>
      </x:c>
      <x:c r="AI10" s="242"/>
    </x:row>
    <x:row r="11" spans="2:35" s="241" customFormat="1" ht="12" x14ac:dyDescent="0.25">
      <x:c r="B11" s="250">
        <x:v>3</x:v>
      </x:c>
      <x:c r="C11" s="251" t="s">
        <x:v>12</x:v>
      </x:c>
      <x:c r="D11" s="227">
        <x:f>'REMUNERACION_EAAB-CL'!D106</x:f>
        <x:v>0</x:v>
      </x:c>
      <x:c r="E11" s="227">
        <x:f>'REMUNERACION_EAAB-CL'!E106</x:f>
        <x:v>0</x:v>
      </x:c>
      <x:c r="F11" s="227">
        <x:f>'REMUNERACION_EAAB-CL'!F106</x:f>
        <x:v>0</x:v>
      </x:c>
      <x:c r="G11" s="227">
        <x:f>'REMUNERACION_EAAB-CL'!G106</x:f>
        <x:v>0</x:v>
      </x:c>
      <x:c r="H11" s="227">
        <x:f>'REMUNERACION_EAAB-CL'!H106</x:f>
        <x:v>0</x:v>
      </x:c>
      <x:c r="I11" s="227">
        <x:f>'REMUNERACION_EAAB-CL'!I106</x:f>
        <x:v>0</x:v>
      </x:c>
      <x:c r="J11" s="227">
        <x:f>'REMUNERACION_EAAB-CL'!J106</x:f>
        <x:v>0</x:v>
      </x:c>
      <x:c r="K11" s="231">
        <x:f t="shared" si="0"/>
        <x:v>0</x:v>
      </x:c>
      <x:c r="L11" s="227">
        <x:f>'REMUNERACION_EAAB-CL'!L106</x:f>
        <x:v>0</x:v>
      </x:c>
      <x:c r="M11" s="231">
        <x:f>K11-L11</x:f>
        <x:v>0</x:v>
      </x:c>
      <x:c r="N11" s="227">
        <x:f>'REMUNERACION_EAAB-CL'!N106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27">
        <x:f>'REMUNERACION_EAAB-CL'!U106</x:f>
        <x:v>0</x:v>
      </x:c>
      <x:c r="V11" s="227">
        <x:f>'REMUNERACION_EAAB-CL'!V106</x:f>
        <x:v>0</x:v>
      </x:c>
      <x:c r="W11" s="227">
        <x:f>'REMUNERACION_EAAB-CL'!W106</x:f>
        <x:v>0</x:v>
      </x:c>
      <x:c r="X11" s="227">
        <x:f>'REMUNERACION_EAAB-CL'!X106</x:f>
        <x:v>0</x:v>
      </x:c>
      <x:c r="Y11" s="227">
        <x:f>'REMUNERACION_EAAB-CL'!Y106</x:f>
        <x:v>0</x:v>
      </x:c>
      <x:c r="Z11" s="227">
        <x:f>'REMUNERACION_EAAB-CL'!Z106</x:f>
        <x:v>0</x:v>
      </x:c>
      <x:c r="AA11" s="227">
        <x:f>'REMUNERACION_EAAB-CL'!AA106</x:f>
        <x:v>0</x:v>
      </x:c>
      <x:c r="AB11" s="227">
        <x:f>'REMUNERACION_EAAB-CL'!AB106</x:f>
        <x:v>0</x:v>
      </x:c>
      <x:c r="AC11" s="227">
        <x:f>'REMUNERACION_EAAB-CL'!AC106</x:f>
        <x:v>0</x:v>
      </x:c>
      <x:c r="AD11" s="227">
        <x:f>'REMUNERACION_EAAB-CL'!AD106</x:f>
        <x:v>0</x:v>
      </x:c>
      <x:c r="AE11" s="227">
        <x:f>'REMUNERACION_EAAB-CL'!AE106</x:f>
        <x:v>0</x:v>
      </x:c>
      <x:c r="AF11" s="301">
        <x:f>SUM(U11:AD11)</x:f>
        <x:v>0</x:v>
      </x:c>
      <x:c r="AG11" s="302">
        <x:f>AF11-O11</x:f>
        <x:v>0</x:v>
      </x:c>
      <x:c r="AH11" s="1" t="b">
        <x:f t="shared" si="2"/>
        <x:v>1</x:v>
      </x:c>
      <x:c r="AI11" s="242"/>
    </x:row>
    <x:row r="12" spans="2:35" s="241" customFormat="1" ht="12" x14ac:dyDescent="0.25">
      <x:c r="B12" s="250">
        <x:v>4</x:v>
      </x:c>
      <x:c r="C12" s="251" t="s">
        <x:v>13</x:v>
      </x:c>
      <x:c r="D12" s="227">
        <x:f>'REMUNERACION_EAAB-CL'!D107</x:f>
        <x:v>0</x:v>
      </x:c>
      <x:c r="E12" s="227">
        <x:f>'REMUNERACION_EAAB-CL'!E107</x:f>
        <x:v>0</x:v>
      </x:c>
      <x:c r="F12" s="227">
        <x:f>'REMUNERACION_EAAB-CL'!F107</x:f>
        <x:v>0</x:v>
      </x:c>
      <x:c r="G12" s="227">
        <x:f>'REMUNERACION_EAAB-CL'!G107</x:f>
        <x:v>0</x:v>
      </x:c>
      <x:c r="H12" s="227">
        <x:f>'REMUNERACION_EAAB-CL'!H107</x:f>
        <x:v>0</x:v>
      </x:c>
      <x:c r="I12" s="227">
        <x:f>'REMUNERACION_EAAB-CL'!I107</x:f>
        <x:v>0</x:v>
      </x:c>
      <x:c r="J12" s="227">
        <x:f>'REMUNERACION_EAAB-CL'!J107</x:f>
        <x:v>0</x:v>
      </x:c>
      <x:c r="K12" s="231">
        <x:f t="shared" si="0"/>
        <x:v>0</x:v>
      </x:c>
      <x:c r="L12" s="227">
        <x:f>'REMUNERACION_EAAB-CL'!L107</x:f>
        <x:v>0</x:v>
      </x:c>
      <x:c r="M12" s="231">
        <x:f>K12-L12</x:f>
        <x:v>0</x:v>
      </x:c>
      <x:c r="N12" s="227">
        <x:f>'REMUNERACION_EAAB-CL'!N107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27">
        <x:f>'REMUNERACION_EAAB-CL'!U107</x:f>
        <x:v>0</x:v>
      </x:c>
      <x:c r="V12" s="227">
        <x:f>'REMUNERACION_EAAB-CL'!V107</x:f>
        <x:v>0</x:v>
      </x:c>
      <x:c r="W12" s="227">
        <x:f>'REMUNERACION_EAAB-CL'!W107</x:f>
        <x:v>0</x:v>
      </x:c>
      <x:c r="X12" s="227">
        <x:f>'REMUNERACION_EAAB-CL'!X107</x:f>
        <x:v>0</x:v>
      </x:c>
      <x:c r="Y12" s="227">
        <x:f>'REMUNERACION_EAAB-CL'!Y107</x:f>
        <x:v>0</x:v>
      </x:c>
      <x:c r="Z12" s="227">
        <x:f>'REMUNERACION_EAAB-CL'!Z107</x:f>
        <x:v>0</x:v>
      </x:c>
      <x:c r="AA12" s="227">
        <x:f>'REMUNERACION_EAAB-CL'!AA107</x:f>
        <x:v>0</x:v>
      </x:c>
      <x:c r="AB12" s="227">
        <x:f>'REMUNERACION_EAAB-CL'!AB107</x:f>
        <x:v>0</x:v>
      </x:c>
      <x:c r="AC12" s="227">
        <x:f>'REMUNERACION_EAAB-CL'!AC107</x:f>
        <x:v>0</x:v>
      </x:c>
      <x:c r="AD12" s="227">
        <x:f>'REMUNERACION_EAAB-CL'!AD107</x:f>
        <x:v>0</x:v>
      </x:c>
      <x:c r="AE12" s="227">
        <x:f>'REMUNERACION_EAAB-CL'!AE107</x:f>
        <x:v>0</x:v>
      </x:c>
      <x:c r="AF12" s="301">
        <x:f>SUM(U12:AD12)</x:f>
        <x:v>0</x:v>
      </x:c>
      <x:c r="AG12" s="302">
        <x:f>AF12-O12</x:f>
        <x:v>0</x:v>
      </x:c>
      <x:c r="AH12" s="1" t="b">
        <x:f t="shared" si="2"/>
        <x:v>1</x:v>
      </x:c>
      <x:c r="AI12" s="242"/>
    </x:row>
    <x:row r="13" spans="2:35" s="241" customFormat="1" ht="12.6" thickBot="1" x14ac:dyDescent="0.3">
      <x:c r="B13" s="260">
        <x:v>5</x:v>
      </x:c>
      <x:c r="C13" s="261" t="s">
        <x:v>14</x:v>
      </x:c>
      <x:c r="D13" s="227">
        <x:f>'REMUNERACION_EAAB-CL'!D108</x:f>
        <x:v>0</x:v>
      </x:c>
      <x:c r="E13" s="227">
        <x:f>'REMUNERACION_EAAB-CL'!E108</x:f>
        <x:v>0</x:v>
      </x:c>
      <x:c r="F13" s="227">
        <x:f>'REMUNERACION_EAAB-CL'!F108</x:f>
        <x:v>0</x:v>
      </x:c>
      <x:c r="G13" s="227">
        <x:f>'REMUNERACION_EAAB-CL'!G108</x:f>
        <x:v>0</x:v>
      </x:c>
      <x:c r="H13" s="227">
        <x:f>'REMUNERACION_EAAB-CL'!H108</x:f>
        <x:v>0</x:v>
      </x:c>
      <x:c r="I13" s="227">
        <x:f>'REMUNERACION_EAAB-CL'!I108</x:f>
        <x:v>0</x:v>
      </x:c>
      <x:c r="J13" s="227">
        <x:f>'REMUNERACION_EAAB-CL'!J108</x:f>
        <x:v>0</x:v>
      </x:c>
      <x:c r="K13" s="231">
        <x:f t="shared" si="0"/>
        <x:v>0</x:v>
      </x:c>
      <x:c r="L13" s="227">
        <x:f>'REMUNERACION_EAAB-CL'!L108</x:f>
        <x:v>0</x:v>
      </x:c>
      <x:c r="M13" s="234">
        <x:f>K13-L13</x:f>
        <x:v>0</x:v>
      </x:c>
      <x:c r="N13" s="227">
        <x:f>'REMUNERACION_EAAB-CL'!N108</x:f>
        <x:v>0</x:v>
      </x:c>
      <x:c r="O13" s="234">
        <x:f t="shared" si="1"/>
        <x:v>0</x:v>
      </x:c>
      <x:c r="Q13" s="242"/>
      <x:c r="S13" s="260">
        <x:v>5</x:v>
      </x:c>
      <x:c r="T13" s="261" t="s">
        <x:v>14</x:v>
      </x:c>
      <x:c r="U13" s="227">
        <x:f>'REMUNERACION_EAAB-CL'!U108</x:f>
        <x:v>0</x:v>
      </x:c>
      <x:c r="V13" s="227">
        <x:f>'REMUNERACION_EAAB-CL'!V108</x:f>
        <x:v>0</x:v>
      </x:c>
      <x:c r="W13" s="227">
        <x:f>'REMUNERACION_EAAB-CL'!W108</x:f>
        <x:v>0</x:v>
      </x:c>
      <x:c r="X13" s="227">
        <x:f>'REMUNERACION_EAAB-CL'!X108</x:f>
        <x:v>0</x:v>
      </x:c>
      <x:c r="Y13" s="227">
        <x:f>'REMUNERACION_EAAB-CL'!Y108</x:f>
        <x:v>0</x:v>
      </x:c>
      <x:c r="Z13" s="227">
        <x:f>'REMUNERACION_EAAB-CL'!Z108</x:f>
        <x:v>0</x:v>
      </x:c>
      <x:c r="AA13" s="227">
        <x:f>'REMUNERACION_EAAB-CL'!AA108</x:f>
        <x:v>0</x:v>
      </x:c>
      <x:c r="AB13" s="227">
        <x:f>'REMUNERACION_EAAB-CL'!AB108</x:f>
        <x:v>0</x:v>
      </x:c>
      <x:c r="AC13" s="227">
        <x:f>'REMUNERACION_EAAB-CL'!AC108</x:f>
        <x:v>0</x:v>
      </x:c>
      <x:c r="AD13" s="227">
        <x:f>'REMUNERACION_EAAB-CL'!AD108</x:f>
        <x:v>0</x:v>
      </x:c>
      <x:c r="AE13" s="227">
        <x:f>'REMUNERACION_EAAB-CL'!AE108</x:f>
        <x:v>0</x:v>
      </x:c>
      <x:c r="AF13" s="301">
        <x:f>SUM(U13:AD13)</x:f>
        <x:v>0</x:v>
      </x:c>
      <x:c r="AG13" s="302">
        <x:f>AF13-O13</x:f>
        <x:v>0</x:v>
      </x:c>
      <x:c r="AH13" s="1" t="b">
        <x:f t="shared" si="2"/>
        <x:v>1</x:v>
      </x:c>
      <x:c r="AI13" s="242"/>
    </x:row>
    <x:row r="14" spans="2:35" s="241" customFormat="1" ht="13.8" thickBot="1" x14ac:dyDescent="0.3">
      <x:c r="B14" s="263"/>
      <x:c r="C14" s="264" t="s">
        <x:v>2</x:v>
      </x:c>
      <x:c r="D14" s="226">
        <x:f t="shared" ref="D14:O14" si="3">SUM(D9:D13)</x:f>
        <x:v>0</x:v>
      </x:c>
      <x:c r="E14" s="226">
        <x:f t="shared" si="3"/>
        <x:v>0</x:v>
      </x:c>
      <x:c r="F14" s="226">
        <x:f t="shared" si="3"/>
        <x:v>0</x:v>
      </x:c>
      <x:c r="G14" s="226">
        <x:f t="shared" si="3"/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 t="shared" si="3"/>
        <x:v>0</x:v>
      </x:c>
      <x:c r="L14" s="237">
        <x:f t="shared" si="3"/>
        <x:v>0</x:v>
      </x:c>
      <x:c r="M14" s="238">
        <x:f t="shared" si="3"/>
        <x:v>0</x:v>
      </x:c>
      <x:c r="N14" s="237">
        <x:f t="shared" si="3"/>
        <x:v>0</x:v>
      </x:c>
      <x:c r="O14" s="238">
        <x:f t="shared" si="3"/>
        <x:v>0</x:v>
      </x:c>
      <x:c r="P14" s="265"/>
      <x:c r="Q14" s="242"/>
      <x:c r="S14" s="263"/>
      <x:c r="T14" s="264" t="s">
        <x:v>2</x:v>
      </x:c>
      <x:c r="U14" s="226">
        <x:f>SUM(U9:U13)</x:f>
        <x:v>0</x:v>
      </x:c>
      <x:c r="V14" s="226">
        <x:f t="shared" ref="V14:AG14" si="4">SUM(V9:V13)</x:f>
        <x:v>0</x:v>
      </x:c>
      <x:c r="W14" s="226">
        <x:f t="shared" si="4"/>
        <x:v>0</x:v>
      </x:c>
      <x:c r="X14" s="226">
        <x:f t="shared" si="4"/>
        <x:v>0</x:v>
      </x:c>
      <x:c r="Y14" s="226">
        <x:f t="shared" si="4"/>
        <x:v>0</x:v>
      </x:c>
      <x:c r="Z14" s="226">
        <x:f t="shared" si="4"/>
        <x:v>0</x:v>
      </x:c>
      <x:c r="AA14" s="226">
        <x:f t="shared" si="4"/>
        <x:v>0</x:v>
      </x:c>
      <x:c r="AB14" s="226">
        <x:f t="shared" si="4"/>
        <x:v>0</x:v>
      </x:c>
      <x:c r="AC14" s="226">
        <x:f t="shared" si="4"/>
        <x:v>0</x:v>
      </x:c>
      <x:c r="AD14" s="226">
        <x:f t="shared" si="4"/>
        <x:v>0</x:v>
      </x:c>
      <x:c r="AE14" s="226">
        <x:f>SUM(AE9:AE13)</x:f>
        <x:v>0</x:v>
      </x:c>
      <x:c r="AF14" s="267">
        <x:f t="shared" si="4"/>
        <x:v>0</x:v>
      </x:c>
      <x:c r="AG14" s="226">
        <x:f t="shared" si="4"/>
        <x:v>0</x:v>
      </x:c>
      <x:c r="AH14" s="1" t="b">
        <x:f t="shared" si="2"/>
        <x:v>1</x:v>
      </x:c>
      <x:c r="AI14" s="242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189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98" t="s">
        <x:v>38</x:v>
      </x:c>
      <x:c r="E29" s="98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241" customFormat="1" ht="12" x14ac:dyDescent="0.25">
      <x:c r="B30" s="270">
        <x:v>1</x:v>
      </x:c>
      <x:c r="C30" s="303" t="s">
        <x:v>10</x:v>
      </x:c>
      <x:c r="D30" s="243">
        <x:f>'REMUNERACION_EAAB-CL'!D125</x:f>
        <x:v>0</x:v>
      </x:c>
      <x:c r="E30" s="245">
        <x:f>'REMUNERACION_EAAB-CL'!E125</x:f>
        <x:v>0</x:v>
      </x:c>
      <x:c r="G30" s="272">
        <x:f>'REMUNERACION_EAAB-CL'!G125</x:f>
        <x:v>0</x:v>
      </x:c>
      <x:c r="H30" s="246">
        <x:f>'REMUNERACION_EAAB-CL'!H125</x:f>
        <x:v>0</x:v>
      </x:c>
      <x:c r="I30" s="245">
        <x:f>'REMUNERACION_EAAB-CL'!I125</x:f>
        <x:v>0</x:v>
      </x:c>
      <x:c r="J30" s="245">
        <x:f>'REMUNERACION_EAAB-CL'!J125</x:f>
        <x:v>0</x:v>
      </x:c>
      <x:c r="K30" s="245">
        <x:f>'REMUNERACION_EAAB-CL'!K125</x:f>
        <x:v>0</x:v>
      </x:c>
      <x:c r="L30" s="245">
        <x:f>'REMUNERACION_EAAB-CL'!L125</x:f>
        <x:v>0</x:v>
      </x:c>
      <x:c r="O30" s="273"/>
      <x:c r="Q30" s="242"/>
    </x:row>
    <x:row r="31" spans="1:35" s="241" customFormat="1" ht="12" x14ac:dyDescent="0.25">
      <x:c r="B31" s="250">
        <x:v>2</x:v>
      </x:c>
      <x:c r="C31" s="251" t="s">
        <x:v>11</x:v>
      </x:c>
      <x:c r="D31" s="252">
        <x:f>'REMUNERACION_EAAB-CL'!D126</x:f>
        <x:v>0</x:v>
      </x:c>
      <x:c r="E31" s="254">
        <x:f>'REMUNERACION_EAAB-CL'!E126</x:f>
        <x:v>0</x:v>
      </x:c>
      <x:c r="G31" s="275">
        <x:f>'REMUNERACION_EAAB-CL'!G126</x:f>
        <x:v>0</x:v>
      </x:c>
      <x:c r="H31" s="276">
        <x:f>'REMUNERACION_EAAB-CL'!H126</x:f>
        <x:v>0</x:v>
      </x:c>
      <x:c r="I31" s="224">
        <x:f>'REMUNERACION_EAAB-CL'!I126</x:f>
        <x:v>0</x:v>
      </x:c>
      <x:c r="J31" s="224">
        <x:f>'REMUNERACION_EAAB-CL'!J126</x:f>
        <x:v>0</x:v>
      </x:c>
      <x:c r="K31" s="224">
        <x:f>'REMUNERACION_EAAB-CL'!K126</x:f>
        <x:v>0</x:v>
      </x:c>
      <x:c r="L31" s="224">
        <x:f>'REMUNERACION_EAAB-CL'!L126</x:f>
        <x:v>0</x:v>
      </x:c>
      <x:c r="O31" s="273"/>
      <x:c r="Q31" s="242"/>
    </x:row>
    <x:row r="32" spans="1:35" s="241" customFormat="1" ht="12" x14ac:dyDescent="0.25">
      <x:c r="B32" s="250">
        <x:v>3</x:v>
      </x:c>
      <x:c r="C32" s="251" t="s">
        <x:v>12</x:v>
      </x:c>
      <x:c r="D32" s="252">
        <x:f>'REMUNERACION_EAAB-CL'!D127</x:f>
        <x:v>0</x:v>
      </x:c>
      <x:c r="E32" s="254">
        <x:f>'REMUNERACION_EAAB-CL'!E127</x:f>
        <x:v>0</x:v>
      </x:c>
      <x:c r="G32" s="275">
        <x:f>'REMUNERACION_EAAB-CL'!G127</x:f>
        <x:v>0</x:v>
      </x:c>
      <x:c r="H32" s="276">
        <x:f>'REMUNERACION_EAAB-CL'!H127</x:f>
        <x:v>0</x:v>
      </x:c>
      <x:c r="I32" s="224">
        <x:f>'REMUNERACION_EAAB-CL'!I127</x:f>
        <x:v>0</x:v>
      </x:c>
      <x:c r="J32" s="224">
        <x:f>'REMUNERACION_EAAB-CL'!J127</x:f>
        <x:v>0</x:v>
      </x:c>
      <x:c r="K32" s="224">
        <x:f>'REMUNERACION_EAAB-CL'!K127</x:f>
        <x:v>0</x:v>
      </x:c>
      <x:c r="L32" s="224">
        <x:f>'REMUNERACION_EAAB-CL'!L127</x:f>
        <x:v>0</x:v>
      </x:c>
      <x:c r="O32" s="273"/>
      <x:c r="Q32" s="242"/>
    </x:row>
    <x:row r="33" spans="1:35" s="241" customFormat="1" ht="12" x14ac:dyDescent="0.25">
      <x:c r="B33" s="250">
        <x:v>4</x:v>
      </x:c>
      <x:c r="C33" s="251" t="s">
        <x:v>13</x:v>
      </x:c>
      <x:c r="D33" s="252">
        <x:f>'REMUNERACION_EAAB-CL'!D128</x:f>
        <x:v>0</x:v>
      </x:c>
      <x:c r="E33" s="254">
        <x:f>'REMUNERACION_EAAB-CL'!E128</x:f>
        <x:v>0</x:v>
      </x:c>
      <x:c r="G33" s="275">
        <x:f>'REMUNERACION_EAAB-CL'!G128</x:f>
        <x:v>0</x:v>
      </x:c>
      <x:c r="H33" s="276">
        <x:f>'REMUNERACION_EAAB-CL'!H128</x:f>
        <x:v>0</x:v>
      </x:c>
      <x:c r="I33" s="224">
        <x:f>'REMUNERACION_EAAB-CL'!I128</x:f>
        <x:v>0</x:v>
      </x:c>
      <x:c r="J33" s="224">
        <x:f>'REMUNERACION_EAAB-CL'!J128</x:f>
        <x:v>0</x:v>
      </x:c>
      <x:c r="K33" s="224">
        <x:f>'REMUNERACION_EAAB-CL'!K128</x:f>
        <x:v>0</x:v>
      </x:c>
      <x:c r="L33" s="224">
        <x:f>'REMUNERACION_EAAB-CL'!L128</x:f>
        <x:v>0</x:v>
      </x:c>
      <x:c r="O33" s="273"/>
      <x:c r="Q33" s="242"/>
    </x:row>
    <x:row r="34" spans="1:35" s="241" customFormat="1" ht="12" x14ac:dyDescent="0.25">
      <x:c r="B34" s="277">
        <x:v>5</x:v>
      </x:c>
      <x:c r="C34" s="304" t="s">
        <x:v>14</x:v>
      </x:c>
      <x:c r="D34" s="252">
        <x:f>'REMUNERACION_EAAB-CL'!D129</x:f>
        <x:v>0</x:v>
      </x:c>
      <x:c r="E34" s="254">
        <x:f>'REMUNERACION_EAAB-CL'!E129</x:f>
        <x:v>0</x:v>
      </x:c>
      <x:c r="G34" s="275">
        <x:f>'REMUNERACION_EAAB-CL'!G129</x:f>
        <x:v>0</x:v>
      </x:c>
      <x:c r="H34" s="276">
        <x:f>'REMUNERACION_EAAB-CL'!H129</x:f>
        <x:v>0</x:v>
      </x:c>
      <x:c r="I34" s="224">
        <x:f>'REMUNERACION_EAAB-CL'!I129</x:f>
        <x:v>0</x:v>
      </x:c>
      <x:c r="J34" s="224">
        <x:f>'REMUNERACION_EAAB-CL'!J129</x:f>
        <x:v>0</x:v>
      </x:c>
      <x:c r="K34" s="224">
        <x:f>'REMUNERACION_EAAB-CL'!K129</x:f>
        <x:v>0</x:v>
      </x:c>
      <x:c r="L34" s="224">
        <x:f>'REMUNERACION_EAAB-CL'!L129</x:f>
        <x:v>0</x:v>
      </x:c>
      <x:c r="O34" s="273"/>
      <x:c r="Q34" s="242"/>
    </x:row>
    <x:row r="35" spans="1:35" s="241" customFormat="1" ht="12.6" thickBot="1" x14ac:dyDescent="0.3">
      <x:c r="B35" s="260" t="s">
        <x:v>89</x:v>
      </x:c>
      <x:c r="C35" s="261" t="s">
        <x:v>113</x:v>
      </x:c>
      <x:c r="D35" s="232">
        <x:f>'REMUNERACION_EAAB-CL'!D130</x:f>
        <x:v>0</x:v>
      </x:c>
      <x:c r="E35" s="225">
        <x:f>'REMUNERACION_EAAB-CL'!E130</x:f>
        <x:v>0</x:v>
      </x:c>
      <x:c r="G35" s="282"/>
      <x:c r="H35" s="283"/>
      <x:c r="I35" s="225"/>
      <x:c r="J35" s="225"/>
      <x:c r="K35" s="225"/>
      <x:c r="L35" s="225"/>
      <x:c r="O35" s="273"/>
      <x:c r="Q35" s="242"/>
    </x:row>
    <x:row r="36" spans="1:35" s="241" customFormat="1" ht="12.6" thickBot="1" x14ac:dyDescent="0.3">
      <x:c r="B36" s="284"/>
      <x:c r="C36" s="285" t="s">
        <x:v>2</x:v>
      </x:c>
      <x:c r="D36" s="286">
        <x:f t="shared" ref="D36:E36" si="5">SUM(D30:D34)</x:f>
        <x:v>0</x:v>
      </x:c>
      <x:c r="E36" s="286">
        <x:f t="shared" si="5"/>
        <x:v>0</x:v>
      </x:c>
      <x:c r="F36" s="287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287"/>
      <x:c r="N36" s="287"/>
      <x:c r="O36" s="288"/>
      <x:c r="P36" s="265"/>
      <x:c r="Q36" s="242"/>
    </x:row>
    <x:row r="37" spans="1:35" ht="12" x14ac:dyDescent="0.25">
      <x:c r="B37" s="2"/>
      <x:c r="C37" s="2"/>
      <x:c r="D37" s="24"/>
      <x:c r="Q37" s="4"/>
      <x:c r="AI37" s="241"/>
    </x:row>
    <x:row r="38" spans="1:35" ht="12" x14ac:dyDescent="0.25">
      <x:c r="B38" s="2"/>
      <x:c r="C38" s="2"/>
      <x:c r="D38" s="24"/>
      <x:c r="L38" s="1" t="s">
        <x:v>1</x:v>
      </x:c>
      <x:c r="Q38" s="4"/>
      <x:c r="AI38" s="241"/>
    </x:row>
    <x:row r="39" spans="1:35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241"/>
    </x:row>
    <x:row r="40" spans="1:35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08" t="b">
        <x:f>D14='REMUNERACION_EAAB-CL'!D109</x:f>
        <x:v>1</x:v>
      </x:c>
      <x:c r="E44" s="208" t="b">
        <x:f>E14='REMUNERACION_EAAB-CL'!E109</x:f>
        <x:v>1</x:v>
      </x:c>
      <x:c r="F44" s="208" t="b">
        <x:f>F14='REMUNERACION_EAAB-CL'!F109</x:f>
        <x:v>1</x:v>
      </x:c>
      <x:c r="G44" s="208" t="b">
        <x:f>G14='REMUNERACION_EAAB-CL'!G109</x:f>
        <x:v>1</x:v>
      </x:c>
      <x:c r="H44" s="208" t="b">
        <x:f>H14='REMUNERACION_EAAB-CL'!H109</x:f>
        <x:v>1</x:v>
      </x:c>
      <x:c r="I44" s="208" t="b">
        <x:f>I14='REMUNERACION_EAAB-CL'!I109</x:f>
        <x:v>1</x:v>
      </x:c>
      <x:c r="J44" s="208" t="b">
        <x:f>J14='REMUNERACION_EAAB-CL'!J109</x:f>
        <x:v>1</x:v>
      </x:c>
      <x:c r="K44" s="208" t="b">
        <x:f>K14='REMUNERACION_EAAB-CL'!K109</x:f>
        <x:v>1</x:v>
      </x:c>
      <x:c r="L44" s="208" t="b">
        <x:f>L14='REMUNERACION_EAAB-CL'!L109</x:f>
        <x:v>1</x:v>
      </x:c>
      <x:c r="M44" s="208" t="b">
        <x:f>M14='REMUNERACION_EAAB-CL'!M109</x:f>
        <x:v>1</x:v>
      </x:c>
      <x:c r="N44" s="208" t="b">
        <x:f>N14='REMUNERACION_EAAB-CL'!N109</x:f>
        <x:v>1</x:v>
      </x:c>
      <x:c r="O44" s="208" t="b">
        <x:f>O14='REMUNERACION_EAAB-CL'!O109</x:f>
        <x:v>1</x:v>
      </x:c>
      <x:c r="Q44" s="24"/>
      <x:c r="T44" s="24"/>
    </x:row>
    <x:row r="45" spans="1:35" x14ac:dyDescent="0.2">
      <x:c r="D45" s="208" t="b">
        <x:f>D36='REMUNERACION_EAAB-CL'!D131</x:f>
        <x:v>1</x:v>
      </x:c>
      <x:c r="E45" s="208" t="b">
        <x:f>E36='REMUNERACION_EAAB-CL'!E131</x:f>
        <x:v>1</x:v>
      </x:c>
      <x:c r="F45" s="208" t="b">
        <x:f>F36='REMUNERACION_EAAB-CL'!F131</x:f>
        <x:v>1</x:v>
      </x:c>
      <x:c r="G45" s="208" t="b">
        <x:f>G36='REMUNERACION_EAAB-CL'!G131</x:f>
        <x:v>1</x:v>
      </x:c>
      <x:c r="H45" s="208" t="b">
        <x:f>H36='REMUNERACION_EAAB-CL'!H131</x:f>
        <x:v>1</x:v>
      </x:c>
      <x:c r="I45" s="208" t="b">
        <x:f>I36='REMUNERACION_EAAB-CL'!I131</x:f>
        <x:v>1</x:v>
      </x:c>
      <x:c r="J45" s="208" t="b">
        <x:f>J36='REMUNERACION_EAAB-CL'!J131</x:f>
        <x:v>1</x:v>
      </x:c>
      <x:c r="K45" s="208" t="b">
        <x:f>K36='REMUNERACION_EAAB-CL'!K131</x:f>
        <x:v>1</x:v>
      </x:c>
      <x:c r="L45" s="208" t="b">
        <x:f>L36='REMUNERACION_EAAB-CL'!L131</x:f>
        <x:v>1</x:v>
      </x:c>
      <x:c r="M45" s="208" t="b">
        <x:f>M36='REMUNERACION_EAAB-CL'!M131</x:f>
        <x:v>1</x:v>
      </x:c>
      <x:c r="N45" s="208" t="b">
        <x:f>N36='REMUNERACION_EAAB-CL'!N131</x:f>
        <x:v>1</x:v>
      </x:c>
      <x:c r="O45" s="208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workbookViewId="0">
      <x:selection activeCell="D39" sqref="D39"/>
    </x:sheetView>
  </x:sheetViews>
  <x:sheetFormatPr baseColWidth="10" defaultColWidth="11.44140625" defaultRowHeight="14.4" x14ac:dyDescent="0.3"/>
  <x:cols>
    <x:col min="1" max="1" width="2.6640625" style="520" customWidth="1"/>
    <x:col min="2" max="2" width="7.33203125" style="520" customWidth="1"/>
    <x:col min="3" max="3" width="42.6640625" style="520" customWidth="1"/>
    <x:col min="4" max="15" width="28.5546875" style="520" customWidth="1"/>
    <x:col min="16" max="16384" width="11.44140625" style="520"/>
  </x:cols>
  <x:sheetData>
    <x:row r="1" spans="2:20" customFormat="1" ht="13.2" x14ac:dyDescent="0.25"/>
    <x:row r="2" spans="2:20" customFormat="1" ht="13.2" x14ac:dyDescent="0.25">
      <x:c r="T2" s="131" t="s">
        <x:v>329</x:v>
      </x:c>
    </x:row>
    <x:row r="3" spans="2:20" customFormat="1" x14ac:dyDescent="0.25">
      <x:c r="F3" s="540" t="s">
        <x:v>8</x:v>
      </x:c>
      <x:c r="H3" s="540" t="s">
        <x:v>16</x:v>
      </x:c>
      <x:c r="L3" s="540" t="s">
        <x:v>228</x:v>
      </x:c>
      <x:c r="M3" s="540" t="s">
        <x:v>339</x:v>
      </x:c>
      <x:c r="T3" s="131"/>
    </x:row>
    <x:row r="4" spans="2:20" customFormat="1" x14ac:dyDescent="0.25">
      <x:c r="F4" s="540" t="s">
        <x:v>29</x:v>
      </x:c>
    </x:row>
    <x:row r="5" spans="2:20" customFormat="1" x14ac:dyDescent="0.25">
      <x:c r="F5" s="540" t="s">
        <x:v>229</x:v>
      </x:c>
    </x:row>
    <x:row r="6" spans="2:20" customFormat="1" x14ac:dyDescent="0.25">
      <x:c r="C6" s="540" t="s">
        <x:v>230</x:v>
      </x:c>
      <x:c r="D6" s="540" t="inlineStr">
        <x:is>
          <x:t>17/07/2026</x:t>
        </x:is>
      </x:c>
      <x:c r="F6" s="540" t="s">
        <x:v>231</x:v>
      </x:c>
    </x:row>
    <x:row r="7" spans="2:20" customFormat="1" x14ac:dyDescent="0.25">
      <x:c r="C7" s="540" t="s">
        <x:v>232</x:v>
      </x:c>
      <x:c r="D7" s="540" t="inlineStr">
        <x:is>
          <x:t>09:19 AM</x:t>
        </x:is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20" customFormat="1" ht="43.2" x14ac:dyDescent="0.25">
      <x:c r="B8" s="541" t="s">
        <x:v>3</x:v>
      </x:c>
      <x:c r="C8" s="541" t="s">
        <x:v>234</x:v>
      </x:c>
      <x:c r="D8" s="541" t="s">
        <x:v>235</x:v>
      </x:c>
      <x:c r="E8" s="541" t="s">
        <x:v>236</x:v>
      </x:c>
      <x:c r="F8" s="541" t="s">
        <x:v>237</x:v>
      </x:c>
      <x:c r="G8" s="541" t="s">
        <x:v>238</x:v>
      </x:c>
      <x:c r="H8" s="541" t="s">
        <x:v>239</x:v>
      </x:c>
      <x:c r="I8" s="541" t="s">
        <x:v>240</x:v>
      </x:c>
      <x:c r="J8" s="541" t="s">
        <x:v>241</x:v>
      </x:c>
      <x:c r="K8" s="541" t="s">
        <x:v>242</x:v>
      </x:c>
      <x:c r="L8" s="541" t="s">
        <x:v>243</x:v>
      </x:c>
      <x:c r="M8" s="541" t="s">
        <x:v>244</x:v>
      </x:c>
      <x:c r="N8" s="541" t="s">
        <x:v>245</x:v>
      </x:c>
      <x:c r="O8" s="541" t="s">
        <x:v>246</x:v>
      </x:c>
    </x:row>
    <x:row r="9" spans="2:20" customFormat="1" ht="13.2" x14ac:dyDescent="0.25">
      <x:c r="B9" s="525" t="s">
        <x:v>115</x:v>
      </x:c>
      <x:c r="C9" s="525" t="s">
        <x:v>10</x:v>
      </x:c>
      <x:c r="D9" s="731">
        <x:v>0</x:v>
      </x:c>
      <x:c r="E9" s="731">
        <x:v>0</x:v>
      </x:c>
      <x:c r="F9" s="731">
        <x:v>0</x:v>
      </x:c>
      <x:c r="G9" s="731">
        <x:v>0</x:v>
      </x:c>
      <x:c r="H9" s="731">
        <x:v>0</x:v>
      </x:c>
      <x:c r="I9" s="731">
        <x:v>0</x:v>
      </x:c>
      <x:c r="J9" s="731">
        <x:v>0</x:v>
      </x:c>
      <x:c r="K9" s="731">
        <x:v>0</x:v>
      </x:c>
      <x:c r="L9" s="731">
        <x:v>0</x:v>
      </x:c>
      <x:c r="M9" s="731">
        <x:v>0</x:v>
      </x:c>
      <x:c r="N9" s="731">
        <x:v>0</x:v>
      </x:c>
      <x:c r="O9" s="731">
        <x:v>0</x:v>
      </x:c>
    </x:row>
    <x:row r="10" spans="2:20" customFormat="1" ht="13.2" x14ac:dyDescent="0.25">
      <x:c r="B10" s="525" t="s">
        <x:v>116</x:v>
      </x:c>
      <x:c r="C10" s="525" t="s">
        <x:v>11</x:v>
      </x:c>
      <x:c r="D10" s="731">
        <x:v>0</x:v>
      </x:c>
      <x:c r="E10" s="731">
        <x:v>0</x:v>
      </x:c>
      <x:c r="F10" s="731">
        <x:v>0</x:v>
      </x:c>
      <x:c r="G10" s="731">
        <x:v>0</x:v>
      </x:c>
      <x:c r="H10" s="731">
        <x:v>0</x:v>
      </x:c>
      <x:c r="I10" s="731">
        <x:v>0</x:v>
      </x:c>
      <x:c r="J10" s="731">
        <x:v>0</x:v>
      </x:c>
      <x:c r="K10" s="731">
        <x:v>0</x:v>
      </x:c>
      <x:c r="L10" s="731">
        <x:v>0</x:v>
      </x:c>
      <x:c r="M10" s="731">
        <x:v>0</x:v>
      </x:c>
      <x:c r="N10" s="731">
        <x:v>0</x:v>
      </x:c>
      <x:c r="O10" s="731">
        <x:v>0</x:v>
      </x:c>
    </x:row>
    <x:row r="11" spans="2:20" customFormat="1" ht="13.2" x14ac:dyDescent="0.25">
      <x:c r="B11" s="525" t="s">
        <x:v>117</x:v>
      </x:c>
      <x:c r="C11" s="525" t="s">
        <x:v>247</x:v>
      </x:c>
      <x:c r="D11" s="731">
        <x:v>0</x:v>
      </x:c>
      <x:c r="E11" s="731">
        <x:v>0</x:v>
      </x:c>
      <x:c r="F11" s="731">
        <x:v>0</x:v>
      </x:c>
      <x:c r="G11" s="731">
        <x:v>0</x:v>
      </x:c>
      <x:c r="H11" s="731">
        <x:v>0</x:v>
      </x:c>
      <x:c r="I11" s="731">
        <x:v>0</x:v>
      </x:c>
      <x:c r="J11" s="731">
        <x:v>0</x:v>
      </x:c>
      <x:c r="K11" s="731">
        <x:v>0</x:v>
      </x:c>
      <x:c r="L11" s="731">
        <x:v>0</x:v>
      </x:c>
      <x:c r="M11" s="731">
        <x:v>0</x:v>
      </x:c>
      <x:c r="N11" s="731">
        <x:v>0</x:v>
      </x:c>
      <x:c r="O11" s="731">
        <x:v>0</x:v>
      </x:c>
    </x:row>
    <x:row r="12" spans="2:20" customFormat="1" ht="13.2" x14ac:dyDescent="0.25">
      <x:c r="B12" s="525" t="s">
        <x:v>248</x:v>
      </x:c>
      <x:c r="C12" s="525" t="s">
        <x:v>13</x:v>
      </x:c>
      <x:c r="D12" s="731">
        <x:v>0</x:v>
      </x:c>
      <x:c r="E12" s="731">
        <x:v>0</x:v>
      </x:c>
      <x:c r="F12" s="731">
        <x:v>0</x:v>
      </x:c>
      <x:c r="G12" s="731">
        <x:v>0</x:v>
      </x:c>
      <x:c r="H12" s="731">
        <x:v>0</x:v>
      </x:c>
      <x:c r="I12" s="731">
        <x:v>0</x:v>
      </x:c>
      <x:c r="J12" s="731">
        <x:v>0</x:v>
      </x:c>
      <x:c r="K12" s="731">
        <x:v>0</x:v>
      </x:c>
      <x:c r="L12" s="731">
        <x:v>0</x:v>
      </x:c>
      <x:c r="M12" s="731">
        <x:v>0</x:v>
      </x:c>
      <x:c r="N12" s="731">
        <x:v>0</x:v>
      </x:c>
      <x:c r="O12" s="731">
        <x:v>0</x:v>
      </x:c>
    </x:row>
    <x:row r="13" spans="2:20" customFormat="1" ht="13.8" thickBot="1" x14ac:dyDescent="0.3">
      <x:c r="B13" s="525" t="s">
        <x:v>118</x:v>
      </x:c>
      <x:c r="C13" s="729" t="s">
        <x:v>14</x:v>
      </x:c>
      <x:c r="D13" s="732">
        <x:v>0</x:v>
      </x:c>
      <x:c r="E13" s="732">
        <x:v>0</x:v>
      </x:c>
      <x:c r="F13" s="732">
        <x:v>0</x:v>
      </x:c>
      <x:c r="G13" s="732">
        <x:v>0</x:v>
      </x:c>
      <x:c r="H13" s="732">
        <x:v>0</x:v>
      </x:c>
      <x:c r="I13" s="732">
        <x:v>0</x:v>
      </x:c>
      <x:c r="J13" s="732">
        <x:v>0</x:v>
      </x:c>
      <x:c r="K13" s="732">
        <x:v>0</x:v>
      </x:c>
      <x:c r="L13" s="732">
        <x:v>0</x:v>
      </x:c>
      <x:c r="M13" s="732">
        <x:v>0</x:v>
      </x:c>
      <x:c r="N13" s="732">
        <x:v>0</x:v>
      </x:c>
      <x:c r="O13" s="732">
        <x:v>0</x:v>
      </x:c>
    </x:row>
    <x:row r="14" spans="2:20" customFormat="1" ht="13.8" thickBot="1" x14ac:dyDescent="0.3">
      <x:c r="B14" s="728" t="s">
        <x:v>249</x:v>
      </x:c>
      <x:c r="C14" s="730" t="s">
        <x:v>70</x:v>
      </x:c>
      <x:c r="D14" s="733">
        <x:v>0</x:v>
      </x:c>
      <x:c r="E14" s="733">
        <x:v>0</x:v>
      </x:c>
      <x:c r="F14" s="733">
        <x:v>0</x:v>
      </x:c>
      <x:c r="G14" s="733">
        <x:v>0</x:v>
      </x:c>
      <x:c r="H14" s="733">
        <x:v>0</x:v>
      </x:c>
      <x:c r="I14" s="733">
        <x:v>0</x:v>
      </x:c>
      <x:c r="J14" s="733">
        <x:v>0</x:v>
      </x:c>
      <x:c r="K14" s="733">
        <x:v>0</x:v>
      </x:c>
      <x:c r="L14" s="733">
        <x:v>0</x:v>
      </x:c>
      <x:c r="M14" s="733">
        <x:v>0</x:v>
      </x:c>
      <x:c r="N14" s="733">
        <x:v>0</x:v>
      </x:c>
      <x:c r="O14" s="734">
        <x:v>0</x:v>
      </x:c>
    </x:row>
    <x:row r="15" spans="2:20" customFormat="1" ht="13.2" x14ac:dyDescent="0.25"/>
    <x:row r="16" spans="2:20" customFormat="1" ht="13.2" x14ac:dyDescent="0.25">
      <x:c r="C16" s="542"/>
    </x:row>
    <x:row r="18" spans="2:15" x14ac:dyDescent="0.3">
      <x:c r="E18" s="522" t="s">
        <x:v>250</x:v>
      </x:c>
    </x:row>
    <x:row r="19" spans="2:15" x14ac:dyDescent="0.3">
      <x:c r="F19" s="522" t="s">
        <x:v>25</x:v>
      </x:c>
    </x:row>
    <x:row r="22" spans="2:15" ht="36" x14ac:dyDescent="0.3">
      <x:c r="C22" s="529" t="s">
        <x:v>9</x:v>
      </x:c>
      <x:c r="D22" s="529" t="s">
        <x:v>4</x:v>
      </x:c>
      <x:c r="E22" s="529" t="s">
        <x:v>5</x:v>
      </x:c>
      <x:c r="F22" s="529" t="s">
        <x:v>6</x:v>
      </x:c>
      <x:c r="G22" s="529" t="s">
        <x:v>159</x:v>
      </x:c>
      <x:c r="H22" s="529" t="s">
        <x:v>18</x:v>
      </x:c>
      <x:c r="I22" s="529" t="s">
        <x:v>24</x:v>
      </x:c>
      <x:c r="J22" s="529" t="s">
        <x:v>19</x:v>
      </x:c>
      <x:c r="K22" s="530" t="s">
        <x:v>20</x:v>
      </x:c>
      <x:c r="L22" s="529" t="s">
        <x:v>21</x:v>
      </x:c>
      <x:c r="M22" s="530" t="s">
        <x:v>22</x:v>
      </x:c>
      <x:c r="N22" s="529" t="s">
        <x:v>7</x:v>
      </x:c>
      <x:c r="O22" s="530" t="s">
        <x:v>23</x:v>
      </x:c>
    </x:row>
    <x:row r="23" spans="2:15" x14ac:dyDescent="0.3">
      <x:c r="B23" s="521" t="s">
        <x:v>115</x:v>
      </x:c>
      <x:c r="C23" s="521" t="s">
        <x:v>10</x:v>
      </x:c>
      <x:c r="D23" s="531">
        <x:f>D9-'CONSOLIDADO_TOTAL RECAUDO'!D104</x:f>
        <x:v>0</x:v>
      </x:c>
      <x:c r="E23" s="531">
        <x:f>E9-'CONSOLIDADO_TOTAL RECAUDO'!E104</x:f>
        <x:v>0</x:v>
      </x:c>
      <x:c r="F23" s="531">
        <x:f>F9-'CONSOLIDADO_TOTAL RECAUDO'!F104</x:f>
        <x:v>0</x:v>
      </x:c>
      <x:c r="G23" s="531">
        <x:f>G9-'CONSOLIDADO_TOTAL RECAUDO'!G104</x:f>
        <x:v>0</x:v>
      </x:c>
      <x:c r="H23" s="531">
        <x:f>H9-'CONSOLIDADO_TOTAL RECAUDO'!H104</x:f>
        <x:v>0</x:v>
      </x:c>
      <x:c r="I23" s="531">
        <x:f>I9-'CONSOLIDADO_TOTAL RECAUDO'!I104</x:f>
        <x:v>0</x:v>
      </x:c>
      <x:c r="J23" s="531">
        <x:f>J9-'CONSOLIDADO_TOTAL RECAUDO'!J104</x:f>
        <x:v>0</x:v>
      </x:c>
      <x:c r="K23" s="531">
        <x:f>K9-'CONSOLIDADO_TOTAL RECAUDO'!K104</x:f>
        <x:v>0</x:v>
      </x:c>
      <x:c r="L23" s="531">
        <x:f>L9-'CONSOLIDADO_TOTAL RECAUDO'!L104</x:f>
        <x:v>-189185987</x:v>
      </x:c>
      <x:c r="M23" s="531">
        <x:f>M9-'CONSOLIDADO_TOTAL RECAUDO'!M104</x:f>
        <x:v>189185987</x:v>
      </x:c>
      <x:c r="N23" s="531">
        <x:f>N9-'CONSOLIDADO_TOTAL RECAUDO'!N104</x:f>
        <x:v>0</x:v>
      </x:c>
      <x:c r="O23" s="531">
        <x:f>O9-'CONSOLIDADO_TOTAL RECAUDO'!O104</x:f>
        <x:v>189185987</x:v>
      </x:c>
    </x:row>
    <x:row r="24" spans="2:15" x14ac:dyDescent="0.3">
      <x:c r="B24" s="521" t="s">
        <x:v>116</x:v>
      </x:c>
      <x:c r="C24" s="521" t="s">
        <x:v>11</x:v>
      </x:c>
      <x:c r="D24" s="531">
        <x:f>D10-'CONSOLIDADO_TOTAL RECAUDO'!D105</x:f>
        <x:v>0</x:v>
      </x:c>
      <x:c r="E24" s="531">
        <x:f>E10-'CONSOLIDADO_TOTAL RECAUDO'!E105</x:f>
        <x:v>0</x:v>
      </x:c>
      <x:c r="F24" s="531">
        <x:f>F10-'CONSOLIDADO_TOTAL RECAUDO'!F105</x:f>
        <x:v>0</x:v>
      </x:c>
      <x:c r="G24" s="531">
        <x:f>G10-'CONSOLIDADO_TOTAL RECAUDO'!G105</x:f>
        <x:v>0</x:v>
      </x:c>
      <x:c r="H24" s="531">
        <x:f>H10-'CONSOLIDADO_TOTAL RECAUDO'!H105</x:f>
        <x:v>0</x:v>
      </x:c>
      <x:c r="I24" s="531">
        <x:f>I10-'CONSOLIDADO_TOTAL RECAUDO'!I105</x:f>
        <x:v>0</x:v>
      </x:c>
      <x:c r="J24" s="531">
        <x:f>J10-'CONSOLIDADO_TOTAL RECAUDO'!J105</x:f>
        <x:v>0</x:v>
      </x:c>
      <x:c r="K24" s="531">
        <x:f>K10-'CONSOLIDADO_TOTAL RECAUDO'!K105</x:f>
        <x:v>0</x:v>
      </x:c>
      <x:c r="L24" s="531">
        <x:f>L10-'CONSOLIDADO_TOTAL RECAUDO'!L105</x:f>
        <x:v>-266580255</x:v>
      </x:c>
      <x:c r="M24" s="531">
        <x:f>M10-'CONSOLIDADO_TOTAL RECAUDO'!M105</x:f>
        <x:v>266580255</x:v>
      </x:c>
      <x:c r="N24" s="531">
        <x:f>N10-'CONSOLIDADO_TOTAL RECAUDO'!N105</x:f>
        <x:v>0</x:v>
      </x:c>
      <x:c r="O24" s="531">
        <x:f>O10-'CONSOLIDADO_TOTAL RECAUDO'!O105</x:f>
        <x:v>266580255</x:v>
      </x:c>
    </x:row>
    <x:row r="25" spans="2:15" x14ac:dyDescent="0.3">
      <x:c r="B25" s="521" t="s">
        <x:v>117</x:v>
      </x:c>
      <x:c r="C25" s="521" t="s">
        <x:v>247</x:v>
      </x:c>
      <x:c r="D25" s="531">
        <x:f>D11-'CONSOLIDADO_TOTAL RECAUDO'!D106</x:f>
        <x:v>0</x:v>
      </x:c>
      <x:c r="E25" s="531">
        <x:f>E11-'CONSOLIDADO_TOTAL RECAUDO'!E106</x:f>
        <x:v>0</x:v>
      </x:c>
      <x:c r="F25" s="531">
        <x:f>F11-'CONSOLIDADO_TOTAL RECAUDO'!F106</x:f>
        <x:v>0</x:v>
      </x:c>
      <x:c r="G25" s="531">
        <x:f>G11-'CONSOLIDADO_TOTAL RECAUDO'!G106</x:f>
        <x:v>0</x:v>
      </x:c>
      <x:c r="H25" s="531">
        <x:f>H11-'CONSOLIDADO_TOTAL RECAUDO'!H106</x:f>
        <x:v>0</x:v>
      </x:c>
      <x:c r="I25" s="531">
        <x:f>I11-'CONSOLIDADO_TOTAL RECAUDO'!I106</x:f>
        <x:v>0</x:v>
      </x:c>
      <x:c r="J25" s="531">
        <x:f>J11-'CONSOLIDADO_TOTAL RECAUDO'!J106</x:f>
        <x:v>0</x:v>
      </x:c>
      <x:c r="K25" s="531">
        <x:f>K11-'CONSOLIDADO_TOTAL RECAUDO'!K106</x:f>
        <x:v>0</x:v>
      </x:c>
      <x:c r="L25" s="531">
        <x:f>L11-'CONSOLIDADO_TOTAL RECAUDO'!L106</x:f>
        <x:v>-154788535</x:v>
      </x:c>
      <x:c r="M25" s="531">
        <x:f>M11-'CONSOLIDADO_TOTAL RECAUDO'!M106</x:f>
        <x:v>154788535</x:v>
      </x:c>
      <x:c r="N25" s="531">
        <x:f>N11-'CONSOLIDADO_TOTAL RECAUDO'!N106</x:f>
        <x:v>0</x:v>
      </x:c>
      <x:c r="O25" s="531">
        <x:f>O11-'CONSOLIDADO_TOTAL RECAUDO'!O106</x:f>
        <x:v>154788535</x:v>
      </x:c>
    </x:row>
    <x:row r="26" spans="2:15" x14ac:dyDescent="0.3">
      <x:c r="B26" s="521" t="s">
        <x:v>248</x:v>
      </x:c>
      <x:c r="C26" s="521" t="s">
        <x:v>13</x:v>
      </x:c>
      <x:c r="D26" s="531">
        <x:f>D12-'CONSOLIDADO_TOTAL RECAUDO'!D107</x:f>
        <x:v>0</x:v>
      </x:c>
      <x:c r="E26" s="531">
        <x:f>E12-'CONSOLIDADO_TOTAL RECAUDO'!E107</x:f>
        <x:v>0</x:v>
      </x:c>
      <x:c r="F26" s="531">
        <x:f>F12-'CONSOLIDADO_TOTAL RECAUDO'!F107</x:f>
        <x:v>0</x:v>
      </x:c>
      <x:c r="G26" s="531">
        <x:f>G12-'CONSOLIDADO_TOTAL RECAUDO'!G107</x:f>
        <x:v>0</x:v>
      </x:c>
      <x:c r="H26" s="531">
        <x:f>H12-'CONSOLIDADO_TOTAL RECAUDO'!H107</x:f>
        <x:v>0</x:v>
      </x:c>
      <x:c r="I26" s="531">
        <x:f>I12-'CONSOLIDADO_TOTAL RECAUDO'!I107</x:f>
        <x:v>0</x:v>
      </x:c>
      <x:c r="J26" s="531">
        <x:f>J12-'CONSOLIDADO_TOTAL RECAUDO'!J107</x:f>
        <x:v>0</x:v>
      </x:c>
      <x:c r="K26" s="531">
        <x:f>K12-'CONSOLIDADO_TOTAL RECAUDO'!K107</x:f>
        <x:v>0</x:v>
      </x:c>
      <x:c r="L26" s="531">
        <x:f>L12-'CONSOLIDADO_TOTAL RECAUDO'!L107</x:f>
        <x:v>-120391083</x:v>
      </x:c>
      <x:c r="M26" s="531">
        <x:f>M12-'CONSOLIDADO_TOTAL RECAUDO'!M107</x:f>
        <x:v>120391083</x:v>
      </x:c>
      <x:c r="N26" s="531">
        <x:f>N12-'CONSOLIDADO_TOTAL RECAUDO'!N107</x:f>
        <x:v>0</x:v>
      </x:c>
      <x:c r="O26" s="531">
        <x:f>O12-'CONSOLIDADO_TOTAL RECAUDO'!O107</x:f>
        <x:v>120391083</x:v>
      </x:c>
    </x:row>
    <x:row r="27" spans="2:15" ht="15" thickBot="1" x14ac:dyDescent="0.35">
      <x:c r="B27" s="521" t="s">
        <x:v>118</x:v>
      </x:c>
      <x:c r="C27" s="521" t="s">
        <x:v>14</x:v>
      </x:c>
      <x:c r="D27" s="531">
        <x:f>D13-'CONSOLIDADO_TOTAL RECAUDO'!D108</x:f>
        <x:v>0</x:v>
      </x:c>
      <x:c r="E27" s="531">
        <x:f>E13-'CONSOLIDADO_TOTAL RECAUDO'!E108</x:f>
        <x:v>0</x:v>
      </x:c>
      <x:c r="F27" s="531">
        <x:f>F13-'CONSOLIDADO_TOTAL RECAUDO'!F108</x:f>
        <x:v>0</x:v>
      </x:c>
      <x:c r="G27" s="531">
        <x:f>G13-'CONSOLIDADO_TOTAL RECAUDO'!G108</x:f>
        <x:v>0</x:v>
      </x:c>
      <x:c r="H27" s="531">
        <x:f>H13-'CONSOLIDADO_TOTAL RECAUDO'!H108</x:f>
        <x:v>0</x:v>
      </x:c>
      <x:c r="I27" s="531">
        <x:f>I13-'CONSOLIDADO_TOTAL RECAUDO'!I108</x:f>
        <x:v>0</x:v>
      </x:c>
      <x:c r="J27" s="531">
        <x:f>J13-'CONSOLIDADO_TOTAL RECAUDO'!J108</x:f>
        <x:v>0</x:v>
      </x:c>
      <x:c r="K27" s="531">
        <x:f>K13-'CONSOLIDADO_TOTAL RECAUDO'!K108</x:f>
        <x:v>0</x:v>
      </x:c>
      <x:c r="L27" s="531">
        <x:f>L13-'CONSOLIDADO_TOTAL RECAUDO'!L108</x:f>
        <x:v>-128990445</x:v>
      </x:c>
      <x:c r="M27" s="531">
        <x:f>M13-'CONSOLIDADO_TOTAL RECAUDO'!M108</x:f>
        <x:v>128990445</x:v>
      </x:c>
      <x:c r="N27" s="531">
        <x:f>N13-'CONSOLIDADO_TOTAL RECAUDO'!N108</x:f>
        <x:v>0</x:v>
      </x:c>
      <x:c r="O27" s="531">
        <x:f>O13-'CONSOLIDADO_TOTAL RECAUDO'!O108</x:f>
        <x:v>128990445</x:v>
      </x:c>
    </x:row>
    <x:row r="28" spans="2:15" customFormat="1" ht="13.8" thickBot="1" x14ac:dyDescent="0.3">
      <x:c r="B28" s="728" t="s">
        <x:v>249</x:v>
      </x:c>
      <x:c r="C28" s="730" t="s">
        <x:v>70</x:v>
      </x:c>
      <x:c r="D28" s="735">
        <x:f>D14-'CONSOLIDADO_TOTAL RECAUDO'!D109</x:f>
        <x:v>0</x:v>
      </x:c>
      <x:c r="E28" s="735">
        <x:f>E14-'CONSOLIDADO_TOTAL RECAUDO'!E109</x:f>
        <x:v>0</x:v>
      </x:c>
      <x:c r="F28" s="735">
        <x:f>F14-'CONSOLIDADO_TOTAL RECAUDO'!F109</x:f>
        <x:v>0</x:v>
      </x:c>
      <x:c r="G28" s="735">
        <x:f>G14-'CONSOLIDADO_TOTAL RECAUDO'!G109</x:f>
        <x:v>0</x:v>
      </x:c>
      <x:c r="H28" s="735">
        <x:f>H14-'CONSOLIDADO_TOTAL RECAUDO'!H109</x:f>
        <x:v>0</x:v>
      </x:c>
      <x:c r="I28" s="735">
        <x:f>I14-'CONSOLIDADO_TOTAL RECAUDO'!I109</x:f>
        <x:v>0</x:v>
      </x:c>
      <x:c r="J28" s="735">
        <x:f>J14-'CONSOLIDADO_TOTAL RECAUDO'!J109</x:f>
        <x:v>0</x:v>
      </x:c>
      <x:c r="K28" s="735">
        <x:f>K14-'CONSOLIDADO_TOTAL RECAUDO'!K109</x:f>
        <x:v>0</x:v>
      </x:c>
      <x:c r="L28" s="735">
        <x:f>L14-'CONSOLIDADO_TOTAL RECAUDO'!L109</x:f>
        <x:v>-859936305</x:v>
      </x:c>
      <x:c r="M28" s="735">
        <x:f>M14-'CONSOLIDADO_TOTAL RECAUDO'!M109</x:f>
        <x:v>859936305</x:v>
      </x:c>
      <x:c r="N28" s="735">
        <x:f>N14-'CONSOLIDADO_TOTAL RECAUDO'!N109</x:f>
        <x:v>0</x:v>
      </x:c>
      <x:c r="O28" s="736">
        <x:f>O14-'CONSOLIDADO_TOTAL RECAUDO'!O109</x:f>
        <x:v>859936305</x:v>
      </x:c>
    </x:row>
    <x:row r="31" spans="2:15" ht="36" x14ac:dyDescent="0.3">
      <x:c r="C31" s="529" t="s">
        <x:v>9</x:v>
      </x:c>
      <x:c r="D31" s="529" t="s">
        <x:v>4</x:v>
      </x:c>
      <x:c r="E31" s="529" t="s">
        <x:v>5</x:v>
      </x:c>
      <x:c r="F31" s="529" t="s">
        <x:v>6</x:v>
      </x:c>
      <x:c r="G31" s="529" t="s">
        <x:v>159</x:v>
      </x:c>
      <x:c r="H31" s="529" t="s">
        <x:v>18</x:v>
      </x:c>
      <x:c r="I31" s="529" t="s">
        <x:v>24</x:v>
      </x:c>
      <x:c r="J31" s="581" t="s">
        <x:v>19</x:v>
      </x:c>
      <x:c r="K31" s="530" t="s">
        <x:v>20</x:v>
      </x:c>
      <x:c r="L31" s="581" t="s">
        <x:v>21</x:v>
      </x:c>
      <x:c r="M31" s="530" t="s">
        <x:v>22</x:v>
      </x:c>
      <x:c r="N31" s="529" t="s">
        <x:v>7</x:v>
      </x:c>
      <x:c r="O31" s="530" t="s">
        <x:v>23</x:v>
      </x:c>
    </x:row>
    <x:row r="32" spans="2:15" x14ac:dyDescent="0.3">
      <x:c r="B32" s="521" t="s">
        <x:v>115</x:v>
      </x:c>
      <x:c r="C32" s="274" t="s">
        <x:v>10</x:v>
      </x:c>
      <x:c r="D32" s="534" t="b">
        <x:f>+D23+'Reporte Componentes R1'!F46+'Rem. Anticipos R2'!E43+'Reversion Pagos R4'!D73+'Reporte Componentes R1'!F48+'AJUSTES - SF-T'!D47=D9</x:f>
        <x:v>1</x:v>
      </x:c>
      <x:c r="E32" s="534" t="b">
        <x:f>+E23+'Reporte Componentes R1'!G46+'Rem. Anticipos R2'!F43+'Reversion Pagos R4'!E73+'Reporte Componentes R1'!G48+'AJUSTES - SF-T'!E47=E9</x:f>
        <x:v>1</x:v>
      </x:c>
      <x:c r="F32" s="534" t="b">
        <x:f>+F23+'Reporte Componentes R1'!H46+'Rem. Anticipos R2'!G43+'Reversion Pagos R4'!F73+'Reporte Componentes R1'!H48+'AJUSTES - SF-T'!F47=F9</x:f>
        <x:v>1</x:v>
      </x:c>
      <x:c r="G32" s="534" t="b">
        <x:f>+G23+'Reporte Componentes R1'!I46+'Rem. Anticipos R2'!H43+'Reversion Pagos R4'!G73+'Reporte Componentes R1'!I48+'AJUSTES - SF-T'!G47=G9</x:f>
        <x:v>1</x:v>
      </x:c>
      <x:c r="H32" s="534" t="b">
        <x:f>+H23+'Reporte Componentes R1'!J46+'Rem. Anticipos R2'!I43+'Reversion Pagos R4'!H73+'Reporte Componentes R1'!J48+'AJUSTES - SF-T'!H47=H9</x:f>
        <x:v>1</x:v>
      </x:c>
      <x:c r="I32" s="534" t="b">
        <x:f>+I23+'Reporte Componentes R1'!K46+'Rem. Anticipos R2'!J43+'Reversion Pagos R4'!I73+'Reporte Componentes R1'!K48+'AJUSTES - SF-T'!I47=I9</x:f>
        <x:v>1</x:v>
      </x:c>
      <x:c r="J32" s="534" t="b">
        <x:f>+'BCE SC POR FACT.'!F3+J23=J9</x:f>
        <x:v>1</x:v>
      </x:c>
      <x:c r="K32" s="534" t="b">
        <x:f>('Reporte Componentes R1'!F46+'Rem. Anticipos R2'!E43+'Reversion Pagos R4'!D73+'Reporte Componentes R1'!F48-('Reporte Componentes R1'!G46+'Rem. Anticipos R2'!F43+'Reversion Pagos R4'!E73+'Reporte Componentes R1'!G48+'Reporte Componentes R1'!H46+'Rem. Anticipos R2'!G43+'Reversion Pagos R4'!F73+'Reporte Componentes R1'!H48+'Reporte Componentes R1'!I46+'Rem. Anticipos R2'!H43+'Reversion Pagos R4'!G73+'Reporte Componentes R1'!I48+'Reporte Componentes R1'!J46+'Rem. Anticipos R2'!I43+'Reversion Pagos R4'!H73+'Reporte Componentes R1'!J48+'Reporte Componentes R1'!K46+'Rem. Anticipos R2'!J43+'Reversion Pagos R4'!I73+'Reporte Componentes R1'!K48+'BCE SC POR FACT.'!F3)+K23)+'AJUSTES - SF-T'!K47=K9</x:f>
        <x:v>1</x:v>
      </x:c>
      <x:c r="L32" s="577" t="b">
        <x:f>INTERVENTORIA!F15+L23=L9</x:f>
        <x:v>0</x:v>
      </x:c>
      <x:c r="M32" s="531" t="b">
        <x:f>((('Reporte Componentes R1'!F46+'Rem. Anticipos R2'!E43+'Reversion Pagos R4'!D73+'Reporte Componentes R1'!F48-('Reporte Componentes R1'!G46+'Rem. Anticipos R2'!F43+'Reversion Pagos R4'!E73+'Reporte Componentes R1'!G48+'Reporte Componentes R1'!H46+'Rem. Anticipos R2'!G43+'Reversion Pagos R4'!F73+'Reporte Componentes R1'!H48+'Reporte Componentes R1'!I46+'Rem. Anticipos R2'!H43+'Reversion Pagos R4'!G73+'Reporte Componentes R1'!I48+'Reporte Componentes R1'!J46+'Rem. Anticipos R2'!I43+'Reversion Pagos R4'!H73+'Reporte Componentes R1'!J48+'Reporte Componentes R1'!K46+'Rem. Anticipos R2'!J43+'Reversion Pagos R4'!I73+'Reporte Componentes R1'!K48+'BCE SC POR FACT.'!F3))-INTERVENTORIA!F15)+M23)+'AJUSTES - SF-T'!M47=M9</x:f>
        <x:v>0</x:v>
      </x:c>
      <x:c r="N32" s="531" t="b">
        <x:f>'Reporte Componentes R1'!L46+'Rem. Anticipos R2'!K43+'Reversion Pagos R4'!P73+'Reporte Componentes R1'!L48+N23=N9</x:f>
        <x:v>1</x:v>
      </x:c>
      <x:c r="O32" s="531" t="b">
        <x:f>((('Reporte Componentes R1'!F46+'Rem. Anticipos R2'!E43+'Reversion Pagos R4'!D73+'Reporte Componentes R1'!F48-('Reporte Componentes R1'!G46+'Rem. Anticipos R2'!F43+'Reversion Pagos R4'!E73+'Reporte Componentes R1'!G48+'Reporte Componentes R1'!H46+'Rem. Anticipos R2'!G43+'Reversion Pagos R4'!F73+'Reporte Componentes R1'!H48+'Reporte Componentes R1'!I46+'Rem. Anticipos R2'!H43+'Reversion Pagos R4'!G73+'Reporte Componentes R1'!I48+'Reporte Componentes R1'!J46+'Rem. Anticipos R2'!I43+'Reversion Pagos R4'!H73+'Reporte Componentes R1'!J48+'Reporte Componentes R1'!K46+'Rem. Anticipos R2'!J43+'Reversion Pagos R4'!I73+'Reporte Componentes R1'!K48+'BCE SC POR FACT.'!F3))-INTERVENTORIA!F15))+'Reporte Componentes R1'!L46+'Rem. Anticipos R2'!K43+'Reversion Pagos R4'!P73+'Reporte Componentes R1'!L48+O23+'AJUSTES - SF-T'!O47=O9</x:f>
        <x:v>0</x:v>
      </x:c>
    </x:row>
    <x:row r="33" spans="2:15" x14ac:dyDescent="0.3">
      <x:c r="B33" s="521" t="s">
        <x:v>116</x:v>
      </x:c>
      <x:c r="C33" s="274" t="s">
        <x:v>11</x:v>
      </x:c>
      <x:c r="D33" s="534" t="b">
        <x:f>+D24+'Reporte Componentes R1'!F176+'Rem. Anticipos R2'!E139+'Reversion Pagos R4'!D168+'Reporte Componentes R1'!F178+'AJUSTES - SF-T'!D48=D10</x:f>
        <x:v>1</x:v>
      </x:c>
      <x:c r="E33" s="534" t="b">
        <x:f>+E24+'Reporte Componentes R1'!G176+'Rem. Anticipos R2'!F139+'Reversion Pagos R4'!E168+'Reporte Componentes R1'!G178+'AJUSTES - SF-T'!E48=E10</x:f>
        <x:v>1</x:v>
      </x:c>
      <x:c r="F33" s="534" t="b">
        <x:f>+F24+'Reporte Componentes R1'!H176+'Rem. Anticipos R2'!G139+'Reversion Pagos R4'!F168+'Reporte Componentes R1'!H178+'AJUSTES - SF-T'!F48=F10</x:f>
        <x:v>1</x:v>
      </x:c>
      <x:c r="G33" s="534" t="b">
        <x:f>+G24+'Reporte Componentes R1'!I176+'Rem. Anticipos R2'!H139+'Reversion Pagos R4'!G168+'Reporte Componentes R1'!I178+'AJUSTES - SF-T'!G48=G10</x:f>
        <x:v>1</x:v>
      </x:c>
      <x:c r="H33" s="534" t="b">
        <x:f>+H24+'Reporte Componentes R1'!J176+'Rem. Anticipos R2'!I139+'Reversion Pagos R4'!H168+'Reporte Componentes R1'!J178+'AJUSTES - SF-T'!H48=H10</x:f>
        <x:v>1</x:v>
      </x:c>
      <x:c r="I33" s="534" t="b">
        <x:f>+I24+'Reporte Componentes R1'!K176+'Rem. Anticipos R2'!J139+'Reversion Pagos R4'!I168+'Reporte Componentes R1'!K178+'AJUSTES - SF-T'!I48=I10</x:f>
        <x:v>1</x:v>
      </x:c>
      <x:c r="J33" s="534" t="b">
        <x:f>+'BCE SC POR FACT.'!F4+J24=J10</x:f>
        <x:v>1</x:v>
      </x:c>
      <x:c r="K33" s="531" t="b">
        <x:f>('Reporte Componentes R1'!F176+'Rem. Anticipos R2'!E139+'Reversion Pagos R4'!D168+'Reporte Componentes R1'!F178-('Reporte Componentes R1'!G176+'Rem. Anticipos R2'!F139+'Reversion Pagos R4'!E168+'Reporte Componentes R1'!G178+'Reporte Componentes R1'!H176+'Rem. Anticipos R2'!G139+'Reversion Pagos R4'!F168+'Reporte Componentes R1'!H178+'Reporte Componentes R1'!I176+'Rem. Anticipos R2'!H139+'Reversion Pagos R4'!G168+'Reporte Componentes R1'!I178+'Reporte Componentes R1'!J176+'Rem. Anticipos R2'!I139+'Reversion Pagos R4'!H168+'Reporte Componentes R1'!J178+'Reporte Componentes R1'!K176+'Rem. Anticipos R2'!J139+'Reversion Pagos R4'!I168+'Reporte Componentes R1'!K178+'BCE SC POR FACT.'!F4)+K24)+'AJUSTES - SF-T'!K48=K10</x:f>
        <x:v>1</x:v>
      </x:c>
      <x:c r="L33" s="577" t="b">
        <x:f>INTERVENTORIA!F16+L24=L10</x:f>
        <x:v>0</x:v>
      </x:c>
      <x:c r="M33" s="531" t="b">
        <x:f>((('Reporte Componentes R1'!F176+'Rem. Anticipos R2'!E139+'Reversion Pagos R4'!D168+'Reporte Componentes R1'!F178-('Reporte Componentes R1'!G176+'Rem. Anticipos R2'!F139+'Reversion Pagos R4'!E168+'Reporte Componentes R1'!G178+'Reporte Componentes R1'!H176+'Rem. Anticipos R2'!G139+'Reversion Pagos R4'!F168+'Reporte Componentes R1'!H178+'Reporte Componentes R1'!I176+'Rem. Anticipos R2'!H139+'Reversion Pagos R4'!G168+'Reporte Componentes R1'!I178+'Reporte Componentes R1'!J176+'Rem. Anticipos R2'!I139+'Reversion Pagos R4'!H168+'Reporte Componentes R1'!J178+'Reporte Componentes R1'!K176+'Rem. Anticipos R2'!J139+'Reversion Pagos R4'!I168+'Reporte Componentes R1'!K178+'BCE SC POR FACT.'!F4))+M24)-INTERVENTORIA!F16)+'AJUSTES - SF-T'!M48=M10</x:f>
        <x:v>0</x:v>
      </x:c>
      <x:c r="N33" s="531" t="b">
        <x:f>+'Reporte Componentes R1'!L176+'Rem. Anticipos R2'!K139+'Reversion Pagos R4'!P168+'Reporte Componentes R1'!L178+N24=N10</x:f>
        <x:v>1</x:v>
      </x:c>
      <x:c r="O33" s="531" t="b">
        <x:f>((('Reporte Componentes R1'!F176+'Rem. Anticipos R2'!E139+'Reversion Pagos R4'!D168+'Reporte Componentes R1'!F178-('Reporte Componentes R1'!G176+'Rem. Anticipos R2'!F139+'Reversion Pagos R4'!E168+'Reporte Componentes R1'!G178+'Reporte Componentes R1'!H176+'Rem. Anticipos R2'!G139+'Reversion Pagos R4'!F168+'Reporte Componentes R1'!H178+'Reporte Componentes R1'!I176+'Rem. Anticipos R2'!H139+'Reversion Pagos R4'!G168+'Reporte Componentes R1'!I178+'Reporte Componentes R1'!J176+'Rem. Anticipos R2'!I139+'Reversion Pagos R4'!H168+'Reporte Componentes R1'!J178+'Reporte Componentes R1'!K176+'Rem. Anticipos R2'!J139+'Reversion Pagos R4'!I168+'Reporte Componentes R1'!K178+'BCE SC POR FACT.'!F4)))-INTERVENTORIA!F16)+O24+'Reporte Componentes R1'!L176+'Rem. Anticipos R2'!K139+'Reversion Pagos R4'!P168+'Reporte Componentes R1'!L178+'AJUSTES - SF-T'!O48=O10</x:f>
        <x:v>0</x:v>
      </x:c>
    </x:row>
    <x:row r="34" spans="2:15" x14ac:dyDescent="0.3">
      <x:c r="B34" s="521" t="s">
        <x:v>117</x:v>
      </x:c>
      <x:c r="C34" s="274" t="s">
        <x:v>12</x:v>
      </x:c>
      <x:c r="D34" s="534" t="b">
        <x:f>+'Reporte Componentes R1'!F316+'Reporte Componentes R1'!F318+'Rem. Anticipos R2'!E256+'Reversion Pagos R4'!D205+D25+'AJUSTES - SF-T'!D49=D11</x:f>
        <x:v>1</x:v>
      </x:c>
      <x:c r="E34" s="534" t="b">
        <x:f>+'Reporte Componentes R1'!G316+'Reporte Componentes R1'!G318+'Rem. Anticipos R2'!F256+'Reversion Pagos R4'!E205+E25+'AJUSTES - SF-T'!E49=E11</x:f>
        <x:v>1</x:v>
      </x:c>
      <x:c r="F34" s="534" t="b">
        <x:f>+'Reporte Componentes R1'!H316+'Reporte Componentes R1'!H318+'Rem. Anticipos R2'!G256+'Reversion Pagos R4'!F205+F25+'AJUSTES - SF-T'!F49=F11</x:f>
        <x:v>1</x:v>
      </x:c>
      <x:c r="G34" s="534" t="b">
        <x:f>+'Reporte Componentes R1'!I316+'Reporte Componentes R1'!I318+'Rem. Anticipos R2'!H256+'Reversion Pagos R4'!G205+G25+'AJUSTES - SF-T'!G49=G11</x:f>
        <x:v>1</x:v>
      </x:c>
      <x:c r="H34" s="534" t="b">
        <x:f>+'Reporte Componentes R1'!J316+'Reporte Componentes R1'!J318+'Rem. Anticipos R2'!I256+'Reversion Pagos R4'!H205+H25+'AJUSTES - SF-T'!H49=H11</x:f>
        <x:v>1</x:v>
      </x:c>
      <x:c r="I34" s="534" t="b">
        <x:f>+'Reporte Componentes R1'!K316+'Reporte Componentes R1'!K318+'Rem. Anticipos R2'!J256+'Reversion Pagos R4'!I205+I25+'AJUSTES - SF-T'!I49=I11</x:f>
        <x:v>1</x:v>
      </x:c>
      <x:c r="J34" s="534" t="b">
        <x:f>+'BCE SC POR FACT.'!F5+J25=J11</x:f>
        <x:v>1</x:v>
      </x:c>
      <x:c r="K34" s="531" t="b">
        <x:f>+'Reporte Componentes R1'!F316+'Reporte Componentes R1'!F318+'Rem. Anticipos R2'!E256+'Reversion Pagos R4'!D205-('Reporte Componentes R1'!G316+'Reporte Componentes R1'!G318+'Rem. Anticipos R2'!F256+'Reversion Pagos R4'!E205+'Reporte Componentes R1'!H316+'Reporte Componentes R1'!H318+'Rem. Anticipos R2'!G256+'Reversion Pagos R4'!F205+'Reporte Componentes R1'!I316+'Reporte Componentes R1'!I318+'Rem. Anticipos R2'!H256+'Reversion Pagos R4'!G205+'Reporte Componentes R1'!J316+'Reporte Componentes R1'!J318+'Rem. Anticipos R2'!I256+'Reversion Pagos R4'!H205+'Reporte Componentes R1'!K316+'Reporte Componentes R1'!K318+'Rem. Anticipos R2'!J256+'Reversion Pagos R4'!I205+'BCE SC POR FACT.'!F5)+K25+'AJUSTES - SF-T'!K49=K11</x:f>
        <x:v>1</x:v>
      </x:c>
      <x:c r="L34" s="577" t="b">
        <x:f>INTERVENTORIA!F17+L25=L11</x:f>
        <x:v>0</x:v>
      </x:c>
      <x:c r="M34" s="531" t="b">
        <x:f>((('Reporte Componentes R1'!F316+'Reporte Componentes R1'!F318+'Rem. Anticipos R2'!E256+'Reversion Pagos R4'!D205-('Reporte Componentes R1'!G316+'Reporte Componentes R1'!G318+'Rem. Anticipos R2'!F256+'Reversion Pagos R4'!E205+'Reporte Componentes R1'!H316+'Reporte Componentes R1'!H318+'Rem. Anticipos R2'!G256+'Reversion Pagos R4'!F205+'Reporte Componentes R1'!I316+'Reporte Componentes R1'!I318+'Rem. Anticipos R2'!H256+'Reversion Pagos R4'!G205+'Reporte Componentes R1'!J316+'Reporte Componentes R1'!J318+'Rem. Anticipos R2'!I256+'Reversion Pagos R4'!H205+'Reporte Componentes R1'!K316+'Reporte Componentes R1'!K318+'Rem. Anticipos R2'!J256+'Reversion Pagos R4'!I205+'BCE SC POR FACT.'!F5))+M25)-INTERVENTORIA!F17)+'AJUSTES - SF-T'!M49=M11</x:f>
        <x:v>0</x:v>
      </x:c>
      <x:c r="N34" s="531" t="b">
        <x:f>+'Reporte Componentes R1'!L316+'Reporte Componentes R1'!L318+'Rem. Anticipos R2'!K256+'Reversion Pagos R4'!P205+N25=N11</x:f>
        <x:v>1</x:v>
      </x:c>
      <x:c r="O34" s="531" t="b">
        <x:f>((('Reporte Componentes R1'!F316+'Reporte Componentes R1'!F318+'Rem. Anticipos R2'!E256+'Reversion Pagos R4'!D205-('Reporte Componentes R1'!G316+'Reporte Componentes R1'!G318+'Rem. Anticipos R2'!F256+'Reversion Pagos R4'!E205+'Reporte Componentes R1'!H316+'Reporte Componentes R1'!H318+'Rem. Anticipos R2'!G256+'Reversion Pagos R4'!F205+'Reporte Componentes R1'!I316+'Reporte Componentes R1'!I318+'Rem. Anticipos R2'!H256+'Reversion Pagos R4'!G205+'Reporte Componentes R1'!J316+'Reporte Componentes R1'!J318+'Rem. Anticipos R2'!I256+'Reversion Pagos R4'!H205+'Reporte Componentes R1'!K316+'Reporte Componentes R1'!K318+'Rem. Anticipos R2'!J256+'Reversion Pagos R4'!I205+'BCE SC POR FACT.'!F5)))-INTERVENTORIA!F17)++'Reporte Componentes R1'!L316+'Reporte Componentes R1'!L318+'Rem. Anticipos R2'!K256+'Reversion Pagos R4'!P205+O25+'AJUSTES - SF-T'!O49=O11</x:f>
        <x:v>0</x:v>
      </x:c>
    </x:row>
    <x:row r="35" spans="2:15" x14ac:dyDescent="0.3">
      <x:c r="B35" s="521" t="s">
        <x:v>248</x:v>
      </x:c>
      <x:c r="C35" s="274" t="s">
        <x:v>13</x:v>
      </x:c>
      <x:c r="D35" s="534" t="b">
        <x:f>+'Reporte Componentes R1'!F437+'Reporte Componentes R1'!F439+'Rem. Anticipos R2'!E358+'Reversion Pagos R4'!D320+D26+'AJUSTES - SF-T'!D50=D12</x:f>
        <x:v>1</x:v>
      </x:c>
      <x:c r="E35" s="534" t="b">
        <x:f>+'Reporte Componentes R1'!G437+'Reporte Componentes R1'!G439+'Rem. Anticipos R2'!F358+'Reversion Pagos R4'!E320+E26+'AJUSTES - SF-T'!E50=E12</x:f>
        <x:v>1</x:v>
      </x:c>
      <x:c r="F35" s="534" t="b">
        <x:f>+'Reporte Componentes R1'!H437+'Reporte Componentes R1'!H439+'Rem. Anticipos R2'!G358+'Reversion Pagos R4'!F320+F26+'AJUSTES - SF-T'!F50=F12</x:f>
        <x:v>1</x:v>
      </x:c>
      <x:c r="G35" s="534" t="b">
        <x:f>+'Reporte Componentes R1'!I437+'Reporte Componentes R1'!I439+'Rem. Anticipos R2'!H358+'Reversion Pagos R4'!G320+G26+'AJUSTES - SF-T'!G50=G12</x:f>
        <x:v>1</x:v>
      </x:c>
      <x:c r="H35" s="534" t="b">
        <x:f>+'Reporte Componentes R1'!J437+'Reporte Componentes R1'!J439+'Rem. Anticipos R2'!I358+'Reversion Pagos R4'!H320+H26+'AJUSTES - SF-T'!H50=H12</x:f>
        <x:v>1</x:v>
      </x:c>
      <x:c r="I35" s="534" t="b">
        <x:f>+'Reporte Componentes R1'!K437+'Reporte Componentes R1'!K439+'Rem. Anticipos R2'!J358+'Reversion Pagos R4'!I320+I26+'AJUSTES - SF-T'!I50=I12</x:f>
        <x:v>1</x:v>
      </x:c>
      <x:c r="J35" s="534" t="b">
        <x:f>+J26+'BCE SC POR FACT.'!F6=J12</x:f>
        <x:v>1</x:v>
      </x:c>
      <x:c r="K35" s="531" t="b">
        <x:f>+'Reporte Componentes R1'!F437+'Reporte Componentes R1'!F439+'Rem. Anticipos R2'!E358+'Reversion Pagos R4'!D320-('Reporte Componentes R1'!G437+'Reporte Componentes R1'!G439+'Rem. Anticipos R2'!F358+'Reversion Pagos R4'!E320+'Reporte Componentes R1'!H437+'Reporte Componentes R1'!H439+'Rem. Anticipos R2'!G358+'Reversion Pagos R4'!F320+'Reporte Componentes R1'!I437+'Reporte Componentes R1'!I439+'Rem. Anticipos R2'!H358+'Reversion Pagos R4'!G320+'Reporte Componentes R1'!J437+'Reporte Componentes R1'!J439+'Rem. Anticipos R2'!I358+'Reversion Pagos R4'!H320+'Reporte Componentes R1'!K437+'Reporte Componentes R1'!K439+'Rem. Anticipos R2'!J358+'Reversion Pagos R4'!I320+'BCE SC POR FACT.'!F6)+K26+'AJUSTES - SF-T'!K50=K12</x:f>
        <x:v>1</x:v>
      </x:c>
      <x:c r="L35" s="577" t="b">
        <x:f>INTERVENTORIA!F18+L26=L12</x:f>
        <x:v>1</x:v>
      </x:c>
      <x:c r="M35" s="531" t="b">
        <x:f>((('Reporte Componentes R1'!F437+'Reporte Componentes R1'!F439+'Rem. Anticipos R2'!E358+'Reversion Pagos R4'!D320-('Reporte Componentes R1'!G437+'Reporte Componentes R1'!G439+'Rem. Anticipos R2'!F358+'Reversion Pagos R4'!E320+'Reporte Componentes R1'!H437+'Reporte Componentes R1'!H439+'Rem. Anticipos R2'!G358+'Reversion Pagos R4'!F320+'Reporte Componentes R1'!I437+'Reporte Componentes R1'!I439+'Rem. Anticipos R2'!H358+'Reversion Pagos R4'!G320+'Reporte Componentes R1'!J437+'Reporte Componentes R1'!J439+'Rem. Anticipos R2'!I358+'Reversion Pagos R4'!H320+'Reporte Componentes R1'!K437+'Reporte Componentes R1'!K439+'Rem. Anticipos R2'!J358+'Reversion Pagos R4'!I320+'BCE SC POR FACT.'!F6))+M26)-INTERVENTORIA!F18)+'AJUSTES - SF-T'!M50=M12</x:f>
        <x:v>1</x:v>
      </x:c>
      <x:c r="N35" s="531" t="b">
        <x:f>+'Reporte Componentes R1'!L437+'Reporte Componentes R1'!L439+'Rem. Anticipos R2'!K358+'Reversion Pagos R4'!P320+N26=N12</x:f>
        <x:v>1</x:v>
      </x:c>
      <x:c r="O35" s="531" t="b">
        <x:f>((('Reporte Componentes R1'!F437+'Reporte Componentes R1'!F439+'Rem. Anticipos R2'!E358+'Reversion Pagos R4'!D320-('Reporte Componentes R1'!G437+'Reporte Componentes R1'!G439+'Rem. Anticipos R2'!F358+'Reversion Pagos R4'!E320+'Reporte Componentes R1'!H437+'Reporte Componentes R1'!H439+'Rem. Anticipos R2'!G358+'Reversion Pagos R4'!F320+'Reporte Componentes R1'!I437+'Reporte Componentes R1'!I439+'Rem. Anticipos R2'!H358+'Reversion Pagos R4'!G320+'Reporte Componentes R1'!J437+'Reporte Componentes R1'!J439+'Rem. Anticipos R2'!I358+'Reversion Pagos R4'!H320+'Reporte Componentes R1'!K437+'Reporte Componentes R1'!K439+'Rem. Anticipos R2'!J358+'Reversion Pagos R4'!I320+'BCE SC POR FACT.'!F6)))-INTERVENTORIA!F18)+'Reporte Componentes R1'!L437+'Reporte Componentes R1'!L439+'Rem. Anticipos R2'!K358+'Reversion Pagos R4'!P320+O26+'AJUSTES - SF-T'!O50=O12</x:f>
        <x:v>1</x:v>
      </x:c>
    </x:row>
    <x:row r="36" spans="2:15" x14ac:dyDescent="0.3">
      <x:c r="B36" s="521" t="s">
        <x:v>118</x:v>
      </x:c>
      <x:c r="C36" s="274" t="s">
        <x:v>14</x:v>
      </x:c>
      <x:c r="D36" s="534" t="b">
        <x:f>+D27+'Reporte Componentes R1'!F519+'Reporte Componentes R1'!F521+'Rem. Anticipos R2'!E438+'Reversion Pagos R4'!D355+'AJUSTES - SF-T'!D51=D13</x:f>
        <x:v>1</x:v>
      </x:c>
      <x:c r="E36" s="534" t="b">
        <x:f>+E27+'Reporte Componentes R1'!G519+'Reporte Componentes R1'!G521+'Rem. Anticipos R2'!F438+'Reversion Pagos R4'!E355+'AJUSTES - SF-T'!E51=E13</x:f>
        <x:v>1</x:v>
      </x:c>
      <x:c r="F36" s="534" t="b">
        <x:f>+F27+'Reporte Componentes R1'!H519+'Reporte Componentes R1'!H521+'Rem. Anticipos R2'!G438+'Reversion Pagos R4'!F355+'AJUSTES - SF-T'!F51=F13</x:f>
        <x:v>1</x:v>
      </x:c>
      <x:c r="G36" s="534" t="b">
        <x:f>+G27+'Reporte Componentes R1'!I519+'Reporte Componentes R1'!I521+'Rem. Anticipos R2'!H438+'Reversion Pagos R4'!G355+'AJUSTES - SF-T'!G51=G13</x:f>
        <x:v>1</x:v>
      </x:c>
      <x:c r="H36" s="534" t="b">
        <x:f>+H27+'Reporte Componentes R1'!J519+'Reporte Componentes R1'!J521+'Rem. Anticipos R2'!I438+'Reversion Pagos R4'!H355+'AJUSTES - SF-T'!H51=H13</x:f>
        <x:v>1</x:v>
      </x:c>
      <x:c r="I36" s="534" t="b">
        <x:f>+I27+'Reporte Componentes R1'!K519+'Reporte Componentes R1'!K521+'Rem. Anticipos R2'!J438+'Reversion Pagos R4'!I355+'AJUSTES - SF-T'!I51=I13</x:f>
        <x:v>1</x:v>
      </x:c>
      <x:c r="J36" s="534" t="b">
        <x:f>+'BCE SC POR FACT.'!F7+J27=J13</x:f>
        <x:v>1</x:v>
      </x:c>
      <x:c r="K36" s="531" t="b">
        <x:f>+'Reporte Componentes R1'!F519+'Reporte Componentes R1'!F521+'Rem. Anticipos R2'!E438+'Reversion Pagos R4'!D355-('Reporte Componentes R1'!G519+'Reporte Componentes R1'!G521+'Rem. Anticipos R2'!F438+'Reversion Pagos R4'!E355+'Reporte Componentes R1'!H519+'Reporte Componentes R1'!H521+'Rem. Anticipos R2'!G438+'Reversion Pagos R4'!F355+'Reporte Componentes R1'!I519+'Reporte Componentes R1'!I521+'Rem. Anticipos R2'!H438+'Reversion Pagos R4'!G355+'Reporte Componentes R1'!J519+'Reporte Componentes R1'!J521+'Rem. Anticipos R2'!I438+'Reversion Pagos R4'!H355+'Reporte Componentes R1'!K519+'Reporte Componentes R1'!K521+'Rem. Anticipos R2'!J438+'Reversion Pagos R4'!I355+'BCE SC POR FACT.'!F7)+K27+'AJUSTES - SF-T'!K51=K13</x:f>
        <x:v>1</x:v>
      </x:c>
      <x:c r="L36" s="577" t="b">
        <x:f>INTERVENTORIA!F19+L27=L13</x:f>
        <x:v>0</x:v>
      </x:c>
      <x:c r="M36" s="531" t="b">
        <x:f>((('Reporte Componentes R1'!F519+'Reporte Componentes R1'!F521+'Rem. Anticipos R2'!E438+'Reversion Pagos R4'!D355-('Reporte Componentes R1'!G519+'Reporte Componentes R1'!G521+'Rem. Anticipos R2'!F438+'Reversion Pagos R4'!E355+'Reporte Componentes R1'!H519+'Reporte Componentes R1'!H521+'Rem. Anticipos R2'!G438+'Reversion Pagos R4'!F355+'Reporte Componentes R1'!I519+'Reporte Componentes R1'!I521+'Rem. Anticipos R2'!H438+'Reversion Pagos R4'!G355+'Reporte Componentes R1'!J519+'Reporte Componentes R1'!J521+'Rem. Anticipos R2'!I438+'Reversion Pagos R4'!H355+'Reporte Componentes R1'!K519+'Reporte Componentes R1'!K521+'Rem. Anticipos R2'!J438+'Reversion Pagos R4'!I355+'BCE SC POR FACT.'!F7))+M27)-INTERVENTORIA!F19)+'AJUSTES - SF-T'!M51=M13</x:f>
        <x:v>0</x:v>
      </x:c>
      <x:c r="N36" s="531" t="b">
        <x:f>+'Reporte Componentes R1'!L519+'Reporte Componentes R1'!L521+'Rem. Anticipos R2'!K438+'Reversion Pagos R4'!P355+N27=N13</x:f>
        <x:v>1</x:v>
      </x:c>
      <x:c r="O36" s="531" t="b">
        <x:f>((('Reporte Componentes R1'!F519+'Reporte Componentes R1'!F521+'Rem. Anticipos R2'!E438+'Reversion Pagos R4'!D355-('Reporte Componentes R1'!G519+'Reporte Componentes R1'!G521+'Rem. Anticipos R2'!F438+'Reversion Pagos R4'!E355+'Reporte Componentes R1'!H519+'Reporte Componentes R1'!H521+'Rem. Anticipos R2'!G438+'Reversion Pagos R4'!F355+'Reporte Componentes R1'!I519+'Reporte Componentes R1'!I521+'Rem. Anticipos R2'!H438+'Reversion Pagos R4'!G355+'Reporte Componentes R1'!J519+'Reporte Componentes R1'!J521+'Rem. Anticipos R2'!I438+'Reversion Pagos R4'!H355+'Reporte Componentes R1'!K519+'Reporte Componentes R1'!K521+'Rem. Anticipos R2'!J438+'Reversion Pagos R4'!I355+'BCE SC POR FACT.'!F7)))-INTERVENTORIA!F19)+'Reporte Componentes R1'!L519+'Reporte Componentes R1'!L521+'Rem. Anticipos R2'!K438+'Reversion Pagos R4'!P355+O27+'AJUSTES - SF-T'!O51=O13</x:f>
        <x:v>0</x:v>
      </x:c>
    </x:row>
    <x:row r="38" spans="2:15" x14ac:dyDescent="0.3">
      <x:c r="N38" s="535"/>
    </x:row>
    <x:row r="39" spans="2:15" x14ac:dyDescent="0.3">
      <x:c r="D39" s="535"/>
      <x:c r="L39" s="576"/>
    </x:row>
  </x:sheetData>
  <x:conditionalFormatting sqref="D32:K36 M32:O36">
    <x:cfRule type="cellIs" dxfId="7" priority="1" operator="notEqual">
      <x:formula>TRUE</x:formula>
    </x:cfRule>
  </x:conditionalFormatting>
  <x:conditionalFormatting sqref="D23:O27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J4" workbookViewId="0">
      <x:selection activeCell="O25" sqref="O25"/>
    </x:sheetView>
  </x:sheetViews>
  <x:sheetFormatPr baseColWidth="10" defaultColWidth="11.44140625" defaultRowHeight="14.4" x14ac:dyDescent="0.3"/>
  <x:cols>
    <x:col min="1" max="1" width="2.6640625" style="520" customWidth="1"/>
    <x:col min="2" max="2" width="7.33203125" style="520" customWidth="1"/>
    <x:col min="3" max="3" width="42.6640625" style="520" customWidth="1"/>
    <x:col min="4" max="15" width="28.5546875" style="520" customWidth="1"/>
    <x:col min="16" max="16384" width="11.44140625" style="520"/>
  </x:cols>
  <x:sheetData>
    <x:row r="1" spans="2:15" customFormat="1" ht="13.2" x14ac:dyDescent="0.25"/>
    <x:row r="2" spans="2:15" customFormat="1" ht="13.2" x14ac:dyDescent="0.25"/>
    <x:row r="3" spans="2:15" customFormat="1" x14ac:dyDescent="0.25">
      <x:c r="F3" s="540" t="s">
        <x:v>8</x:v>
      </x:c>
      <x:c r="H3" s="540" t="s">
        <x:v>16</x:v>
      </x:c>
      <x:c r="J3" s="540" t="s">
        <x:v>228</x:v>
      </x:c>
      <x:c r="K3" s="540" t="s">
        <x:v>339</x:v>
      </x:c>
    </x:row>
    <x:row r="4" spans="2:15" customFormat="1" x14ac:dyDescent="0.25">
      <x:c r="F4" s="540" t="s">
        <x:v>29</x:v>
      </x:c>
    </x:row>
    <x:row r="5" spans="2:15" customFormat="1" x14ac:dyDescent="0.25">
      <x:c r="F5" s="540" t="s">
        <x:v>229</x:v>
      </x:c>
    </x:row>
    <x:row r="6" spans="2:15" customFormat="1" x14ac:dyDescent="0.25">
      <x:c r="C6" s="540" t="s">
        <x:v>230</x:v>
      </x:c>
      <x:c r="D6" s="540" t="inlineStr">
        <x:is>
          <x:t>17/07/2026</x:t>
        </x:is>
      </x:c>
      <x:c r="F6" s="540" t="s">
        <x:v>231</x:v>
      </x:c>
    </x:row>
    <x:row r="7" spans="2:15" customFormat="1" x14ac:dyDescent="0.25">
      <x:c r="C7" s="540" t="s">
        <x:v>232</x:v>
      </x:c>
      <x:c r="D7" s="540" t="inlineStr">
        <x:is>
          <x:t>09:19 AM</x:t>
        </x:is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15" customFormat="1" ht="43.2" x14ac:dyDescent="0.25">
      <x:c r="B8" s="541" t="s">
        <x:v>3</x:v>
      </x:c>
      <x:c r="C8" s="541" t="s">
        <x:v>234</x:v>
      </x:c>
      <x:c r="D8" s="541" t="s">
        <x:v>251</x:v>
      </x:c>
      <x:c r="E8" s="541" t="s">
        <x:v>252</x:v>
      </x:c>
      <x:c r="F8" s="541" t="s">
        <x:v>253</x:v>
      </x:c>
      <x:c r="G8" s="541" t="s">
        <x:v>254</x:v>
      </x:c>
      <x:c r="H8" s="541" t="s">
        <x:v>255</x:v>
      </x:c>
      <x:c r="I8" s="541" t="s">
        <x:v>256</x:v>
      </x:c>
      <x:c r="J8" s="541" t="s">
        <x:v>257</x:v>
      </x:c>
      <x:c r="K8" s="541" t="s">
        <x:v>245</x:v>
      </x:c>
      <x:c r="L8" s="541" t="s">
        <x:v>258</x:v>
      </x:c>
      <x:c r="M8" s="541" t="s">
        <x:v>259</x:v>
      </x:c>
      <x:c r="N8" s="541" t="s">
        <x:v>246</x:v>
      </x:c>
      <x:c r="O8" s="541" t="s">
        <x:v>260</x:v>
      </x:c>
    </x:row>
    <x:row r="9" spans="2:15" customFormat="1" ht="13.2" x14ac:dyDescent="0.25">
      <x:c r="B9" s="525" t="s">
        <x:v>115</x:v>
      </x:c>
      <x:c r="C9" s="525" t="s">
        <x:v>10</x:v>
      </x:c>
      <x:c r="D9" s="737">
        <x:v>0</x:v>
      </x:c>
      <x:c r="E9" s="737">
        <x:v>0</x:v>
      </x:c>
      <x:c r="F9" s="737">
        <x:v>0</x:v>
      </x:c>
      <x:c r="G9" s="737">
        <x:v>0</x:v>
      </x:c>
      <x:c r="H9" s="737">
        <x:v>0</x:v>
      </x:c>
      <x:c r="I9" s="737">
        <x:v>0</x:v>
      </x:c>
      <x:c r="J9" s="737">
        <x:v>0</x:v>
      </x:c>
      <x:c r="K9" s="737">
        <x:v>0</x:v>
      </x:c>
      <x:c r="L9" s="737">
        <x:v>0</x:v>
      </x:c>
      <x:c r="M9" s="737">
        <x:v>0</x:v>
      </x:c>
      <x:c r="N9" s="737">
        <x:v>0</x:v>
      </x:c>
      <x:c r="O9" s="737">
        <x:v>0</x:v>
      </x:c>
    </x:row>
    <x:row r="10" spans="2:15" customFormat="1" ht="13.2" x14ac:dyDescent="0.25">
      <x:c r="B10" s="525" t="s">
        <x:v>116</x:v>
      </x:c>
      <x:c r="C10" s="525" t="s">
        <x:v>11</x:v>
      </x:c>
      <x:c r="D10" s="737">
        <x:v>0</x:v>
      </x:c>
      <x:c r="E10" s="737">
        <x:v>0</x:v>
      </x:c>
      <x:c r="F10" s="737">
        <x:v>0</x:v>
      </x:c>
      <x:c r="G10" s="737">
        <x:v>0</x:v>
      </x:c>
      <x:c r="H10" s="737">
        <x:v>0</x:v>
      </x:c>
      <x:c r="I10" s="737">
        <x:v>0</x:v>
      </x:c>
      <x:c r="J10" s="737">
        <x:v>0</x:v>
      </x:c>
      <x:c r="K10" s="737">
        <x:v>0</x:v>
      </x:c>
      <x:c r="L10" s="737">
        <x:v>0</x:v>
      </x:c>
      <x:c r="M10" s="737">
        <x:v>0</x:v>
      </x:c>
      <x:c r="N10" s="737">
        <x:v>0</x:v>
      </x:c>
      <x:c r="O10" s="737">
        <x:v>0</x:v>
      </x:c>
    </x:row>
    <x:row r="11" spans="2:15" customFormat="1" ht="13.2" x14ac:dyDescent="0.25">
      <x:c r="B11" s="525" t="s">
        <x:v>117</x:v>
      </x:c>
      <x:c r="C11" s="525" t="s">
        <x:v>247</x:v>
      </x:c>
      <x:c r="D11" s="737">
        <x:v>0</x:v>
      </x:c>
      <x:c r="E11" s="737">
        <x:v>0</x:v>
      </x:c>
      <x:c r="F11" s="737">
        <x:v>0</x:v>
      </x:c>
      <x:c r="G11" s="737">
        <x:v>0</x:v>
      </x:c>
      <x:c r="H11" s="737">
        <x:v>0</x:v>
      </x:c>
      <x:c r="I11" s="737">
        <x:v>0</x:v>
      </x:c>
      <x:c r="J11" s="737">
        <x:v>0</x:v>
      </x:c>
      <x:c r="K11" s="737">
        <x:v>0</x:v>
      </x:c>
      <x:c r="L11" s="737">
        <x:v>0</x:v>
      </x:c>
      <x:c r="M11" s="737">
        <x:v>0</x:v>
      </x:c>
      <x:c r="N11" s="737">
        <x:v>0</x:v>
      </x:c>
      <x:c r="O11" s="737">
        <x:v>0</x:v>
      </x:c>
    </x:row>
    <x:row r="12" spans="2:15" customFormat="1" ht="13.2" x14ac:dyDescent="0.25">
      <x:c r="B12" s="525" t="s">
        <x:v>248</x:v>
      </x:c>
      <x:c r="C12" s="525" t="s">
        <x:v>13</x:v>
      </x:c>
      <x:c r="D12" s="737">
        <x:v>0</x:v>
      </x:c>
      <x:c r="E12" s="737">
        <x:v>0</x:v>
      </x:c>
      <x:c r="F12" s="737">
        <x:v>0</x:v>
      </x:c>
      <x:c r="G12" s="737">
        <x:v>0</x:v>
      </x:c>
      <x:c r="H12" s="737">
        <x:v>0</x:v>
      </x:c>
      <x:c r="I12" s="737">
        <x:v>0</x:v>
      </x:c>
      <x:c r="J12" s="737">
        <x:v>0</x:v>
      </x:c>
      <x:c r="K12" s="737">
        <x:v>0</x:v>
      </x:c>
      <x:c r="L12" s="737">
        <x:v>0</x:v>
      </x:c>
      <x:c r="M12" s="737">
        <x:v>0</x:v>
      </x:c>
      <x:c r="N12" s="737">
        <x:v>0</x:v>
      </x:c>
      <x:c r="O12" s="737">
        <x:v>0</x:v>
      </x:c>
    </x:row>
    <x:row r="13" spans="2:15" customFormat="1" ht="13.8" thickBot="1" x14ac:dyDescent="0.3">
      <x:c r="B13" s="525" t="s">
        <x:v>118</x:v>
      </x:c>
      <x:c r="C13" s="525" t="s">
        <x:v>14</x:v>
      </x:c>
      <x:c r="D13" s="737">
        <x:v>0</x:v>
      </x:c>
      <x:c r="E13" s="737">
        <x:v>0</x:v>
      </x:c>
      <x:c r="F13" s="737">
        <x:v>0</x:v>
      </x:c>
      <x:c r="G13" s="737">
        <x:v>0</x:v>
      </x:c>
      <x:c r="H13" s="737">
        <x:v>0</x:v>
      </x:c>
      <x:c r="I13" s="737">
        <x:v>0</x:v>
      </x:c>
      <x:c r="J13" s="737">
        <x:v>0</x:v>
      </x:c>
      <x:c r="K13" s="737">
        <x:v>0</x:v>
      </x:c>
      <x:c r="L13" s="737">
        <x:v>0</x:v>
      </x:c>
      <x:c r="M13" s="737">
        <x:v>0</x:v>
      </x:c>
      <x:c r="N13" s="737">
        <x:v>0</x:v>
      </x:c>
      <x:c r="O13" s="737">
        <x:v>0</x:v>
      </x:c>
    </x:row>
    <x:row r="14" spans="2:15" customFormat="1" ht="13.8" thickBot="1" x14ac:dyDescent="0.3">
      <x:c r="B14" s="728" t="s">
        <x:v>249</x:v>
      </x:c>
      <x:c r="C14" s="730" t="s">
        <x:v>70</x:v>
      </x:c>
      <x:c r="D14" s="735">
        <x:v>0</x:v>
      </x:c>
      <x:c r="E14" s="735">
        <x:v>0</x:v>
      </x:c>
      <x:c r="F14" s="735">
        <x:v>0</x:v>
      </x:c>
      <x:c r="G14" s="735">
        <x:v>0</x:v>
      </x:c>
      <x:c r="H14" s="735">
        <x:v>0</x:v>
      </x:c>
      <x:c r="I14" s="735">
        <x:v>0</x:v>
      </x:c>
      <x:c r="J14" s="735">
        <x:v>0</x:v>
      </x:c>
      <x:c r="K14" s="735">
        <x:v>0</x:v>
      </x:c>
      <x:c r="L14" s="735">
        <x:v>0</x:v>
      </x:c>
      <x:c r="M14" s="735">
        <x:v>0</x:v>
      </x:c>
      <x:c r="N14" s="735">
        <x:v>0</x:v>
      </x:c>
      <x:c r="O14" s="736">
        <x:v>0</x:v>
      </x:c>
    </x:row>
    <x:row r="16" spans="2:15" x14ac:dyDescent="0.3">
      <x:c r="B16" s="521" t="s">
        <x:v>115</x:v>
      </x:c>
      <x:c r="C16" s="521" t="s">
        <x:v>10</x:v>
      </x:c>
      <x:c r="D16" s="531">
        <x:f>D9-'CONSOLIDADO_TOTAL RECAUDO'!U104</x:f>
        <x:v>0</x:v>
      </x:c>
      <x:c r="E16" s="531">
        <x:f>E9-'CONSOLIDADO_TOTAL RECAUDO'!V104</x:f>
        <x:v>0</x:v>
      </x:c>
      <x:c r="F16" s="531">
        <x:f>F9-'CONSOLIDADO_TOTAL RECAUDO'!W104</x:f>
        <x:v>0</x:v>
      </x:c>
      <x:c r="G16" s="531">
        <x:f>G9-'CONSOLIDADO_TOTAL RECAUDO'!X104</x:f>
        <x:v>0</x:v>
      </x:c>
      <x:c r="H16" s="531">
        <x:f>H9-'CONSOLIDADO_TOTAL RECAUDO'!Y104</x:f>
        <x:v>0</x:v>
      </x:c>
      <x:c r="I16" s="531">
        <x:f>I9-'CONSOLIDADO_TOTAL RECAUDO'!Z104</x:f>
        <x:v>189185987</x:v>
      </x:c>
      <x:c r="J16" s="531">
        <x:f>J9-'CONSOLIDADO_TOTAL RECAUDO'!AA104-'CONSOLIDADO_TOTAL RECAUDO'!AC104</x:f>
        <x:v>0</x:v>
      </x:c>
      <x:c r="K16" s="531">
        <x:f>K9-'CONSOLIDADO_TOTAL RECAUDO'!AB104</x:f>
        <x:v>0</x:v>
      </x:c>
      <x:c r="L16" s="531">
        <x:f>L9-'CONSOLIDADO_TOTAL RECAUDO'!AE104</x:f>
        <x:v>0</x:v>
      </x:c>
      <x:c r="M16" s="531">
        <x:f>M9-'CONSOLIDADO_TOTAL RECAUDO'!AD104</x:f>
        <x:v>0</x:v>
      </x:c>
      <x:c r="N16" s="531">
        <x:f>N9-'CONSOLIDADO_TOTAL RECAUDO'!AF104</x:f>
        <x:v>189185987</x:v>
      </x:c>
      <x:c r="O16" s="531">
        <x:f>O9-'CONSOLIDADO_TOTAL RECAUDO'!AG104</x:f>
        <x:v>0</x:v>
      </x:c>
    </x:row>
    <x:row r="17" spans="2:16" x14ac:dyDescent="0.3">
      <x:c r="B17" s="521" t="s">
        <x:v>116</x:v>
      </x:c>
      <x:c r="C17" s="521" t="s">
        <x:v>11</x:v>
      </x:c>
      <x:c r="D17" s="531">
        <x:f>D10-'CONSOLIDADO_TOTAL RECAUDO'!U105</x:f>
        <x:v>0</x:v>
      </x:c>
      <x:c r="E17" s="531">
        <x:f>E10-'CONSOLIDADO_TOTAL RECAUDO'!V105</x:f>
        <x:v>0</x:v>
      </x:c>
      <x:c r="F17" s="531">
        <x:f>F10-'CONSOLIDADO_TOTAL RECAUDO'!W105</x:f>
        <x:v>0</x:v>
      </x:c>
      <x:c r="G17" s="531">
        <x:f>G10-'CONSOLIDADO_TOTAL RECAUDO'!X105</x:f>
        <x:v>0</x:v>
      </x:c>
      <x:c r="H17" s="531">
        <x:f>H10-'CONSOLIDADO_TOTAL RECAUDO'!Y105</x:f>
        <x:v>0</x:v>
      </x:c>
      <x:c r="I17" s="531">
        <x:f>I10-'CONSOLIDADO_TOTAL RECAUDO'!Z105</x:f>
        <x:v>266580255</x:v>
      </x:c>
      <x:c r="J17" s="531">
        <x:f>J10-'CONSOLIDADO_TOTAL RECAUDO'!AA105-'CONSOLIDADO_TOTAL RECAUDO'!AC105</x:f>
        <x:v>0</x:v>
      </x:c>
      <x:c r="K17" s="531">
        <x:f>K10-'CONSOLIDADO_TOTAL RECAUDO'!AB105</x:f>
        <x:v>0</x:v>
      </x:c>
      <x:c r="L17" s="531">
        <x:f>L10-'CONSOLIDADO_TOTAL RECAUDO'!AE105</x:f>
        <x:v>0</x:v>
      </x:c>
      <x:c r="M17" s="531">
        <x:f>M10-'CONSOLIDADO_TOTAL RECAUDO'!AD105</x:f>
        <x:v>0</x:v>
      </x:c>
      <x:c r="N17" s="531">
        <x:f>N10-'CONSOLIDADO_TOTAL RECAUDO'!AF105</x:f>
        <x:v>266580255</x:v>
      </x:c>
      <x:c r="O17" s="531">
        <x:f>O10-'CONSOLIDADO_TOTAL RECAUDO'!AG105</x:f>
        <x:v>0</x:v>
      </x:c>
    </x:row>
    <x:row r="18" spans="2:16" x14ac:dyDescent="0.3">
      <x:c r="B18" s="521" t="s">
        <x:v>117</x:v>
      </x:c>
      <x:c r="C18" s="521" t="s">
        <x:v>247</x:v>
      </x:c>
      <x:c r="D18" s="531">
        <x:f>D11-'CONSOLIDADO_TOTAL RECAUDO'!U106</x:f>
        <x:v>0</x:v>
      </x:c>
      <x:c r="E18" s="531">
        <x:f>E11-'CONSOLIDADO_TOTAL RECAUDO'!V106</x:f>
        <x:v>0</x:v>
      </x:c>
      <x:c r="F18" s="531">
        <x:f>F11-'CONSOLIDADO_TOTAL RECAUDO'!W106</x:f>
        <x:v>0</x:v>
      </x:c>
      <x:c r="G18" s="531">
        <x:f>G11-'CONSOLIDADO_TOTAL RECAUDO'!X106</x:f>
        <x:v>0</x:v>
      </x:c>
      <x:c r="H18" s="531">
        <x:f>H11-'CONSOLIDADO_TOTAL RECAUDO'!Y106</x:f>
        <x:v>0</x:v>
      </x:c>
      <x:c r="I18" s="531">
        <x:f>I11-'CONSOLIDADO_TOTAL RECAUDO'!Z106</x:f>
        <x:v>154788535</x:v>
      </x:c>
      <x:c r="J18" s="531">
        <x:f>J11-'CONSOLIDADO_TOTAL RECAUDO'!AA106-'CONSOLIDADO_TOTAL RECAUDO'!AC106</x:f>
        <x:v>0</x:v>
      </x:c>
      <x:c r="K18" s="531">
        <x:f>K11-'CONSOLIDADO_TOTAL RECAUDO'!AB106</x:f>
        <x:v>0</x:v>
      </x:c>
      <x:c r="L18" s="531">
        <x:f>L11-'CONSOLIDADO_TOTAL RECAUDO'!AE106</x:f>
        <x:v>0</x:v>
      </x:c>
      <x:c r="M18" s="531">
        <x:f>M11-'CONSOLIDADO_TOTAL RECAUDO'!AD106</x:f>
        <x:v>0</x:v>
      </x:c>
      <x:c r="N18" s="531">
        <x:f>N11-'CONSOLIDADO_TOTAL RECAUDO'!AF106</x:f>
        <x:v>154788535</x:v>
      </x:c>
      <x:c r="O18" s="531">
        <x:f>O11-'CONSOLIDADO_TOTAL RECAUDO'!AG106</x:f>
        <x:v>0</x:v>
      </x:c>
    </x:row>
    <x:row r="19" spans="2:16" x14ac:dyDescent="0.3">
      <x:c r="B19" s="521" t="s">
        <x:v>248</x:v>
      </x:c>
      <x:c r="C19" s="521" t="s">
        <x:v>13</x:v>
      </x:c>
      <x:c r="D19" s="531">
        <x:f>D12-'CONSOLIDADO_TOTAL RECAUDO'!U107</x:f>
        <x:v>0</x:v>
      </x:c>
      <x:c r="E19" s="531">
        <x:f>E12-'CONSOLIDADO_TOTAL RECAUDO'!V107</x:f>
        <x:v>0</x:v>
      </x:c>
      <x:c r="F19" s="531">
        <x:f>F12-'CONSOLIDADO_TOTAL RECAUDO'!W107</x:f>
        <x:v>0</x:v>
      </x:c>
      <x:c r="G19" s="531">
        <x:f>G12-'CONSOLIDADO_TOTAL RECAUDO'!X107</x:f>
        <x:v>0</x:v>
      </x:c>
      <x:c r="H19" s="531">
        <x:f>H12-'CONSOLIDADO_TOTAL RECAUDO'!Y107</x:f>
        <x:v>0</x:v>
      </x:c>
      <x:c r="I19" s="531">
        <x:f>I12-'CONSOLIDADO_TOTAL RECAUDO'!Z107</x:f>
        <x:v>120391083</x:v>
      </x:c>
      <x:c r="J19" s="531">
        <x:f>J12-'CONSOLIDADO_TOTAL RECAUDO'!AA107-'CONSOLIDADO_TOTAL RECAUDO'!AC107</x:f>
        <x:v>0</x:v>
      </x:c>
      <x:c r="K19" s="531">
        <x:f>K12-'CONSOLIDADO_TOTAL RECAUDO'!AB107</x:f>
        <x:v>0</x:v>
      </x:c>
      <x:c r="L19" s="531">
        <x:f>L12-'CONSOLIDADO_TOTAL RECAUDO'!AE107</x:f>
        <x:v>0</x:v>
      </x:c>
      <x:c r="M19" s="531">
        <x:f>M12-'CONSOLIDADO_TOTAL RECAUDO'!AD107</x:f>
        <x:v>0</x:v>
      </x:c>
      <x:c r="N19" s="531">
        <x:f>N12-'CONSOLIDADO_TOTAL RECAUDO'!AF107</x:f>
        <x:v>120391083</x:v>
      </x:c>
      <x:c r="O19" s="531">
        <x:f>O12-'CONSOLIDADO_TOTAL RECAUDO'!AG107</x:f>
        <x:v>0</x:v>
      </x:c>
    </x:row>
    <x:row r="20" spans="2:16" ht="15" thickBot="1" x14ac:dyDescent="0.35">
      <x:c r="B20" s="521" t="s">
        <x:v>118</x:v>
      </x:c>
      <x:c r="C20" s="521" t="s">
        <x:v>14</x:v>
      </x:c>
      <x:c r="D20" s="531">
        <x:f>D13-'CONSOLIDADO_TOTAL RECAUDO'!U108</x:f>
        <x:v>0</x:v>
      </x:c>
      <x:c r="E20" s="531">
        <x:f>E13-'CONSOLIDADO_TOTAL RECAUDO'!V108</x:f>
        <x:v>0</x:v>
      </x:c>
      <x:c r="F20" s="531">
        <x:f>F13-'CONSOLIDADO_TOTAL RECAUDO'!W108</x:f>
        <x:v>0</x:v>
      </x:c>
      <x:c r="G20" s="531">
        <x:f>G13-'CONSOLIDADO_TOTAL RECAUDO'!X108</x:f>
        <x:v>0</x:v>
      </x:c>
      <x:c r="H20" s="531">
        <x:f>H13-'CONSOLIDADO_TOTAL RECAUDO'!Y108</x:f>
        <x:v>0</x:v>
      </x:c>
      <x:c r="I20" s="531">
        <x:f>I13-'CONSOLIDADO_TOTAL RECAUDO'!Z108</x:f>
        <x:v>128990445</x:v>
      </x:c>
      <x:c r="J20" s="531">
        <x:f>J13-'CONSOLIDADO_TOTAL RECAUDO'!AA108-'CONSOLIDADO_TOTAL RECAUDO'!AC108</x:f>
        <x:v>0</x:v>
      </x:c>
      <x:c r="K20" s="531">
        <x:f>K13-'CONSOLIDADO_TOTAL RECAUDO'!AB108</x:f>
        <x:v>0</x:v>
      </x:c>
      <x:c r="L20" s="531">
        <x:f>L13-'CONSOLIDADO_TOTAL RECAUDO'!AE108</x:f>
        <x:v>0</x:v>
      </x:c>
      <x:c r="M20" s="531">
        <x:f>M13-'CONSOLIDADO_TOTAL RECAUDO'!AD108</x:f>
        <x:v>0</x:v>
      </x:c>
      <x:c r="N20" s="531">
        <x:f>N13-'CONSOLIDADO_TOTAL RECAUDO'!AF108</x:f>
        <x:v>128990445</x:v>
      </x:c>
      <x:c r="O20" s="531">
        <x:f>O13-'CONSOLIDADO_TOTAL RECAUDO'!AG108</x:f>
        <x:v>0</x:v>
      </x:c>
    </x:row>
    <x:row r="21" spans="2:16" customFormat="1" ht="13.8" thickBot="1" x14ac:dyDescent="0.3">
      <x:c r="B21" s="728" t="s">
        <x:v>249</x:v>
      </x:c>
      <x:c r="C21" s="730" t="s">
        <x:v>70</x:v>
      </x:c>
      <x:c r="D21" s="735">
        <x:f>D14-'CONSOLIDADO_TOTAL RECAUDO'!U109</x:f>
        <x:v>0</x:v>
      </x:c>
      <x:c r="E21" s="735">
        <x:f>E14-'CONSOLIDADO_TOTAL RECAUDO'!V109</x:f>
        <x:v>0</x:v>
      </x:c>
      <x:c r="F21" s="735">
        <x:f>F14-'CONSOLIDADO_TOTAL RECAUDO'!W109</x:f>
        <x:v>0</x:v>
      </x:c>
      <x:c r="G21" s="735">
        <x:f>G14-'CONSOLIDADO_TOTAL RECAUDO'!X109</x:f>
        <x:v>0</x:v>
      </x:c>
      <x:c r="H21" s="735">
        <x:f>H14-'CONSOLIDADO_TOTAL RECAUDO'!Y109</x:f>
        <x:v>0</x:v>
      </x:c>
      <x:c r="I21" s="735">
        <x:f>I14-'CONSOLIDADO_TOTAL RECAUDO'!Z109</x:f>
        <x:v>859936305</x:v>
      </x:c>
      <x:c r="J21" s="735">
        <x:f>J14-'CONSOLIDADO_TOTAL RECAUDO'!AA109-'CONSOLIDADO_TOTAL RECAUDO'!AC109</x:f>
        <x:v>0</x:v>
      </x:c>
      <x:c r="K21" s="735">
        <x:f>K14-'CONSOLIDADO_TOTAL RECAUDO'!AB109</x:f>
        <x:v>0</x:v>
      </x:c>
      <x:c r="L21" s="735">
        <x:f>L14-'CONSOLIDADO_TOTAL RECAUDO'!AE109</x:f>
        <x:v>0</x:v>
      </x:c>
      <x:c r="M21" s="735">
        <x:f>M14-'CONSOLIDADO_TOTAL RECAUDO'!AD109</x:f>
        <x:v>0</x:v>
      </x:c>
      <x:c r="N21" s="735">
        <x:f>N14-'CONSOLIDADO_TOTAL RECAUDO'!AF109</x:f>
        <x:v>859936305</x:v>
      </x:c>
      <x:c r="O21" s="736">
        <x:f>O14-'CONSOLIDADO_TOTAL RECAUDO'!AG109</x:f>
        <x:v>0</x:v>
      </x:c>
    </x:row>
    <x:row r="22" spans="2:16" ht="15" thickBot="1" x14ac:dyDescent="0.35">
      <x:c r="M22" s="535"/>
    </x:row>
    <x:row r="23" spans="2:16" ht="36.6" thickBot="1" x14ac:dyDescent="0.35">
      <x:c r="C23" s="27" t="s">
        <x:v>9</x:v>
      </x:c>
      <x:c r="D23" s="146" t="s">
        <x:v>39</x:v>
      </x:c>
      <x:c r="E23" s="497" t="s">
        <x:v>40</x:v>
      </x:c>
      <x:c r="F23" s="497" t="s">
        <x:v>41</x:v>
      </x:c>
      <x:c r="G23" s="147" t="s">
        <x:v>42</x:v>
      </x:c>
      <x:c r="H23" s="148" t="s">
        <x:v>43</x:v>
      </x:c>
      <x:c r="I23" s="472" t="s">
        <x:v>21</x:v>
      </x:c>
      <x:c r="J23" s="65" t="s">
        <x:v>46</x:v>
      </x:c>
      <x:c r="K23" s="65" t="s">
        <x:v>7</x:v>
      </x:c>
      <x:c r="L23" s="85" t="s">
        <x:v>167</x:v>
      </x:c>
      <x:c r="M23" s="114" t="s">
        <x:v>105</x:v>
      </x:c>
      <x:c r="N23" s="114" t="s">
        <x:v>104</x:v>
      </x:c>
      <x:c r="O23" s="39" t="s">
        <x:v>23</x:v>
      </x:c>
    </x:row>
    <x:row r="24" spans="2:16" x14ac:dyDescent="0.3">
      <x:c r="B24" s="521" t="s">
        <x:v>115</x:v>
      </x:c>
      <x:c r="C24" s="274" t="s">
        <x:v>10</x:v>
      </x:c>
      <x:c r="D24" s="543" t="b">
        <x:f>+'Reporte Componentes R1'!M46+'Reporte Componentes R1'!M48+'Rem. Anticipos R2'!L43+'Reversion Pagos R4'!J73+D16+'AJUSTES - SF-T'!U47=D9</x:f>
        <x:v>1</x:v>
      </x:c>
      <x:c r="E24" s="531" t="b">
        <x:f>+'Reporte Componentes R1'!N46+'Reporte Componentes R1'!N48+'Rem. Anticipos R2'!M43+'Reversion Pagos R4'!K73+E16+'AJUSTES - SF-T'!V47=E9</x:f>
        <x:v>1</x:v>
      </x:c>
      <x:c r="F24" s="531" t="b">
        <x:f>+'Reporte Componentes R1'!O46+'Reporte Componentes R1'!O48+'Rem. Anticipos R2'!N43+'Reversion Pagos R4'!L73+F16+'AJUSTES - SF-T'!W47=F9</x:f>
        <x:v>1</x:v>
      </x:c>
      <x:c r="G24" s="531" t="b">
        <x:f>+'Reporte Componentes R1'!P46+'Reporte Componentes R1'!P48+'Rem. Anticipos R2'!O43+'Reversion Pagos R4'!M73+G16+'AJUSTES - SF-T'!X47=G9</x:f>
        <x:v>1</x:v>
      </x:c>
      <x:c r="H24" s="531" t="b">
        <x:f>+'Reporte Componentes R1'!Q46+'Reporte Componentes R1'!Q48+'Rem. Anticipos R2'!P43+'Reversion Pagos R4'!N73+H16+'AJUSTES - SF-T'!Y47=H9</x:f>
        <x:v>1</x:v>
      </x:c>
      <x:c r="I24" s="577" t="b">
        <x:f>-INTERVENTORIA!F15+I16=I9</x:f>
        <x:v>0</x:v>
      </x:c>
      <x:c r="J24" s="531" t="b">
        <x:f>'Reporte Componentes R1'!R46+'Reporte Componentes R1'!V46+'Rem. Anticipos R2'!Q43+'Reporte Componentes R1'!R48+'Reporte Componentes R1'!V48+'Reversion Pagos R4'!O73+'Reporte Componentes R1'!T46+'Reporte Componentes R1'!U46+'Reporte Componentes R1'!W46+'Reporte Componentes R1'!X46+'Reporte Componentes R1'!Y46+'Reporte Componentes R1'!Z46+'Reporte Componentes R1'!S46+'Rem. Anticipos R2'!R43+'Reporte Componentes R1'!T48+'Reporte Componentes R1'!U48+'Reporte Componentes R1'!W48+'Reporte Componentes R1'!X48+'Reporte Componentes R1'!Y48+'Reporte Componentes R1'!Z48+'Reporte Componentes R1'!S48+'Reversion Pagos R4'!Q73+'Reversion Pagos R4'!R73+'AJUSTES - SF-T'!AA47+J16=J9</x:f>
        <x:v>1</x:v>
      </x:c>
      <x:c r="K24" s="531" t="b">
        <x:f>+DetRetri2026071!N32</x:f>
        <x:v>1</x:v>
      </x:c>
      <x:c r="L24" s="531" t="b">
        <x:f>'Reporte Componentes R1'!F47+'Rem. Anticipos R2'!E44+'Reporte Componentes R1'!F49+'Reversion Pagos R4'!D74+'AJUSTES - SF-T'!AD47+L16=L9</x:f>
        <x:v>1</x:v>
      </x:c>
      <x:c r="M24" s="531" t="b">
        <x:f>-'BCE SC POR FACT.'!F3+'Reporte Componentes R1'!F47+'Rem. Anticipos R2'!E44+'Reporte Componentes R1'!F49+'Reversion Pagos R4'!D74+'AJUSTES - SF-T'!AD47+M16=M9</x:f>
        <x:v>1</x:v>
      </x:c>
      <x:c r="N24" s="531" t="b">
        <x:f>'Reporte Componentes R1'!F47+'Rem. Anticipos R2'!E44+'Reporte Componentes R1'!F49+'Reversion Pagos R4'!D74+'AJUSTES - SF-T'!AD47+L16=L9</x:f>
        <x:v>1</x:v>
      </x:c>
      <x:c r="O24" s="531" t="b">
        <x:f>'Reporte Componentes R1'!M46+'Reporte Componentes R1'!M48+'Rem. Anticipos R2'!L43+'Reversion Pagos R4'!J73+'Reporte Componentes R1'!N46+'Reporte Componentes R1'!N48+'Rem. Anticipos R2'!M43+'Reversion Pagos R4'!K73+'Reporte Componentes R1'!O46+'Reporte Componentes R1'!O48+'Rem. Anticipos R2'!N43+'Reversion Pagos R4'!L73+'Reporte Componentes R1'!P46+'Reporte Componentes R1'!P48+'Rem. Anticipos R2'!O43+'Reversion Pagos R4'!M73+'Reporte Componentes R1'!Q46+'Reporte Componentes R1'!Q48+'Rem. Anticipos R2'!P43+'Reversion Pagos R4'!N73-INTERVENTORIA!J4+'Reporte Componentes R1'!R46+'Reporte Componentes R1'!V46+'Rem. Anticipos R2'!Q43+'Reporte Componentes R1'!R48+'Reporte Componentes R1'!V48+'Reversion Pagos R4'!O73+'Reporte Componentes R1'!T46+'Reporte Componentes R1'!U46+'Reporte Componentes R1'!W46+'Reporte Componentes R1'!X46+'Reporte Componentes R1'!Y46+'Reporte Componentes R1'!Z46+'Reporte Componentes R1'!S46+'Rem. Anticipos R2'!R43+'Reporte Componentes R1'!T48+'Reporte Componentes R1'!U48+'Reporte Componentes R1'!W48+'Reporte Componentes R1'!X48+'Reporte Componentes R1'!Y48+'Reporte Componentes R1'!Z48+'Reporte Componentes R1'!S48+'Reversion Pagos R4'!Q73+'Reversion Pagos R4'!R73+'AJUSTES - SF-T'!AA47+'Reporte Componentes R1'!L46+'Rem. Anticipos R2'!K43+'Reversion Pagos R4'!P73+'Reporte Componentes R1'!L48-'BCE SC POR FACT.'!F3+'Reporte Componentes R1'!F47+'Rem. Anticipos R2'!E44+'Reporte Componentes R1'!F49+'Reversion Pagos R4'!D74+'AJUSTES - SF-T'!AD47+N16=N9</x:f>
        <x:v>0</x:v>
      </x:c>
    </x:row>
    <x:row r="25" spans="2:16" x14ac:dyDescent="0.3">
      <x:c r="B25" s="521" t="s">
        <x:v>116</x:v>
      </x:c>
      <x:c r="C25" s="274" t="s">
        <x:v>11</x:v>
      </x:c>
      <x:c r="D25" s="537" t="b">
        <x:f>+'Reporte Componentes R1'!M176+'Rem. Anticipos R2'!L139+'Reversion Pagos R4'!J168+'Reporte Componentes R1'!M178+D17+'AJUSTES - SF-T'!U48=D10</x:f>
        <x:v>1</x:v>
      </x:c>
      <x:c r="E25" s="537" t="b">
        <x:f>+'Reporte Componentes R1'!N176+'Rem. Anticipos R2'!M139+'Reversion Pagos R4'!K168+'Reporte Componentes R1'!N178+E17+'AJUSTES - SF-T'!V48=E10</x:f>
        <x:v>1</x:v>
      </x:c>
      <x:c r="F25" s="537" t="b">
        <x:f>+'Reporte Componentes R1'!O176+'Rem. Anticipos R2'!N139+'Reversion Pagos R4'!L168+'Reporte Componentes R1'!O178+F17+'AJUSTES - SF-T'!W48=F10</x:f>
        <x:v>1</x:v>
      </x:c>
      <x:c r="G25" s="537" t="b">
        <x:f>+'Reporte Componentes R1'!P176+'Rem. Anticipos R2'!O139+'Reversion Pagos R4'!M168+'Reporte Componentes R1'!P178+G17+'AJUSTES - SF-T'!X48=G10</x:f>
        <x:v>1</x:v>
      </x:c>
      <x:c r="H25" s="537" t="b">
        <x:f>+'Reporte Componentes R1'!Q176+'Rem. Anticipos R2'!P139+'Reversion Pagos R4'!N168+'Reporte Componentes R1'!Q178+H17+'AJUSTES - SF-T'!Y48=H10</x:f>
        <x:v>1</x:v>
      </x:c>
      <x:c r="I25" s="577" t="b">
        <x:f>-INTERVENTORIA!F16+I17=I10</x:f>
        <x:v>0</x:v>
      </x:c>
      <x:c r="J25" s="537" t="b">
        <x:f>+'Reporte Componentes R1'!R176+'Reporte Componentes R1'!V176+'Rem. Anticipos R2'!Q139+'Reporte Componentes R1'!R178+'Reporte Componentes R1'!V178+'Reversion Pagos R4'!O168+'Reporte Componentes R1'!T176+'Reporte Componentes R1'!U176+'Reporte Componentes R1'!W176+'Reporte Componentes R1'!X176+'Reporte Componentes R1'!Y176+'Reporte Componentes R1'!Z176+'Reporte Componentes R1'!S176+'Rem. Anticipos R2'!R139+'Reporte Componentes R1'!T178+'Reporte Componentes R1'!U178+'Reporte Componentes R1'!W178+'Reporte Componentes R1'!X178+'Reporte Componentes R1'!Y178+'Reporte Componentes R1'!Z178+'Reporte Componentes R1'!S178+'Reversion Pagos R4'!Q168+'Reversion Pagos R4'!R168+'AJUSTES - SF-T'!AA48+J17=J10</x:f>
        <x:v>1</x:v>
      </x:c>
      <x:c r="K25" s="537" t="b">
        <x:f>+DetRetri2026071!N33</x:f>
        <x:v>1</x:v>
      </x:c>
      <x:c r="L25" s="531" t="b">
        <x:f>+'Reporte Componentes R1'!F177+'Rem. Anticipos R2'!E140+'Reporte Componentes R1'!F179+'Reversion Pagos R4'!D169+'AJUSTES - SF-T'!AD48+L17=L10</x:f>
        <x:v>1</x:v>
      </x:c>
      <x:c r="M25" s="585" t="b">
        <x:f>-'BCE SC POR FACT.'!F4+'Reporte Componentes R1'!F177+'Rem. Anticipos R2'!E140+'Reporte Componentes R1'!F179+'Reversion Pagos R4'!D169+'AJUSTES - SF-T'!AD48+M17=M10</x:f>
        <x:v>1</x:v>
      </x:c>
      <x:c r="N25" s="531" t="b">
        <x:f>'Reporte Componentes R1'!F177+'Rem. Anticipos R2'!E140+'Reporte Componentes R1'!F179+'Reversion Pagos R4'!D169+'AJUSTES - SF-T'!AD48+L17=L10</x:f>
        <x:v>1</x:v>
      </x:c>
      <x:c r="O25" s="531" t="b">
        <x:f>'Reporte Componentes R1'!M176+'Rem. Anticipos R2'!L139+'Reversion Pagos R4'!J168+'Reporte Componentes R1'!M178+'Reporte Componentes R1'!N176+'Rem. Anticipos R2'!M139+'Reversion Pagos R4'!K168+'Reporte Componentes R1'!N178+'Reporte Componentes R1'!O176+'Rem. Anticipos R2'!N139+'Reversion Pagos R4'!L168+'Reporte Componentes R1'!O178+'Reporte Componentes R1'!P176+'Rem. Anticipos R2'!O139+'Reversion Pagos R4'!M168+'Reporte Componentes R1'!P178+'Reporte Componentes R1'!Q176+'Rem. Anticipos R2'!P139+'Reversion Pagos R4'!N168+'Reporte Componentes R1'!Q178-INTERVENTORIA!I5+'Reporte Componentes R1'!R176+'Reporte Componentes R1'!V176+'Rem. Anticipos R2'!Q139+'Reporte Componentes R1'!R178+'Reporte Componentes R1'!V178+'Reversion Pagos R4'!O168+'Reporte Componentes R1'!T176+'Reporte Componentes R1'!U176+'Reporte Componentes R1'!W176+'Reporte Componentes R1'!X176+'Reporte Componentes R1'!Y176+'Reporte Componentes R1'!Z176+'Reporte Componentes R1'!S176+'Rem. Anticipos R2'!R139+'Reporte Componentes R1'!T178+'Reporte Componentes R1'!U178+'Reporte Componentes R1'!W178+'Reporte Componentes R1'!X178+'Reporte Componentes R1'!Y178+'Reporte Componentes R1'!Z178+'Reporte Componentes R1'!S178+'Reversion Pagos R4'!Q168+'Reversion Pagos R4'!R168+'AJUSTES - SF-T'!AA48+'Reporte Componentes R1'!L176+'Rem. Anticipos R2'!K139+'Reversion Pagos R4'!P168+'Reporte Componentes R1'!L178-'BCE SC POR FACT.'!F4+'Reporte Componentes R1'!F177+'Rem. Anticipos R2'!E140+'Reporte Componentes R1'!F179+'Reversion Pagos R4'!D169+'AJUSTES - SF-T'!AD48+N17=N10</x:f>
        <x:v>1</x:v>
      </x:c>
      <x:c r="P25" s="536"/>
    </x:row>
    <x:row r="26" spans="2:16" x14ac:dyDescent="0.3">
      <x:c r="B26" s="521" t="s">
        <x:v>117</x:v>
      </x:c>
      <x:c r="C26" s="274" t="s">
        <x:v>12</x:v>
      </x:c>
      <x:c r="D26" s="531" t="b">
        <x:f>+'Reporte Componentes R1'!M316+'Reporte Componentes R1'!M318+'Rem. Anticipos R2'!L256+'Reversion Pagos R4'!J205+D18+'AJUSTES - SF-T'!U49=D11</x:f>
        <x:v>1</x:v>
      </x:c>
      <x:c r="E26" s="531" t="b">
        <x:f>+'Reporte Componentes R1'!N316+'Reporte Componentes R1'!N318+'Rem. Anticipos R2'!M256+'Reversion Pagos R4'!K205+E18+'AJUSTES - SF-T'!V49=E11</x:f>
        <x:v>1</x:v>
      </x:c>
      <x:c r="F26" s="531" t="b">
        <x:f>+'Reporte Componentes R1'!O316+'Reporte Componentes R1'!O318+'Rem. Anticipos R2'!N256+'Reversion Pagos R4'!L205+F18+'AJUSTES - SF-T'!W49=F11</x:f>
        <x:v>1</x:v>
      </x:c>
      <x:c r="G26" s="531" t="b">
        <x:f>+'Reporte Componentes R1'!P316+'Reporte Componentes R1'!P318+'Rem. Anticipos R2'!O256+'Reversion Pagos R4'!M205+G18+'AJUSTES - SF-T'!X49=G11</x:f>
        <x:v>1</x:v>
      </x:c>
      <x:c r="H26" s="531" t="b">
        <x:f>+'Reporte Componentes R1'!Q316+'Reporte Componentes R1'!Q318+'Rem. Anticipos R2'!P256+'Reversion Pagos R4'!N205+H18+'AJUSTES - SF-T'!Y49=H11</x:f>
        <x:v>1</x:v>
      </x:c>
      <x:c r="I26" s="577" t="b">
        <x:f>-INTERVENTORIA!F17+I18=I11</x:f>
        <x:v>0</x:v>
      </x:c>
      <x:c r="J26" s="531" t="b">
        <x:f>+'Reporte Componentes R1'!R316+'Reporte Componentes R1'!V316+'Rem. Anticipos R2'!Q256+'Reporte Componentes R1'!R318+'Reporte Componentes R1'!V318+'Reversion Pagos R4'!O205+'Reporte Componentes R1'!T316+'Reporte Componentes R1'!U316+'Reporte Componentes R1'!W316+'Reporte Componentes R1'!X316+'Reporte Componentes R1'!Y316+'Reporte Componentes R1'!Z316+'Reporte Componentes R1'!S316+'Rem. Anticipos R2'!R256+'Reporte Componentes R1'!T318+'Reporte Componentes R1'!U318+'Reporte Componentes R1'!W318+'Reporte Componentes R1'!X318+'Reporte Componentes R1'!Y318+'Reporte Componentes R1'!Z318+'Reporte Componentes R1'!S318+'Reversion Pagos R4'!Q205+'Reversion Pagos R4'!R205+'AJUSTES - SF-T'!AA49+J18=J11</x:f>
        <x:v>1</x:v>
      </x:c>
      <x:c r="K26" s="531" t="b">
        <x:f>+DetRetri2026071!N34</x:f>
        <x:v>1</x:v>
      </x:c>
      <x:c r="L26" s="531" t="b">
        <x:f>+'Reporte Componentes R1'!F317+'Rem. Anticipos R2'!E257+'Reporte Componentes R1'!F319+'Reversion Pagos R4'!D206+'AJUSTES - SF-T'!AD49+L18=L11</x:f>
        <x:v>1</x:v>
      </x:c>
      <x:c r="M26" s="585" t="b">
        <x:f>-'BCE SC POR FACT.'!F5+'Reporte Componentes R1'!F317+'Rem. Anticipos R2'!E257+'Reporte Componentes R1'!F319+'Reversion Pagos R4'!D206+'AJUSTES - SF-T'!AD49+M18=M11</x:f>
        <x:v>1</x:v>
      </x:c>
      <x:c r="N26" s="531" t="b">
        <x:f>'Reporte Componentes R1'!F317+'Rem. Anticipos R2'!E257+'Reporte Componentes R1'!F319+'Reversion Pagos R4'!D206+'AJUSTES - SF-T'!AD49+L18=L11</x:f>
        <x:v>1</x:v>
      </x:c>
      <x:c r="O26" s="583" t="b">
        <x:f>'Reporte Componentes R1'!M316+'Reporte Componentes R1'!M318+'Rem. Anticipos R2'!L256+'Reversion Pagos R4'!J205+'Reporte Componentes R1'!N316+'Reporte Componentes R1'!N318+'Rem. Anticipos R2'!M256+'Reversion Pagos R4'!K205+'Reporte Componentes R1'!O316+'Reporte Componentes R1'!O318+'Rem. Anticipos R2'!N256+'Reversion Pagos R4'!L205+'Reporte Componentes R1'!P316+'Reporte Componentes R1'!P318+'Rem. Anticipos R2'!O256+'Reversion Pagos R4'!M205+'Reporte Componentes R1'!Q316+'Reporte Componentes R1'!Q318+'Rem. Anticipos R2'!P256+'Reversion Pagos R4'!N205-INTERVENTORIA!I6+'Reporte Componentes R1'!R316+'Reporte Componentes R1'!V316+'Rem. Anticipos R2'!Q256+'Reporte Componentes R1'!R318+'Reporte Componentes R1'!V318+'Reversion Pagos R4'!O205+'Reporte Componentes R1'!T316+'Reporte Componentes R1'!U316+'Reporte Componentes R1'!W316+'Reporte Componentes R1'!X316+'Reporte Componentes R1'!Y316+'Reporte Componentes R1'!Z316+'Reporte Componentes R1'!S316+'Rem. Anticipos R2'!R256+'Reporte Componentes R1'!T318+'Reporte Componentes R1'!U318+'Reporte Componentes R1'!W318+'Reporte Componentes R1'!X318+'Reporte Componentes R1'!Y318+'Reporte Componentes R1'!Z318+'Reporte Componentes R1'!S318+'Reversion Pagos R4'!Q205+'Reversion Pagos R4'!R205+'AJUSTES - SF-T'!AA49+'Reporte Componentes R1'!L316+'Reporte Componentes R1'!L318+'Rem. Anticipos R2'!K256+'Reversion Pagos R4'!P205-'BCE SC POR FACT.'!F5+'Reporte Componentes R1'!F317+'Rem. Anticipos R2'!E257+'Reporte Componentes R1'!F319+'Reversion Pagos R4'!D206+'AJUSTES - SF-T'!AD49+N18=N11</x:f>
        <x:v>1</x:v>
      </x:c>
    </x:row>
    <x:row r="27" spans="2:16" x14ac:dyDescent="0.3">
      <x:c r="B27" s="521" t="s">
        <x:v>248</x:v>
      </x:c>
      <x:c r="C27" s="274" t="s">
        <x:v>13</x:v>
      </x:c>
      <x:c r="D27" s="531" t="b">
        <x:f>+'Reporte Componentes R1'!M437+'Reporte Componentes R1'!M439+'Rem. Anticipos R2'!L358+'Reversion Pagos R4'!J320+D19+'AJUSTES - SF-T'!U50=D12</x:f>
        <x:v>1</x:v>
      </x:c>
      <x:c r="E27" s="531" t="b">
        <x:f>+'Reporte Componentes R1'!N437+'Reporte Componentes R1'!N439+'Rem. Anticipos R2'!M358+'Reversion Pagos R4'!K320+E19+'AJUSTES - SF-T'!V50=E12</x:f>
        <x:v>1</x:v>
      </x:c>
      <x:c r="F27" s="531" t="b">
        <x:f>+'Reporte Componentes R1'!O437+'Reporte Componentes R1'!O439+'Rem. Anticipos R2'!N358+'Reversion Pagos R4'!L320+F19+'AJUSTES - SF-T'!W50=F12</x:f>
        <x:v>1</x:v>
      </x:c>
      <x:c r="G27" s="531" t="b">
        <x:f>+'Reporte Componentes R1'!P437+'Reporte Componentes R1'!P439+'Rem. Anticipos R2'!O358+'Reversion Pagos R4'!M320+G19+'AJUSTES - SF-T'!X50=G12</x:f>
        <x:v>1</x:v>
      </x:c>
      <x:c r="H27" s="531" t="b">
        <x:f>+'Reporte Componentes R1'!Q437+'Reporte Componentes R1'!Q439+'Rem. Anticipos R2'!P358+'Reversion Pagos R4'!N320+H19+'AJUSTES - SF-T'!Y50=H12</x:f>
        <x:v>1</x:v>
      </x:c>
      <x:c r="I27" s="577" t="b">
        <x:f>-INTERVENTORIA!F18+I19=I12</x:f>
        <x:v>1</x:v>
      </x:c>
      <x:c r="J27" s="531" t="b">
        <x:f>+'Reporte Componentes R1'!R437+'Reporte Componentes R1'!V437+'Rem. Anticipos R2'!Q358+'Reporte Componentes R1'!R439+'Reporte Componentes R1'!V439+'Reversion Pagos R4'!O320+'Reporte Componentes R1'!T437+'Reporte Componentes R1'!U437+'Reporte Componentes R1'!W437+'Reporte Componentes R1'!X437+'Reporte Componentes R1'!Y437+'Reporte Componentes R1'!Z437+'Reporte Componentes R1'!S437+'Rem. Anticipos R2'!R358+'Reporte Componentes R1'!T439+'Reporte Componentes R1'!U439+'Reporte Componentes R1'!W439+'Reporte Componentes R1'!X439+'Reporte Componentes R1'!Y439+'Reporte Componentes R1'!Z439+'Reporte Componentes R1'!S439+'Reversion Pagos R4'!Q320+'Reversion Pagos R4'!R320+'AJUSTES - SF-T'!AA49+J19=J12</x:f>
        <x:v>1</x:v>
      </x:c>
      <x:c r="K27" s="531" t="b">
        <x:f>+DetRetri2026071!N35</x:f>
        <x:v>1</x:v>
      </x:c>
      <x:c r="L27" s="531" t="b">
        <x:f>+'Reporte Componentes R1'!F438+'Rem. Anticipos R2'!E359+'Reporte Componentes R1'!F440+'Reversion Pagos R4'!D321+'AJUSTES - SF-T'!AD50+L19=L12</x:f>
        <x:v>1</x:v>
      </x:c>
      <x:c r="M27" s="585" t="b">
        <x:f>-'BCE SC POR FACT.'!F6+'Reporte Componentes R1'!F438+'Rem. Anticipos R2'!E359+'Reporte Componentes R1'!F440+'Reversion Pagos R4'!D321+'AJUSTES - SF-T'!AD50+M19=M12</x:f>
        <x:v>1</x:v>
      </x:c>
      <x:c r="N27" s="531" t="b">
        <x:f>'Reporte Componentes R1'!F438+'Rem. Anticipos R2'!E359+'Reporte Componentes R1'!F440+'Reversion Pagos R4'!D321+'AJUSTES - SF-T'!AD50+L19=L12</x:f>
        <x:v>1</x:v>
      </x:c>
      <x:c r="O27" s="583" t="b">
        <x:f>'Reporte Componentes R1'!M437+'Reporte Componentes R1'!M439+'Rem. Anticipos R2'!L358+'Reversion Pagos R4'!J320+'Reporte Componentes R1'!N437+'Reporte Componentes R1'!N439+'Rem. Anticipos R2'!M358+'Reversion Pagos R4'!K320+'Reporte Componentes R1'!O437+'Reporte Componentes R1'!O439+'Rem. Anticipos R2'!N358+'Reversion Pagos R4'!L320+'Reporte Componentes R1'!P437+'Reporte Componentes R1'!P439+'Rem. Anticipos R2'!O358+'Reversion Pagos R4'!M320+'Reporte Componentes R1'!Q437+'Reporte Componentes R1'!Q439+'Rem. Anticipos R2'!P358+'Reversion Pagos R4'!N320-INTERVENTORIA!I7+'Reporte Componentes R1'!R437+'Reporte Componentes R1'!V437+'Rem. Anticipos R2'!Q358+'Reporte Componentes R1'!R439+'Reporte Componentes R1'!V439+'Reversion Pagos R4'!O320+'Reporte Componentes R1'!T437+'Reporte Componentes R1'!U437+'Reporte Componentes R1'!W437+'Reporte Componentes R1'!X437+'Reporte Componentes R1'!Y437+'Reporte Componentes R1'!Z437+'Reporte Componentes R1'!S437+'Rem. Anticipos R2'!R358+'Reporte Componentes R1'!T439+'Reporte Componentes R1'!U439+'Reporte Componentes R1'!W439+'Reporte Componentes R1'!X439+'Reporte Componentes R1'!Y439+'Reporte Componentes R1'!Z439+'Reporte Componentes R1'!S439+'Reversion Pagos R4'!Q320+'Reversion Pagos R4'!R320+'AJUSTES - SF-T'!AA50+'Reporte Componentes R1'!L437+'Reporte Componentes R1'!L439+'Rem. Anticipos R2'!K358+'Reversion Pagos R4'!P320-'BCE SC POR FACT.'!F6+'Reporte Componentes R1'!F438+'Rem. Anticipos R2'!E359+'Reporte Componentes R1'!F440+'Reversion Pagos R4'!D321+'AJUSTES - SF-T'!AD50+N19=N12</x:f>
        <x:v>1</x:v>
      </x:c>
    </x:row>
    <x:row r="28" spans="2:16" x14ac:dyDescent="0.3">
      <x:c r="B28" s="521" t="s">
        <x:v>118</x:v>
      </x:c>
      <x:c r="C28" s="274" t="s">
        <x:v>14</x:v>
      </x:c>
      <x:c r="D28" s="531" t="b">
        <x:f>+'Reporte Componentes R1'!M519+'Reporte Componentes R1'!M521+'Rem. Anticipos R2'!L438+'Reversion Pagos R4'!J355+D20+'AJUSTES - SF-T'!U51=D13</x:f>
        <x:v>1</x:v>
      </x:c>
      <x:c r="E28" s="531" t="b">
        <x:f>+'Reporte Componentes R1'!N519+'Reporte Componentes R1'!N521+'Rem. Anticipos R2'!M438+'Reversion Pagos R4'!K355+E20+'AJUSTES - SF-T'!V51=E13</x:f>
        <x:v>1</x:v>
      </x:c>
      <x:c r="F28" s="531" t="b">
        <x:f>+'Reporte Componentes R1'!O519+'Reporte Componentes R1'!O521+'Rem. Anticipos R2'!N438+'Reversion Pagos R4'!L355+F20+'AJUSTES - SF-T'!W51=F13</x:f>
        <x:v>1</x:v>
      </x:c>
      <x:c r="G28" s="531" t="b">
        <x:f>+'Reporte Componentes R1'!P519+'Reporte Componentes R1'!P521+'Rem. Anticipos R2'!O438+'Reversion Pagos R4'!M355+G20+'AJUSTES - SF-T'!X51=G13</x:f>
        <x:v>1</x:v>
      </x:c>
      <x:c r="H28" s="531" t="b">
        <x:f>+'Reporte Componentes R1'!Q519+'Reporte Componentes R1'!Q521+'Rem. Anticipos R2'!P438+'Reversion Pagos R4'!N355+H20+'AJUSTES - SF-T'!Y51=H13</x:f>
        <x:v>1</x:v>
      </x:c>
      <x:c r="I28" s="577" t="b">
        <x:f>-INTERVENTORIA!F19+I20=I13</x:f>
        <x:v>0</x:v>
      </x:c>
      <x:c r="J28" s="533" t="b">
        <x:f>+'Reporte Componentes R1'!R519+'Reporte Componentes R1'!V519+'Rem. Anticipos R2'!Q438+'Reporte Componentes R1'!R521+'Reporte Componentes R1'!V521+'Reversion Pagos R4'!O355+'Reporte Componentes R1'!T519+'Reporte Componentes R1'!U519+'Reporte Componentes R1'!W519+'Reporte Componentes R1'!X519+'Reporte Componentes R1'!Y519+'Reporte Componentes R1'!Z519+'Reporte Componentes R1'!S519+'Rem. Anticipos R2'!R438+'Reporte Componentes R1'!T521+'Reporte Componentes R1'!U521+'Reporte Componentes R1'!W521+'Reporte Componentes R1'!X521+'Reporte Componentes R1'!Y521+'Reporte Componentes R1'!Z521+'Reporte Componentes R1'!S521+'Reversion Pagos R4'!Q355+'Reversion Pagos R4'!R355+'AJUSTES - SF-T'!AA50+J20=J13</x:f>
        <x:v>1</x:v>
      </x:c>
      <x:c r="K28" s="531" t="b">
        <x:f>+DetRetri2026071!N36</x:f>
        <x:v>1</x:v>
      </x:c>
      <x:c r="L28" s="531" t="b">
        <x:f>+'Reporte Componentes R1'!F520+'Rem. Anticipos R2'!E439+'Reporte Componentes R1'!F522+'Reversion Pagos R4'!D356+'AJUSTES - SF-T'!AD51+L20=L13</x:f>
        <x:v>1</x:v>
      </x:c>
      <x:c r="M28" s="531" t="b">
        <x:f>-'BCE SC POR FACT.'!F7+'Reporte Componentes R1'!F520+'Rem. Anticipos R2'!E439+'Reporte Componentes R1'!F522+'Reversion Pagos R4'!D356+'AJUSTES - SF-T'!AD51+M20=M13</x:f>
        <x:v>1</x:v>
      </x:c>
      <x:c r="N28" s="531" t="b">
        <x:f>'Reporte Componentes R1'!F520+'Rem. Anticipos R2'!E439+'Reporte Componentes R1'!F522+'Reversion Pagos R4'!D356+'AJUSTES - SF-T'!AD51+L20=L13</x:f>
        <x:v>1</x:v>
      </x:c>
      <x:c r="O28" s="531" t="b">
        <x:f>'Reporte Componentes R1'!M519+'Reporte Componentes R1'!M521+'Rem. Anticipos R2'!L438+'Reversion Pagos R4'!J355+'Reporte Componentes R1'!N519+'Reporte Componentes R1'!N521+'Rem. Anticipos R2'!M438+'Reversion Pagos R4'!K355+'Reporte Componentes R1'!O519+'Reporte Componentes R1'!O521+'Rem. Anticipos R2'!N438+'Reversion Pagos R4'!L355+'Reporte Componentes R1'!P519+'Reporte Componentes R1'!P521+'Rem. Anticipos R2'!O438+'Reversion Pagos R4'!M355+'Reporte Componentes R1'!Q519+'Reporte Componentes R1'!Q521+'Rem. Anticipos R2'!P438+'Reversion Pagos R4'!N355-INTERVENTORIA!I8+'Reporte Componentes R1'!R519+'Reporte Componentes R1'!V519+'Rem. Anticipos R2'!Q438+'Reporte Componentes R1'!R521+'Reporte Componentes R1'!V521+'Reversion Pagos R4'!O355+'Reporte Componentes R1'!T519+'Reporte Componentes R1'!U519+'Reporte Componentes R1'!W519+'Reporte Componentes R1'!X519+'Reporte Componentes R1'!Y519+'Reporte Componentes R1'!Z519+'Reporte Componentes R1'!S519+'Rem. Anticipos R2'!R438+'Reporte Componentes R1'!T521+'Reporte Componentes R1'!U521+'Reporte Componentes R1'!W521+'Reporte Componentes R1'!X521+'Reporte Componentes R1'!Y521+'Reporte Componentes R1'!Z521+'Reporte Componentes R1'!S521+'Reversion Pagos R4'!Q355+'Reversion Pagos R4'!R355+'AJUSTES - SF-T'!AA51+'Reporte Componentes R1'!L519+'Reporte Componentes R1'!L521+'Rem. Anticipos R2'!K438+'Reversion Pagos R4'!P355-'BCE SC POR FACT.'!F7+'Reporte Componentes R1'!F520+'Rem. Anticipos R2'!E439+'Reporte Componentes R1'!F522+'Reversion Pagos R4'!D356+'AJUSTES - SF-T'!AD51+N20=N13</x:f>
        <x:v>1</x:v>
      </x:c>
    </x:row>
    <x:row r="29" spans="2:16" x14ac:dyDescent="0.3">
      <x:c r="C29" s="532" t="s">
        <x:v>2</x:v>
      </x:c>
      <x:c r="D29" s="531" t="b">
        <x:f>'Reporte Componentes R1'!M46+'Reporte Componentes R1'!M48+'Rem. Anticipos R2'!L43+'Reversion Pagos R4'!J73+'Reporte Componentes R1'!M176+'Rem. Anticipos R2'!L139+'Reversion Pagos R4'!J168+'Reporte Componentes R1'!M178+'Reporte Componentes R1'!M316+'Reporte Componentes R1'!M318+'Rem. Anticipos R2'!L256+'Reversion Pagos R4'!J205+'Reporte Componentes R1'!M437+'Reporte Componentes R1'!M439+'Rem. Anticipos R2'!L358+'Reversion Pagos R4'!J320+'Reporte Componentes R1'!M519+'Reporte Componentes R1'!M521+'Rem. Anticipos R2'!L438+'Reversion Pagos R4'!J355+D21+'AJUSTES - SF-T'!U52=D14</x:f>
        <x:v>1</x:v>
      </x:c>
      <x:c r="E29" s="531" t="b">
        <x:f>'Reporte Componentes R1'!N46+'Reporte Componentes R1'!N48+'Rem. Anticipos R2'!M43+'Reversion Pagos R4'!K73+'Reporte Componentes R1'!N176+'Rem. Anticipos R2'!M139+'Reversion Pagos R4'!K168+'Reporte Componentes R1'!N178+'Reporte Componentes R1'!N316+'Reporte Componentes R1'!N318+'Rem. Anticipos R2'!M256+'Reversion Pagos R4'!K205+'Reporte Componentes R1'!N437+'Reporte Componentes R1'!N439+'Rem. Anticipos R2'!M358+'Reversion Pagos R4'!K320+'Reporte Componentes R1'!N519+'Reporte Componentes R1'!N521+'Rem. Anticipos R2'!M438+'Reversion Pagos R4'!K355+E21+'AJUSTES - SF-T'!V52=E14</x:f>
        <x:v>1</x:v>
      </x:c>
      <x:c r="F29" s="531" t="b">
        <x:f>'Reporte Componentes R1'!O46+'Reporte Componentes R1'!O48+'Rem. Anticipos R2'!N43+'Reversion Pagos R4'!L73+'Reporte Componentes R1'!O176+'Rem. Anticipos R2'!N139+'Reversion Pagos R4'!L168+'Reporte Componentes R1'!O178+'Reporte Componentes R1'!O316+'Reporte Componentes R1'!O318+'Rem. Anticipos R2'!N256+'Reversion Pagos R4'!L205+'Reporte Componentes R1'!O437+'Reporte Componentes R1'!O439+'Rem. Anticipos R2'!N358+'Reversion Pagos R4'!L320+'Reporte Componentes R1'!O519+'Reporte Componentes R1'!O521+'Rem. Anticipos R2'!N438+'Reversion Pagos R4'!L355+F21+'AJUSTES - SF-T'!W52=F14</x:f>
        <x:v>1</x:v>
      </x:c>
      <x:c r="G29" s="531" t="b">
        <x:f>'Reporte Componentes R1'!P46+'Reporte Componentes R1'!P48+'Rem. Anticipos R2'!O43+'Reversion Pagos R4'!M73+'Reporte Componentes R1'!P176+'Rem. Anticipos R2'!O139+'Reversion Pagos R4'!M168+'Reporte Componentes R1'!P178+'Reporte Componentes R1'!P316+'Reporte Componentes R1'!P318+'Rem. Anticipos R2'!O256+'Reversion Pagos R4'!M205+'Reporte Componentes R1'!P437+'Reporte Componentes R1'!P439+'Rem. Anticipos R2'!O358+'Reversion Pagos R4'!M320+'Reporte Componentes R1'!P519+'Reporte Componentes R1'!P521+'Rem. Anticipos R2'!O438+'Reversion Pagos R4'!M355+G21+'AJUSTES - SF-T'!X52=G14</x:f>
        <x:v>1</x:v>
      </x:c>
      <x:c r="H29" s="531" t="b">
        <x:f>'Reporte Componentes R1'!Q46+'Reporte Componentes R1'!Q48+'Rem. Anticipos R2'!P43+'Reversion Pagos R4'!N73+'Reporte Componentes R1'!Q176+'Rem. Anticipos R2'!P139+'Reversion Pagos R4'!N168+'Reporte Componentes R1'!Q178+'Reporte Componentes R1'!Q316+'Reporte Componentes R1'!Q318+'Rem. Anticipos R2'!P256+'Reversion Pagos R4'!N205+'Reporte Componentes R1'!Q437+'Reporte Componentes R1'!Q439+'Rem. Anticipos R2'!P358+'Reversion Pagos R4'!N320+'Reporte Componentes R1'!Q519+'Reporte Componentes R1'!Q521+'Rem. Anticipos R2'!P438+'Reversion Pagos R4'!N355+H21+'AJUSTES - SF-T'!Y52=H14</x:f>
        <x:v>1</x:v>
      </x:c>
      <x:c r="I29" s="577" t="b">
        <x:f>-INTERVENTORIA!F20+I21=I14</x:f>
        <x:v>0</x:v>
      </x:c>
      <x:c r="J29" s="531" t="b">
        <x:f>'Reporte Componentes R1'!R46+'Reporte Componentes R1'!V46+'Rem. Anticipos R2'!Q43+'Reporte Componentes R1'!R48+'Reporte Componentes R1'!V48+'Reversion Pagos R4'!O73+'Reporte Componentes R1'!T46+'Reporte Componentes R1'!U46+'Reporte Componentes R1'!W46+'Reporte Componentes R1'!X46+'Reporte Componentes R1'!Y46+'Reporte Componentes R1'!Z46+'Reporte Componentes R1'!S46+'Rem. Anticipos R2'!R43+'Reporte Componentes R1'!T48+'Reporte Componentes R1'!U48+'Reporte Componentes R1'!W48+'Reporte Componentes R1'!X48+'Reporte Componentes R1'!Y48+'Reporte Componentes R1'!Z48+'Reporte Componentes R1'!S48+'Reversion Pagos R4'!Q73+'Reversion Pagos R4'!R73+'AJUSTES - SF-T'!AA47+'Reporte Componentes R1'!R176+'Reporte Componentes R1'!V176+'Rem. Anticipos R2'!Q139+'Reporte Componentes R1'!R178+'Reporte Componentes R1'!V178+'Reversion Pagos R4'!O168+'Reporte Componentes R1'!T176+'Reporte Componentes R1'!U176+'Reporte Componentes R1'!W176+'Reporte Componentes R1'!X176+'Reporte Componentes R1'!Y176+'Reporte Componentes R1'!Z176+'Reporte Componentes R1'!S176+'Rem. Anticipos R2'!R139+'Reporte Componentes R1'!T178+'Reporte Componentes R1'!U178+'Reporte Componentes R1'!W178+'Reporte Componentes R1'!X178+'Reporte Componentes R1'!Y178+'Reporte Componentes R1'!Z178+'Reporte Componentes R1'!S178+'Reversion Pagos R4'!Q168+'Reversion Pagos R4'!R168+'AJUSTES - SF-T'!AA48+'Reporte Componentes R1'!R316+'Reporte Componentes R1'!V316+'Rem. Anticipos R2'!Q256+'Reporte Componentes R1'!R318+'Reporte Componentes R1'!V318+'Reversion Pagos R4'!O205+'Reporte Componentes R1'!T316+'Reporte Componentes R1'!U316+'Reporte Componentes R1'!W316+'Reporte Componentes R1'!X316+'Reporte Componentes R1'!Y316+'Reporte Componentes R1'!Z316+'Reporte Componentes R1'!S316+'Rem. Anticipos R2'!R256+'Reporte Componentes R1'!T318+'Reporte Componentes R1'!U318+'Reporte Componentes R1'!W318+'Reporte Componentes R1'!X318+'Reporte Componentes R1'!Y318+'Reporte Componentes R1'!Z318+'Reporte Componentes R1'!S318+'Reversion Pagos R4'!Q205+'Reversion Pagos R4'!R205+'AJUSTES - SF-T'!AA49+'Reporte Componentes R1'!R437+'Reporte Componentes R1'!V437+'Rem. Anticipos R2'!Q358+'Reporte Componentes R1'!R439+'Reporte Componentes R1'!V439+'Reversion Pagos R4'!O320+'Reporte Componentes R1'!T437+'Reporte Componentes R1'!U437+'Reporte Componentes R1'!W437+'Reporte Componentes R1'!X437+'Reporte Componentes R1'!Y437+'Reporte Componentes R1'!Z437+'Reporte Componentes R1'!S437+'Rem. Anticipos R2'!R358+'Reporte Componentes R1'!T439+'Reporte Componentes R1'!U439+'Reporte Componentes R1'!W439+'Reporte Componentes R1'!X439+'Reporte Componentes R1'!Y439+'Reporte Componentes R1'!Z439+'Reporte Componentes R1'!S439+'Reversion Pagos R4'!Q320+'Reversion Pagos R4'!R320+'Reporte Componentes R1'!R519+'Reporte Componentes R1'!V519+'Rem. Anticipos R2'!Q438+'Reporte Componentes R1'!R521+'Reporte Componentes R1'!V521+'Reversion Pagos R4'!O355+'Reporte Componentes R1'!T519+'Reporte Componentes R1'!U519+'Reporte Componentes R1'!W519+'Reporte Componentes R1'!X519+'Reporte Componentes R1'!Y519+'Reporte Componentes R1'!Z519+'Reporte Componentes R1'!S519+'Rem. Anticipos R2'!R438+'Reporte Componentes R1'!T521+'Reporte Componentes R1'!U521+'Reporte Componentes R1'!W521+'Reporte Componentes R1'!X521+'Reporte Componentes R1'!Y521+'Reporte Componentes R1'!Z521+'Reporte Componentes R1'!S521+'Reversion Pagos R4'!Q355+'Reversion Pagos R4'!R355+'AJUSTES - SF-T'!AA51+J21=J14</x:f>
        <x:v>1</x:v>
      </x:c>
      <x:c r="K29" s="531" t="b">
        <x:f>'Reporte Componentes R1'!L46+'Rem. Anticipos R2'!K43+'Reversion Pagos R4'!P73+'Reporte Componentes R1'!L48+'Reporte Componentes R1'!L176+'Rem. Anticipos R2'!K139+'Reversion Pagos R4'!P168+'Reporte Componentes R1'!L178+'Reporte Componentes R1'!L316+'Reporte Componentes R1'!L318+'Rem. Anticipos R2'!K256+'Reversion Pagos R4'!P205+'Reporte Componentes R1'!L437+'Reporte Componentes R1'!L439+'Rem. Anticipos R2'!K358+'Reversion Pagos R4'!P320+'Reporte Componentes R1'!L519+'Reporte Componentes R1'!L521+'Rem. Anticipos R2'!K438+'Reversion Pagos R4'!P355+K21=K14</x:f>
        <x:v>1</x:v>
      </x:c>
      <x:c r="L29" s="582" t="b">
        <x:f>'Reporte Componentes R1'!F47+'Rem. Anticipos R2'!E44+'Reporte Componentes R1'!F49+'Reversion Pagos R4'!D74+'AJUSTES - SF-T'!AD47+'Reporte Componentes R1'!F177+'Rem. Anticipos R2'!E140+'Reporte Componentes R1'!F179+'Reversion Pagos R4'!D169+'AJUSTES - SF-T'!AD48+'Reporte Componentes R1'!F317+'Rem. Anticipos R2'!E257+'Reporte Componentes R1'!F319+'Reversion Pagos R4'!D206+'AJUSTES - SF-T'!AD49+'Reporte Componentes R1'!F438+'Rem. Anticipos R2'!E359+'Reporte Componentes R1'!F440+'Reversion Pagos R4'!D321+'AJUSTES - SF-T'!AD50+'Reporte Componentes R1'!F520+'Rem. Anticipos R2'!E439+'Reporte Componentes R1'!F522+'Reversion Pagos R4'!D356+'AJUSTES - SF-T'!AD51+L21=L14</x:f>
        <x:v>1</x:v>
      </x:c>
      <x:c r="M29" s="531" t="b">
        <x:f>-'BCE SC POR FACT.'!F3+'Reporte Componentes R1'!F47+'Rem. Anticipos R2'!E44+'Reporte Componentes R1'!F49+'Reversion Pagos R4'!D74+'AJUSTES - SF-T'!AD47-'BCE SC POR FACT.'!F4+'Reporte Componentes R1'!F177+'Rem. Anticipos R2'!E140+'Reporte Componentes R1'!F179+'Reversion Pagos R4'!D169+'AJUSTES - SF-T'!AD48-'BCE SC POR FACT.'!F5+'Reporte Componentes R1'!F317+'Rem. Anticipos R2'!E257+'Reporte Componentes R1'!F319+'Reversion Pagos R4'!D206+'AJUSTES - SF-T'!AD49-'BCE SC POR FACT.'!F6+'Reporte Componentes R1'!F438+'Rem. Anticipos R2'!E359+'Reporte Componentes R1'!F440+'Reversion Pagos R4'!D321+'AJUSTES - SF-T'!AD50-'BCE SC POR FACT.'!F7+'Reporte Componentes R1'!F520+'Rem. Anticipos R2'!E439+'Reporte Componentes R1'!F522+'Reversion Pagos R4'!D356+'AJUSTES - SF-T'!AD51+M21=M14</x:f>
        <x:v>1</x:v>
      </x:c>
      <x:c r="N29" s="531" t="b">
        <x:f>'Reporte Componentes R1'!F47+'Rem. Anticipos R2'!E44+'Reporte Componentes R1'!F49+'Reversion Pagos R4'!D74+'AJUSTES - SF-T'!AD47+'Reporte Componentes R1'!F177+'Rem. Anticipos R2'!E140+'Reporte Componentes R1'!F179+'Reversion Pagos R4'!D169+'AJUSTES - SF-T'!AD48+'Reporte Componentes R1'!F317+'Rem. Anticipos R2'!E257+'Reporte Componentes R1'!F319+'Reversion Pagos R4'!D206+'AJUSTES - SF-T'!AD49+'Reporte Componentes R1'!F438+'Rem. Anticipos R2'!E359+'Reporte Componentes R1'!F440+'Reversion Pagos R4'!D321+'AJUSTES - SF-T'!AD50+'Reporte Componentes R1'!F520+'Rem. Anticipos R2'!E439+'Reporte Componentes R1'!F522+'Reversion Pagos R4'!D356+'AJUSTES - SF-T'!AD51+L21=L14</x:f>
        <x:v>1</x:v>
      </x:c>
      <x:c r="O29" s="531" t="b">
        <x:f>'Reporte Componentes R1'!M46+'Reporte Componentes R1'!M48+'Rem. Anticipos R2'!L43+'Reversion Pagos R4'!J73+'Reporte Componentes R1'!N46+'Reporte Componentes R1'!N48+'Rem. Anticipos R2'!M43+'Reversion Pagos R4'!K73+'Reporte Componentes R1'!O46+'Reporte Componentes R1'!O48+'Rem. Anticipos R2'!N43+'Reversion Pagos R4'!L73+'Reporte Componentes R1'!P46+'Reporte Componentes R1'!P48+'Rem. Anticipos R2'!O43+'Reversion Pagos R4'!M73+'Reporte Componentes R1'!Q46+'Reporte Componentes R1'!Q48+'Rem. Anticipos R2'!P43+'Reversion Pagos R4'!N73-INTERVENTORIA!K15+'Reporte Componentes R1'!R46+'Reporte Componentes R1'!V46+'Rem. Anticipos R2'!Q43+'Reporte Componentes R1'!R48+'Reporte Componentes R1'!V48+'Reversion Pagos R4'!O73+'Reporte Componentes R1'!T46+'Reporte Componentes R1'!U46+'Reporte Componentes R1'!W46+'Reporte Componentes R1'!X46+'Reporte Componentes R1'!Y46+'Reporte Componentes R1'!Z46+'Reporte Componentes R1'!S46+'Rem. Anticipos R2'!R43+'Reporte Componentes R1'!T48+'Reporte Componentes R1'!U48+'Reporte Componentes R1'!W48+'Reporte Componentes R1'!X48+'Reporte Componentes R1'!Y48+'Reporte Componentes R1'!Z48+'Reporte Componentes R1'!S48+'Reversion Pagos R4'!Q73+'Reversion Pagos R4'!R73+'AJUSTES - SF-T'!AA47+'Reporte Componentes R1'!L46+'Rem. Anticipos R2'!K43+'Reversion Pagos R4'!P73+'Reporte Componentes R1'!L48-'BCE SC POR FACT.'!F3+'Reporte Componentes R1'!F47+'Rem. Anticipos R2'!E44+'Reporte Componentes R1'!F49+'Reversion Pagos R4'!D74+'AJUSTES - SF-T'!AD47+'Reporte Componentes R1'!M176+'Rem. Anticipos R2'!L139+'Reversion Pagos R4'!J168+'Reporte Componentes R1'!M178+'Reporte Componentes R1'!N176+'Rem. Anticipos R2'!M139+'Reversion Pagos R4'!K168+'Reporte Componentes R1'!N178+'Reporte Componentes R1'!O176+'Rem. Anticipos R2'!N139+'Reversion Pagos R4'!L168+'Reporte Componentes R1'!O178+'Reporte Componentes R1'!P176+'Rem. Anticipos R2'!O139+'Reversion Pagos R4'!M168+'Reporte Componentes R1'!P178+'Reporte Componentes R1'!Q176+'Rem. Anticipos R2'!P139+'Reversion Pagos R4'!N168+'Reporte Componentes R1'!Q178-INTERVENTORIA!K16+'Reporte Componentes R1'!R176+'Reporte Componentes R1'!V176+'Rem. Anticipos R2'!Q139+'Reporte Componentes R1'!R178+'Reporte Componentes R1'!V178+'Reversion Pagos R4'!O168+'Reporte Componentes R1'!T176+'Reporte Componentes R1'!U176+'Reporte Componentes R1'!W176+'Reporte Componentes R1'!X176+'Reporte Componentes R1'!Y176+'Reporte Componentes R1'!Z176+'Reporte Componentes R1'!S176+'Rem. Anticipos R2'!R139+'Reporte Componentes R1'!T178+'Reporte Componentes R1'!U178+'Reporte Componentes R1'!W178+'Reporte Componentes R1'!X178+'Reporte Componentes R1'!Y178+'Reporte Componentes R1'!Z178+'Reporte Componentes R1'!S178+'Reversion Pagos R4'!Q168+'Reversion Pagos R4'!R168+'AJUSTES - SF-T'!AA48+'Reporte Componentes R1'!L176+'Rem. Anticipos R2'!K139+'Reversion Pagos R4'!P168+'Reporte Componentes R1'!L178-'BCE SC POR FACT.'!F4+'Reporte Componentes R1'!F177+'Rem. Anticipos R2'!E140+'Reporte Componentes R1'!F179+'Reversion Pagos R4'!D169+'AJUSTES - SF-T'!AD48+'Reporte Componentes R1'!M316+'Reporte Componentes R1'!M318+'Rem. Anticipos R2'!L256+'Reversion Pagos R4'!J205+'Reporte Componentes R1'!N316+'Reporte Componentes R1'!N318+'Rem. Anticipos R2'!M256+'Reversion Pagos R4'!K205+'Reporte Componentes R1'!O316+'Reporte Componentes R1'!O318+'Rem. Anticipos R2'!N256+'Reversion Pagos R4'!L205+'Reporte Componentes R1'!P316+'Reporte Componentes R1'!P318+'Rem. Anticipos R2'!O256+'Reversion Pagos R4'!M205+'Reporte Componentes R1'!Q316+'Reporte Componentes R1'!Q318+'Rem. Anticipos R2'!P256+'Reversion Pagos R4'!N205-INTERVENTORIA!K17+'Reporte Componentes R1'!R316+'Reporte Componentes R1'!V316+'Rem. Anticipos R2'!Q256+'Reporte Componentes R1'!R318+'Reporte Componentes R1'!V318+'Reversion Pagos R4'!O205+'Reporte Componentes R1'!T316+'Reporte Componentes R1'!U316+'Reporte Componentes R1'!W316+'Reporte Componentes R1'!X316+'Reporte Componentes R1'!Y316+'Reporte Componentes R1'!Z316+'Reporte Componentes R1'!S316+'Rem. Anticipos R2'!R256+'Reporte Componentes R1'!T318+'Reporte Componentes R1'!U318+'Reporte Componentes R1'!W318+'Reporte Componentes R1'!X318+'Reporte Componentes R1'!Y318+'Reporte Componentes R1'!Z318+'Reporte Componentes R1'!S318+'Reversion Pagos R4'!Q205+'Reversion Pagos R4'!R205+'AJUSTES - SF-T'!AA49+'Reporte Componentes R1'!L316+'Reporte Componentes R1'!L318+'Rem. Anticipos R2'!K256+'Reversion Pagos R4'!P205-'BCE SC POR FACT.'!F5+'Reporte Componentes R1'!F317+'Rem. Anticipos R2'!E257+'Reporte Componentes R1'!F319+'Reversion Pagos R4'!D206+'AJUSTES - SF-T'!AD49+'Reporte Componentes R1'!M437+'Reporte Componentes R1'!M439+'Rem. Anticipos R2'!L358+'Reversion Pagos R4'!J320+'Reporte Componentes R1'!N437+'Reporte Componentes R1'!N439+'Rem. Anticipos R2'!M358+'Reversion Pagos R4'!K320+'Reporte Componentes R1'!O437+'Reporte Componentes R1'!O439+'Rem. Anticipos R2'!N358+'Reversion Pagos R4'!L320+'Reporte Componentes R1'!P437+'Reporte Componentes R1'!P439+'Rem. Anticipos R2'!O358+'Reversion Pagos R4'!M320+'Reporte Componentes R1'!Q437+'Reporte Componentes R1'!Q439+'Rem. Anticipos R2'!P358+'Reversion Pagos R4'!N320-INTERVENTORIA!K18+'Reporte Componentes R1'!R437+'Reporte Componentes R1'!V437+'Rem. Anticipos R2'!Q358+'Reporte Componentes R1'!R439+'Reporte Componentes R1'!V439+'Reversion Pagos R4'!O320+'Reporte Componentes R1'!T437+'Reporte Componentes R1'!U437+'Reporte Componentes R1'!W437+'Reporte Componentes R1'!X437+'Reporte Componentes R1'!Y437+'Reporte Componentes R1'!Z437+'Reporte Componentes R1'!S437+'Rem. Anticipos R2'!R358+'Reporte Componentes R1'!T439+'Reporte Componentes R1'!U439+'Reporte Componentes R1'!W439+'Reporte Componentes R1'!X439+'Reporte Componentes R1'!Y439+'Reporte Componentes R1'!Z439+'Reporte Componentes R1'!S439+'Reversion Pagos R4'!Q320+'Reversion Pagos R4'!R320+'AJUSTES - SF-T'!AA50+'Reporte Componentes R1'!L437+'Reporte Componentes R1'!L439+'Rem. Anticipos R2'!K358+'Reversion Pagos R4'!P320-'BCE SC POR FACT.'!F6+'Reporte Componentes R1'!F438+'Rem. Anticipos R2'!E359+'Reporte Componentes R1'!F440+'Reversion Pagos R4'!D321+'AJUSTES - SF-T'!AD50+'Reporte Componentes R1'!M519+'Reporte Componentes R1'!M521+'Rem. Anticipos R2'!L438+'Reversion Pagos R4'!J355+'Reporte Componentes R1'!N519+'Reporte Componentes R1'!N521+'Rem. Anticipos R2'!M438+'Reversion Pagos R4'!K355+'Reporte Componentes R1'!O519+'Reporte Componentes R1'!O521+'Rem. Anticipos R2'!N438+'Reversion Pagos R4'!L355+'Reporte Componentes R1'!P519+'Reporte Componentes R1'!P521+'Rem. Anticipos R2'!O438+'Reversion Pagos R4'!M355+'Reporte Componentes R1'!Q519+'Reporte Componentes R1'!Q521+'Rem. Anticipos R2'!P438+'Reversion Pagos R4'!N355-INTERVENTORIA!Q19+'Reporte Componentes R1'!R519+'Reporte Componentes R1'!V519+'Rem. Anticipos R2'!Q438+'Reporte Componentes R1'!R521+'Reporte Componentes R1'!V521+'Reversion Pagos R4'!O355+'Reporte Componentes R1'!T519+'Reporte Componentes R1'!U519+'Reporte Componentes R1'!W519+'Reporte Componentes R1'!X519+'Reporte Componentes R1'!Y519+'Reporte Componentes R1'!Z519+'Reporte Componentes R1'!S519+'Rem. Anticipos R2'!R438+'Reporte Componentes R1'!T521+'Reporte Componentes R1'!U521+'Reporte Componentes R1'!W521+'Reporte Componentes R1'!X521+'Reporte Componentes R1'!Y521+'Reporte Componentes R1'!Z521+'Reporte Componentes R1'!S521+'Reversion Pagos R4'!Q355+'Reversion Pagos R4'!R355+'AJUSTES - SF-T'!AA51+'Reporte Componentes R1'!L519+'Reporte Componentes R1'!L521+'Rem. Anticipos R2'!K438+'Reversion Pagos R4'!P355-'BCE SC POR FACT.'!F7+'Reporte Componentes R1'!F520+'Rem. Anticipos R2'!E439+'Reporte Componentes R1'!F522+'Reversion Pagos R4'!D356+'AJUSTES - SF-T'!AD51+N21=N14</x:f>
        <x:v>1</x:v>
      </x:c>
    </x:row>
    <x:row r="30" spans="2:16" x14ac:dyDescent="0.3">
      <x:c r="M30" s="538"/>
    </x:row>
    <x:row r="31" spans="2:16" x14ac:dyDescent="0.3">
      <x:c r="I31" s="576"/>
      <x:c r="J31" s="578"/>
    </x:row>
    <x:row r="32" spans="2:16" x14ac:dyDescent="0.3">
      <x:c r="J32" s="579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G125" sqref="G125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6640625" style="1" customWidth="1"/>
    <x:col min="4" max="4" width="13.6640625" style="1" bestFit="1" customWidth="1"/>
    <x:col min="5" max="5" width="16" style="1" customWidth="1"/>
    <x:col min="6" max="7" width="14.6640625" style="1" customWidth="1"/>
    <x:col min="8" max="8" width="16.33203125" style="1" customWidth="1"/>
    <x:col min="9" max="9" width="20.3320312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6640625" style="1" customWidth="1"/>
    <x:col min="14" max="14" width="15.33203125" style="1" customWidth="1"/>
    <x:col min="15" max="15" width="16.6640625" style="1" customWidth="1"/>
    <x:col min="16" max="16" width="3.6640625" style="1" customWidth="1"/>
    <x:col min="17" max="17" width="2.6640625" style="1" customWidth="1"/>
    <x:col min="18" max="18" width="4.5546875" style="1" customWidth="1"/>
    <x:col min="19" max="19" width="11.33203125" style="1" customWidth="1"/>
    <x:col min="20" max="20" width="37.5546875" style="1" bestFit="1" customWidth="1"/>
    <x:col min="21" max="21" width="19.33203125" style="1" customWidth="1"/>
    <x:col min="22" max="22" width="17.6640625" style="1" customWidth="1"/>
    <x:col min="23" max="23" width="16.44140625" style="1" customWidth="1"/>
    <x:col min="24" max="24" width="17.33203125" style="1" customWidth="1"/>
    <x:col min="25" max="25" width="15.6640625" style="1" customWidth="1"/>
    <x:col min="26" max="26" width="16" style="1" customWidth="1"/>
    <x:col min="27" max="27" width="15" style="1" customWidth="1"/>
    <x:col min="28" max="29" width="16.6640625" style="1" customWidth="1"/>
    <x:col min="30" max="31" width="15.44140625" style="1" customWidth="1"/>
    <x:col min="32" max="32" width="16.33203125" style="1" customWidth="1"/>
    <x:col min="33" max="33" width="18.33203125" style="1" customWidth="1"/>
    <x:col min="34" max="34" width="13.6640625" style="1" customWidth="1"/>
    <x:col min="35" max="35" width="3.44140625" style="1" customWidth="1"/>
    <x:col min="36" max="36" width="13.6640625" style="1" bestFit="1" customWidth="1"/>
    <x:col min="37" max="16384" width="11.44140625" style="1"/>
  </x:cols>
  <x:sheetData>
    <x:row r="1" spans="2:39" ht="12" thickBot="1" x14ac:dyDescent="0.25">
      <x:c r="Q1" s="4"/>
      <x:c r="AI1" s="4"/>
    </x:row>
    <x:row r="2" spans="2:39" ht="12" x14ac:dyDescent="0.25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3.8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6" x14ac:dyDescent="0.3">
      <x:c r="B6" s="8"/>
      <x:c r="C6" s="2"/>
      <x:c r="D6" s="9"/>
      <x:c r="F6" s="394" t="s">
        <x:v>121</x:v>
      </x:c>
      <x:c r="G6" s="394"/>
      <x:c r="H6" s="395"/>
      <x:c r="I6" s="396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6" thickBot="1" x14ac:dyDescent="0.3">
      <x:c r="B7" s="8"/>
      <x:c r="C7" s="2"/>
      <x:c r="D7" s="198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105</x:v>
      </x:c>
      <x:c r="AE8" s="114" t="s">
        <x:v>104</x:v>
      </x:c>
      <x:c r="AF8" s="39" t="s">
        <x:v>23</x:v>
      </x:c>
      <x:c r="AG8" s="214"/>
      <x:c r="AI8" s="4"/>
    </x:row>
    <x:row r="9" spans="2:39" s="241" customFormat="1" ht="12" x14ac:dyDescent="0.25">
      <x:c r="B9" s="239">
        <x:v>1</x:v>
      </x:c>
      <x:c r="C9" s="240" t="s">
        <x:v>10</x:v>
      </x:c>
      <x:c r="D9" s="227">
        <x:f>'CONSOLIDADO_TOTAL RECAUDO'!D104</x:f>
        <x:v>0</x:v>
      </x:c>
      <x:c r="E9" s="228">
        <x:f>'CONSOLIDADO_TOTAL RECAUDO'!E104</x:f>
        <x:v>0</x:v>
      </x:c>
      <x:c r="F9" s="228">
        <x:f>'CONSOLIDADO_TOTAL RECAUDO'!F104</x:f>
        <x:v>0</x:v>
      </x:c>
      <x:c r="G9" s="228">
        <x:f>'CONSOLIDADO_TOTAL RECAUDO'!G104</x:f>
        <x:v>0</x:v>
      </x:c>
      <x:c r="H9" s="228">
        <x:f>'CONSOLIDADO_TOTAL RECAUDO'!H104</x:f>
        <x:v>0</x:v>
      </x:c>
      <x:c r="I9" s="228">
        <x:f>'CONSOLIDADO_TOTAL RECAUDO'!I104</x:f>
        <x:v>0</x:v>
      </x:c>
      <x:c r="J9" s="224">
        <x:f>'CONSOLIDADO_TOTAL RECAUDO'!J104</x:f>
        <x:v>0</x:v>
      </x:c>
      <x:c r="K9" s="229">
        <x:f>'CONSOLIDADO_TOTAL RECAUDO'!K104</x:f>
        <x:v>0</x:v>
      </x:c>
      <x:c r="L9" s="230">
        <x:f>'CONSOLIDADO_TOTAL RECAUDO'!L104</x:f>
        <x:v>189185987</x:v>
      </x:c>
      <x:c r="M9" s="229">
        <x:f>'CONSOLIDADO_TOTAL RECAUDO'!M104</x:f>
        <x:v>-189185987</x:v>
      </x:c>
      <x:c r="N9" s="230">
        <x:f>'CONSOLIDADO_TOTAL RECAUDO'!N104</x:f>
        <x:v>0</x:v>
      </x:c>
      <x:c r="O9" s="229">
        <x:f>'CONSOLIDADO_TOTAL RECAUDO'!O104</x:f>
        <x:v>-189185987</x:v>
      </x:c>
      <x:c r="Q9" s="242"/>
      <x:c r="S9" s="239">
        <x:v>1</x:v>
      </x:c>
      <x:c r="T9" s="240" t="s">
        <x:v>10</x:v>
      </x:c>
      <x:c r="U9" s="243">
        <x:f>'CONSOLIDADO_TOTAL RECAUDO'!U104</x:f>
        <x:v>0</x:v>
      </x:c>
      <x:c r="V9" s="244">
        <x:f>'CONSOLIDADO_TOTAL RECAUDO'!V104</x:f>
        <x:v>0</x:v>
      </x:c>
      <x:c r="W9" s="244">
        <x:f>'CONSOLIDADO_TOTAL RECAUDO'!W104</x:f>
        <x:v>0</x:v>
      </x:c>
      <x:c r="X9" s="244">
        <x:f>'CONSOLIDADO_TOTAL RECAUDO'!X104</x:f>
        <x:v>0</x:v>
      </x:c>
      <x:c r="Y9" s="245">
        <x:f>'CONSOLIDADO_TOTAL RECAUDO'!Y104</x:f>
        <x:v>0</x:v>
      </x:c>
      <x:c r="Z9" s="246">
        <x:f>'CONSOLIDADO_TOTAL RECAUDO'!Z104</x:f>
        <x:v>-189185987</x:v>
      </x:c>
      <x:c r="AA9" s="247">
        <x:f>'CONSOLIDADO_TOTAL RECAUDO'!AA104</x:f>
        <x:v>0</x:v>
      </x:c>
      <x:c r="AB9" s="230">
        <x:f>'CONSOLIDADO_TOTAL RECAUDO'!AB104</x:f>
        <x:v>0</x:v>
      </x:c>
      <x:c r="AC9" s="247">
        <x:f>'CONSOLIDADO_TOTAL RECAUDO'!AC104</x:f>
        <x:v>0</x:v>
      </x:c>
      <x:c r="AD9" s="227">
        <x:f>'CONSOLIDADO_TOTAL RECAUDO'!AD104</x:f>
        <x:v>0</x:v>
      </x:c>
      <x:c r="AE9" s="227">
        <x:f>'CONSOLIDADO_TOTAL RECAUDO'!AE104</x:f>
        <x:v>0</x:v>
      </x:c>
      <x:c r="AF9" s="249">
        <x:f>'CONSOLIDADO_TOTAL RECAUDO'!AF104</x:f>
        <x:v>-189185987</x:v>
      </x:c>
      <x:c r="AG9" s="439">
        <x:f>'CONSOLIDADO_TOTAL RECAUDO'!AG104</x:f>
        <x:v>0</x:v>
      </x:c>
      <x:c r="AH9" s="1" t="s">
        <x:v>1</x:v>
      </x:c>
      <x:c r="AI9" s="242"/>
      <x:c r="AM9" s="269"/>
    </x:row>
    <x:row r="10" spans="2:39" s="241" customFormat="1" ht="12" x14ac:dyDescent="0.25">
      <x:c r="B10" s="250">
        <x:v>2</x:v>
      </x:c>
      <x:c r="C10" s="251" t="s">
        <x:v>11</x:v>
      </x:c>
      <x:c r="D10" s="227">
        <x:f>'CONSOLIDADO_TOTAL RECAUDO'!D105</x:f>
        <x:v>0</x:v>
      </x:c>
      <x:c r="E10" s="228">
        <x:f>'CONSOLIDADO_TOTAL RECAUDO'!E105</x:f>
        <x:v>0</x:v>
      </x:c>
      <x:c r="F10" s="228">
        <x:f>'CONSOLIDADO_TOTAL RECAUDO'!F105</x:f>
        <x:v>0</x:v>
      </x:c>
      <x:c r="G10" s="228">
        <x:f>'CONSOLIDADO_TOTAL RECAUDO'!G105</x:f>
        <x:v>0</x:v>
      </x:c>
      <x:c r="H10" s="228">
        <x:f>'CONSOLIDADO_TOTAL RECAUDO'!H105</x:f>
        <x:v>0</x:v>
      </x:c>
      <x:c r="I10" s="228">
        <x:f>'CONSOLIDADO_TOTAL RECAUDO'!I105</x:f>
        <x:v>0</x:v>
      </x:c>
      <x:c r="J10" s="224">
        <x:f>'CONSOLIDADO_TOTAL RECAUDO'!J105</x:f>
        <x:v>0</x:v>
      </x:c>
      <x:c r="K10" s="231">
        <x:f>'CONSOLIDADO_TOTAL RECAUDO'!K105</x:f>
        <x:v>0</x:v>
      </x:c>
      <x:c r="L10" s="230">
        <x:f>'CONSOLIDADO_TOTAL RECAUDO'!L105</x:f>
        <x:v>266580255</x:v>
      </x:c>
      <x:c r="M10" s="231">
        <x:f>'CONSOLIDADO_TOTAL RECAUDO'!M105</x:f>
        <x:v>-266580255</x:v>
      </x:c>
      <x:c r="N10" s="230">
        <x:f>'CONSOLIDADO_TOTAL RECAUDO'!N105</x:f>
        <x:v>0</x:v>
      </x:c>
      <x:c r="O10" s="231">
        <x:f>'CONSOLIDADO_TOTAL RECAUDO'!O105</x:f>
        <x:v>-266580255</x:v>
      </x:c>
      <x:c r="Q10" s="242"/>
      <x:c r="S10" s="250">
        <x:v>2</x:v>
      </x:c>
      <x:c r="T10" s="251" t="s">
        <x:v>11</x:v>
      </x:c>
      <x:c r="U10" s="252">
        <x:f>'CONSOLIDADO_TOTAL RECAUDO'!U105</x:f>
        <x:v>0</x:v>
      </x:c>
      <x:c r="V10" s="253">
        <x:f>'CONSOLIDADO_TOTAL RECAUDO'!V105</x:f>
        <x:v>0</x:v>
      </x:c>
      <x:c r="W10" s="253">
        <x:f>'CONSOLIDADO_TOTAL RECAUDO'!W105</x:f>
        <x:v>0</x:v>
      </x:c>
      <x:c r="X10" s="253">
        <x:f>'CONSOLIDADO_TOTAL RECAUDO'!X105</x:f>
        <x:v>0</x:v>
      </x:c>
      <x:c r="Y10" s="254">
        <x:f>'CONSOLIDADO_TOTAL RECAUDO'!Y105</x:f>
        <x:v>0</x:v>
      </x:c>
      <x:c r="Z10" s="255">
        <x:f>'CONSOLIDADO_TOTAL RECAUDO'!Z105</x:f>
        <x:v>-266580255</x:v>
      </x:c>
      <x:c r="AA10" s="256">
        <x:f>'CONSOLIDADO_TOTAL RECAUDO'!AA105</x:f>
        <x:v>0</x:v>
      </x:c>
      <x:c r="AB10" s="230">
        <x:f>'CONSOLIDADO_TOTAL RECAUDO'!AB105</x:f>
        <x:v>0</x:v>
      </x:c>
      <x:c r="AC10" s="256">
        <x:f>'CONSOLIDADO_TOTAL RECAUDO'!AC105</x:f>
        <x:v>0</x:v>
      </x:c>
      <x:c r="AD10" s="227">
        <x:f>'CONSOLIDADO_TOTAL RECAUDO'!AD105</x:f>
        <x:v>0</x:v>
      </x:c>
      <x:c r="AE10" s="227">
        <x:f>'CONSOLIDADO_TOTAL RECAUDO'!AE105</x:f>
        <x:v>0</x:v>
      </x:c>
      <x:c r="AF10" s="258">
        <x:f>'CONSOLIDADO_TOTAL RECAUDO'!AF105</x:f>
        <x:v>-266580255</x:v>
      </x:c>
      <x:c r="AG10" s="440">
        <x:f>'CONSOLIDADO_TOTAL RECAUDO'!AG105</x:f>
        <x:v>0</x:v>
      </x:c>
      <x:c r="AH10" s="1" t="s">
        <x:v>1</x:v>
      </x:c>
      <x:c r="AI10" s="242"/>
      <x:c r="AM10" s="269"/>
    </x:row>
    <x:row r="11" spans="2:39" s="241" customFormat="1" ht="12" x14ac:dyDescent="0.25">
      <x:c r="B11" s="250">
        <x:v>3</x:v>
      </x:c>
      <x:c r="C11" s="251" t="s">
        <x:v>12</x:v>
      </x:c>
      <x:c r="D11" s="227">
        <x:f>'CONSOLIDADO_TOTAL RECAUDO'!D106</x:f>
        <x:v>0</x:v>
      </x:c>
      <x:c r="E11" s="228">
        <x:f>'CONSOLIDADO_TOTAL RECAUDO'!E106</x:f>
        <x:v>0</x:v>
      </x:c>
      <x:c r="F11" s="228">
        <x:f>'CONSOLIDADO_TOTAL RECAUDO'!F106</x:f>
        <x:v>0</x:v>
      </x:c>
      <x:c r="G11" s="228">
        <x:f>'CONSOLIDADO_TOTAL RECAUDO'!G106</x:f>
        <x:v>0</x:v>
      </x:c>
      <x:c r="H11" s="228">
        <x:f>'CONSOLIDADO_TOTAL RECAUDO'!H106</x:f>
        <x:v>0</x:v>
      </x:c>
      <x:c r="I11" s="228">
        <x:f>'CONSOLIDADO_TOTAL RECAUDO'!I106</x:f>
        <x:v>0</x:v>
      </x:c>
      <x:c r="J11" s="224">
        <x:f>'CONSOLIDADO_TOTAL RECAUDO'!J106</x:f>
        <x:v>0</x:v>
      </x:c>
      <x:c r="K11" s="231">
        <x:f>'CONSOLIDADO_TOTAL RECAUDO'!K106</x:f>
        <x:v>0</x:v>
      </x:c>
      <x:c r="L11" s="230">
        <x:f>'CONSOLIDADO_TOTAL RECAUDO'!L106</x:f>
        <x:v>154788535</x:v>
      </x:c>
      <x:c r="M11" s="231">
        <x:f>'CONSOLIDADO_TOTAL RECAUDO'!M106</x:f>
        <x:v>-154788535</x:v>
      </x:c>
      <x:c r="N11" s="230">
        <x:f>'CONSOLIDADO_TOTAL RECAUDO'!N106</x:f>
        <x:v>0</x:v>
      </x:c>
      <x:c r="O11" s="231">
        <x:f>'CONSOLIDADO_TOTAL RECAUDO'!O106</x:f>
        <x:v>-154788535</x:v>
      </x:c>
      <x:c r="Q11" s="242"/>
      <x:c r="S11" s="250">
        <x:v>3</x:v>
      </x:c>
      <x:c r="T11" s="251" t="s">
        <x:v>12</x:v>
      </x:c>
      <x:c r="U11" s="252">
        <x:f>'CONSOLIDADO_TOTAL RECAUDO'!U106</x:f>
        <x:v>0</x:v>
      </x:c>
      <x:c r="V11" s="253">
        <x:f>'CONSOLIDADO_TOTAL RECAUDO'!V106</x:f>
        <x:v>0</x:v>
      </x:c>
      <x:c r="W11" s="253">
        <x:f>'CONSOLIDADO_TOTAL RECAUDO'!W106</x:f>
        <x:v>0</x:v>
      </x:c>
      <x:c r="X11" s="253">
        <x:f>'CONSOLIDADO_TOTAL RECAUDO'!X106</x:f>
        <x:v>0</x:v>
      </x:c>
      <x:c r="Y11" s="254">
        <x:f>'CONSOLIDADO_TOTAL RECAUDO'!Y106</x:f>
        <x:v>0</x:v>
      </x:c>
      <x:c r="Z11" s="255">
        <x:f>'CONSOLIDADO_TOTAL RECAUDO'!Z106</x:f>
        <x:v>-154788535</x:v>
      </x:c>
      <x:c r="AA11" s="256">
        <x:f>'CONSOLIDADO_TOTAL RECAUDO'!AA106</x:f>
        <x:v>0</x:v>
      </x:c>
      <x:c r="AB11" s="230">
        <x:f>'CONSOLIDADO_TOTAL RECAUDO'!AB106</x:f>
        <x:v>0</x:v>
      </x:c>
      <x:c r="AC11" s="256">
        <x:f>'CONSOLIDADO_TOTAL RECAUDO'!AC106</x:f>
        <x:v>0</x:v>
      </x:c>
      <x:c r="AD11" s="227">
        <x:f>'CONSOLIDADO_TOTAL RECAUDO'!AD106</x:f>
        <x:v>0</x:v>
      </x:c>
      <x:c r="AE11" s="227">
        <x:f>'CONSOLIDADO_TOTAL RECAUDO'!AE106</x:f>
        <x:v>0</x:v>
      </x:c>
      <x:c r="AF11" s="258">
        <x:f>'CONSOLIDADO_TOTAL RECAUDO'!AF106</x:f>
        <x:v>-154788535</x:v>
      </x:c>
      <x:c r="AG11" s="440">
        <x:f>'CONSOLIDADO_TOTAL RECAUDO'!AG106</x:f>
        <x:v>0</x:v>
      </x:c>
      <x:c r="AH11" s="1" t="s">
        <x:v>1</x:v>
      </x:c>
      <x:c r="AI11" s="242"/>
      <x:c r="AM11" s="269"/>
    </x:row>
    <x:row r="12" spans="2:39" s="241" customFormat="1" ht="12" x14ac:dyDescent="0.25">
      <x:c r="B12" s="250">
        <x:v>4</x:v>
      </x:c>
      <x:c r="C12" s="251" t="s">
        <x:v>13</x:v>
      </x:c>
      <x:c r="D12" s="227">
        <x:f>'CONSOLIDADO_TOTAL RECAUDO'!D107</x:f>
        <x:v>0</x:v>
      </x:c>
      <x:c r="E12" s="228">
        <x:f>'CONSOLIDADO_TOTAL RECAUDO'!E107</x:f>
        <x:v>0</x:v>
      </x:c>
      <x:c r="F12" s="228">
        <x:f>'CONSOLIDADO_TOTAL RECAUDO'!F107</x:f>
        <x:v>0</x:v>
      </x:c>
      <x:c r="G12" s="228">
        <x:f>'CONSOLIDADO_TOTAL RECAUDO'!G107</x:f>
        <x:v>0</x:v>
      </x:c>
      <x:c r="H12" s="228">
        <x:f>'CONSOLIDADO_TOTAL RECAUDO'!H107</x:f>
        <x:v>0</x:v>
      </x:c>
      <x:c r="I12" s="228">
        <x:f>'CONSOLIDADO_TOTAL RECAUDO'!I107</x:f>
        <x:v>0</x:v>
      </x:c>
      <x:c r="J12" s="224">
        <x:f>'CONSOLIDADO_TOTAL RECAUDO'!J107</x:f>
        <x:v>0</x:v>
      </x:c>
      <x:c r="K12" s="231">
        <x:f>'CONSOLIDADO_TOTAL RECAUDO'!K107</x:f>
        <x:v>0</x:v>
      </x:c>
      <x:c r="L12" s="230">
        <x:f>'CONSOLIDADO_TOTAL RECAUDO'!L107</x:f>
        <x:v>120391083</x:v>
      </x:c>
      <x:c r="M12" s="231">
        <x:f>'CONSOLIDADO_TOTAL RECAUDO'!M107</x:f>
        <x:v>-120391083</x:v>
      </x:c>
      <x:c r="N12" s="230">
        <x:f>'CONSOLIDADO_TOTAL RECAUDO'!N107</x:f>
        <x:v>0</x:v>
      </x:c>
      <x:c r="O12" s="231">
        <x:f>'CONSOLIDADO_TOTAL RECAUDO'!O107</x:f>
        <x:v>-120391083</x:v>
      </x:c>
      <x:c r="Q12" s="242"/>
      <x:c r="S12" s="250">
        <x:v>4</x:v>
      </x:c>
      <x:c r="T12" s="251" t="s">
        <x:v>13</x:v>
      </x:c>
      <x:c r="U12" s="252">
        <x:f>'CONSOLIDADO_TOTAL RECAUDO'!U107</x:f>
        <x:v>0</x:v>
      </x:c>
      <x:c r="V12" s="253">
        <x:f>'CONSOLIDADO_TOTAL RECAUDO'!V107</x:f>
        <x:v>0</x:v>
      </x:c>
      <x:c r="W12" s="253">
        <x:f>'CONSOLIDADO_TOTAL RECAUDO'!W107</x:f>
        <x:v>0</x:v>
      </x:c>
      <x:c r="X12" s="253">
        <x:f>'CONSOLIDADO_TOTAL RECAUDO'!X107</x:f>
        <x:v>0</x:v>
      </x:c>
      <x:c r="Y12" s="254">
        <x:f>'CONSOLIDADO_TOTAL RECAUDO'!Y107</x:f>
        <x:v>0</x:v>
      </x:c>
      <x:c r="Z12" s="255">
        <x:f>'CONSOLIDADO_TOTAL RECAUDO'!Z107</x:f>
        <x:v>-120391083</x:v>
      </x:c>
      <x:c r="AA12" s="256">
        <x:f>'CONSOLIDADO_TOTAL RECAUDO'!AA107</x:f>
        <x:v>0</x:v>
      </x:c>
      <x:c r="AB12" s="230">
        <x:f>'CONSOLIDADO_TOTAL RECAUDO'!AB107</x:f>
        <x:v>0</x:v>
      </x:c>
      <x:c r="AC12" s="256">
        <x:f>'CONSOLIDADO_TOTAL RECAUDO'!AC107</x:f>
        <x:v>0</x:v>
      </x:c>
      <x:c r="AD12" s="227">
        <x:f>'CONSOLIDADO_TOTAL RECAUDO'!AD107</x:f>
        <x:v>0</x:v>
      </x:c>
      <x:c r="AE12" s="227">
        <x:f>'CONSOLIDADO_TOTAL RECAUDO'!AE107</x:f>
        <x:v>0</x:v>
      </x:c>
      <x:c r="AF12" s="258">
        <x:f>'CONSOLIDADO_TOTAL RECAUDO'!AF107</x:f>
        <x:v>-120391083</x:v>
      </x:c>
      <x:c r="AG12" s="440">
        <x:f>'CONSOLIDADO_TOTAL RECAUDO'!AG107</x:f>
        <x:v>0</x:v>
      </x:c>
      <x:c r="AH12" s="1" t="s">
        <x:v>1</x:v>
      </x:c>
      <x:c r="AI12" s="242"/>
      <x:c r="AM12" s="269"/>
    </x:row>
    <x:row r="13" spans="2:39" s="241" customFormat="1" ht="12.6" thickBot="1" x14ac:dyDescent="0.3">
      <x:c r="B13" s="260">
        <x:v>5</x:v>
      </x:c>
      <x:c r="C13" s="261" t="s">
        <x:v>14</x:v>
      </x:c>
      <x:c r="D13" s="232">
        <x:f>'CONSOLIDADO_TOTAL RECAUDO'!D108</x:f>
        <x:v>0</x:v>
      </x:c>
      <x:c r="E13" s="233">
        <x:f>'CONSOLIDADO_TOTAL RECAUDO'!E108</x:f>
        <x:v>0</x:v>
      </x:c>
      <x:c r="F13" s="233">
        <x:f>'CONSOLIDADO_TOTAL RECAUDO'!F108</x:f>
        <x:v>0</x:v>
      </x:c>
      <x:c r="G13" s="233">
        <x:f>'CONSOLIDADO_TOTAL RECAUDO'!G108</x:f>
        <x:v>0</x:v>
      </x:c>
      <x:c r="H13" s="233">
        <x:f>'CONSOLIDADO_TOTAL RECAUDO'!H108</x:f>
        <x:v>0</x:v>
      </x:c>
      <x:c r="I13" s="233">
        <x:f>'CONSOLIDADO_TOTAL RECAUDO'!I108</x:f>
        <x:v>0</x:v>
      </x:c>
      <x:c r="J13" s="225">
        <x:f>'CONSOLIDADO_TOTAL RECAUDO'!J108</x:f>
        <x:v>0</x:v>
      </x:c>
      <x:c r="K13" s="231">
        <x:f>'CONSOLIDADO_TOTAL RECAUDO'!K108</x:f>
        <x:v>0</x:v>
      </x:c>
      <x:c r="L13" s="230">
        <x:f>'CONSOLIDADO_TOTAL RECAUDO'!L108</x:f>
        <x:v>128990445</x:v>
      </x:c>
      <x:c r="M13" s="234">
        <x:f>'CONSOLIDADO_TOTAL RECAUDO'!M108</x:f>
        <x:v>-128990445</x:v>
      </x:c>
      <x:c r="N13" s="235">
        <x:f>'CONSOLIDADO_TOTAL RECAUDO'!N108</x:f>
        <x:v>0</x:v>
      </x:c>
      <x:c r="O13" s="234">
        <x:f>'CONSOLIDADO_TOTAL RECAUDO'!O108</x:f>
        <x:v>-128990445</x:v>
      </x:c>
      <x:c r="Q13" s="242"/>
      <x:c r="S13" s="260">
        <x:v>5</x:v>
      </x:c>
      <x:c r="T13" s="261" t="s">
        <x:v>14</x:v>
      </x:c>
      <x:c r="U13" s="232">
        <x:f>'CONSOLIDADO_TOTAL RECAUDO'!U108</x:f>
        <x:v>0</x:v>
      </x:c>
      <x:c r="V13" s="233">
        <x:f>'CONSOLIDADO_TOTAL RECAUDO'!V108</x:f>
        <x:v>0</x:v>
      </x:c>
      <x:c r="W13" s="233">
        <x:f>'CONSOLIDADO_TOTAL RECAUDO'!W108</x:f>
        <x:v>0</x:v>
      </x:c>
      <x:c r="X13" s="233">
        <x:f>'CONSOLIDADO_TOTAL RECAUDO'!X108</x:f>
        <x:v>0</x:v>
      </x:c>
      <x:c r="Y13" s="225">
        <x:f>'CONSOLIDADO_TOTAL RECAUDO'!Y108</x:f>
        <x:v>0</x:v>
      </x:c>
      <x:c r="Z13" s="255">
        <x:f>'CONSOLIDADO_TOTAL RECAUDO'!Z108</x:f>
        <x:v>-128990445</x:v>
      </x:c>
      <x:c r="AA13" s="256">
        <x:f>'CONSOLIDADO_TOTAL RECAUDO'!AA108</x:f>
        <x:v>0</x:v>
      </x:c>
      <x:c r="AB13" s="230">
        <x:f>'CONSOLIDADO_TOTAL RECAUDO'!AB108</x:f>
        <x:v>0</x:v>
      </x:c>
      <x:c r="AC13" s="256">
        <x:f>'CONSOLIDADO_TOTAL RECAUDO'!AC108</x:f>
        <x:v>0</x:v>
      </x:c>
      <x:c r="AD13" s="227">
        <x:f>'CONSOLIDADO_TOTAL RECAUDO'!AD108</x:f>
        <x:v>0</x:v>
      </x:c>
      <x:c r="AE13" s="227">
        <x:f>'CONSOLIDADO_TOTAL RECAUDO'!AE108</x:f>
        <x:v>0</x:v>
      </x:c>
      <x:c r="AF13" s="258">
        <x:f>'CONSOLIDADO_TOTAL RECAUDO'!AF108</x:f>
        <x:v>-128990445</x:v>
      </x:c>
      <x:c r="AG13" s="441">
        <x:f>'CONSOLIDADO_TOTAL RECAUDO'!AG108</x:f>
        <x:v>0</x:v>
      </x:c>
      <x:c r="AH13" s="1" t="s">
        <x:v>1</x:v>
      </x:c>
      <x:c r="AI13" s="242"/>
      <x:c r="AM13" s="269"/>
    </x:row>
    <x:row r="14" spans="2:39" s="241" customFormat="1" ht="13.8" thickBot="1" x14ac:dyDescent="0.3">
      <x:c r="B14" s="263"/>
      <x:c r="C14" s="264" t="s">
        <x:v>2</x:v>
      </x:c>
      <x:c r="D14" s="226">
        <x:f>'CONSOLIDADO_TOTAL RECAUDO'!D109</x:f>
        <x:v>0</x:v>
      </x:c>
      <x:c r="E14" s="226">
        <x:f>'CONSOLIDADO_TOTAL RECAUDO'!E109</x:f>
        <x:v>0</x:v>
      </x:c>
      <x:c r="F14" s="226">
        <x:f>'CONSOLIDADO_TOTAL RECAUDO'!F109</x:f>
        <x:v>0</x:v>
      </x:c>
      <x:c r="G14" s="226">
        <x:f>'CONSOLIDADO_TOTAL RECAUDO'!G109</x:f>
        <x:v>0</x:v>
      </x:c>
      <x:c r="H14" s="226">
        <x:f>'CONSOLIDADO_TOTAL RECAUDO'!H109</x:f>
        <x:v>0</x:v>
      </x:c>
      <x:c r="I14" s="226">
        <x:f>'CONSOLIDADO_TOTAL RECAUDO'!I109</x:f>
        <x:v>0</x:v>
      </x:c>
      <x:c r="J14" s="226">
        <x:f>'CONSOLIDADO_TOTAL RECAUDO'!J109</x:f>
        <x:v>0</x:v>
      </x:c>
      <x:c r="K14" s="236">
        <x:f>'CONSOLIDADO_TOTAL RECAUDO'!K109</x:f>
        <x:v>0</x:v>
      </x:c>
      <x:c r="L14" s="237">
        <x:f>'CONSOLIDADO_TOTAL RECAUDO'!L109</x:f>
        <x:v>859936305</x:v>
      </x:c>
      <x:c r="M14" s="238">
        <x:f>'CONSOLIDADO_TOTAL RECAUDO'!M109</x:f>
        <x:v>-859936305</x:v>
      </x:c>
      <x:c r="N14" s="237">
        <x:f>'CONSOLIDADO_TOTAL RECAUDO'!N109</x:f>
        <x:v>0</x:v>
      </x:c>
      <x:c r="O14" s="238">
        <x:f>'CONSOLIDADO_TOTAL RECAUDO'!O109</x:f>
        <x:v>-859936305</x:v>
      </x:c>
      <x:c r="P14" s="265"/>
      <x:c r="Q14" s="242"/>
      <x:c r="S14" s="263"/>
      <x:c r="T14" s="264" t="s">
        <x:v>2</x:v>
      </x:c>
      <x:c r="U14" s="266">
        <x:f>'CONSOLIDADO_TOTAL RECAUDO'!U109</x:f>
        <x:v>0</x:v>
      </x:c>
      <x:c r="V14" s="266">
        <x:f>'CONSOLIDADO_TOTAL RECAUDO'!V109</x:f>
        <x:v>0</x:v>
      </x:c>
      <x:c r="W14" s="266">
        <x:f>'CONSOLIDADO_TOTAL RECAUDO'!W109</x:f>
        <x:v>0</x:v>
      </x:c>
      <x:c r="X14" s="266">
        <x:f>'CONSOLIDADO_TOTAL RECAUDO'!X109</x:f>
        <x:v>0</x:v>
      </x:c>
      <x:c r="Y14" s="266">
        <x:f>'CONSOLIDADO_TOTAL RECAUDO'!Y109</x:f>
        <x:v>0</x:v>
      </x:c>
      <x:c r="Z14" s="226">
        <x:f>'CONSOLIDADO_TOTAL RECAUDO'!Z109</x:f>
        <x:v>-859936305</x:v>
      </x:c>
      <x:c r="AA14" s="226">
        <x:f>'CONSOLIDADO_TOTAL RECAUDO'!AA109</x:f>
        <x:v>0</x:v>
      </x:c>
      <x:c r="AB14" s="226">
        <x:f>'CONSOLIDADO_TOTAL RECAUDO'!AB109</x:f>
        <x:v>0</x:v>
      </x:c>
      <x:c r="AC14" s="226">
        <x:f>'CONSOLIDADO_TOTAL RECAUDO'!AC109</x:f>
        <x:v>0</x:v>
      </x:c>
      <x:c r="AD14" s="226">
        <x:f>'CONSOLIDADO_TOTAL RECAUDO'!AD109</x:f>
        <x:v>0</x:v>
      </x:c>
      <x:c r="AE14" s="226">
        <x:f>'CONSOLIDADO_TOTAL RECAUDO'!AE109</x:f>
        <x:v>0</x:v>
      </x:c>
      <x:c r="AF14" s="267">
        <x:f>'CONSOLIDADO_TOTAL RECAUDO'!AF109</x:f>
        <x:v>-859936305</x:v>
      </x:c>
      <x:c r="AG14" s="442">
        <x:f>'CONSOLIDADO_TOTAL RECAUDO'!AG109</x:f>
        <x:v>0</x:v>
      </x:c>
      <x:c r="AH14" s="1" t="s">
        <x:v>1</x:v>
      </x:c>
      <x:c r="AI14" s="242"/>
      <x:c r="AM14" s="269"/>
    </x:row>
    <x:row r="15" spans="2:39" ht="12" x14ac:dyDescent="0.25">
      <x:c r="B15" s="2"/>
      <x:c r="C15" s="2"/>
      <x:c r="D15" s="374"/>
      <x:c r="E15" s="374"/>
      <x:c r="F15" s="374"/>
      <x:c r="G15" s="374"/>
      <x:c r="H15" s="374"/>
      <x:c r="I15" s="374"/>
      <x:c r="K15" s="374"/>
      <x:c r="L15" s="374"/>
      <x:c r="M15" s="374"/>
      <x:c r="N15" s="374"/>
      <x:c r="O15" s="374"/>
      <x:c r="Q15" s="4"/>
      <x:c r="S15" s="2"/>
      <x:c r="T15" s="2"/>
      <x:c r="U15" s="374"/>
      <x:c r="V15" s="374"/>
      <x:c r="W15" s="374"/>
      <x:c r="X15" s="374"/>
      <x:c r="Y15" s="374"/>
      <x:c r="AF15" s="374"/>
      <x:c r="AH15" s="1" t="s">
        <x:v>1</x:v>
      </x:c>
      <x:c r="AI15" s="4"/>
    </x:row>
    <x:row r="16" spans="2:39" ht="12" x14ac:dyDescent="0.25">
      <x:c r="B16" s="2"/>
      <x:c r="C16" s="2" t="s">
        <x:v>1</x:v>
      </x:c>
      <x:c r="D16" s="467"/>
      <x:c r="E16" s="467"/>
      <x:c r="F16" s="467"/>
      <x:c r="G16" s="467"/>
      <x:c r="H16" s="467"/>
      <x:c r="I16" s="467"/>
      <x:c r="K16" s="467"/>
      <x:c r="L16" s="467"/>
      <x:c r="M16" s="467"/>
      <x:c r="N16" s="467"/>
      <x:c r="O16" s="467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ht="12" x14ac:dyDescent="0.25">
      <x:c r="A17" s="4"/>
      <x:c r="B17" s="34"/>
      <x:c r="C17" s="34"/>
      <x:c r="D17" s="397"/>
      <x:c r="E17" s="397"/>
      <x:c r="F17" s="397"/>
      <x:c r="G17" s="397"/>
      <x:c r="H17" s="397"/>
      <x:c r="I17" s="397"/>
      <x:c r="J17" s="4"/>
      <x:c r="K17" s="397"/>
      <x:c r="L17" s="397"/>
      <x:c r="M17" s="397"/>
      <x:c r="N17" s="397"/>
      <x:c r="O17" s="397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" thickBot="1" x14ac:dyDescent="0.25">
      <x:c r="Q18" s="4"/>
      <x:c r="AI18" s="4"/>
    </x:row>
    <x:row r="19" spans="1:39" ht="12" x14ac:dyDescent="0.25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3.8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6" x14ac:dyDescent="0.3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3.8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6" x14ac:dyDescent="0.3">
      <x:c r="B23" s="8"/>
      <x:c r="C23" s="2"/>
      <x:c r="D23" s="9"/>
      <x:c r="F23" s="398" t="s">
        <x:v>186</x:v>
      </x:c>
      <x:c r="G23" s="398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6" thickBot="1" x14ac:dyDescent="0.3">
      <x:c r="B24" s="8"/>
      <x:c r="C24" s="2"/>
      <x:c r="D24" s="198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599999999999994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167</x:v>
      </x:c>
      <x:c r="AD25" s="114" t="s">
        <x:v>105</x:v>
      </x:c>
      <x:c r="AE25" s="114" t="s">
        <x:v>104</x:v>
      </x:c>
      <x:c r="AF25" s="39" t="s">
        <x:v>23</x:v>
      </x:c>
      <x:c r="AG25" s="13"/>
      <x:c r="AI25" s="4"/>
    </x:row>
    <x:row r="26" spans="1:39" s="241" customFormat="1" ht="12" x14ac:dyDescent="0.25">
      <x:c r="B26" s="239">
        <x:v>1</x:v>
      </x:c>
      <x:c r="C26" s="240" t="s">
        <x:v>10</x:v>
      </x:c>
      <x:c r="D26" s="227">
        <x:f>'REMUNERACION Reciprocidad EAAB'!D104</x:f>
        <x:v>0</x:v>
      </x:c>
      <x:c r="E26" s="228">
        <x:f>'REMUNERACION Reciprocidad EAAB'!E104</x:f>
        <x:v>0</x:v>
      </x:c>
      <x:c r="F26" s="228">
        <x:f>'REMUNERACION Reciprocidad EAAB'!F104</x:f>
        <x:v>0</x:v>
      </x:c>
      <x:c r="G26" s="228">
        <x:f>'REMUNERACION Reciprocidad EAAB'!G104</x:f>
        <x:v>0</x:v>
      </x:c>
      <x:c r="H26" s="228">
        <x:f>'REMUNERACION Reciprocidad EAAB'!H104</x:f>
        <x:v>0</x:v>
      </x:c>
      <x:c r="I26" s="228">
        <x:f>'REMUNERACION Reciprocidad EAAB'!I104</x:f>
        <x:v>0</x:v>
      </x:c>
      <x:c r="J26" s="224">
        <x:f>'REMUNERACION Reciprocidad EAAB'!J104</x:f>
        <x:v>0</x:v>
      </x:c>
      <x:c r="K26" s="229">
        <x:f>'REMUNERACION Reciprocidad EAAB'!K104</x:f>
        <x:v>0</x:v>
      </x:c>
      <x:c r="L26" s="230">
        <x:f>'REMUNERACION Reciprocidad EAAB'!L104</x:f>
        <x:v>0</x:v>
      </x:c>
      <x:c r="M26" s="229">
        <x:f>'REMUNERACION Reciprocidad EAAB'!M104</x:f>
        <x:v>0</x:v>
      </x:c>
      <x:c r="N26" s="230">
        <x:f>'REMUNERACION Reciprocidad EAAB'!N104</x:f>
        <x:v>0</x:v>
      </x:c>
      <x:c r="O26" s="229">
        <x:f>'REMUNERACION Reciprocidad EAAB'!O104</x:f>
        <x:v>0</x:v>
      </x:c>
      <x:c r="Q26" s="242"/>
      <x:c r="S26" s="239">
        <x:v>1</x:v>
      </x:c>
      <x:c r="T26" s="240" t="s">
        <x:v>10</x:v>
      </x:c>
      <x:c r="U26" s="243">
        <x:f>'REMUNERACION Reciprocidad EAAB'!U104</x:f>
        <x:v>0</x:v>
      </x:c>
      <x:c r="V26" s="244">
        <x:f>'REMUNERACION Reciprocidad EAAB'!V104</x:f>
        <x:v>0</x:v>
      </x:c>
      <x:c r="W26" s="244">
        <x:f>'REMUNERACION Reciprocidad EAAB'!W104</x:f>
        <x:v>0</x:v>
      </x:c>
      <x:c r="X26" s="244">
        <x:f>'REMUNERACION Reciprocidad EAAB'!X104</x:f>
        <x:v>0</x:v>
      </x:c>
      <x:c r="Y26" s="245">
        <x:f>'REMUNERACION Reciprocidad EAAB'!Y104</x:f>
        <x:v>0</x:v>
      </x:c>
      <x:c r="Z26" s="246">
        <x:f>'REMUNERACION Reciprocidad EAAB'!Z104</x:f>
        <x:v>0</x:v>
      </x:c>
      <x:c r="AA26" s="247">
        <x:f>'REMUNERACION Reciprocidad EAAB'!AA104</x:f>
        <x:v>0</x:v>
      </x:c>
      <x:c r="AB26" s="230">
        <x:f>'REMUNERACION Reciprocidad EAAB'!AB104</x:f>
        <x:v>0</x:v>
      </x:c>
      <x:c r="AC26" s="247">
        <x:f>'REMUNERACION Reciprocidad EAAB'!AC104</x:f>
        <x:v>0</x:v>
      </x:c>
      <x:c r="AD26" s="227">
        <x:f>'REMUNERACION Reciprocidad EAAB'!AD104</x:f>
        <x:v>0</x:v>
      </x:c>
      <x:c r="AE26" s="227">
        <x:f>'REMUNERACION Reciprocidad EAAB'!AE104</x:f>
        <x:v>0</x:v>
      </x:c>
      <x:c r="AF26" s="249">
        <x:f>'REMUNERACION Reciprocidad EAAB'!AF104</x:f>
        <x:v>0</x:v>
      </x:c>
      <x:c r="AG26" s="439">
        <x:f>'REMUNERACION Reciprocidad EAAB'!AG104</x:f>
        <x:v>0</x:v>
      </x:c>
      <x:c r="AH26" s="1"/>
      <x:c r="AI26" s="242"/>
      <x:c r="AM26" s="269"/>
    </x:row>
    <x:row r="27" spans="1:39" s="241" customFormat="1" ht="12" x14ac:dyDescent="0.25">
      <x:c r="B27" s="250">
        <x:v>2</x:v>
      </x:c>
      <x:c r="C27" s="251" t="s">
        <x:v>11</x:v>
      </x:c>
      <x:c r="D27" s="227">
        <x:f>'REMUNERACION Reciprocidad EAAB'!D105</x:f>
        <x:v>0</x:v>
      </x:c>
      <x:c r="E27" s="228">
        <x:f>'REMUNERACION Reciprocidad EAAB'!E105</x:f>
        <x:v>0</x:v>
      </x:c>
      <x:c r="F27" s="228">
        <x:f>'REMUNERACION Reciprocidad EAAB'!F105</x:f>
        <x:v>0</x:v>
      </x:c>
      <x:c r="G27" s="228">
        <x:f>'REMUNERACION Reciprocidad EAAB'!G105</x:f>
        <x:v>0</x:v>
      </x:c>
      <x:c r="H27" s="228">
        <x:f>'REMUNERACION Reciprocidad EAAB'!H105</x:f>
        <x:v>0</x:v>
      </x:c>
      <x:c r="I27" s="228">
        <x:f>'REMUNERACION Reciprocidad EAAB'!I105</x:f>
        <x:v>0</x:v>
      </x:c>
      <x:c r="J27" s="224">
        <x:f>'REMUNERACION Reciprocidad EAAB'!J105</x:f>
        <x:v>0</x:v>
      </x:c>
      <x:c r="K27" s="231">
        <x:f>'REMUNERACION Reciprocidad EAAB'!K105</x:f>
        <x:v>0</x:v>
      </x:c>
      <x:c r="L27" s="230">
        <x:f>'REMUNERACION Reciprocidad EAAB'!L105</x:f>
        <x:v>0</x:v>
      </x:c>
      <x:c r="M27" s="231">
        <x:f>'REMUNERACION Reciprocidad EAAB'!M105</x:f>
        <x:v>0</x:v>
      </x:c>
      <x:c r="N27" s="230">
        <x:f>'REMUNERACION Reciprocidad EAAB'!N105</x:f>
        <x:v>0</x:v>
      </x:c>
      <x:c r="O27" s="231">
        <x:f>'REMUNERACION Reciprocidad EAAB'!O105</x:f>
        <x:v>0</x:v>
      </x:c>
      <x:c r="Q27" s="242"/>
      <x:c r="S27" s="250">
        <x:v>2</x:v>
      </x:c>
      <x:c r="T27" s="251" t="s">
        <x:v>11</x:v>
      </x:c>
      <x:c r="U27" s="252">
        <x:f>'REMUNERACION Reciprocidad EAAB'!U105</x:f>
        <x:v>0</x:v>
      </x:c>
      <x:c r="V27" s="253">
        <x:f>'REMUNERACION Reciprocidad EAAB'!V105</x:f>
        <x:v>0</x:v>
      </x:c>
      <x:c r="W27" s="253">
        <x:f>'REMUNERACION Reciprocidad EAAB'!W105</x:f>
        <x:v>0</x:v>
      </x:c>
      <x:c r="X27" s="253">
        <x:f>'REMUNERACION Reciprocidad EAAB'!X105</x:f>
        <x:v>0</x:v>
      </x:c>
      <x:c r="Y27" s="254">
        <x:f>'REMUNERACION Reciprocidad EAAB'!Y105</x:f>
        <x:v>0</x:v>
      </x:c>
      <x:c r="Z27" s="255">
        <x:f>'REMUNERACION Reciprocidad EAAB'!Z105</x:f>
        <x:v>0</x:v>
      </x:c>
      <x:c r="AA27" s="256">
        <x:f>'REMUNERACION Reciprocidad EAAB'!AA105</x:f>
        <x:v>0</x:v>
      </x:c>
      <x:c r="AB27" s="230">
        <x:f>'REMUNERACION Reciprocidad EAAB'!AB105</x:f>
        <x:v>0</x:v>
      </x:c>
      <x:c r="AC27" s="256">
        <x:f>'REMUNERACION Reciprocidad EAAB'!AC105</x:f>
        <x:v>0</x:v>
      </x:c>
      <x:c r="AD27" s="227">
        <x:f>'REMUNERACION Reciprocidad EAAB'!AD105</x:f>
        <x:v>0</x:v>
      </x:c>
      <x:c r="AE27" s="227">
        <x:f>'REMUNERACION Reciprocidad EAAB'!AE105</x:f>
        <x:v>0</x:v>
      </x:c>
      <x:c r="AF27" s="258">
        <x:f>'REMUNERACION Reciprocidad EAAB'!AF105</x:f>
        <x:v>0</x:v>
      </x:c>
      <x:c r="AG27" s="440">
        <x:f>'REMUNERACION Reciprocidad EAAB'!AG105</x:f>
        <x:v>0</x:v>
      </x:c>
      <x:c r="AH27" s="1"/>
      <x:c r="AI27" s="242"/>
      <x:c r="AM27" s="269"/>
    </x:row>
    <x:row r="28" spans="1:39" s="241" customFormat="1" ht="12" x14ac:dyDescent="0.25">
      <x:c r="B28" s="250">
        <x:v>3</x:v>
      </x:c>
      <x:c r="C28" s="251" t="s">
        <x:v>12</x:v>
      </x:c>
      <x:c r="D28" s="227">
        <x:f>'REMUNERACION Reciprocidad EAAB'!D106</x:f>
        <x:v>0</x:v>
      </x:c>
      <x:c r="E28" s="228">
        <x:f>'REMUNERACION Reciprocidad EAAB'!E106</x:f>
        <x:v>0</x:v>
      </x:c>
      <x:c r="F28" s="228">
        <x:f>'REMUNERACION Reciprocidad EAAB'!F106</x:f>
        <x:v>0</x:v>
      </x:c>
      <x:c r="G28" s="228">
        <x:f>'REMUNERACION Reciprocidad EAAB'!G106</x:f>
        <x:v>0</x:v>
      </x:c>
      <x:c r="H28" s="228">
        <x:f>'REMUNERACION Reciprocidad EAAB'!H106</x:f>
        <x:v>0</x:v>
      </x:c>
      <x:c r="I28" s="228">
        <x:f>'REMUNERACION Reciprocidad EAAB'!I106</x:f>
        <x:v>0</x:v>
      </x:c>
      <x:c r="J28" s="224">
        <x:f>'REMUNERACION Reciprocidad EAAB'!J106</x:f>
        <x:v>0</x:v>
      </x:c>
      <x:c r="K28" s="231">
        <x:f>'REMUNERACION Reciprocidad EAAB'!K106</x:f>
        <x:v>0</x:v>
      </x:c>
      <x:c r="L28" s="230">
        <x:f>'REMUNERACION Reciprocidad EAAB'!L106</x:f>
        <x:v>0</x:v>
      </x:c>
      <x:c r="M28" s="231">
        <x:f>'REMUNERACION Reciprocidad EAAB'!M106</x:f>
        <x:v>0</x:v>
      </x:c>
      <x:c r="N28" s="230">
        <x:f>'REMUNERACION Reciprocidad EAAB'!N106</x:f>
        <x:v>0</x:v>
      </x:c>
      <x:c r="O28" s="231">
        <x:f>'REMUNERACION Reciprocidad EAAB'!O106</x:f>
        <x:v>0</x:v>
      </x:c>
      <x:c r="Q28" s="242"/>
      <x:c r="S28" s="250">
        <x:v>3</x:v>
      </x:c>
      <x:c r="T28" s="251" t="s">
        <x:v>12</x:v>
      </x:c>
      <x:c r="U28" s="252">
        <x:f>'REMUNERACION Reciprocidad EAAB'!U106</x:f>
        <x:v>0</x:v>
      </x:c>
      <x:c r="V28" s="253">
        <x:f>'REMUNERACION Reciprocidad EAAB'!V106</x:f>
        <x:v>0</x:v>
      </x:c>
      <x:c r="W28" s="253">
        <x:f>'REMUNERACION Reciprocidad EAAB'!W106</x:f>
        <x:v>0</x:v>
      </x:c>
      <x:c r="X28" s="253">
        <x:f>'REMUNERACION Reciprocidad EAAB'!X106</x:f>
        <x:v>0</x:v>
      </x:c>
      <x:c r="Y28" s="254">
        <x:f>'REMUNERACION Reciprocidad EAAB'!Y106</x:f>
        <x:v>0</x:v>
      </x:c>
      <x:c r="Z28" s="255">
        <x:f>'REMUNERACION Reciprocidad EAAB'!Z106</x:f>
        <x:v>0</x:v>
      </x:c>
      <x:c r="AA28" s="256">
        <x:f>'REMUNERACION Reciprocidad EAAB'!AA106</x:f>
        <x:v>0</x:v>
      </x:c>
      <x:c r="AB28" s="230">
        <x:f>'REMUNERACION Reciprocidad EAAB'!AB106</x:f>
        <x:v>0</x:v>
      </x:c>
      <x:c r="AC28" s="256">
        <x:f>'REMUNERACION Reciprocidad EAAB'!AC106</x:f>
        <x:v>0</x:v>
      </x:c>
      <x:c r="AD28" s="227">
        <x:f>'REMUNERACION Reciprocidad EAAB'!AD106</x:f>
        <x:v>0</x:v>
      </x:c>
      <x:c r="AE28" s="227">
        <x:f>'REMUNERACION Reciprocidad EAAB'!AE106</x:f>
        <x:v>0</x:v>
      </x:c>
      <x:c r="AF28" s="258">
        <x:f>'REMUNERACION Reciprocidad EAAB'!AF106</x:f>
        <x:v>0</x:v>
      </x:c>
      <x:c r="AG28" s="440">
        <x:f>'REMUNERACION Reciprocidad EAAB'!AG106</x:f>
        <x:v>0</x:v>
      </x:c>
      <x:c r="AH28" s="1"/>
      <x:c r="AI28" s="242"/>
      <x:c r="AM28" s="269"/>
    </x:row>
    <x:row r="29" spans="1:39" s="241" customFormat="1" ht="12" x14ac:dyDescent="0.25">
      <x:c r="B29" s="250">
        <x:v>4</x:v>
      </x:c>
      <x:c r="C29" s="251" t="s">
        <x:v>13</x:v>
      </x:c>
      <x:c r="D29" s="227">
        <x:f>'REMUNERACION Reciprocidad EAAB'!D107</x:f>
        <x:v>0</x:v>
      </x:c>
      <x:c r="E29" s="228">
        <x:f>'REMUNERACION Reciprocidad EAAB'!E107</x:f>
        <x:v>0</x:v>
      </x:c>
      <x:c r="F29" s="228">
        <x:f>'REMUNERACION Reciprocidad EAAB'!F107</x:f>
        <x:v>0</x:v>
      </x:c>
      <x:c r="G29" s="228">
        <x:f>'REMUNERACION Reciprocidad EAAB'!G107</x:f>
        <x:v>0</x:v>
      </x:c>
      <x:c r="H29" s="228">
        <x:f>'REMUNERACION Reciprocidad EAAB'!H107</x:f>
        <x:v>0</x:v>
      </x:c>
      <x:c r="I29" s="228">
        <x:f>'REMUNERACION Reciprocidad EAAB'!I107</x:f>
        <x:v>0</x:v>
      </x:c>
      <x:c r="J29" s="224">
        <x:f>'REMUNERACION Reciprocidad EAAB'!J107</x:f>
        <x:v>0</x:v>
      </x:c>
      <x:c r="K29" s="231">
        <x:f>'REMUNERACION Reciprocidad EAAB'!K107</x:f>
        <x:v>0</x:v>
      </x:c>
      <x:c r="L29" s="230">
        <x:f>'REMUNERACION Reciprocidad EAAB'!L107</x:f>
        <x:v>0</x:v>
      </x:c>
      <x:c r="M29" s="231">
        <x:f>'REMUNERACION Reciprocidad EAAB'!M107</x:f>
        <x:v>0</x:v>
      </x:c>
      <x:c r="N29" s="230">
        <x:f>'REMUNERACION Reciprocidad EAAB'!N107</x:f>
        <x:v>0</x:v>
      </x:c>
      <x:c r="O29" s="231">
        <x:f>'REMUNERACION Reciprocidad EAAB'!O107</x:f>
        <x:v>0</x:v>
      </x:c>
      <x:c r="Q29" s="242"/>
      <x:c r="S29" s="250">
        <x:v>4</x:v>
      </x:c>
      <x:c r="T29" s="251" t="s">
        <x:v>13</x:v>
      </x:c>
      <x:c r="U29" s="252">
        <x:f>'REMUNERACION Reciprocidad EAAB'!U107</x:f>
        <x:v>0</x:v>
      </x:c>
      <x:c r="V29" s="253">
        <x:f>'REMUNERACION Reciprocidad EAAB'!V107</x:f>
        <x:v>0</x:v>
      </x:c>
      <x:c r="W29" s="253">
        <x:f>'REMUNERACION Reciprocidad EAAB'!W107</x:f>
        <x:v>0</x:v>
      </x:c>
      <x:c r="X29" s="253">
        <x:f>'REMUNERACION Reciprocidad EAAB'!X107</x:f>
        <x:v>0</x:v>
      </x:c>
      <x:c r="Y29" s="254">
        <x:f>'REMUNERACION Reciprocidad EAAB'!Y107</x:f>
        <x:v>0</x:v>
      </x:c>
      <x:c r="Z29" s="255">
        <x:f>'REMUNERACION Reciprocidad EAAB'!Z107</x:f>
        <x:v>0</x:v>
      </x:c>
      <x:c r="AA29" s="256">
        <x:f>'REMUNERACION Reciprocidad EAAB'!AA107</x:f>
        <x:v>0</x:v>
      </x:c>
      <x:c r="AB29" s="230">
        <x:f>'REMUNERACION Reciprocidad EAAB'!AB107</x:f>
        <x:v>0</x:v>
      </x:c>
      <x:c r="AC29" s="256">
        <x:f>'REMUNERACION Reciprocidad EAAB'!AC107</x:f>
        <x:v>0</x:v>
      </x:c>
      <x:c r="AD29" s="227">
        <x:f>'REMUNERACION Reciprocidad EAAB'!AD107</x:f>
        <x:v>0</x:v>
      </x:c>
      <x:c r="AE29" s="227">
        <x:f>'REMUNERACION Reciprocidad EAAB'!AE107</x:f>
        <x:v>0</x:v>
      </x:c>
      <x:c r="AF29" s="258">
        <x:f>'REMUNERACION Reciprocidad EAAB'!AF107</x:f>
        <x:v>0</x:v>
      </x:c>
      <x:c r="AG29" s="440">
        <x:f>'REMUNERACION Reciprocidad EAAB'!AG107</x:f>
        <x:v>0</x:v>
      </x:c>
      <x:c r="AH29" s="1"/>
      <x:c r="AI29" s="242"/>
      <x:c r="AM29" s="269"/>
    </x:row>
    <x:row r="30" spans="1:39" s="241" customFormat="1" ht="12.6" thickBot="1" x14ac:dyDescent="0.3">
      <x:c r="B30" s="260">
        <x:v>5</x:v>
      </x:c>
      <x:c r="C30" s="261" t="s">
        <x:v>14</x:v>
      </x:c>
      <x:c r="D30" s="232">
        <x:f>'REMUNERACION Reciprocidad EAAB'!D108</x:f>
        <x:v>0</x:v>
      </x:c>
      <x:c r="E30" s="233">
        <x:f>'REMUNERACION Reciprocidad EAAB'!E108</x:f>
        <x:v>0</x:v>
      </x:c>
      <x:c r="F30" s="233">
        <x:f>'REMUNERACION Reciprocidad EAAB'!F108</x:f>
        <x:v>0</x:v>
      </x:c>
      <x:c r="G30" s="233">
        <x:f>'REMUNERACION Reciprocidad EAAB'!G108</x:f>
        <x:v>0</x:v>
      </x:c>
      <x:c r="H30" s="233">
        <x:f>'REMUNERACION Reciprocidad EAAB'!H108</x:f>
        <x:v>0</x:v>
      </x:c>
      <x:c r="I30" s="233">
        <x:f>'REMUNERACION Reciprocidad EAAB'!I108</x:f>
        <x:v>0</x:v>
      </x:c>
      <x:c r="J30" s="225">
        <x:f>'REMUNERACION Reciprocidad EAAB'!J108</x:f>
        <x:v>0</x:v>
      </x:c>
      <x:c r="K30" s="231">
        <x:f>'REMUNERACION Reciprocidad EAAB'!K108</x:f>
        <x:v>0</x:v>
      </x:c>
      <x:c r="L30" s="230">
        <x:f>'REMUNERACION Reciprocidad EAAB'!L108</x:f>
        <x:v>0</x:v>
      </x:c>
      <x:c r="M30" s="234">
        <x:f>'REMUNERACION Reciprocidad EAAB'!M108</x:f>
        <x:v>0</x:v>
      </x:c>
      <x:c r="N30" s="235">
        <x:f>'REMUNERACION Reciprocidad EAAB'!N108</x:f>
        <x:v>0</x:v>
      </x:c>
      <x:c r="O30" s="234">
        <x:f>'REMUNERACION Reciprocidad EAAB'!O108</x:f>
        <x:v>0</x:v>
      </x:c>
      <x:c r="Q30" s="242"/>
      <x:c r="S30" s="260">
        <x:v>5</x:v>
      </x:c>
      <x:c r="T30" s="261" t="s">
        <x:v>14</x:v>
      </x:c>
      <x:c r="U30" s="232">
        <x:f>'REMUNERACION Reciprocidad EAAB'!U108</x:f>
        <x:v>0</x:v>
      </x:c>
      <x:c r="V30" s="233">
        <x:f>'REMUNERACION Reciprocidad EAAB'!V108</x:f>
        <x:v>0</x:v>
      </x:c>
      <x:c r="W30" s="233">
        <x:f>'REMUNERACION Reciprocidad EAAB'!W108</x:f>
        <x:v>0</x:v>
      </x:c>
      <x:c r="X30" s="233">
        <x:f>'REMUNERACION Reciprocidad EAAB'!X108</x:f>
        <x:v>0</x:v>
      </x:c>
      <x:c r="Y30" s="225">
        <x:f>'REMUNERACION Reciprocidad EAAB'!Y108</x:f>
        <x:v>0</x:v>
      </x:c>
      <x:c r="Z30" s="255">
        <x:f>'REMUNERACION Reciprocidad EAAB'!Z108</x:f>
        <x:v>0</x:v>
      </x:c>
      <x:c r="AA30" s="256">
        <x:f>'REMUNERACION Reciprocidad EAAB'!AA108</x:f>
        <x:v>0</x:v>
      </x:c>
      <x:c r="AB30" s="230">
        <x:f>'REMUNERACION Reciprocidad EAAB'!AB108</x:f>
        <x:v>0</x:v>
      </x:c>
      <x:c r="AC30" s="256">
        <x:f>'REMUNERACION Reciprocidad EAAB'!AC108</x:f>
        <x:v>0</x:v>
      </x:c>
      <x:c r="AD30" s="227">
        <x:f>'REMUNERACION Reciprocidad EAAB'!AD108</x:f>
        <x:v>0</x:v>
      </x:c>
      <x:c r="AE30" s="227">
        <x:f>'REMUNERACION Reciprocidad EAAB'!AE108</x:f>
        <x:v>0</x:v>
      </x:c>
      <x:c r="AF30" s="258">
        <x:f>'REMUNERACION Reciprocidad EAAB'!AF108</x:f>
        <x:v>0</x:v>
      </x:c>
      <x:c r="AG30" s="441">
        <x:f>'REMUNERACION Reciprocidad EAAB'!AG108</x:f>
        <x:v>0</x:v>
      </x:c>
      <x:c r="AH30" s="1"/>
      <x:c r="AI30" s="242"/>
      <x:c r="AM30" s="269"/>
    </x:row>
    <x:row r="31" spans="1:39" s="241" customFormat="1" ht="13.8" thickBot="1" x14ac:dyDescent="0.3">
      <x:c r="B31" s="263"/>
      <x:c r="C31" s="264" t="s">
        <x:v>2</x:v>
      </x:c>
      <x:c r="D31" s="226">
        <x:f>'REMUNERACION Reciprocidad EAAB'!D109</x:f>
        <x:v>0</x:v>
      </x:c>
      <x:c r="E31" s="226">
        <x:f>'REMUNERACION Reciprocidad EAAB'!E109</x:f>
        <x:v>0</x:v>
      </x:c>
      <x:c r="F31" s="226">
        <x:f>'REMUNERACION Reciprocidad EAAB'!F109</x:f>
        <x:v>0</x:v>
      </x:c>
      <x:c r="G31" s="226">
        <x:f>'REMUNERACION Reciprocidad EAAB'!G109</x:f>
        <x:v>0</x:v>
      </x:c>
      <x:c r="H31" s="226">
        <x:f>'REMUNERACION Reciprocidad EAAB'!H109</x:f>
        <x:v>0</x:v>
      </x:c>
      <x:c r="I31" s="226">
        <x:f>'REMUNERACION Reciprocidad EAAB'!I109</x:f>
        <x:v>0</x:v>
      </x:c>
      <x:c r="J31" s="226">
        <x:f>'REMUNERACION Reciprocidad EAAB'!J109</x:f>
        <x:v>0</x:v>
      </x:c>
      <x:c r="K31" s="236">
        <x:f>'REMUNERACION Reciprocidad EAAB'!K109</x:f>
        <x:v>0</x:v>
      </x:c>
      <x:c r="L31" s="237">
        <x:f>'REMUNERACION Reciprocidad EAAB'!L109</x:f>
        <x:v>0</x:v>
      </x:c>
      <x:c r="M31" s="238">
        <x:f>'REMUNERACION Reciprocidad EAAB'!M109</x:f>
        <x:v>0</x:v>
      </x:c>
      <x:c r="N31" s="237">
        <x:f>'REMUNERACION Reciprocidad EAAB'!N109</x:f>
        <x:v>0</x:v>
      </x:c>
      <x:c r="O31" s="238">
        <x:f>'REMUNERACION Reciprocidad EAAB'!O109</x:f>
        <x:v>0</x:v>
      </x:c>
      <x:c r="P31" s="265"/>
      <x:c r="Q31" s="242"/>
      <x:c r="S31" s="263"/>
      <x:c r="T31" s="264" t="s">
        <x:v>2</x:v>
      </x:c>
      <x:c r="U31" s="266">
        <x:f>'REMUNERACION Reciprocidad EAAB'!U109</x:f>
        <x:v>0</x:v>
      </x:c>
      <x:c r="V31" s="266">
        <x:f>'REMUNERACION Reciprocidad EAAB'!V109</x:f>
        <x:v>0</x:v>
      </x:c>
      <x:c r="W31" s="266">
        <x:f>'REMUNERACION Reciprocidad EAAB'!W109</x:f>
        <x:v>0</x:v>
      </x:c>
      <x:c r="X31" s="266">
        <x:f>'REMUNERACION Reciprocidad EAAB'!X109</x:f>
        <x:v>0</x:v>
      </x:c>
      <x:c r="Y31" s="266">
        <x:f>'REMUNERACION Reciprocidad EAAB'!Y109</x:f>
        <x:v>0</x:v>
      </x:c>
      <x:c r="Z31" s="226">
        <x:f>'REMUNERACION Reciprocidad EAAB'!Z109</x:f>
        <x:v>0</x:v>
      </x:c>
      <x:c r="AA31" s="226">
        <x:f>'REMUNERACION Reciprocidad EAAB'!AA109</x:f>
        <x:v>0</x:v>
      </x:c>
      <x:c r="AB31" s="226">
        <x:f>'REMUNERACION Reciprocidad EAAB'!AB109</x:f>
        <x:v>0</x:v>
      </x:c>
      <x:c r="AC31" s="226">
        <x:f>'REMUNERACION Reciprocidad EAAB'!AC109</x:f>
        <x:v>0</x:v>
      </x:c>
      <x:c r="AD31" s="226">
        <x:f>'REMUNERACION Reciprocidad EAAB'!AD109</x:f>
        <x:v>0</x:v>
      </x:c>
      <x:c r="AE31" s="226">
        <x:f>'REMUNERACION Reciprocidad EAAB'!AE109</x:f>
        <x:v>0</x:v>
      </x:c>
      <x:c r="AF31" s="267">
        <x:f>'REMUNERACION Reciprocidad EAAB'!AF109</x:f>
        <x:v>0</x:v>
      </x:c>
      <x:c r="AG31" s="442">
        <x:f>'REMUNERACION Reciprocidad EAAB'!AG109</x:f>
        <x:v>0</x:v>
      </x:c>
      <x:c r="AH31" s="1"/>
      <x:c r="AI31" s="242"/>
      <x:c r="AM31" s="269"/>
    </x:row>
    <x:row r="32" spans="1:39" ht="12" x14ac:dyDescent="0.25">
      <x:c r="B32" s="2"/>
      <x:c r="C32" s="2"/>
      <x:c r="D32" s="374"/>
      <x:c r="E32" s="374"/>
      <x:c r="F32" s="374"/>
      <x:c r="G32" s="374"/>
      <x:c r="H32" s="374"/>
      <x:c r="I32" s="374"/>
      <x:c r="K32" s="374"/>
      <x:c r="L32" s="374"/>
      <x:c r="M32" s="374"/>
      <x:c r="N32" s="374"/>
      <x:c r="O32" s="374"/>
      <x:c r="Q32" s="4"/>
      <x:c r="S32" s="2"/>
      <x:c r="T32" s="2"/>
      <x:c r="U32" s="374"/>
      <x:c r="V32" s="374"/>
      <x:c r="W32" s="374"/>
      <x:c r="X32" s="374"/>
      <x:c r="Y32" s="374"/>
      <x:c r="AF32" s="374"/>
      <x:c r="AI32" s="4"/>
    </x:row>
    <x:row r="33" spans="1:39" ht="12" x14ac:dyDescent="0.25">
      <x:c r="B33" s="2"/>
      <x:c r="C33" s="2"/>
      <x:c r="D33" s="467"/>
      <x:c r="E33" s="467"/>
      <x:c r="F33" s="467"/>
      <x:c r="G33" s="467"/>
      <x:c r="H33" s="467"/>
      <x:c r="I33" s="467"/>
      <x:c r="K33" s="467"/>
      <x:c r="L33" s="467"/>
      <x:c r="M33" s="467"/>
      <x:c r="N33" s="467"/>
      <x:c r="O33" s="467"/>
      <x:c r="Q33" s="4"/>
      <x:c r="AI33" s="4"/>
    </x:row>
    <x:row r="34" spans="1:39" ht="12" x14ac:dyDescent="0.25">
      <x:c r="A34" s="4"/>
      <x:c r="B34" s="34"/>
      <x:c r="C34" s="34"/>
      <x:c r="D34" s="397"/>
      <x:c r="E34" s="397"/>
      <x:c r="F34" s="397"/>
      <x:c r="G34" s="397"/>
      <x:c r="H34" s="397"/>
      <x:c r="I34" s="397"/>
      <x:c r="J34" s="4"/>
      <x:c r="K34" s="397"/>
      <x:c r="L34" s="397"/>
      <x:c r="M34" s="397"/>
      <x:c r="N34" s="397"/>
      <x:c r="O34" s="397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" thickBot="1" x14ac:dyDescent="0.25">
      <x:c r="Q35" s="4"/>
      <x:c r="AI35" s="4"/>
    </x:row>
    <x:row r="36" spans="1:39" ht="12" x14ac:dyDescent="0.25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3.8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6" x14ac:dyDescent="0.3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3.8" x14ac:dyDescent="0.25">
      <x:c r="B39" s="8"/>
      <x:c r="F39" s="2" t="s">
        <x:v>30</x:v>
      </x:c>
      <x:c r="G39" s="2"/>
      <x:c r="L39" s="90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6" x14ac:dyDescent="0.3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0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9.8" thickBot="1" x14ac:dyDescent="0.5">
      <x:c r="B41" s="8"/>
      <x:c r="C41" s="2"/>
      <x:c r="D41" s="198"/>
      <x:c r="F41" s="2"/>
      <x:c r="G41" s="9"/>
      <x:c r="J41" s="2"/>
      <x:c r="K41" s="9"/>
      <x:c r="L41" s="91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05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46" t="s">
        <x:v>39</x:v>
      </x:c>
      <x:c r="V42" s="147" t="s">
        <x:v>40</x:v>
      </x:c>
      <x:c r="W42" s="147" t="s">
        <x:v>41</x:v>
      </x:c>
      <x:c r="X42" s="147" t="s">
        <x:v>42</x:v>
      </x:c>
      <x:c r="Y42" s="148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167</x:v>
      </x:c>
      <x:c r="AD42" s="114" t="s">
        <x:v>105</x:v>
      </x:c>
      <x:c r="AE42" s="114" t="s">
        <x:v>104</x:v>
      </x:c>
      <x:c r="AF42" s="39" t="s">
        <x:v>23</x:v>
      </x:c>
      <x:c r="AG42" s="13"/>
      <x:c r="AI42" s="4"/>
    </x:row>
    <x:row r="43" spans="1:39" s="241" customFormat="1" ht="12" x14ac:dyDescent="0.25">
      <x:c r="B43" s="239">
        <x:v>1</x:v>
      </x:c>
      <x:c r="C43" s="240" t="s">
        <x:v>10</x:v>
      </x:c>
      <x:c r="D43" s="227">
        <x:f>REMUNERACION_ENEL!D104</x:f>
        <x:v>0</x:v>
      </x:c>
      <x:c r="E43" s="228">
        <x:f>REMUNERACION_ENEL!E104</x:f>
        <x:v>0</x:v>
      </x:c>
      <x:c r="F43" s="228">
        <x:f>REMUNERACION_ENEL!F104</x:f>
        <x:v>0</x:v>
      </x:c>
      <x:c r="G43" s="228">
        <x:f>REMUNERACION_ENEL!G104</x:f>
        <x:v>0</x:v>
      </x:c>
      <x:c r="H43" s="228">
        <x:f>REMUNERACION_ENEL!H104</x:f>
        <x:v>0</x:v>
      </x:c>
      <x:c r="I43" s="228">
        <x:f>REMUNERACION_ENEL!I104</x:f>
        <x:v>0</x:v>
      </x:c>
      <x:c r="J43" s="224">
        <x:f>REMUNERACION_ENEL!J104</x:f>
        <x:v>0</x:v>
      </x:c>
      <x:c r="K43" s="229">
        <x:f>REMUNERACION_ENEL!K104</x:f>
        <x:v>0</x:v>
      </x:c>
      <x:c r="L43" s="230">
        <x:f>REMUNERACION_ENEL!L104</x:f>
        <x:v>189185987</x:v>
      </x:c>
      <x:c r="M43" s="229">
        <x:f>REMUNERACION_ENEL!M104</x:f>
        <x:v>-189185987</x:v>
      </x:c>
      <x:c r="N43" s="230">
        <x:f>REMUNERACION_ENEL!N104</x:f>
        <x:v>0</x:v>
      </x:c>
      <x:c r="O43" s="229">
        <x:f>REMUNERACION_ENEL!O104</x:f>
        <x:v>-189185987</x:v>
      </x:c>
      <x:c r="Q43" s="242"/>
      <x:c r="S43" s="239">
        <x:v>1</x:v>
      </x:c>
      <x:c r="T43" s="240" t="s">
        <x:v>10</x:v>
      </x:c>
      <x:c r="U43" s="243">
        <x:f>REMUNERACION_ENEL!U104</x:f>
        <x:v>0</x:v>
      </x:c>
      <x:c r="V43" s="244">
        <x:f>REMUNERACION_ENEL!V104</x:f>
        <x:v>0</x:v>
      </x:c>
      <x:c r="W43" s="244">
        <x:f>REMUNERACION_ENEL!W104</x:f>
        <x:v>0</x:v>
      </x:c>
      <x:c r="X43" s="244">
        <x:f>REMUNERACION_ENEL!X104</x:f>
        <x:v>0</x:v>
      </x:c>
      <x:c r="Y43" s="245">
        <x:f>REMUNERACION_ENEL!Y104</x:f>
        <x:v>0</x:v>
      </x:c>
      <x:c r="Z43" s="246">
        <x:f>REMUNERACION_ENEL!Z104</x:f>
        <x:v>-189185987</x:v>
      </x:c>
      <x:c r="AA43" s="247">
        <x:f>REMUNERACION_ENEL!AA104</x:f>
        <x:v>0</x:v>
      </x:c>
      <x:c r="AB43" s="230">
        <x:f>REMUNERACION_ENEL!AB104</x:f>
        <x:v>0</x:v>
      </x:c>
      <x:c r="AC43" s="247">
        <x:f>REMUNERACION_ENEL!AC104</x:f>
        <x:v>0</x:v>
      </x:c>
      <x:c r="AD43" s="227">
        <x:f>REMUNERACION_ENEL!AD104</x:f>
        <x:v>0</x:v>
      </x:c>
      <x:c r="AE43" s="227">
        <x:f>REMUNERACION_ENEL!AE104</x:f>
        <x:v>0</x:v>
      </x:c>
      <x:c r="AF43" s="249">
        <x:f>REMUNERACION_ENEL!AF104</x:f>
        <x:v>-189185987</x:v>
      </x:c>
      <x:c r="AG43" s="439">
        <x:f>REMUNERACION_ENEL!AG104</x:f>
        <x:v>0</x:v>
      </x:c>
      <x:c r="AH43" s="1"/>
      <x:c r="AI43" s="242"/>
      <x:c r="AM43" s="269"/>
    </x:row>
    <x:row r="44" spans="1:39" s="241" customFormat="1" ht="12" x14ac:dyDescent="0.25">
      <x:c r="B44" s="250">
        <x:v>2</x:v>
      </x:c>
      <x:c r="C44" s="251" t="s">
        <x:v>11</x:v>
      </x:c>
      <x:c r="D44" s="227">
        <x:f>REMUNERACION_ENEL!D105</x:f>
        <x:v>0</x:v>
      </x:c>
      <x:c r="E44" s="228">
        <x:f>REMUNERACION_ENEL!E105</x:f>
        <x:v>0</x:v>
      </x:c>
      <x:c r="F44" s="228">
        <x:f>REMUNERACION_ENEL!F105</x:f>
        <x:v>0</x:v>
      </x:c>
      <x:c r="G44" s="228">
        <x:f>REMUNERACION_ENEL!G105</x:f>
        <x:v>0</x:v>
      </x:c>
      <x:c r="H44" s="228">
        <x:f>REMUNERACION_ENEL!H105</x:f>
        <x:v>0</x:v>
      </x:c>
      <x:c r="I44" s="228">
        <x:f>REMUNERACION_ENEL!I105</x:f>
        <x:v>0</x:v>
      </x:c>
      <x:c r="J44" s="224">
        <x:f>REMUNERACION_ENEL!J105</x:f>
        <x:v>0</x:v>
      </x:c>
      <x:c r="K44" s="231">
        <x:f>REMUNERACION_ENEL!K105</x:f>
        <x:v>0</x:v>
      </x:c>
      <x:c r="L44" s="230">
        <x:f>REMUNERACION_ENEL!L105</x:f>
        <x:v>266580255</x:v>
      </x:c>
      <x:c r="M44" s="231">
        <x:f>REMUNERACION_ENEL!M105</x:f>
        <x:v>-266580255</x:v>
      </x:c>
      <x:c r="N44" s="230">
        <x:f>REMUNERACION_ENEL!N105</x:f>
        <x:v>0</x:v>
      </x:c>
      <x:c r="O44" s="231">
        <x:f>REMUNERACION_ENEL!O105</x:f>
        <x:v>-266580255</x:v>
      </x:c>
      <x:c r="Q44" s="242"/>
      <x:c r="S44" s="250">
        <x:v>2</x:v>
      </x:c>
      <x:c r="T44" s="251" t="s">
        <x:v>11</x:v>
      </x:c>
      <x:c r="U44" s="252">
        <x:f>REMUNERACION_ENEL!U105</x:f>
        <x:v>0</x:v>
      </x:c>
      <x:c r="V44" s="253">
        <x:f>REMUNERACION_ENEL!V105</x:f>
        <x:v>0</x:v>
      </x:c>
      <x:c r="W44" s="253">
        <x:f>REMUNERACION_ENEL!W105</x:f>
        <x:v>0</x:v>
      </x:c>
      <x:c r="X44" s="253">
        <x:f>REMUNERACION_ENEL!X105</x:f>
        <x:v>0</x:v>
      </x:c>
      <x:c r="Y44" s="254">
        <x:f>REMUNERACION_ENEL!Y105</x:f>
        <x:v>0</x:v>
      </x:c>
      <x:c r="Z44" s="255">
        <x:f>REMUNERACION_ENEL!Z105</x:f>
        <x:v>-266580255</x:v>
      </x:c>
      <x:c r="AA44" s="256">
        <x:f>REMUNERACION_ENEL!AA105</x:f>
        <x:v>0</x:v>
      </x:c>
      <x:c r="AB44" s="230">
        <x:f>REMUNERACION_ENEL!AB105</x:f>
        <x:v>0</x:v>
      </x:c>
      <x:c r="AC44" s="256">
        <x:f>REMUNERACION_ENEL!AC105</x:f>
        <x:v>0</x:v>
      </x:c>
      <x:c r="AD44" s="227">
        <x:f>REMUNERACION_ENEL!AD105</x:f>
        <x:v>0</x:v>
      </x:c>
      <x:c r="AE44" s="227">
        <x:f>REMUNERACION_ENEL!AE105</x:f>
        <x:v>0</x:v>
      </x:c>
      <x:c r="AF44" s="258">
        <x:f>REMUNERACION_ENEL!AF105</x:f>
        <x:v>-266580255</x:v>
      </x:c>
      <x:c r="AG44" s="440">
        <x:f>REMUNERACION_ENEL!AG105</x:f>
        <x:v>0</x:v>
      </x:c>
      <x:c r="AH44" s="1"/>
      <x:c r="AI44" s="242"/>
      <x:c r="AM44" s="269"/>
    </x:row>
    <x:row r="45" spans="1:39" s="241" customFormat="1" ht="12" x14ac:dyDescent="0.25">
      <x:c r="B45" s="250">
        <x:v>3</x:v>
      </x:c>
      <x:c r="C45" s="251" t="s">
        <x:v>12</x:v>
      </x:c>
      <x:c r="D45" s="227">
        <x:f>REMUNERACION_ENEL!D106</x:f>
        <x:v>0</x:v>
      </x:c>
      <x:c r="E45" s="228">
        <x:f>REMUNERACION_ENEL!E106</x:f>
        <x:v>0</x:v>
      </x:c>
      <x:c r="F45" s="228">
        <x:f>REMUNERACION_ENEL!F106</x:f>
        <x:v>0</x:v>
      </x:c>
      <x:c r="G45" s="228">
        <x:f>REMUNERACION_ENEL!G106</x:f>
        <x:v>0</x:v>
      </x:c>
      <x:c r="H45" s="228">
        <x:f>REMUNERACION_ENEL!H106</x:f>
        <x:v>0</x:v>
      </x:c>
      <x:c r="I45" s="228">
        <x:f>REMUNERACION_ENEL!I106</x:f>
        <x:v>0</x:v>
      </x:c>
      <x:c r="J45" s="224">
        <x:f>REMUNERACION_ENEL!J106</x:f>
        <x:v>0</x:v>
      </x:c>
      <x:c r="K45" s="231">
        <x:f>REMUNERACION_ENEL!K106</x:f>
        <x:v>0</x:v>
      </x:c>
      <x:c r="L45" s="230">
        <x:f>REMUNERACION_ENEL!L106</x:f>
        <x:v>154788535</x:v>
      </x:c>
      <x:c r="M45" s="231">
        <x:f>REMUNERACION_ENEL!M106</x:f>
        <x:v>-154788535</x:v>
      </x:c>
      <x:c r="N45" s="230">
        <x:f>REMUNERACION_ENEL!N106</x:f>
        <x:v>0</x:v>
      </x:c>
      <x:c r="O45" s="231">
        <x:f>REMUNERACION_ENEL!O106</x:f>
        <x:v>-154788535</x:v>
      </x:c>
      <x:c r="Q45" s="242"/>
      <x:c r="S45" s="250">
        <x:v>3</x:v>
      </x:c>
      <x:c r="T45" s="251" t="s">
        <x:v>12</x:v>
      </x:c>
      <x:c r="U45" s="252">
        <x:f>REMUNERACION_ENEL!U106</x:f>
        <x:v>0</x:v>
      </x:c>
      <x:c r="V45" s="253">
        <x:f>REMUNERACION_ENEL!V106</x:f>
        <x:v>0</x:v>
      </x:c>
      <x:c r="W45" s="253">
        <x:f>REMUNERACION_ENEL!W106</x:f>
        <x:v>0</x:v>
      </x:c>
      <x:c r="X45" s="253">
        <x:f>REMUNERACION_ENEL!X106</x:f>
        <x:v>0</x:v>
      </x:c>
      <x:c r="Y45" s="254">
        <x:f>REMUNERACION_ENEL!Y106</x:f>
        <x:v>0</x:v>
      </x:c>
      <x:c r="Z45" s="255">
        <x:f>REMUNERACION_ENEL!Z106</x:f>
        <x:v>-154788535</x:v>
      </x:c>
      <x:c r="AA45" s="256">
        <x:f>REMUNERACION_ENEL!AA106</x:f>
        <x:v>0</x:v>
      </x:c>
      <x:c r="AB45" s="230">
        <x:f>REMUNERACION_ENEL!AB106</x:f>
        <x:v>0</x:v>
      </x:c>
      <x:c r="AC45" s="256">
        <x:f>REMUNERACION_ENEL!AC106</x:f>
        <x:v>0</x:v>
      </x:c>
      <x:c r="AD45" s="227">
        <x:f>REMUNERACION_ENEL!AD106</x:f>
        <x:v>0</x:v>
      </x:c>
      <x:c r="AE45" s="227">
        <x:f>REMUNERACION_ENEL!AE106</x:f>
        <x:v>0</x:v>
      </x:c>
      <x:c r="AF45" s="258">
        <x:f>REMUNERACION_ENEL!AF106</x:f>
        <x:v>-154788535</x:v>
      </x:c>
      <x:c r="AG45" s="440">
        <x:f>REMUNERACION_ENEL!AG106</x:f>
        <x:v>0</x:v>
      </x:c>
      <x:c r="AH45" s="1"/>
      <x:c r="AI45" s="242"/>
      <x:c r="AM45" s="269"/>
    </x:row>
    <x:row r="46" spans="1:39" s="241" customFormat="1" ht="12" x14ac:dyDescent="0.25">
      <x:c r="B46" s="250">
        <x:v>4</x:v>
      </x:c>
      <x:c r="C46" s="251" t="s">
        <x:v>13</x:v>
      </x:c>
      <x:c r="D46" s="227">
        <x:f>REMUNERACION_ENEL!D107</x:f>
        <x:v>0</x:v>
      </x:c>
      <x:c r="E46" s="228">
        <x:f>REMUNERACION_ENEL!E107</x:f>
        <x:v>0</x:v>
      </x:c>
      <x:c r="F46" s="228">
        <x:f>REMUNERACION_ENEL!F107</x:f>
        <x:v>0</x:v>
      </x:c>
      <x:c r="G46" s="228">
        <x:f>REMUNERACION_ENEL!G107</x:f>
        <x:v>0</x:v>
      </x:c>
      <x:c r="H46" s="228">
        <x:f>REMUNERACION_ENEL!H107</x:f>
        <x:v>0</x:v>
      </x:c>
      <x:c r="I46" s="228">
        <x:f>REMUNERACION_ENEL!I107</x:f>
        <x:v>0</x:v>
      </x:c>
      <x:c r="J46" s="224">
        <x:f>REMUNERACION_ENEL!J107</x:f>
        <x:v>0</x:v>
      </x:c>
      <x:c r="K46" s="231">
        <x:f>REMUNERACION_ENEL!K107</x:f>
        <x:v>0</x:v>
      </x:c>
      <x:c r="L46" s="230">
        <x:f>REMUNERACION_ENEL!L107</x:f>
        <x:v>120391083</x:v>
      </x:c>
      <x:c r="M46" s="231">
        <x:f>REMUNERACION_ENEL!M107</x:f>
        <x:v>-120391083</x:v>
      </x:c>
      <x:c r="N46" s="230">
        <x:f>REMUNERACION_ENEL!N107</x:f>
        <x:v>0</x:v>
      </x:c>
      <x:c r="O46" s="231">
        <x:f>REMUNERACION_ENEL!O107</x:f>
        <x:v>-120391083</x:v>
      </x:c>
      <x:c r="Q46" s="242"/>
      <x:c r="S46" s="250">
        <x:v>4</x:v>
      </x:c>
      <x:c r="T46" s="251" t="s">
        <x:v>13</x:v>
      </x:c>
      <x:c r="U46" s="252">
        <x:f>REMUNERACION_ENEL!U107</x:f>
        <x:v>0</x:v>
      </x:c>
      <x:c r="V46" s="253">
        <x:f>REMUNERACION_ENEL!V107</x:f>
        <x:v>0</x:v>
      </x:c>
      <x:c r="W46" s="253">
        <x:f>REMUNERACION_ENEL!W107</x:f>
        <x:v>0</x:v>
      </x:c>
      <x:c r="X46" s="253">
        <x:f>REMUNERACION_ENEL!X107</x:f>
        <x:v>0</x:v>
      </x:c>
      <x:c r="Y46" s="254">
        <x:f>REMUNERACION_ENEL!Y107</x:f>
        <x:v>0</x:v>
      </x:c>
      <x:c r="Z46" s="255">
        <x:f>REMUNERACION_ENEL!Z107</x:f>
        <x:v>-120391083</x:v>
      </x:c>
      <x:c r="AA46" s="256">
        <x:f>REMUNERACION_ENEL!AA107</x:f>
        <x:v>0</x:v>
      </x:c>
      <x:c r="AB46" s="230">
        <x:f>REMUNERACION_ENEL!AB107</x:f>
        <x:v>0</x:v>
      </x:c>
      <x:c r="AC46" s="256">
        <x:f>REMUNERACION_ENEL!AC107</x:f>
        <x:v>0</x:v>
      </x:c>
      <x:c r="AD46" s="227">
        <x:f>REMUNERACION_ENEL!AD107</x:f>
        <x:v>0</x:v>
      </x:c>
      <x:c r="AE46" s="227">
        <x:f>REMUNERACION_ENEL!AE107</x:f>
        <x:v>0</x:v>
      </x:c>
      <x:c r="AF46" s="258">
        <x:f>REMUNERACION_ENEL!AF107</x:f>
        <x:v>-120391083</x:v>
      </x:c>
      <x:c r="AG46" s="440">
        <x:f>REMUNERACION_ENEL!AG107</x:f>
        <x:v>0</x:v>
      </x:c>
      <x:c r="AH46" s="1"/>
      <x:c r="AI46" s="242"/>
      <x:c r="AM46" s="269"/>
    </x:row>
    <x:row r="47" spans="1:39" s="241" customFormat="1" ht="12.6" thickBot="1" x14ac:dyDescent="0.3">
      <x:c r="B47" s="260">
        <x:v>5</x:v>
      </x:c>
      <x:c r="C47" s="261" t="s">
        <x:v>14</x:v>
      </x:c>
      <x:c r="D47" s="232">
        <x:f>REMUNERACION_ENEL!D108</x:f>
        <x:v>0</x:v>
      </x:c>
      <x:c r="E47" s="233">
        <x:f>REMUNERACION_ENEL!E108</x:f>
        <x:v>0</x:v>
      </x:c>
      <x:c r="F47" s="233">
        <x:f>REMUNERACION_ENEL!F108</x:f>
        <x:v>0</x:v>
      </x:c>
      <x:c r="G47" s="233">
        <x:f>REMUNERACION_ENEL!G108</x:f>
        <x:v>0</x:v>
      </x:c>
      <x:c r="H47" s="233">
        <x:f>REMUNERACION_ENEL!H108</x:f>
        <x:v>0</x:v>
      </x:c>
      <x:c r="I47" s="233">
        <x:f>REMUNERACION_ENEL!I108</x:f>
        <x:v>0</x:v>
      </x:c>
      <x:c r="J47" s="225">
        <x:f>REMUNERACION_ENEL!J108</x:f>
        <x:v>0</x:v>
      </x:c>
      <x:c r="K47" s="231">
        <x:f>REMUNERACION_ENEL!K108</x:f>
        <x:v>0</x:v>
      </x:c>
      <x:c r="L47" s="230">
        <x:f>REMUNERACION_ENEL!L108</x:f>
        <x:v>128990445</x:v>
      </x:c>
      <x:c r="M47" s="234">
        <x:f>REMUNERACION_ENEL!M108</x:f>
        <x:v>-128990445</x:v>
      </x:c>
      <x:c r="N47" s="235">
        <x:f>REMUNERACION_ENEL!N108</x:f>
        <x:v>0</x:v>
      </x:c>
      <x:c r="O47" s="234">
        <x:f>REMUNERACION_ENEL!O108</x:f>
        <x:v>-128990445</x:v>
      </x:c>
      <x:c r="Q47" s="242"/>
      <x:c r="S47" s="260">
        <x:v>5</x:v>
      </x:c>
      <x:c r="T47" s="261" t="s">
        <x:v>14</x:v>
      </x:c>
      <x:c r="U47" s="232">
        <x:f>REMUNERACION_ENEL!U108</x:f>
        <x:v>0</x:v>
      </x:c>
      <x:c r="V47" s="233">
        <x:f>REMUNERACION_ENEL!V108</x:f>
        <x:v>0</x:v>
      </x:c>
      <x:c r="W47" s="233">
        <x:f>REMUNERACION_ENEL!W108</x:f>
        <x:v>0</x:v>
      </x:c>
      <x:c r="X47" s="233">
        <x:f>REMUNERACION_ENEL!X108</x:f>
        <x:v>0</x:v>
      </x:c>
      <x:c r="Y47" s="225">
        <x:f>REMUNERACION_ENEL!Y108</x:f>
        <x:v>0</x:v>
      </x:c>
      <x:c r="Z47" s="255">
        <x:f>REMUNERACION_ENEL!Z108</x:f>
        <x:v>-128990445</x:v>
      </x:c>
      <x:c r="AA47" s="256">
        <x:f>REMUNERACION_ENEL!AA108</x:f>
        <x:v>0</x:v>
      </x:c>
      <x:c r="AB47" s="230">
        <x:f>REMUNERACION_ENEL!AB108</x:f>
        <x:v>0</x:v>
      </x:c>
      <x:c r="AC47" s="256">
        <x:f>REMUNERACION_ENEL!AC108</x:f>
        <x:v>0</x:v>
      </x:c>
      <x:c r="AD47" s="227">
        <x:f>REMUNERACION_ENEL!AD108</x:f>
        <x:v>0</x:v>
      </x:c>
      <x:c r="AE47" s="227">
        <x:f>REMUNERACION_ENEL!AE108</x:f>
        <x:v>0</x:v>
      </x:c>
      <x:c r="AF47" s="258">
        <x:f>REMUNERACION_ENEL!AF108</x:f>
        <x:v>-128990445</x:v>
      </x:c>
      <x:c r="AG47" s="441">
        <x:f>REMUNERACION_ENEL!AG108</x:f>
        <x:v>0</x:v>
      </x:c>
      <x:c r="AH47" s="1"/>
      <x:c r="AI47" s="242"/>
      <x:c r="AM47" s="269"/>
    </x:row>
    <x:row r="48" spans="1:39" s="241" customFormat="1" ht="13.8" thickBot="1" x14ac:dyDescent="0.3">
      <x:c r="B48" s="263"/>
      <x:c r="C48" s="264" t="s">
        <x:v>2</x:v>
      </x:c>
      <x:c r="D48" s="226">
        <x:f>REMUNERACION_ENEL!D109</x:f>
        <x:v>0</x:v>
      </x:c>
      <x:c r="E48" s="226">
        <x:f>REMUNERACION_ENEL!E109</x:f>
        <x:v>0</x:v>
      </x:c>
      <x:c r="F48" s="226">
        <x:f>REMUNERACION_ENEL!F109</x:f>
        <x:v>0</x:v>
      </x:c>
      <x:c r="G48" s="226">
        <x:f>REMUNERACION_ENEL!G109</x:f>
        <x:v>0</x:v>
      </x:c>
      <x:c r="H48" s="226">
        <x:f>REMUNERACION_ENEL!H109</x:f>
        <x:v>0</x:v>
      </x:c>
      <x:c r="I48" s="226">
        <x:f>REMUNERACION_ENEL!I109</x:f>
        <x:v>0</x:v>
      </x:c>
      <x:c r="J48" s="226">
        <x:f>REMUNERACION_ENEL!J109</x:f>
        <x:v>0</x:v>
      </x:c>
      <x:c r="K48" s="236">
        <x:f>REMUNERACION_ENEL!K109</x:f>
        <x:v>0</x:v>
      </x:c>
      <x:c r="L48" s="237">
        <x:f>REMUNERACION_ENEL!L109</x:f>
        <x:v>859936305</x:v>
      </x:c>
      <x:c r="M48" s="238">
        <x:f>REMUNERACION_ENEL!M109</x:f>
        <x:v>-859936305</x:v>
      </x:c>
      <x:c r="N48" s="237">
        <x:f>REMUNERACION_ENEL!N109</x:f>
        <x:v>0</x:v>
      </x:c>
      <x:c r="O48" s="238">
        <x:f>REMUNERACION_ENEL!O109</x:f>
        <x:v>-859936305</x:v>
      </x:c>
      <x:c r="P48" s="265"/>
      <x:c r="Q48" s="242"/>
      <x:c r="S48" s="263"/>
      <x:c r="T48" s="264" t="s">
        <x:v>2</x:v>
      </x:c>
      <x:c r="U48" s="266">
        <x:f>REMUNERACION_ENEL!U109</x:f>
        <x:v>0</x:v>
      </x:c>
      <x:c r="V48" s="266">
        <x:f>REMUNERACION_ENEL!V109</x:f>
        <x:v>0</x:v>
      </x:c>
      <x:c r="W48" s="266">
        <x:f>REMUNERACION_ENEL!W109</x:f>
        <x:v>0</x:v>
      </x:c>
      <x:c r="X48" s="266">
        <x:f>REMUNERACION_ENEL!X109</x:f>
        <x:v>0</x:v>
      </x:c>
      <x:c r="Y48" s="266">
        <x:f>REMUNERACION_ENEL!Y109</x:f>
        <x:v>0</x:v>
      </x:c>
      <x:c r="Z48" s="226">
        <x:f>REMUNERACION_ENEL!Z109</x:f>
        <x:v>-859936305</x:v>
      </x:c>
      <x:c r="AA48" s="226">
        <x:f>REMUNERACION_ENEL!AA109</x:f>
        <x:v>0</x:v>
      </x:c>
      <x:c r="AB48" s="226">
        <x:f>REMUNERACION_ENEL!AB109</x:f>
        <x:v>0</x:v>
      </x:c>
      <x:c r="AC48" s="226">
        <x:f>REMUNERACION_ENEL!AC109</x:f>
        <x:v>0</x:v>
      </x:c>
      <x:c r="AD48" s="226">
        <x:f>REMUNERACION_ENEL!AD109</x:f>
        <x:v>0</x:v>
      </x:c>
      <x:c r="AE48" s="226">
        <x:f>REMUNERACION_ENEL!AE109</x:f>
        <x:v>0</x:v>
      </x:c>
      <x:c r="AF48" s="267">
        <x:f>REMUNERACION_ENEL!AF109</x:f>
        <x:v>-859936305</x:v>
      </x:c>
      <x:c r="AG48" s="442">
        <x:f>REMUNERACION_ENEL!AG109</x:f>
        <x:v>0</x:v>
      </x:c>
      <x:c r="AH48" s="1"/>
      <x:c r="AI48" s="242"/>
      <x:c r="AM48" s="269"/>
    </x:row>
    <x:row r="49" spans="1:39" ht="12" x14ac:dyDescent="0.25">
      <x:c r="B49" s="2"/>
      <x:c r="C49" s="2"/>
      <x:c r="D49" s="374"/>
      <x:c r="E49" s="374"/>
      <x:c r="F49" s="374"/>
      <x:c r="G49" s="374"/>
      <x:c r="H49" s="374"/>
      <x:c r="I49" s="374"/>
      <x:c r="K49" s="374"/>
      <x:c r="L49" s="374"/>
      <x:c r="M49" s="374"/>
      <x:c r="N49" s="374"/>
      <x:c r="O49" s="374"/>
      <x:c r="Q49" s="4"/>
      <x:c r="S49" s="2"/>
      <x:c r="T49" s="2"/>
      <x:c r="U49" s="374"/>
      <x:c r="V49" s="374"/>
      <x:c r="W49" s="374"/>
      <x:c r="X49" s="374"/>
      <x:c r="Y49" s="374"/>
      <x:c r="AF49" s="374"/>
      <x:c r="AI49" s="4"/>
    </x:row>
    <x:row r="50" spans="1:39" ht="12" x14ac:dyDescent="0.25">
      <x:c r="B50" s="2"/>
      <x:c r="C50" s="2"/>
      <x:c r="D50" s="467"/>
      <x:c r="E50" s="467"/>
      <x:c r="F50" s="467"/>
      <x:c r="G50" s="467"/>
      <x:c r="H50" s="467"/>
      <x:c r="I50" s="467"/>
      <x:c r="K50" s="467"/>
      <x:c r="L50" s="467"/>
      <x:c r="M50" s="467"/>
      <x:c r="N50" s="467"/>
      <x:c r="O50" s="467"/>
      <x:c r="Q50" s="4"/>
      <x:c r="AI50" s="4"/>
    </x:row>
    <x:row r="51" spans="1:39" ht="12" x14ac:dyDescent="0.25">
      <x:c r="A51" s="4"/>
      <x:c r="B51" s="34"/>
      <x:c r="C51" s="34"/>
      <x:c r="D51" s="397"/>
      <x:c r="E51" s="397"/>
      <x:c r="F51" s="397"/>
      <x:c r="G51" s="397"/>
      <x:c r="H51" s="397"/>
      <x:c r="I51" s="397"/>
      <x:c r="J51" s="4"/>
      <x:c r="K51" s="397"/>
      <x:c r="L51" s="397"/>
      <x:c r="M51" s="397"/>
      <x:c r="N51" s="397"/>
      <x:c r="O51" s="397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6" thickBot="1" x14ac:dyDescent="0.3">
      <x:c r="B52" s="2"/>
      <x:c r="C52" s="2"/>
      <x:c r="D52" s="467"/>
      <x:c r="E52" s="467"/>
      <x:c r="F52" s="467"/>
      <x:c r="G52" s="467"/>
      <x:c r="H52" s="467"/>
      <x:c r="I52" s="467"/>
      <x:c r="K52" s="467"/>
      <x:c r="L52" s="467"/>
      <x:c r="M52" s="467"/>
      <x:c r="N52" s="467"/>
      <x:c r="O52" s="467"/>
    </x:row>
    <x:row r="53" spans="1:39" ht="12" x14ac:dyDescent="0.25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3.8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6" x14ac:dyDescent="0.3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3.8" x14ac:dyDescent="0.25">
      <x:c r="B56" s="8"/>
      <x:c r="F56" s="2" t="s">
        <x:v>30</x:v>
      </x:c>
      <x:c r="G56" s="2"/>
      <x:c r="L56" s="90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6" x14ac:dyDescent="0.3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0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9.8" thickBot="1" x14ac:dyDescent="0.5">
      <x:c r="B58" s="8"/>
      <x:c r="C58" s="2"/>
      <x:c r="D58" s="198"/>
      <x:c r="F58" s="2"/>
      <x:c r="G58" s="9"/>
      <x:c r="J58" s="2"/>
      <x:c r="K58" s="9"/>
      <x:c r="L58" s="91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05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46" t="s">
        <x:v>39</x:v>
      </x:c>
      <x:c r="V59" s="147" t="s">
        <x:v>40</x:v>
      </x:c>
      <x:c r="W59" s="147" t="s">
        <x:v>41</x:v>
      </x:c>
      <x:c r="X59" s="147" t="s">
        <x:v>42</x:v>
      </x:c>
      <x:c r="Y59" s="148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167</x:v>
      </x:c>
      <x:c r="AD59" s="114" t="s">
        <x:v>105</x:v>
      </x:c>
      <x:c r="AE59" s="114" t="s">
        <x:v>104</x:v>
      </x:c>
      <x:c r="AF59" s="39" t="s">
        <x:v>23</x:v>
      </x:c>
      <x:c r="AG59" s="13"/>
      <x:c r="AI59" s="4"/>
    </x:row>
    <x:row r="60" spans="1:39" s="241" customFormat="1" ht="12" x14ac:dyDescent="0.25">
      <x:c r="B60" s="239">
        <x:v>1</x:v>
      </x:c>
      <x:c r="C60" s="240" t="s">
        <x:v>10</x:v>
      </x:c>
      <x:c r="D60" s="227">
        <x:f>REMUNERACION_ENERBIT!D104</x:f>
        <x:v>0</x:v>
      </x:c>
      <x:c r="E60" s="227">
        <x:f>REMUNERACION_ENERBIT!E104</x:f>
        <x:v>0</x:v>
      </x:c>
      <x:c r="F60" s="227">
        <x:f>REMUNERACION_ENERBIT!F104</x:f>
        <x:v>0</x:v>
      </x:c>
      <x:c r="G60" s="227">
        <x:f>REMUNERACION_ENERBIT!G104</x:f>
        <x:v>0</x:v>
      </x:c>
      <x:c r="H60" s="227">
        <x:f>REMUNERACION_ENERBIT!H104</x:f>
        <x:v>0</x:v>
      </x:c>
      <x:c r="I60" s="227">
        <x:f>REMUNERACION_ENERBIT!I104</x:f>
        <x:v>0</x:v>
      </x:c>
      <x:c r="J60" s="227">
        <x:f>REMUNERACION_ENERBIT!J104</x:f>
        <x:v>0</x:v>
      </x:c>
      <x:c r="K60" s="229">
        <x:f>REMUNERACION_ENERBIT!K104</x:f>
        <x:v>0</x:v>
      </x:c>
      <x:c r="L60" s="230">
        <x:f>REMUNERACION_ENERBIT!L104</x:f>
        <x:v>0</x:v>
      </x:c>
      <x:c r="M60" s="229">
        <x:f>REMUNERACION_ENERBIT!M104</x:f>
        <x:v>0</x:v>
      </x:c>
      <x:c r="N60" s="230">
        <x:f>REMUNERACION_ENERBIT!N104</x:f>
        <x:v>0</x:v>
      </x:c>
      <x:c r="O60" s="229">
        <x:f>REMUNERACION_ENERBIT!O104</x:f>
        <x:v>0</x:v>
      </x:c>
      <x:c r="Q60" s="242"/>
      <x:c r="S60" s="239">
        <x:v>1</x:v>
      </x:c>
      <x:c r="T60" s="240" t="s">
        <x:v>10</x:v>
      </x:c>
      <x:c r="U60" s="243">
        <x:f>REMUNERACION_ENERBIT!U104</x:f>
        <x:v>0</x:v>
      </x:c>
      <x:c r="V60" s="244">
        <x:f>REMUNERACION_ENERBIT!V104</x:f>
        <x:v>0</x:v>
      </x:c>
      <x:c r="W60" s="244">
        <x:f>REMUNERACION_ENERBIT!W104</x:f>
        <x:v>0</x:v>
      </x:c>
      <x:c r="X60" s="244">
        <x:f>REMUNERACION_ENERBIT!X104</x:f>
        <x:v>0</x:v>
      </x:c>
      <x:c r="Y60" s="245">
        <x:f>REMUNERACION_ENERBIT!Y104</x:f>
        <x:v>0</x:v>
      </x:c>
      <x:c r="Z60" s="245">
        <x:f>REMUNERACION_ENERBIT!Z104</x:f>
        <x:v>0</x:v>
      </x:c>
      <x:c r="AA60" s="245">
        <x:f>REMUNERACION_ENERBIT!AA104</x:f>
        <x:v>0</x:v>
      </x:c>
      <x:c r="AB60" s="245">
        <x:f>REMUNERACION_ENERBIT!AB104</x:f>
        <x:v>0</x:v>
      </x:c>
      <x:c r="AC60" s="245">
        <x:f>REMUNERACION_ENERBIT!AC104</x:f>
        <x:v>0</x:v>
      </x:c>
      <x:c r="AD60" s="245">
        <x:f>REMUNERACION_ENERBIT!AD104</x:f>
        <x:v>0</x:v>
      </x:c>
      <x:c r="AE60" s="245">
        <x:f>REMUNERACION_ENERBIT!AE104</x:f>
        <x:v>0</x:v>
      </x:c>
      <x:c r="AF60" s="249">
        <x:f>REMUNERACION_ENERBIT!AF104</x:f>
        <x:v>0</x:v>
      </x:c>
      <x:c r="AG60" s="439">
        <x:f>REMUNERACION_ENEL!AG121</x:f>
        <x:v>0</x:v>
      </x:c>
      <x:c r="AH60" s="1"/>
      <x:c r="AI60" s="242"/>
      <x:c r="AM60" s="269"/>
    </x:row>
    <x:row r="61" spans="1:39" s="241" customFormat="1" ht="12" x14ac:dyDescent="0.25">
      <x:c r="B61" s="250">
        <x:v>2</x:v>
      </x:c>
      <x:c r="C61" s="251" t="s">
        <x:v>11</x:v>
      </x:c>
      <x:c r="D61" s="227">
        <x:f>REMUNERACION_ENERBIT!D105</x:f>
        <x:v>0</x:v>
      </x:c>
      <x:c r="E61" s="227">
        <x:f>REMUNERACION_ENERBIT!E105</x:f>
        <x:v>0</x:v>
      </x:c>
      <x:c r="F61" s="227">
        <x:f>REMUNERACION_ENERBIT!F105</x:f>
        <x:v>0</x:v>
      </x:c>
      <x:c r="G61" s="227">
        <x:f>REMUNERACION_ENERBIT!G105</x:f>
        <x:v>0</x:v>
      </x:c>
      <x:c r="H61" s="227">
        <x:f>REMUNERACION_ENERBIT!H105</x:f>
        <x:v>0</x:v>
      </x:c>
      <x:c r="I61" s="227">
        <x:f>REMUNERACION_ENERBIT!I105</x:f>
        <x:v>0</x:v>
      </x:c>
      <x:c r="J61" s="227">
        <x:f>REMUNERACION_ENERBIT!J105</x:f>
        <x:v>0</x:v>
      </x:c>
      <x:c r="K61" s="231">
        <x:f>REMUNERACION_ENERBIT!K105</x:f>
        <x:v>0</x:v>
      </x:c>
      <x:c r="L61" s="230">
        <x:f>REMUNERACION_ENERBIT!L105</x:f>
        <x:v>0</x:v>
      </x:c>
      <x:c r="M61" s="231">
        <x:f>REMUNERACION_ENERBIT!M105</x:f>
        <x:v>0</x:v>
      </x:c>
      <x:c r="N61" s="230">
        <x:f>REMUNERACION_ENERBIT!N105</x:f>
        <x:v>0</x:v>
      </x:c>
      <x:c r="O61" s="231">
        <x:f>REMUNERACION_ENERBIT!O105</x:f>
        <x:v>0</x:v>
      </x:c>
      <x:c r="Q61" s="242"/>
      <x:c r="S61" s="250">
        <x:v>2</x:v>
      </x:c>
      <x:c r="T61" s="251" t="s">
        <x:v>11</x:v>
      </x:c>
      <x:c r="U61" s="252">
        <x:f>REMUNERACION_ENERBIT!U105</x:f>
        <x:v>0</x:v>
      </x:c>
      <x:c r="V61" s="253">
        <x:f>REMUNERACION_ENERBIT!V105</x:f>
        <x:v>0</x:v>
      </x:c>
      <x:c r="W61" s="253">
        <x:f>REMUNERACION_ENERBIT!W105</x:f>
        <x:v>0</x:v>
      </x:c>
      <x:c r="X61" s="253">
        <x:f>REMUNERACION_ENERBIT!X105</x:f>
        <x:v>0</x:v>
      </x:c>
      <x:c r="Y61" s="254">
        <x:f>REMUNERACION_ENERBIT!Y105</x:f>
        <x:v>0</x:v>
      </x:c>
      <x:c r="Z61" s="254">
        <x:f>REMUNERACION_ENERBIT!Z105</x:f>
        <x:v>0</x:v>
      </x:c>
      <x:c r="AA61" s="254">
        <x:f>REMUNERACION_ENERBIT!AA105</x:f>
        <x:v>0</x:v>
      </x:c>
      <x:c r="AB61" s="254">
        <x:f>REMUNERACION_ENERBIT!AB105</x:f>
        <x:v>0</x:v>
      </x:c>
      <x:c r="AC61" s="254">
        <x:f>REMUNERACION_ENERBIT!AC105</x:f>
        <x:v>0</x:v>
      </x:c>
      <x:c r="AD61" s="254">
        <x:f>REMUNERACION_ENERBIT!AD105</x:f>
        <x:v>0</x:v>
      </x:c>
      <x:c r="AE61" s="254">
        <x:f>REMUNERACION_ENERBIT!AE105</x:f>
        <x:v>0</x:v>
      </x:c>
      <x:c r="AF61" s="258">
        <x:f>REMUNERACION_ENERBIT!AF105</x:f>
        <x:v>0</x:v>
      </x:c>
      <x:c r="AG61" s="440">
        <x:f>REMUNERACION_ENEL!AG122</x:f>
        <x:v>0</x:v>
      </x:c>
      <x:c r="AH61" s="1"/>
      <x:c r="AI61" s="242"/>
      <x:c r="AM61" s="269"/>
    </x:row>
    <x:row r="62" spans="1:39" s="241" customFormat="1" ht="12" x14ac:dyDescent="0.25">
      <x:c r="B62" s="250">
        <x:v>3</x:v>
      </x:c>
      <x:c r="C62" s="251" t="s">
        <x:v>12</x:v>
      </x:c>
      <x:c r="D62" s="227">
        <x:f>REMUNERACION_ENERBIT!D106</x:f>
        <x:v>0</x:v>
      </x:c>
      <x:c r="E62" s="227">
        <x:f>REMUNERACION_ENERBIT!E106</x:f>
        <x:v>0</x:v>
      </x:c>
      <x:c r="F62" s="227">
        <x:f>REMUNERACION_ENERBIT!F106</x:f>
        <x:v>0</x:v>
      </x:c>
      <x:c r="G62" s="227">
        <x:f>REMUNERACION_ENERBIT!G106</x:f>
        <x:v>0</x:v>
      </x:c>
      <x:c r="H62" s="227">
        <x:f>REMUNERACION_ENERBIT!H106</x:f>
        <x:v>0</x:v>
      </x:c>
      <x:c r="I62" s="227">
        <x:f>REMUNERACION_ENERBIT!I106</x:f>
        <x:v>0</x:v>
      </x:c>
      <x:c r="J62" s="227">
        <x:f>REMUNERACION_ENERBIT!J106</x:f>
        <x:v>0</x:v>
      </x:c>
      <x:c r="K62" s="231">
        <x:f>REMUNERACION_ENERBIT!K106</x:f>
        <x:v>0</x:v>
      </x:c>
      <x:c r="L62" s="230">
        <x:f>REMUNERACION_ENERBIT!L106</x:f>
        <x:v>0</x:v>
      </x:c>
      <x:c r="M62" s="231">
        <x:f>REMUNERACION_ENERBIT!M106</x:f>
        <x:v>0</x:v>
      </x:c>
      <x:c r="N62" s="230">
        <x:f>REMUNERACION_ENERBIT!N106</x:f>
        <x:v>0</x:v>
      </x:c>
      <x:c r="O62" s="231">
        <x:f>REMUNERACION_ENERBIT!O106</x:f>
        <x:v>0</x:v>
      </x:c>
      <x:c r="Q62" s="242"/>
      <x:c r="S62" s="250">
        <x:v>3</x:v>
      </x:c>
      <x:c r="T62" s="251" t="s">
        <x:v>12</x:v>
      </x:c>
      <x:c r="U62" s="252">
        <x:f>REMUNERACION_ENERBIT!U106</x:f>
        <x:v>0</x:v>
      </x:c>
      <x:c r="V62" s="253">
        <x:f>REMUNERACION_ENERBIT!V106</x:f>
        <x:v>0</x:v>
      </x:c>
      <x:c r="W62" s="253">
        <x:f>REMUNERACION_ENERBIT!W106</x:f>
        <x:v>0</x:v>
      </x:c>
      <x:c r="X62" s="253">
        <x:f>REMUNERACION_ENERBIT!X106</x:f>
        <x:v>0</x:v>
      </x:c>
      <x:c r="Y62" s="254">
        <x:f>REMUNERACION_ENERBIT!Y106</x:f>
        <x:v>0</x:v>
      </x:c>
      <x:c r="Z62" s="254">
        <x:f>REMUNERACION_ENERBIT!Z106</x:f>
        <x:v>0</x:v>
      </x:c>
      <x:c r="AA62" s="254">
        <x:f>REMUNERACION_ENERBIT!AA106</x:f>
        <x:v>0</x:v>
      </x:c>
      <x:c r="AB62" s="254">
        <x:f>REMUNERACION_ENERBIT!AB106</x:f>
        <x:v>0</x:v>
      </x:c>
      <x:c r="AC62" s="254">
        <x:f>REMUNERACION_ENERBIT!AC106</x:f>
        <x:v>0</x:v>
      </x:c>
      <x:c r="AD62" s="254">
        <x:f>REMUNERACION_ENERBIT!AD106</x:f>
        <x:v>0</x:v>
      </x:c>
      <x:c r="AE62" s="254">
        <x:f>REMUNERACION_ENERBIT!AE106</x:f>
        <x:v>0</x:v>
      </x:c>
      <x:c r="AF62" s="258">
        <x:f>REMUNERACION_ENERBIT!AF106</x:f>
        <x:v>0</x:v>
      </x:c>
      <x:c r="AG62" s="440">
        <x:f>REMUNERACION_ENEL!AG123</x:f>
        <x:v>0</x:v>
      </x:c>
      <x:c r="AH62" s="1"/>
      <x:c r="AI62" s="242"/>
      <x:c r="AM62" s="269"/>
    </x:row>
    <x:row r="63" spans="1:39" s="241" customFormat="1" ht="12" x14ac:dyDescent="0.25">
      <x:c r="B63" s="250">
        <x:v>4</x:v>
      </x:c>
      <x:c r="C63" s="251" t="s">
        <x:v>13</x:v>
      </x:c>
      <x:c r="D63" s="227">
        <x:f>REMUNERACION_ENERBIT!D107</x:f>
        <x:v>0</x:v>
      </x:c>
      <x:c r="E63" s="227">
        <x:f>REMUNERACION_ENERBIT!E107</x:f>
        <x:v>0</x:v>
      </x:c>
      <x:c r="F63" s="227">
        <x:f>REMUNERACION_ENERBIT!F107</x:f>
        <x:v>0</x:v>
      </x:c>
      <x:c r="G63" s="227">
        <x:f>REMUNERACION_ENERBIT!G107</x:f>
        <x:v>0</x:v>
      </x:c>
      <x:c r="H63" s="227">
        <x:f>REMUNERACION_ENERBIT!H107</x:f>
        <x:v>0</x:v>
      </x:c>
      <x:c r="I63" s="227">
        <x:f>REMUNERACION_ENERBIT!I107</x:f>
        <x:v>0</x:v>
      </x:c>
      <x:c r="J63" s="227">
        <x:f>REMUNERACION_ENERBIT!J107</x:f>
        <x:v>0</x:v>
      </x:c>
      <x:c r="K63" s="231">
        <x:f>REMUNERACION_ENERBIT!K107</x:f>
        <x:v>0</x:v>
      </x:c>
      <x:c r="L63" s="230">
        <x:f>REMUNERACION_ENERBIT!L107</x:f>
        <x:v>0</x:v>
      </x:c>
      <x:c r="M63" s="231">
        <x:f>REMUNERACION_ENERBIT!M107</x:f>
        <x:v>0</x:v>
      </x:c>
      <x:c r="N63" s="230">
        <x:f>REMUNERACION_ENERBIT!N107</x:f>
        <x:v>0</x:v>
      </x:c>
      <x:c r="O63" s="231">
        <x:f>REMUNERACION_ENERBIT!O107</x:f>
        <x:v>0</x:v>
      </x:c>
      <x:c r="Q63" s="242"/>
      <x:c r="S63" s="250">
        <x:v>4</x:v>
      </x:c>
      <x:c r="T63" s="251" t="s">
        <x:v>13</x:v>
      </x:c>
      <x:c r="U63" s="252">
        <x:f>REMUNERACION_ENERBIT!U107</x:f>
        <x:v>0</x:v>
      </x:c>
      <x:c r="V63" s="253">
        <x:f>REMUNERACION_ENERBIT!V107</x:f>
        <x:v>0</x:v>
      </x:c>
      <x:c r="W63" s="253">
        <x:f>REMUNERACION_ENERBIT!W107</x:f>
        <x:v>0</x:v>
      </x:c>
      <x:c r="X63" s="253">
        <x:f>REMUNERACION_ENERBIT!X107</x:f>
        <x:v>0</x:v>
      </x:c>
      <x:c r="Y63" s="254">
        <x:f>REMUNERACION_ENERBIT!Y107</x:f>
        <x:v>0</x:v>
      </x:c>
      <x:c r="Z63" s="254">
        <x:f>REMUNERACION_ENERBIT!Z107</x:f>
        <x:v>0</x:v>
      </x:c>
      <x:c r="AA63" s="254">
        <x:f>REMUNERACION_ENERBIT!AA107</x:f>
        <x:v>0</x:v>
      </x:c>
      <x:c r="AB63" s="254">
        <x:f>REMUNERACION_ENERBIT!AB107</x:f>
        <x:v>0</x:v>
      </x:c>
      <x:c r="AC63" s="254">
        <x:f>REMUNERACION_ENERBIT!AC107</x:f>
        <x:v>0</x:v>
      </x:c>
      <x:c r="AD63" s="254">
        <x:f>REMUNERACION_ENERBIT!AD107</x:f>
        <x:v>0</x:v>
      </x:c>
      <x:c r="AE63" s="254">
        <x:f>REMUNERACION_ENERBIT!AE107</x:f>
        <x:v>0</x:v>
      </x:c>
      <x:c r="AF63" s="258">
        <x:f>REMUNERACION_ENERBIT!AF107</x:f>
        <x:v>0</x:v>
      </x:c>
      <x:c r="AG63" s="440">
        <x:f>REMUNERACION_ENEL!AG124</x:f>
        <x:v>0</x:v>
      </x:c>
      <x:c r="AH63" s="1"/>
      <x:c r="AI63" s="242"/>
      <x:c r="AM63" s="269"/>
    </x:row>
    <x:row r="64" spans="1:39" s="241" customFormat="1" ht="12.6" thickBot="1" x14ac:dyDescent="0.3">
      <x:c r="B64" s="260">
        <x:v>5</x:v>
      </x:c>
      <x:c r="C64" s="261" t="s">
        <x:v>14</x:v>
      </x:c>
      <x:c r="D64" s="227">
        <x:f>REMUNERACION_ENERBIT!D108</x:f>
        <x:v>0</x:v>
      </x:c>
      <x:c r="E64" s="227">
        <x:f>REMUNERACION_ENERBIT!E108</x:f>
        <x:v>0</x:v>
      </x:c>
      <x:c r="F64" s="227">
        <x:f>REMUNERACION_ENERBIT!F108</x:f>
        <x:v>0</x:v>
      </x:c>
      <x:c r="G64" s="227">
        <x:f>REMUNERACION_ENERBIT!G108</x:f>
        <x:v>0</x:v>
      </x:c>
      <x:c r="H64" s="227">
        <x:f>REMUNERACION_ENERBIT!H108</x:f>
        <x:v>0</x:v>
      </x:c>
      <x:c r="I64" s="227">
        <x:f>REMUNERACION_ENERBIT!I108</x:f>
        <x:v>0</x:v>
      </x:c>
      <x:c r="J64" s="227">
        <x:f>REMUNERACION_ENERBIT!J108</x:f>
        <x:v>0</x:v>
      </x:c>
      <x:c r="K64" s="231">
        <x:f>REMUNERACION_ENERBIT!K108</x:f>
        <x:v>0</x:v>
      </x:c>
      <x:c r="L64" s="230">
        <x:f>REMUNERACION_ENERBIT!L108</x:f>
        <x:v>0</x:v>
      </x:c>
      <x:c r="M64" s="234">
        <x:f>REMUNERACION_ENERBIT!M108</x:f>
        <x:v>0</x:v>
      </x:c>
      <x:c r="N64" s="235">
        <x:f>REMUNERACION_ENERBIT!N108</x:f>
        <x:v>0</x:v>
      </x:c>
      <x:c r="O64" s="234">
        <x:f>REMUNERACION_ENERBIT!O108</x:f>
        <x:v>0</x:v>
      </x:c>
      <x:c r="Q64" s="242"/>
      <x:c r="S64" s="260">
        <x:v>5</x:v>
      </x:c>
      <x:c r="T64" s="261" t="s">
        <x:v>14</x:v>
      </x:c>
      <x:c r="U64" s="232">
        <x:f>REMUNERACION_ENERBIT!U108</x:f>
        <x:v>0</x:v>
      </x:c>
      <x:c r="V64" s="233">
        <x:f>REMUNERACION_ENERBIT!V108</x:f>
        <x:v>0</x:v>
      </x:c>
      <x:c r="W64" s="233">
        <x:f>REMUNERACION_ENERBIT!W108</x:f>
        <x:v>0</x:v>
      </x:c>
      <x:c r="X64" s="233">
        <x:f>REMUNERACION_ENERBIT!X108</x:f>
        <x:v>0</x:v>
      </x:c>
      <x:c r="Y64" s="225">
        <x:f>REMUNERACION_ENERBIT!Y108</x:f>
        <x:v>0</x:v>
      </x:c>
      <x:c r="Z64" s="225">
        <x:f>REMUNERACION_ENERBIT!Z108</x:f>
        <x:v>0</x:v>
      </x:c>
      <x:c r="AA64" s="225">
        <x:f>REMUNERACION_ENERBIT!AA108</x:f>
        <x:v>0</x:v>
      </x:c>
      <x:c r="AB64" s="225">
        <x:f>REMUNERACION_ENERBIT!AB108</x:f>
        <x:v>0</x:v>
      </x:c>
      <x:c r="AC64" s="225">
        <x:f>REMUNERACION_ENERBIT!AC108</x:f>
        <x:v>0</x:v>
      </x:c>
      <x:c r="AD64" s="225">
        <x:f>REMUNERACION_ENERBIT!AD108</x:f>
        <x:v>0</x:v>
      </x:c>
      <x:c r="AE64" s="225">
        <x:f>REMUNERACION_ENERBIT!AE108</x:f>
        <x:v>0</x:v>
      </x:c>
      <x:c r="AF64" s="258">
        <x:f>REMUNERACION_ENERBIT!AF108</x:f>
        <x:v>0</x:v>
      </x:c>
      <x:c r="AG64" s="441">
        <x:f>REMUNERACION_ENEL!AG125</x:f>
        <x:v>0</x:v>
      </x:c>
      <x:c r="AH64" s="1"/>
      <x:c r="AI64" s="242"/>
      <x:c r="AM64" s="269"/>
    </x:row>
    <x:row r="65" spans="1:39" s="241" customFormat="1" ht="13.8" thickBot="1" x14ac:dyDescent="0.3">
      <x:c r="B65" s="263"/>
      <x:c r="C65" s="264" t="s">
        <x:v>2</x:v>
      </x:c>
      <x:c r="D65" s="226">
        <x:f>REMUNERACION_ENERBIT!D109</x:f>
        <x:v>0</x:v>
      </x:c>
      <x:c r="E65" s="226">
        <x:f>REMUNERACION_ENERBIT!E109</x:f>
        <x:v>0</x:v>
      </x:c>
      <x:c r="F65" s="226">
        <x:f>REMUNERACION_ENERBIT!F109</x:f>
        <x:v>0</x:v>
      </x:c>
      <x:c r="G65" s="226">
        <x:f>REMUNERACION_ENERBIT!G109</x:f>
        <x:v>0</x:v>
      </x:c>
      <x:c r="H65" s="226">
        <x:f>REMUNERACION_ENERBIT!H109</x:f>
        <x:v>0</x:v>
      </x:c>
      <x:c r="I65" s="226">
        <x:f>REMUNERACION_ENERBIT!I109</x:f>
        <x:v>0</x:v>
      </x:c>
      <x:c r="J65" s="226">
        <x:f>REMUNERACION_ENERBIT!J109</x:f>
        <x:v>0</x:v>
      </x:c>
      <x:c r="K65" s="236">
        <x:f>REMUNERACION_ENERBIT!K109</x:f>
        <x:v>0</x:v>
      </x:c>
      <x:c r="L65" s="237">
        <x:f>REMUNERACION_ENERBIT!L109</x:f>
        <x:v>0</x:v>
      </x:c>
      <x:c r="M65" s="238">
        <x:f>REMUNERACION_ENERBIT!M109</x:f>
        <x:v>0</x:v>
      </x:c>
      <x:c r="N65" s="237">
        <x:f>REMUNERACION_ENERBIT!N109</x:f>
        <x:v>0</x:v>
      </x:c>
      <x:c r="O65" s="238">
        <x:f>REMUNERACION_ENERBIT!O109</x:f>
        <x:v>0</x:v>
      </x:c>
      <x:c r="P65" s="265"/>
      <x:c r="Q65" s="242"/>
      <x:c r="S65" s="263"/>
      <x:c r="T65" s="264" t="s">
        <x:v>2</x:v>
      </x:c>
      <x:c r="U65" s="266">
        <x:f>REMUNERACION_ENERBIT!U109</x:f>
        <x:v>0</x:v>
      </x:c>
      <x:c r="V65" s="266">
        <x:f>REMUNERACION_ENERBIT!V109</x:f>
        <x:v>0</x:v>
      </x:c>
      <x:c r="W65" s="266">
        <x:f>REMUNERACION_ENERBIT!W109</x:f>
        <x:v>0</x:v>
      </x:c>
      <x:c r="X65" s="266">
        <x:f>REMUNERACION_ENERBIT!X109</x:f>
        <x:v>0</x:v>
      </x:c>
      <x:c r="Y65" s="266">
        <x:f>REMUNERACION_ENERBIT!Y109</x:f>
        <x:v>0</x:v>
      </x:c>
      <x:c r="Z65" s="266">
        <x:f>REMUNERACION_ENERBIT!Z109</x:f>
        <x:v>0</x:v>
      </x:c>
      <x:c r="AA65" s="266">
        <x:f>REMUNERACION_ENERBIT!AA109</x:f>
        <x:v>0</x:v>
      </x:c>
      <x:c r="AB65" s="266">
        <x:f>REMUNERACION_ENERBIT!AB109</x:f>
        <x:v>0</x:v>
      </x:c>
      <x:c r="AC65" s="266">
        <x:f>REMUNERACION_ENERBIT!AC109</x:f>
        <x:v>0</x:v>
      </x:c>
      <x:c r="AD65" s="266">
        <x:f>REMUNERACION_ENERBIT!AD109</x:f>
        <x:v>0</x:v>
      </x:c>
      <x:c r="AE65" s="266">
        <x:f>REMUNERACION_ENERBIT!AE109</x:f>
        <x:v>0</x:v>
      </x:c>
      <x:c r="AF65" s="267">
        <x:f>REMUNERACION_ENERBIT!AF109</x:f>
        <x:v>0</x:v>
      </x:c>
      <x:c r="AG65" s="442">
        <x:f>REMUNERACION_ENEL!AG126</x:f>
        <x:v>0</x:v>
      </x:c>
      <x:c r="AH65" s="1"/>
      <x:c r="AI65" s="242"/>
      <x:c r="AM65" s="269"/>
    </x:row>
    <x:row r="66" spans="1:39" ht="12" x14ac:dyDescent="0.25">
      <x:c r="B66" s="2"/>
      <x:c r="C66" s="2"/>
      <x:c r="D66" s="374"/>
      <x:c r="E66" s="374"/>
      <x:c r="F66" s="374"/>
      <x:c r="G66" s="374"/>
      <x:c r="H66" s="374"/>
      <x:c r="I66" s="374"/>
      <x:c r="K66" s="374"/>
      <x:c r="L66" s="374"/>
      <x:c r="M66" s="374"/>
      <x:c r="N66" s="374"/>
      <x:c r="O66" s="374"/>
      <x:c r="Q66" s="4"/>
      <x:c r="S66" s="2"/>
      <x:c r="T66" s="2"/>
      <x:c r="U66" s="374"/>
      <x:c r="V66" s="374"/>
      <x:c r="W66" s="374"/>
      <x:c r="X66" s="374"/>
      <x:c r="Y66" s="374"/>
      <x:c r="AF66" s="374"/>
      <x:c r="AI66" s="4"/>
    </x:row>
    <x:row r="67" spans="1:39" ht="12" x14ac:dyDescent="0.25">
      <x:c r="B67" s="2"/>
      <x:c r="C67" s="2"/>
      <x:c r="D67" s="467"/>
      <x:c r="E67" s="467"/>
      <x:c r="F67" s="467"/>
      <x:c r="G67" s="467"/>
      <x:c r="H67" s="467"/>
      <x:c r="I67" s="467"/>
      <x:c r="K67" s="467"/>
      <x:c r="L67" s="467"/>
      <x:c r="M67" s="467"/>
      <x:c r="N67" s="467"/>
      <x:c r="O67" s="467"/>
      <x:c r="Q67" s="4"/>
      <x:c r="AI67" s="4"/>
    </x:row>
    <x:row r="68" spans="1:39" ht="12.6" thickBot="1" x14ac:dyDescent="0.3">
      <x:c r="A68" s="4"/>
      <x:c r="B68" s="34"/>
      <x:c r="C68" s="34"/>
      <x:c r="D68" s="397"/>
      <x:c r="E68" s="397"/>
      <x:c r="F68" s="397"/>
      <x:c r="G68" s="397"/>
      <x:c r="H68" s="397"/>
      <x:c r="I68" s="397"/>
      <x:c r="J68" s="4"/>
      <x:c r="K68" s="397"/>
      <x:c r="L68" s="397"/>
      <x:c r="M68" s="397"/>
      <x:c r="N68" s="397"/>
      <x:c r="O68" s="397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ht="12" x14ac:dyDescent="0.25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3.8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6" x14ac:dyDescent="0.3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3.8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6" x14ac:dyDescent="0.3">
      <x:c r="B73" s="8"/>
      <x:c r="C73" s="2"/>
      <x:c r="D73" s="9"/>
      <x:c r="F73" s="399" t="s">
        <x:v>187</x:v>
      </x:c>
      <x:c r="G73" s="399"/>
      <x:c r="H73" s="400"/>
      <x:c r="I73" s="401"/>
      <x:c r="J73" s="400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6" thickBot="1" x14ac:dyDescent="0.3">
      <x:c r="B74" s="8"/>
      <x:c r="C74" s="2"/>
      <x:c r="D74" s="198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599999999999994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167</x:v>
      </x:c>
      <x:c r="AD75" s="114" t="s">
        <x:v>105</x:v>
      </x:c>
      <x:c r="AE75" s="114" t="s">
        <x:v>104</x:v>
      </x:c>
      <x:c r="AF75" s="39" t="s">
        <x:v>23</x:v>
      </x:c>
      <x:c r="AG75" s="13"/>
      <x:c r="AI75" s="4"/>
    </x:row>
    <x:row r="76" spans="1:39" s="241" customFormat="1" ht="12" x14ac:dyDescent="0.25">
      <x:c r="B76" s="239">
        <x:v>1</x:v>
      </x:c>
      <x:c r="C76" s="240" t="s">
        <x:v>10</x:v>
      </x:c>
      <x:c r="D76" s="227">
        <x:f>'REMUNERACION_OCCIDENTE_ Directa'!D104</x:f>
        <x:v>0</x:v>
      </x:c>
      <x:c r="E76" s="228">
        <x:f>'REMUNERACION_OCCIDENTE_ Directa'!E104</x:f>
        <x:v>0</x:v>
      </x:c>
      <x:c r="F76" s="228">
        <x:f>'REMUNERACION_OCCIDENTE_ Directa'!F104</x:f>
        <x:v>0</x:v>
      </x:c>
      <x:c r="G76" s="228">
        <x:f>'REMUNERACION_OCCIDENTE_ Directa'!G104</x:f>
        <x:v>0</x:v>
      </x:c>
      <x:c r="H76" s="228">
        <x:f>'REMUNERACION_OCCIDENTE_ Directa'!H104</x:f>
        <x:v>0</x:v>
      </x:c>
      <x:c r="I76" s="228">
        <x:f>'REMUNERACION_OCCIDENTE_ Directa'!I104</x:f>
        <x:v>0</x:v>
      </x:c>
      <x:c r="J76" s="224">
        <x:f>'REMUNERACION_OCCIDENTE_ Directa'!J104</x:f>
        <x:v>0</x:v>
      </x:c>
      <x:c r="K76" s="229">
        <x:f>'REMUNERACION_OCCIDENTE_ Directa'!K104</x:f>
        <x:v>0</x:v>
      </x:c>
      <x:c r="L76" s="230">
        <x:f>'REMUNERACION_OCCIDENTE_ Directa'!L104</x:f>
        <x:v>0</x:v>
      </x:c>
      <x:c r="M76" s="229">
        <x:f>'REMUNERACION_OCCIDENTE_ Directa'!M104</x:f>
        <x:v>0</x:v>
      </x:c>
      <x:c r="N76" s="230">
        <x:f>'REMUNERACION_OCCIDENTE_ Directa'!N104</x:f>
        <x:v>0</x:v>
      </x:c>
      <x:c r="O76" s="229">
        <x:f>'REMUNERACION_OCCIDENTE_ Directa'!O104</x:f>
        <x:v>0</x:v>
      </x:c>
      <x:c r="Q76" s="242"/>
      <x:c r="S76" s="239">
        <x:v>1</x:v>
      </x:c>
      <x:c r="T76" s="240" t="s">
        <x:v>10</x:v>
      </x:c>
      <x:c r="U76" s="243">
        <x:f>'REMUNERACION_OCCIDENTE_ Directa'!U104</x:f>
        <x:v>0</x:v>
      </x:c>
      <x:c r="V76" s="244">
        <x:f>'REMUNERACION_OCCIDENTE_ Directa'!V104</x:f>
        <x:v>0</x:v>
      </x:c>
      <x:c r="W76" s="244">
        <x:f>'REMUNERACION_OCCIDENTE_ Directa'!W104</x:f>
        <x:v>0</x:v>
      </x:c>
      <x:c r="X76" s="244">
        <x:f>'REMUNERACION_OCCIDENTE_ Directa'!X104</x:f>
        <x:v>0</x:v>
      </x:c>
      <x:c r="Y76" s="245">
        <x:f>'REMUNERACION_OCCIDENTE_ Directa'!Y104</x:f>
        <x:v>0</x:v>
      </x:c>
      <x:c r="Z76" s="246">
        <x:f>'REMUNERACION_OCCIDENTE_ Directa'!Z104</x:f>
        <x:v>0</x:v>
      </x:c>
      <x:c r="AA76" s="247">
        <x:f>'REMUNERACION_OCCIDENTE_ Directa'!AA104</x:f>
        <x:v>0</x:v>
      </x:c>
      <x:c r="AB76" s="230">
        <x:f>'REMUNERACION_OCCIDENTE_ Directa'!AB104</x:f>
        <x:v>0</x:v>
      </x:c>
      <x:c r="AC76" s="247">
        <x:f>'REMUNERACION_OCCIDENTE_ Directa'!AC104</x:f>
        <x:v>0</x:v>
      </x:c>
      <x:c r="AD76" s="227">
        <x:f>'REMUNERACION_OCCIDENTE_ Directa'!AD104</x:f>
        <x:v>0</x:v>
      </x:c>
      <x:c r="AE76" s="227">
        <x:f>'REMUNERACION_OCCIDENTE_ Directa'!AE104</x:f>
        <x:v>0</x:v>
      </x:c>
      <x:c r="AF76" s="249">
        <x:f>'REMUNERACION_OCCIDENTE_ Directa'!AF104</x:f>
        <x:v>0</x:v>
      </x:c>
      <x:c r="AG76" s="439">
        <x:f>'REMUNERACION_OCCIDENTE_ Directa'!AG104</x:f>
        <x:v>0</x:v>
      </x:c>
      <x:c r="AH76" s="1"/>
      <x:c r="AI76" s="242"/>
      <x:c r="AM76" s="269"/>
    </x:row>
    <x:row r="77" spans="1:39" s="241" customFormat="1" ht="12" x14ac:dyDescent="0.25">
      <x:c r="B77" s="250">
        <x:v>2</x:v>
      </x:c>
      <x:c r="C77" s="251" t="s">
        <x:v>11</x:v>
      </x:c>
      <x:c r="D77" s="227">
        <x:f>'REMUNERACION_OCCIDENTE_ Directa'!D105</x:f>
        <x:v>0</x:v>
      </x:c>
      <x:c r="E77" s="228">
        <x:f>'REMUNERACION_OCCIDENTE_ Directa'!E105</x:f>
        <x:v>0</x:v>
      </x:c>
      <x:c r="F77" s="228">
        <x:f>'REMUNERACION_OCCIDENTE_ Directa'!F105</x:f>
        <x:v>0</x:v>
      </x:c>
      <x:c r="G77" s="228">
        <x:f>'REMUNERACION_OCCIDENTE_ Directa'!G105</x:f>
        <x:v>0</x:v>
      </x:c>
      <x:c r="H77" s="228">
        <x:f>'REMUNERACION_OCCIDENTE_ Directa'!H105</x:f>
        <x:v>0</x:v>
      </x:c>
      <x:c r="I77" s="228">
        <x:f>'REMUNERACION_OCCIDENTE_ Directa'!I105</x:f>
        <x:v>0</x:v>
      </x:c>
      <x:c r="J77" s="224">
        <x:f>'REMUNERACION_OCCIDENTE_ Directa'!J105</x:f>
        <x:v>0</x:v>
      </x:c>
      <x:c r="K77" s="231">
        <x:f>'REMUNERACION_OCCIDENTE_ Directa'!K105</x:f>
        <x:v>0</x:v>
      </x:c>
      <x:c r="L77" s="230">
        <x:f>'REMUNERACION_OCCIDENTE_ Directa'!L105</x:f>
        <x:v>0</x:v>
      </x:c>
      <x:c r="M77" s="231">
        <x:f>'REMUNERACION_OCCIDENTE_ Directa'!M105</x:f>
        <x:v>0</x:v>
      </x:c>
      <x:c r="N77" s="230">
        <x:f>'REMUNERACION_OCCIDENTE_ Directa'!N105</x:f>
        <x:v>0</x:v>
      </x:c>
      <x:c r="O77" s="231">
        <x:f>'REMUNERACION_OCCIDENTE_ Directa'!O105</x:f>
        <x:v>0</x:v>
      </x:c>
      <x:c r="Q77" s="242"/>
      <x:c r="S77" s="250">
        <x:v>2</x:v>
      </x:c>
      <x:c r="T77" s="251" t="s">
        <x:v>11</x:v>
      </x:c>
      <x:c r="U77" s="252">
        <x:f>'REMUNERACION_OCCIDENTE_ Directa'!U105</x:f>
        <x:v>0</x:v>
      </x:c>
      <x:c r="V77" s="253">
        <x:f>'REMUNERACION_OCCIDENTE_ Directa'!V105</x:f>
        <x:v>0</x:v>
      </x:c>
      <x:c r="W77" s="253">
        <x:f>'REMUNERACION_OCCIDENTE_ Directa'!W105</x:f>
        <x:v>0</x:v>
      </x:c>
      <x:c r="X77" s="253">
        <x:f>'REMUNERACION_OCCIDENTE_ Directa'!X105</x:f>
        <x:v>0</x:v>
      </x:c>
      <x:c r="Y77" s="254">
        <x:f>'REMUNERACION_OCCIDENTE_ Directa'!Y105</x:f>
        <x:v>0</x:v>
      </x:c>
      <x:c r="Z77" s="255">
        <x:f>'REMUNERACION_OCCIDENTE_ Directa'!Z105</x:f>
        <x:v>0</x:v>
      </x:c>
      <x:c r="AA77" s="256">
        <x:f>'REMUNERACION_OCCIDENTE_ Directa'!AA105</x:f>
        <x:v>0</x:v>
      </x:c>
      <x:c r="AB77" s="230">
        <x:f>'REMUNERACION_OCCIDENTE_ Directa'!AB105</x:f>
        <x:v>0</x:v>
      </x:c>
      <x:c r="AC77" s="256">
        <x:f>'REMUNERACION_OCCIDENTE_ Directa'!AC105</x:f>
        <x:v>0</x:v>
      </x:c>
      <x:c r="AD77" s="227">
        <x:f>'REMUNERACION_OCCIDENTE_ Directa'!AD105</x:f>
        <x:v>0</x:v>
      </x:c>
      <x:c r="AE77" s="227">
        <x:f>'REMUNERACION_OCCIDENTE_ Directa'!AE105</x:f>
        <x:v>0</x:v>
      </x:c>
      <x:c r="AF77" s="258">
        <x:f>'REMUNERACION_OCCIDENTE_ Directa'!AF105</x:f>
        <x:v>0</x:v>
      </x:c>
      <x:c r="AG77" s="440">
        <x:f>'REMUNERACION_OCCIDENTE_ Directa'!AG105</x:f>
        <x:v>0</x:v>
      </x:c>
      <x:c r="AH77" s="1"/>
      <x:c r="AI77" s="242"/>
      <x:c r="AM77" s="269"/>
    </x:row>
    <x:row r="78" spans="1:39" s="241" customFormat="1" ht="12" x14ac:dyDescent="0.25">
      <x:c r="B78" s="250">
        <x:v>3</x:v>
      </x:c>
      <x:c r="C78" s="251" t="s">
        <x:v>12</x:v>
      </x:c>
      <x:c r="D78" s="227">
        <x:f>'REMUNERACION_OCCIDENTE_ Directa'!D106</x:f>
        <x:v>0</x:v>
      </x:c>
      <x:c r="E78" s="228">
        <x:f>'REMUNERACION_OCCIDENTE_ Directa'!E106</x:f>
        <x:v>0</x:v>
      </x:c>
      <x:c r="F78" s="228">
        <x:f>'REMUNERACION_OCCIDENTE_ Directa'!F106</x:f>
        <x:v>0</x:v>
      </x:c>
      <x:c r="G78" s="228">
        <x:f>'REMUNERACION_OCCIDENTE_ Directa'!G106</x:f>
        <x:v>0</x:v>
      </x:c>
      <x:c r="H78" s="228">
        <x:f>'REMUNERACION_OCCIDENTE_ Directa'!H106</x:f>
        <x:v>0</x:v>
      </x:c>
      <x:c r="I78" s="228">
        <x:f>'REMUNERACION_OCCIDENTE_ Directa'!I106</x:f>
        <x:v>0</x:v>
      </x:c>
      <x:c r="J78" s="224">
        <x:f>'REMUNERACION_OCCIDENTE_ Directa'!J106</x:f>
        <x:v>0</x:v>
      </x:c>
      <x:c r="K78" s="231">
        <x:f>'REMUNERACION_OCCIDENTE_ Directa'!K106</x:f>
        <x:v>0</x:v>
      </x:c>
      <x:c r="L78" s="230">
        <x:f>'REMUNERACION_OCCIDENTE_ Directa'!L106</x:f>
        <x:v>0</x:v>
      </x:c>
      <x:c r="M78" s="231">
        <x:f>'REMUNERACION_OCCIDENTE_ Directa'!M106</x:f>
        <x:v>0</x:v>
      </x:c>
      <x:c r="N78" s="230">
        <x:f>'REMUNERACION_OCCIDENTE_ Directa'!N106</x:f>
        <x:v>0</x:v>
      </x:c>
      <x:c r="O78" s="231">
        <x:f>'REMUNERACION_OCCIDENTE_ Directa'!O106</x:f>
        <x:v>0</x:v>
      </x:c>
      <x:c r="Q78" s="242"/>
      <x:c r="S78" s="250">
        <x:v>3</x:v>
      </x:c>
      <x:c r="T78" s="251" t="s">
        <x:v>12</x:v>
      </x:c>
      <x:c r="U78" s="252">
        <x:f>'REMUNERACION_OCCIDENTE_ Directa'!U106</x:f>
        <x:v>0</x:v>
      </x:c>
      <x:c r="V78" s="253">
        <x:f>'REMUNERACION_OCCIDENTE_ Directa'!V106</x:f>
        <x:v>0</x:v>
      </x:c>
      <x:c r="W78" s="253">
        <x:f>'REMUNERACION_OCCIDENTE_ Directa'!W106</x:f>
        <x:v>0</x:v>
      </x:c>
      <x:c r="X78" s="253">
        <x:f>'REMUNERACION_OCCIDENTE_ Directa'!X106</x:f>
        <x:v>0</x:v>
      </x:c>
      <x:c r="Y78" s="254">
        <x:f>'REMUNERACION_OCCIDENTE_ Directa'!Y106</x:f>
        <x:v>0</x:v>
      </x:c>
      <x:c r="Z78" s="255">
        <x:f>'REMUNERACION_OCCIDENTE_ Directa'!Z106</x:f>
        <x:v>0</x:v>
      </x:c>
      <x:c r="AA78" s="256">
        <x:f>'REMUNERACION_OCCIDENTE_ Directa'!AA106</x:f>
        <x:v>0</x:v>
      </x:c>
      <x:c r="AB78" s="230">
        <x:f>'REMUNERACION_OCCIDENTE_ Directa'!AB106</x:f>
        <x:v>0</x:v>
      </x:c>
      <x:c r="AC78" s="256">
        <x:f>'REMUNERACION_OCCIDENTE_ Directa'!AC106</x:f>
        <x:v>0</x:v>
      </x:c>
      <x:c r="AD78" s="227">
        <x:f>'REMUNERACION_OCCIDENTE_ Directa'!AD106</x:f>
        <x:v>0</x:v>
      </x:c>
      <x:c r="AE78" s="227">
        <x:f>'REMUNERACION_OCCIDENTE_ Directa'!AE106</x:f>
        <x:v>0</x:v>
      </x:c>
      <x:c r="AF78" s="258">
        <x:f>'REMUNERACION_OCCIDENTE_ Directa'!AF106</x:f>
        <x:v>0</x:v>
      </x:c>
      <x:c r="AG78" s="440">
        <x:f>'REMUNERACION_OCCIDENTE_ Directa'!AG106</x:f>
        <x:v>0</x:v>
      </x:c>
      <x:c r="AH78" s="1"/>
      <x:c r="AI78" s="242"/>
      <x:c r="AM78" s="269"/>
    </x:row>
    <x:row r="79" spans="1:39" s="241" customFormat="1" ht="12" x14ac:dyDescent="0.25">
      <x:c r="B79" s="250">
        <x:v>4</x:v>
      </x:c>
      <x:c r="C79" s="251" t="s">
        <x:v>13</x:v>
      </x:c>
      <x:c r="D79" s="227">
        <x:f>'REMUNERACION_OCCIDENTE_ Directa'!D107</x:f>
        <x:v>0</x:v>
      </x:c>
      <x:c r="E79" s="228">
        <x:f>'REMUNERACION_OCCIDENTE_ Directa'!E107</x:f>
        <x:v>0</x:v>
      </x:c>
      <x:c r="F79" s="228">
        <x:f>'REMUNERACION_OCCIDENTE_ Directa'!F107</x:f>
        <x:v>0</x:v>
      </x:c>
      <x:c r="G79" s="228">
        <x:f>'REMUNERACION_OCCIDENTE_ Directa'!G107</x:f>
        <x:v>0</x:v>
      </x:c>
      <x:c r="H79" s="228">
        <x:f>'REMUNERACION_OCCIDENTE_ Directa'!H107</x:f>
        <x:v>0</x:v>
      </x:c>
      <x:c r="I79" s="228">
        <x:f>'REMUNERACION_OCCIDENTE_ Directa'!I107</x:f>
        <x:v>0</x:v>
      </x:c>
      <x:c r="J79" s="224">
        <x:f>'REMUNERACION_OCCIDENTE_ Directa'!J107</x:f>
        <x:v>0</x:v>
      </x:c>
      <x:c r="K79" s="231">
        <x:f>'REMUNERACION_OCCIDENTE_ Directa'!K107</x:f>
        <x:v>0</x:v>
      </x:c>
      <x:c r="L79" s="230">
        <x:f>'REMUNERACION_OCCIDENTE_ Directa'!L107</x:f>
        <x:v>0</x:v>
      </x:c>
      <x:c r="M79" s="231">
        <x:f>'REMUNERACION_OCCIDENTE_ Directa'!M107</x:f>
        <x:v>0</x:v>
      </x:c>
      <x:c r="N79" s="230">
        <x:f>'REMUNERACION_OCCIDENTE_ Directa'!N107</x:f>
        <x:v>0</x:v>
      </x:c>
      <x:c r="O79" s="231">
        <x:f>'REMUNERACION_OCCIDENTE_ Directa'!O107</x:f>
        <x:v>0</x:v>
      </x:c>
      <x:c r="Q79" s="242"/>
      <x:c r="S79" s="250">
        <x:v>4</x:v>
      </x:c>
      <x:c r="T79" s="251" t="s">
        <x:v>13</x:v>
      </x:c>
      <x:c r="U79" s="252">
        <x:f>'REMUNERACION_OCCIDENTE_ Directa'!U107</x:f>
        <x:v>0</x:v>
      </x:c>
      <x:c r="V79" s="253">
        <x:f>'REMUNERACION_OCCIDENTE_ Directa'!V107</x:f>
        <x:v>0</x:v>
      </x:c>
      <x:c r="W79" s="253">
        <x:f>'REMUNERACION_OCCIDENTE_ Directa'!W107</x:f>
        <x:v>0</x:v>
      </x:c>
      <x:c r="X79" s="253">
        <x:f>'REMUNERACION_OCCIDENTE_ Directa'!X107</x:f>
        <x:v>0</x:v>
      </x:c>
      <x:c r="Y79" s="254">
        <x:f>'REMUNERACION_OCCIDENTE_ Directa'!Y107</x:f>
        <x:v>0</x:v>
      </x:c>
      <x:c r="Z79" s="255">
        <x:f>'REMUNERACION_OCCIDENTE_ Directa'!Z107</x:f>
        <x:v>0</x:v>
      </x:c>
      <x:c r="AA79" s="256">
        <x:f>'REMUNERACION_OCCIDENTE_ Directa'!AA107</x:f>
        <x:v>0</x:v>
      </x:c>
      <x:c r="AB79" s="230">
        <x:f>'REMUNERACION_OCCIDENTE_ Directa'!AB107</x:f>
        <x:v>0</x:v>
      </x:c>
      <x:c r="AC79" s="256">
        <x:f>'REMUNERACION_OCCIDENTE_ Directa'!AC107</x:f>
        <x:v>0</x:v>
      </x:c>
      <x:c r="AD79" s="227">
        <x:f>'REMUNERACION_OCCIDENTE_ Directa'!AD107</x:f>
        <x:v>0</x:v>
      </x:c>
      <x:c r="AE79" s="227">
        <x:f>'REMUNERACION_OCCIDENTE_ Directa'!AE107</x:f>
        <x:v>0</x:v>
      </x:c>
      <x:c r="AF79" s="258">
        <x:f>'REMUNERACION_OCCIDENTE_ Directa'!AF107</x:f>
        <x:v>0</x:v>
      </x:c>
      <x:c r="AG79" s="440">
        <x:f>'REMUNERACION_OCCIDENTE_ Directa'!AG107</x:f>
        <x:v>0</x:v>
      </x:c>
      <x:c r="AH79" s="1"/>
      <x:c r="AI79" s="242"/>
      <x:c r="AM79" s="269"/>
    </x:row>
    <x:row r="80" spans="1:39" s="241" customFormat="1" ht="12.6" thickBot="1" x14ac:dyDescent="0.3">
      <x:c r="B80" s="260">
        <x:v>5</x:v>
      </x:c>
      <x:c r="C80" s="261" t="s">
        <x:v>14</x:v>
      </x:c>
      <x:c r="D80" s="232">
        <x:f>'REMUNERACION_OCCIDENTE_ Directa'!D108</x:f>
        <x:v>0</x:v>
      </x:c>
      <x:c r="E80" s="233">
        <x:f>'REMUNERACION_OCCIDENTE_ Directa'!E108</x:f>
        <x:v>0</x:v>
      </x:c>
      <x:c r="F80" s="233">
        <x:f>'REMUNERACION_OCCIDENTE_ Directa'!F108</x:f>
        <x:v>0</x:v>
      </x:c>
      <x:c r="G80" s="233">
        <x:f>'REMUNERACION_OCCIDENTE_ Directa'!G108</x:f>
        <x:v>0</x:v>
      </x:c>
      <x:c r="H80" s="233">
        <x:f>'REMUNERACION_OCCIDENTE_ Directa'!H108</x:f>
        <x:v>0</x:v>
      </x:c>
      <x:c r="I80" s="233">
        <x:f>'REMUNERACION_OCCIDENTE_ Directa'!I108</x:f>
        <x:v>0</x:v>
      </x:c>
      <x:c r="J80" s="225">
        <x:f>'REMUNERACION_OCCIDENTE_ Directa'!J108</x:f>
        <x:v>0</x:v>
      </x:c>
      <x:c r="K80" s="231">
        <x:f>'REMUNERACION_OCCIDENTE_ Directa'!K108</x:f>
        <x:v>0</x:v>
      </x:c>
      <x:c r="L80" s="230">
        <x:f>'REMUNERACION_OCCIDENTE_ Directa'!L108</x:f>
        <x:v>0</x:v>
      </x:c>
      <x:c r="M80" s="234">
        <x:f>'REMUNERACION_OCCIDENTE_ Directa'!M108</x:f>
        <x:v>0</x:v>
      </x:c>
      <x:c r="N80" s="235">
        <x:f>'REMUNERACION_OCCIDENTE_ Directa'!N108</x:f>
        <x:v>0</x:v>
      </x:c>
      <x:c r="O80" s="234">
        <x:f>'REMUNERACION_OCCIDENTE_ Directa'!O108</x:f>
        <x:v>0</x:v>
      </x:c>
      <x:c r="Q80" s="242"/>
      <x:c r="S80" s="260">
        <x:v>5</x:v>
      </x:c>
      <x:c r="T80" s="261" t="s">
        <x:v>14</x:v>
      </x:c>
      <x:c r="U80" s="232">
        <x:f>'REMUNERACION_OCCIDENTE_ Directa'!U108</x:f>
        <x:v>0</x:v>
      </x:c>
      <x:c r="V80" s="233">
        <x:f>'REMUNERACION_OCCIDENTE_ Directa'!V108</x:f>
        <x:v>0</x:v>
      </x:c>
      <x:c r="W80" s="233">
        <x:f>'REMUNERACION_OCCIDENTE_ Directa'!W108</x:f>
        <x:v>0</x:v>
      </x:c>
      <x:c r="X80" s="233">
        <x:f>'REMUNERACION_OCCIDENTE_ Directa'!X108</x:f>
        <x:v>0</x:v>
      </x:c>
      <x:c r="Y80" s="225">
        <x:f>'REMUNERACION_OCCIDENTE_ Directa'!Y108</x:f>
        <x:v>0</x:v>
      </x:c>
      <x:c r="Z80" s="255">
        <x:f>'REMUNERACION_OCCIDENTE_ Directa'!Z108</x:f>
        <x:v>0</x:v>
      </x:c>
      <x:c r="AA80" s="256">
        <x:f>'REMUNERACION_OCCIDENTE_ Directa'!AA108</x:f>
        <x:v>0</x:v>
      </x:c>
      <x:c r="AB80" s="230">
        <x:f>'REMUNERACION_OCCIDENTE_ Directa'!AB108</x:f>
        <x:v>0</x:v>
      </x:c>
      <x:c r="AC80" s="256">
        <x:f>'REMUNERACION_OCCIDENTE_ Directa'!AC108</x:f>
        <x:v>0</x:v>
      </x:c>
      <x:c r="AD80" s="227">
        <x:f>'REMUNERACION_OCCIDENTE_ Directa'!AD108</x:f>
        <x:v>0</x:v>
      </x:c>
      <x:c r="AE80" s="227">
        <x:f>'REMUNERACION_OCCIDENTE_ Directa'!AE108</x:f>
        <x:v>0</x:v>
      </x:c>
      <x:c r="AF80" s="258">
        <x:f>'REMUNERACION_OCCIDENTE_ Directa'!AF108</x:f>
        <x:v>0</x:v>
      </x:c>
      <x:c r="AG80" s="441">
        <x:f>'REMUNERACION_OCCIDENTE_ Directa'!AG108</x:f>
        <x:v>0</x:v>
      </x:c>
      <x:c r="AH80" s="1"/>
      <x:c r="AI80" s="242"/>
      <x:c r="AM80" s="269"/>
    </x:row>
    <x:row r="81" spans="1:39" s="241" customFormat="1" ht="13.8" thickBot="1" x14ac:dyDescent="0.3">
      <x:c r="B81" s="263"/>
      <x:c r="C81" s="264" t="s">
        <x:v>2</x:v>
      </x:c>
      <x:c r="D81" s="226">
        <x:f>'REMUNERACION_OCCIDENTE_ Directa'!D109</x:f>
        <x:v>0</x:v>
      </x:c>
      <x:c r="E81" s="226">
        <x:f>'REMUNERACION_OCCIDENTE_ Directa'!E109</x:f>
        <x:v>0</x:v>
      </x:c>
      <x:c r="F81" s="226">
        <x:f>'REMUNERACION_OCCIDENTE_ Directa'!F109</x:f>
        <x:v>0</x:v>
      </x:c>
      <x:c r="G81" s="226">
        <x:f>'REMUNERACION_OCCIDENTE_ Directa'!G109</x:f>
        <x:v>0</x:v>
      </x:c>
      <x:c r="H81" s="226">
        <x:f>'REMUNERACION_OCCIDENTE_ Directa'!H109</x:f>
        <x:v>0</x:v>
      </x:c>
      <x:c r="I81" s="226">
        <x:f>'REMUNERACION_OCCIDENTE_ Directa'!I109</x:f>
        <x:v>0</x:v>
      </x:c>
      <x:c r="J81" s="226">
        <x:f>'REMUNERACION_OCCIDENTE_ Directa'!J109</x:f>
        <x:v>0</x:v>
      </x:c>
      <x:c r="K81" s="236">
        <x:f>'REMUNERACION_OCCIDENTE_ Directa'!K109</x:f>
        <x:v>0</x:v>
      </x:c>
      <x:c r="L81" s="237">
        <x:f>'REMUNERACION_OCCIDENTE_ Directa'!L109</x:f>
        <x:v>0</x:v>
      </x:c>
      <x:c r="M81" s="238">
        <x:f>'REMUNERACION_OCCIDENTE_ Directa'!M109</x:f>
        <x:v>0</x:v>
      </x:c>
      <x:c r="N81" s="237">
        <x:f>'REMUNERACION_OCCIDENTE_ Directa'!N109</x:f>
        <x:v>0</x:v>
      </x:c>
      <x:c r="O81" s="238">
        <x:f>'REMUNERACION_OCCIDENTE_ Directa'!O109</x:f>
        <x:v>0</x:v>
      </x:c>
      <x:c r="P81" s="265"/>
      <x:c r="Q81" s="242"/>
      <x:c r="S81" s="263"/>
      <x:c r="T81" s="264" t="s">
        <x:v>2</x:v>
      </x:c>
      <x:c r="U81" s="266">
        <x:f>'REMUNERACION_OCCIDENTE_ Directa'!U109</x:f>
        <x:v>0</x:v>
      </x:c>
      <x:c r="V81" s="266">
        <x:f>'REMUNERACION_OCCIDENTE_ Directa'!V109</x:f>
        <x:v>0</x:v>
      </x:c>
      <x:c r="W81" s="266">
        <x:f>'REMUNERACION_OCCIDENTE_ Directa'!W109</x:f>
        <x:v>0</x:v>
      </x:c>
      <x:c r="X81" s="266">
        <x:f>'REMUNERACION_OCCIDENTE_ Directa'!X109</x:f>
        <x:v>0</x:v>
      </x:c>
      <x:c r="Y81" s="266">
        <x:f>'REMUNERACION_OCCIDENTE_ Directa'!Y109</x:f>
        <x:v>0</x:v>
      </x:c>
      <x:c r="Z81" s="226">
        <x:f>'REMUNERACION_OCCIDENTE_ Directa'!Z109</x:f>
        <x:v>0</x:v>
      </x:c>
      <x:c r="AA81" s="226">
        <x:f>'REMUNERACION_OCCIDENTE_ Directa'!AA109</x:f>
        <x:v>0</x:v>
      </x:c>
      <x:c r="AB81" s="226">
        <x:f>'REMUNERACION_OCCIDENTE_ Directa'!AB109</x:f>
        <x:v>0</x:v>
      </x:c>
      <x:c r="AC81" s="226">
        <x:f>'REMUNERACION_OCCIDENTE_ Directa'!AC109</x:f>
        <x:v>0</x:v>
      </x:c>
      <x:c r="AD81" s="226">
        <x:f>'REMUNERACION_OCCIDENTE_ Directa'!AD109</x:f>
        <x:v>0</x:v>
      </x:c>
      <x:c r="AE81" s="226">
        <x:f>'REMUNERACION_OCCIDENTE_ Directa'!AE109</x:f>
        <x:v>0</x:v>
      </x:c>
      <x:c r="AF81" s="267">
        <x:f>'REMUNERACION_OCCIDENTE_ Directa'!AF109</x:f>
        <x:v>0</x:v>
      </x:c>
      <x:c r="AG81" s="442">
        <x:f>'REMUNERACION_OCCIDENTE_ Directa'!AG109</x:f>
        <x:v>0</x:v>
      </x:c>
      <x:c r="AH81" s="1"/>
      <x:c r="AI81" s="242"/>
      <x:c r="AM81" s="269"/>
    </x:row>
    <x:row r="82" spans="1:39" ht="12.6" thickBot="1" x14ac:dyDescent="0.3">
      <x:c r="B82" s="2"/>
      <x:c r="C82" s="2"/>
      <x:c r="D82" s="374"/>
      <x:c r="E82" s="374"/>
      <x:c r="F82" s="374"/>
      <x:c r="G82" s="374"/>
      <x:c r="H82" s="374"/>
      <x:c r="I82" s="374"/>
      <x:c r="K82" s="374"/>
      <x:c r="L82" s="374"/>
      <x:c r="M82" s="374"/>
      <x:c r="N82" s="374"/>
      <x:c r="O82" s="374"/>
      <x:c r="Q82" s="4"/>
      <x:c r="S82" s="2"/>
      <x:c r="T82" s="2"/>
      <x:c r="U82" s="374"/>
      <x:c r="V82" s="374"/>
      <x:c r="W82" s="374"/>
      <x:c r="X82" s="374"/>
      <x:c r="Y82" s="374"/>
      <x:c r="AF82" s="374"/>
      <x:c r="AI82" s="4"/>
    </x:row>
    <x:row r="83" spans="1:39" ht="12.6" thickBot="1" x14ac:dyDescent="0.3">
      <x:c r="B83" s="2"/>
      <x:c r="C83" s="2"/>
      <x:c r="D83" s="374"/>
      <x:c r="E83" s="374"/>
      <x:c r="F83" s="374"/>
      <x:c r="G83" s="374"/>
      <x:c r="H83" s="374"/>
      <x:c r="I83" s="374"/>
      <x:c r="K83" s="374"/>
      <x:c r="L83" s="374"/>
      <x:c r="M83" s="374"/>
      <x:c r="N83" s="374"/>
      <x:c r="O83" s="374"/>
      <x:c r="Q83" s="4"/>
      <x:c r="Y83" s="375"/>
      <x:c r="AI83" s="4"/>
    </x:row>
    <x:row r="84" spans="1:39" ht="12" x14ac:dyDescent="0.25">
      <x:c r="A84" s="4"/>
      <x:c r="B84" s="34"/>
      <x:c r="C84" s="34"/>
      <x:c r="D84" s="397"/>
      <x:c r="E84" s="397"/>
      <x:c r="F84" s="397"/>
      <x:c r="G84" s="397"/>
      <x:c r="H84" s="397"/>
      <x:c r="I84" s="397"/>
      <x:c r="J84" s="4"/>
      <x:c r="K84" s="397"/>
      <x:c r="L84" s="397"/>
      <x:c r="M84" s="397"/>
      <x:c r="N84" s="397"/>
      <x:c r="O84" s="397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" thickBot="1" x14ac:dyDescent="0.25">
      <x:c r="Q85" s="4"/>
      <x:c r="AI85" s="4"/>
    </x:row>
    <x:row r="86" spans="1:39" ht="12" x14ac:dyDescent="0.25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3.8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6" x14ac:dyDescent="0.3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3.8" x14ac:dyDescent="0.25">
      <x:c r="B89" s="8"/>
      <x:c r="F89" s="2" t="s">
        <x:v>30</x:v>
      </x:c>
      <x:c r="G89" s="2"/>
      <x:c r="L89" s="90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6" x14ac:dyDescent="0.3">
      <x:c r="B90" s="8"/>
      <x:c r="C90" s="2"/>
      <x:c r="D90" s="9"/>
      <x:c r="F90" s="58" t="s">
        <x:v>188</x:v>
      </x:c>
      <x:c r="G90" s="58"/>
      <x:c r="H90" s="59"/>
      <x:c r="I90" s="60"/>
      <x:c r="J90" s="59"/>
      <x:c r="K90" s="60"/>
      <x:c r="L90" s="90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9.8" thickBot="1" x14ac:dyDescent="0.5">
      <x:c r="B91" s="8"/>
      <x:c r="C91" s="2"/>
      <x:c r="D91" s="198"/>
      <x:c r="F91" s="2"/>
      <x:c r="G91" s="9"/>
      <x:c r="J91" s="2"/>
      <x:c r="K91" s="9"/>
      <x:c r="L91" s="91"/>
      <x:c r="O91" s="10"/>
      <x:c r="P91" s="2"/>
      <x:c r="Q91" s="4"/>
      <x:c r="S91" s="8"/>
      <x:c r="V91" s="9"/>
      <x:c r="Y91" s="9"/>
      <x:c r="AF91" s="48"/>
      <x:c r="AG91" s="2"/>
      <x:c r="AI91" s="4"/>
      <x:c r="AJ91" s="105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46" t="s">
        <x:v>39</x:v>
      </x:c>
      <x:c r="V92" s="147" t="s">
        <x:v>40</x:v>
      </x:c>
      <x:c r="W92" s="147" t="s">
        <x:v>41</x:v>
      </x:c>
      <x:c r="X92" s="147" t="s">
        <x:v>42</x:v>
      </x:c>
      <x:c r="Y92" s="148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167</x:v>
      </x:c>
      <x:c r="AD92" s="114" t="s">
        <x:v>105</x:v>
      </x:c>
      <x:c r="AE92" s="114" t="s">
        <x:v>104</x:v>
      </x:c>
      <x:c r="AF92" s="39" t="s">
        <x:v>23</x:v>
      </x:c>
      <x:c r="AG92" s="13"/>
      <x:c r="AI92" s="4"/>
    </x:row>
    <x:row r="93" spans="1:39" s="241" customFormat="1" ht="12" x14ac:dyDescent="0.25">
      <x:c r="B93" s="239">
        <x:v>1</x:v>
      </x:c>
      <x:c r="C93" s="240" t="s">
        <x:v>10</x:v>
      </x:c>
      <x:c r="D93" s="227">
        <x:f>'REMUNERACION_EAAB-CL'!D104</x:f>
        <x:v>0</x:v>
      </x:c>
      <x:c r="E93" s="228">
        <x:f>'REMUNERACION_EAAB-CL'!E104</x:f>
        <x:v>0</x:v>
      </x:c>
      <x:c r="F93" s="228">
        <x:f>'REMUNERACION_EAAB-CL'!F104</x:f>
        <x:v>0</x:v>
      </x:c>
      <x:c r="G93" s="228">
        <x:f>'REMUNERACION_EAAB-CL'!G104</x:f>
        <x:v>0</x:v>
      </x:c>
      <x:c r="H93" s="228">
        <x:f>'REMUNERACION_EAAB-CL'!H104</x:f>
        <x:v>0</x:v>
      </x:c>
      <x:c r="I93" s="228">
        <x:f>'REMUNERACION_EAAB-CL'!I104</x:f>
        <x:v>0</x:v>
      </x:c>
      <x:c r="J93" s="224">
        <x:f>'REMUNERACION_EAAB-CL'!J104</x:f>
        <x:v>0</x:v>
      </x:c>
      <x:c r="K93" s="229">
        <x:f>'REMUNERACION_EAAB-CL'!K104</x:f>
        <x:v>0</x:v>
      </x:c>
      <x:c r="L93" s="230">
        <x:f>'REMUNERACION_EAAB-CL'!L104</x:f>
        <x:v>0</x:v>
      </x:c>
      <x:c r="M93" s="229">
        <x:f>'REMUNERACION_EAAB-CL'!M104</x:f>
        <x:v>0</x:v>
      </x:c>
      <x:c r="N93" s="230">
        <x:f>'REMUNERACION_EAAB-CL'!N104</x:f>
        <x:v>0</x:v>
      </x:c>
      <x:c r="O93" s="229">
        <x:f>'REMUNERACION_EAAB-CL'!O104</x:f>
        <x:v>0</x:v>
      </x:c>
      <x:c r="Q93" s="242"/>
      <x:c r="S93" s="239">
        <x:v>1</x:v>
      </x:c>
      <x:c r="T93" s="240" t="s">
        <x:v>10</x:v>
      </x:c>
      <x:c r="U93" s="243">
        <x:f>'REMUNERACION_EAAB-CL'!U104</x:f>
        <x:v>0</x:v>
      </x:c>
      <x:c r="V93" s="244">
        <x:f>'REMUNERACION_EAAB-CL'!V104</x:f>
        <x:v>0</x:v>
      </x:c>
      <x:c r="W93" s="244">
        <x:f>'REMUNERACION_EAAB-CL'!W104</x:f>
        <x:v>0</x:v>
      </x:c>
      <x:c r="X93" s="244">
        <x:f>'REMUNERACION_EAAB-CL'!X104</x:f>
        <x:v>0</x:v>
      </x:c>
      <x:c r="Y93" s="245">
        <x:f>'REMUNERACION_EAAB-CL'!Y104</x:f>
        <x:v>0</x:v>
      </x:c>
      <x:c r="Z93" s="246">
        <x:f>'REMUNERACION_EAAB-CL'!Z104</x:f>
        <x:v>0</x:v>
      </x:c>
      <x:c r="AA93" s="247">
        <x:f>'REMUNERACION_EAAB-CL'!AA104</x:f>
        <x:v>0</x:v>
      </x:c>
      <x:c r="AB93" s="230">
        <x:f>'REMUNERACION_EAAB-CL'!AB104</x:f>
        <x:v>0</x:v>
      </x:c>
      <x:c r="AC93" s="247">
        <x:f>'REMUNERACION_EAAB-CL'!AC104</x:f>
        <x:v>0</x:v>
      </x:c>
      <x:c r="AD93" s="227">
        <x:f>'REMUNERACION_EAAB-CL'!AD104</x:f>
        <x:v>0</x:v>
      </x:c>
      <x:c r="AE93" s="227">
        <x:f>'REMUNERACION_EAAB-CL'!AE104</x:f>
        <x:v>0</x:v>
      </x:c>
      <x:c r="AF93" s="249">
        <x:f>'REMUNERACION_EAAB-CL'!AF104</x:f>
        <x:v>0</x:v>
      </x:c>
      <x:c r="AG93" s="439">
        <x:f>'REMUNERACION_EAAB-CL'!AG104</x:f>
        <x:v>0</x:v>
      </x:c>
      <x:c r="AH93" s="1"/>
      <x:c r="AI93" s="242"/>
      <x:c r="AM93" s="269"/>
    </x:row>
    <x:row r="94" spans="1:39" s="241" customFormat="1" ht="12" x14ac:dyDescent="0.25">
      <x:c r="B94" s="250">
        <x:v>2</x:v>
      </x:c>
      <x:c r="C94" s="251" t="s">
        <x:v>11</x:v>
      </x:c>
      <x:c r="D94" s="227">
        <x:f>'REMUNERACION_EAAB-CL'!D105</x:f>
        <x:v>0</x:v>
      </x:c>
      <x:c r="E94" s="228">
        <x:f>'REMUNERACION_EAAB-CL'!E105</x:f>
        <x:v>0</x:v>
      </x:c>
      <x:c r="F94" s="228">
        <x:f>'REMUNERACION_EAAB-CL'!F105</x:f>
        <x:v>0</x:v>
      </x:c>
      <x:c r="G94" s="228">
        <x:f>'REMUNERACION_EAAB-CL'!G105</x:f>
        <x:v>0</x:v>
      </x:c>
      <x:c r="H94" s="228">
        <x:f>'REMUNERACION_EAAB-CL'!H105</x:f>
        <x:v>0</x:v>
      </x:c>
      <x:c r="I94" s="228">
        <x:f>'REMUNERACION_EAAB-CL'!I105</x:f>
        <x:v>0</x:v>
      </x:c>
      <x:c r="J94" s="224">
        <x:f>'REMUNERACION_EAAB-CL'!J105</x:f>
        <x:v>0</x:v>
      </x:c>
      <x:c r="K94" s="231">
        <x:f>'REMUNERACION_EAAB-CL'!K105</x:f>
        <x:v>0</x:v>
      </x:c>
      <x:c r="L94" s="230">
        <x:f>'REMUNERACION_EAAB-CL'!L105</x:f>
        <x:v>0</x:v>
      </x:c>
      <x:c r="M94" s="231">
        <x:f>'REMUNERACION_EAAB-CL'!M105</x:f>
        <x:v>0</x:v>
      </x:c>
      <x:c r="N94" s="230">
        <x:f>'REMUNERACION_EAAB-CL'!N105</x:f>
        <x:v>0</x:v>
      </x:c>
      <x:c r="O94" s="231">
        <x:f>'REMUNERACION_EAAB-CL'!O105</x:f>
        <x:v>0</x:v>
      </x:c>
      <x:c r="Q94" s="242"/>
      <x:c r="S94" s="250">
        <x:v>2</x:v>
      </x:c>
      <x:c r="T94" s="251" t="s">
        <x:v>11</x:v>
      </x:c>
      <x:c r="U94" s="252">
        <x:f>'REMUNERACION_EAAB-CL'!U105</x:f>
        <x:v>0</x:v>
      </x:c>
      <x:c r="V94" s="253">
        <x:f>'REMUNERACION_EAAB-CL'!V105</x:f>
        <x:v>0</x:v>
      </x:c>
      <x:c r="W94" s="253">
        <x:f>'REMUNERACION_EAAB-CL'!W105</x:f>
        <x:v>0</x:v>
      </x:c>
      <x:c r="X94" s="253">
        <x:f>'REMUNERACION_EAAB-CL'!X105</x:f>
        <x:v>0</x:v>
      </x:c>
      <x:c r="Y94" s="254">
        <x:f>'REMUNERACION_EAAB-CL'!Y105</x:f>
        <x:v>0</x:v>
      </x:c>
      <x:c r="Z94" s="255">
        <x:f>'REMUNERACION_EAAB-CL'!Z105</x:f>
        <x:v>0</x:v>
      </x:c>
      <x:c r="AA94" s="256">
        <x:f>'REMUNERACION_EAAB-CL'!AA105</x:f>
        <x:v>0</x:v>
      </x:c>
      <x:c r="AB94" s="230">
        <x:f>'REMUNERACION_EAAB-CL'!AB105</x:f>
        <x:v>0</x:v>
      </x:c>
      <x:c r="AC94" s="256">
        <x:f>'REMUNERACION_EAAB-CL'!AC105</x:f>
        <x:v>0</x:v>
      </x:c>
      <x:c r="AD94" s="227">
        <x:f>'REMUNERACION_EAAB-CL'!AD105</x:f>
        <x:v>0</x:v>
      </x:c>
      <x:c r="AE94" s="227">
        <x:f>'REMUNERACION_EAAB-CL'!AE105</x:f>
        <x:v>0</x:v>
      </x:c>
      <x:c r="AF94" s="258">
        <x:f>'REMUNERACION_EAAB-CL'!AF105</x:f>
        <x:v>0</x:v>
      </x:c>
      <x:c r="AG94" s="440">
        <x:f>'REMUNERACION_EAAB-CL'!AG105</x:f>
        <x:v>0</x:v>
      </x:c>
      <x:c r="AH94" s="1"/>
      <x:c r="AI94" s="242"/>
      <x:c r="AM94" s="269"/>
    </x:row>
    <x:row r="95" spans="1:39" s="241" customFormat="1" ht="12" x14ac:dyDescent="0.25">
      <x:c r="B95" s="250">
        <x:v>3</x:v>
      </x:c>
      <x:c r="C95" s="251" t="s">
        <x:v>12</x:v>
      </x:c>
      <x:c r="D95" s="227">
        <x:f>'REMUNERACION_EAAB-CL'!D106</x:f>
        <x:v>0</x:v>
      </x:c>
      <x:c r="E95" s="228">
        <x:f>'REMUNERACION_EAAB-CL'!E106</x:f>
        <x:v>0</x:v>
      </x:c>
      <x:c r="F95" s="228">
        <x:f>'REMUNERACION_EAAB-CL'!F106</x:f>
        <x:v>0</x:v>
      </x:c>
      <x:c r="G95" s="228">
        <x:f>'REMUNERACION_EAAB-CL'!G106</x:f>
        <x:v>0</x:v>
      </x:c>
      <x:c r="H95" s="228">
        <x:f>'REMUNERACION_EAAB-CL'!H106</x:f>
        <x:v>0</x:v>
      </x:c>
      <x:c r="I95" s="228">
        <x:f>'REMUNERACION_EAAB-CL'!I106</x:f>
        <x:v>0</x:v>
      </x:c>
      <x:c r="J95" s="224">
        <x:f>'REMUNERACION_EAAB-CL'!J106</x:f>
        <x:v>0</x:v>
      </x:c>
      <x:c r="K95" s="231">
        <x:f>'REMUNERACION_EAAB-CL'!K106</x:f>
        <x:v>0</x:v>
      </x:c>
      <x:c r="L95" s="230">
        <x:f>'REMUNERACION_EAAB-CL'!L106</x:f>
        <x:v>0</x:v>
      </x:c>
      <x:c r="M95" s="231">
        <x:f>'REMUNERACION_EAAB-CL'!M106</x:f>
        <x:v>0</x:v>
      </x:c>
      <x:c r="N95" s="230">
        <x:f>'REMUNERACION_EAAB-CL'!N106</x:f>
        <x:v>0</x:v>
      </x:c>
      <x:c r="O95" s="231">
        <x:f>'REMUNERACION_EAAB-CL'!O106</x:f>
        <x:v>0</x:v>
      </x:c>
      <x:c r="Q95" s="242"/>
      <x:c r="S95" s="250">
        <x:v>3</x:v>
      </x:c>
      <x:c r="T95" s="251" t="s">
        <x:v>12</x:v>
      </x:c>
      <x:c r="U95" s="252">
        <x:f>'REMUNERACION_EAAB-CL'!U106</x:f>
        <x:v>0</x:v>
      </x:c>
      <x:c r="V95" s="253">
        <x:f>'REMUNERACION_EAAB-CL'!V106</x:f>
        <x:v>0</x:v>
      </x:c>
      <x:c r="W95" s="253">
        <x:f>'REMUNERACION_EAAB-CL'!W106</x:f>
        <x:v>0</x:v>
      </x:c>
      <x:c r="X95" s="253">
        <x:f>'REMUNERACION_EAAB-CL'!X106</x:f>
        <x:v>0</x:v>
      </x:c>
      <x:c r="Y95" s="254">
        <x:f>'REMUNERACION_EAAB-CL'!Y106</x:f>
        <x:v>0</x:v>
      </x:c>
      <x:c r="Z95" s="255">
        <x:f>'REMUNERACION_EAAB-CL'!Z106</x:f>
        <x:v>0</x:v>
      </x:c>
      <x:c r="AA95" s="256">
        <x:f>'REMUNERACION_EAAB-CL'!AA106</x:f>
        <x:v>0</x:v>
      </x:c>
      <x:c r="AB95" s="230">
        <x:f>'REMUNERACION_EAAB-CL'!AB106</x:f>
        <x:v>0</x:v>
      </x:c>
      <x:c r="AC95" s="256">
        <x:f>'REMUNERACION_EAAB-CL'!AC106</x:f>
        <x:v>0</x:v>
      </x:c>
      <x:c r="AD95" s="227">
        <x:f>'REMUNERACION_EAAB-CL'!AD106</x:f>
        <x:v>0</x:v>
      </x:c>
      <x:c r="AE95" s="227">
        <x:f>'REMUNERACION_EAAB-CL'!AE106</x:f>
        <x:v>0</x:v>
      </x:c>
      <x:c r="AF95" s="258">
        <x:f>'REMUNERACION_EAAB-CL'!AF106</x:f>
        <x:v>0</x:v>
      </x:c>
      <x:c r="AG95" s="440">
        <x:f>'REMUNERACION_EAAB-CL'!AG106</x:f>
        <x:v>0</x:v>
      </x:c>
      <x:c r="AH95" s="1"/>
      <x:c r="AI95" s="242"/>
      <x:c r="AM95" s="269"/>
    </x:row>
    <x:row r="96" spans="1:39" s="241" customFormat="1" ht="12" x14ac:dyDescent="0.25">
      <x:c r="B96" s="250">
        <x:v>4</x:v>
      </x:c>
      <x:c r="C96" s="251" t="s">
        <x:v>13</x:v>
      </x:c>
      <x:c r="D96" s="227">
        <x:f>'REMUNERACION_EAAB-CL'!D107</x:f>
        <x:v>0</x:v>
      </x:c>
      <x:c r="E96" s="228">
        <x:f>'REMUNERACION_EAAB-CL'!E107</x:f>
        <x:v>0</x:v>
      </x:c>
      <x:c r="F96" s="228">
        <x:f>'REMUNERACION_EAAB-CL'!F107</x:f>
        <x:v>0</x:v>
      </x:c>
      <x:c r="G96" s="228">
        <x:f>'REMUNERACION_EAAB-CL'!G107</x:f>
        <x:v>0</x:v>
      </x:c>
      <x:c r="H96" s="228">
        <x:f>'REMUNERACION_EAAB-CL'!H107</x:f>
        <x:v>0</x:v>
      </x:c>
      <x:c r="I96" s="228">
        <x:f>'REMUNERACION_EAAB-CL'!I107</x:f>
        <x:v>0</x:v>
      </x:c>
      <x:c r="J96" s="224">
        <x:f>'REMUNERACION_EAAB-CL'!J107</x:f>
        <x:v>0</x:v>
      </x:c>
      <x:c r="K96" s="231">
        <x:f>'REMUNERACION_EAAB-CL'!K107</x:f>
        <x:v>0</x:v>
      </x:c>
      <x:c r="L96" s="230">
        <x:f>'REMUNERACION_EAAB-CL'!L107</x:f>
        <x:v>0</x:v>
      </x:c>
      <x:c r="M96" s="231">
        <x:f>'REMUNERACION_EAAB-CL'!M107</x:f>
        <x:v>0</x:v>
      </x:c>
      <x:c r="N96" s="230">
        <x:f>'REMUNERACION_EAAB-CL'!N107</x:f>
        <x:v>0</x:v>
      </x:c>
      <x:c r="O96" s="231">
        <x:f>'REMUNERACION_EAAB-CL'!O107</x:f>
        <x:v>0</x:v>
      </x:c>
      <x:c r="Q96" s="242"/>
      <x:c r="S96" s="250">
        <x:v>4</x:v>
      </x:c>
      <x:c r="T96" s="251" t="s">
        <x:v>13</x:v>
      </x:c>
      <x:c r="U96" s="252">
        <x:f>'REMUNERACION_EAAB-CL'!U107</x:f>
        <x:v>0</x:v>
      </x:c>
      <x:c r="V96" s="253">
        <x:f>'REMUNERACION_EAAB-CL'!V107</x:f>
        <x:v>0</x:v>
      </x:c>
      <x:c r="W96" s="253">
        <x:f>'REMUNERACION_EAAB-CL'!W107</x:f>
        <x:v>0</x:v>
      </x:c>
      <x:c r="X96" s="253">
        <x:f>'REMUNERACION_EAAB-CL'!X107</x:f>
        <x:v>0</x:v>
      </x:c>
      <x:c r="Y96" s="254">
        <x:f>'REMUNERACION_EAAB-CL'!Y107</x:f>
        <x:v>0</x:v>
      </x:c>
      <x:c r="Z96" s="255">
        <x:f>'REMUNERACION_EAAB-CL'!Z107</x:f>
        <x:v>0</x:v>
      </x:c>
      <x:c r="AA96" s="256">
        <x:f>'REMUNERACION_EAAB-CL'!AA107</x:f>
        <x:v>0</x:v>
      </x:c>
      <x:c r="AB96" s="230">
        <x:f>'REMUNERACION_EAAB-CL'!AB107</x:f>
        <x:v>0</x:v>
      </x:c>
      <x:c r="AC96" s="256">
        <x:f>'REMUNERACION_EAAB-CL'!AC107</x:f>
        <x:v>0</x:v>
      </x:c>
      <x:c r="AD96" s="227">
        <x:f>'REMUNERACION_EAAB-CL'!AD107</x:f>
        <x:v>0</x:v>
      </x:c>
      <x:c r="AE96" s="227">
        <x:f>'REMUNERACION_EAAB-CL'!AE107</x:f>
        <x:v>0</x:v>
      </x:c>
      <x:c r="AF96" s="258">
        <x:f>'REMUNERACION_EAAB-CL'!AF107</x:f>
        <x:v>0</x:v>
      </x:c>
      <x:c r="AG96" s="440">
        <x:f>'REMUNERACION_EAAB-CL'!AG107</x:f>
        <x:v>0</x:v>
      </x:c>
      <x:c r="AH96" s="1"/>
      <x:c r="AI96" s="242"/>
      <x:c r="AM96" s="269"/>
    </x:row>
    <x:row r="97" spans="1:39" s="241" customFormat="1" ht="12.6" thickBot="1" x14ac:dyDescent="0.3">
      <x:c r="B97" s="260">
        <x:v>5</x:v>
      </x:c>
      <x:c r="C97" s="261" t="s">
        <x:v>14</x:v>
      </x:c>
      <x:c r="D97" s="232">
        <x:f>'REMUNERACION_EAAB-CL'!D108</x:f>
        <x:v>0</x:v>
      </x:c>
      <x:c r="E97" s="233">
        <x:f>'REMUNERACION_EAAB-CL'!E108</x:f>
        <x:v>0</x:v>
      </x:c>
      <x:c r="F97" s="233">
        <x:f>'REMUNERACION_EAAB-CL'!F108</x:f>
        <x:v>0</x:v>
      </x:c>
      <x:c r="G97" s="233">
        <x:f>'REMUNERACION_EAAB-CL'!G108</x:f>
        <x:v>0</x:v>
      </x:c>
      <x:c r="H97" s="233">
        <x:f>'REMUNERACION_EAAB-CL'!H108</x:f>
        <x:v>0</x:v>
      </x:c>
      <x:c r="I97" s="233">
        <x:f>'REMUNERACION_EAAB-CL'!I108</x:f>
        <x:v>0</x:v>
      </x:c>
      <x:c r="J97" s="225">
        <x:f>'REMUNERACION_EAAB-CL'!J108</x:f>
        <x:v>0</x:v>
      </x:c>
      <x:c r="K97" s="231">
        <x:f>'REMUNERACION_EAAB-CL'!K108</x:f>
        <x:v>0</x:v>
      </x:c>
      <x:c r="L97" s="230">
        <x:f>'REMUNERACION_EAAB-CL'!L108</x:f>
        <x:v>0</x:v>
      </x:c>
      <x:c r="M97" s="234">
        <x:f>'REMUNERACION_EAAB-CL'!M108</x:f>
        <x:v>0</x:v>
      </x:c>
      <x:c r="N97" s="235">
        <x:f>'REMUNERACION_EAAB-CL'!N108</x:f>
        <x:v>0</x:v>
      </x:c>
      <x:c r="O97" s="234">
        <x:f>'REMUNERACION_EAAB-CL'!O108</x:f>
        <x:v>0</x:v>
      </x:c>
      <x:c r="Q97" s="242"/>
      <x:c r="S97" s="260">
        <x:v>5</x:v>
      </x:c>
      <x:c r="T97" s="261" t="s">
        <x:v>14</x:v>
      </x:c>
      <x:c r="U97" s="232">
        <x:f>'REMUNERACION_EAAB-CL'!U108</x:f>
        <x:v>0</x:v>
      </x:c>
      <x:c r="V97" s="233">
        <x:f>'REMUNERACION_EAAB-CL'!V108</x:f>
        <x:v>0</x:v>
      </x:c>
      <x:c r="W97" s="233">
        <x:f>'REMUNERACION_EAAB-CL'!W108</x:f>
        <x:v>0</x:v>
      </x:c>
      <x:c r="X97" s="233">
        <x:f>'REMUNERACION_EAAB-CL'!X108</x:f>
        <x:v>0</x:v>
      </x:c>
      <x:c r="Y97" s="225">
        <x:f>'REMUNERACION_EAAB-CL'!Y108</x:f>
        <x:v>0</x:v>
      </x:c>
      <x:c r="Z97" s="255">
        <x:f>'REMUNERACION_EAAB-CL'!Z108</x:f>
        <x:v>0</x:v>
      </x:c>
      <x:c r="AA97" s="256">
        <x:f>'REMUNERACION_EAAB-CL'!AA108</x:f>
        <x:v>0</x:v>
      </x:c>
      <x:c r="AB97" s="230">
        <x:f>'REMUNERACION_EAAB-CL'!AB108</x:f>
        <x:v>0</x:v>
      </x:c>
      <x:c r="AC97" s="256">
        <x:f>'REMUNERACION_EAAB-CL'!AC108</x:f>
        <x:v>0</x:v>
      </x:c>
      <x:c r="AD97" s="227">
        <x:f>'REMUNERACION_EAAB-CL'!AD108</x:f>
        <x:v>0</x:v>
      </x:c>
      <x:c r="AE97" s="227">
        <x:f>'REMUNERACION_EAAB-CL'!AE108</x:f>
        <x:v>0</x:v>
      </x:c>
      <x:c r="AF97" s="258">
        <x:f>'REMUNERACION_EAAB-CL'!AF108</x:f>
        <x:v>0</x:v>
      </x:c>
      <x:c r="AG97" s="441">
        <x:f>'REMUNERACION_EAAB-CL'!AG108</x:f>
        <x:v>0</x:v>
      </x:c>
      <x:c r="AH97" s="1"/>
      <x:c r="AI97" s="242"/>
      <x:c r="AM97" s="269"/>
    </x:row>
    <x:row r="98" spans="1:39" s="241" customFormat="1" ht="13.8" thickBot="1" x14ac:dyDescent="0.3">
      <x:c r="B98" s="263"/>
      <x:c r="C98" s="264" t="s">
        <x:v>2</x:v>
      </x:c>
      <x:c r="D98" s="226">
        <x:f>'REMUNERACION_EAAB-CL'!D109</x:f>
        <x:v>0</x:v>
      </x:c>
      <x:c r="E98" s="226">
        <x:f>'REMUNERACION_EAAB-CL'!E109</x:f>
        <x:v>0</x:v>
      </x:c>
      <x:c r="F98" s="226">
        <x:f>'REMUNERACION_EAAB-CL'!F109</x:f>
        <x:v>0</x:v>
      </x:c>
      <x:c r="G98" s="226">
        <x:f>'REMUNERACION_EAAB-CL'!G109</x:f>
        <x:v>0</x:v>
      </x:c>
      <x:c r="H98" s="226">
        <x:f>'REMUNERACION_EAAB-CL'!H109</x:f>
        <x:v>0</x:v>
      </x:c>
      <x:c r="I98" s="226">
        <x:f>'REMUNERACION_EAAB-CL'!I109</x:f>
        <x:v>0</x:v>
      </x:c>
      <x:c r="J98" s="226">
        <x:f>'REMUNERACION_EAAB-CL'!J109</x:f>
        <x:v>0</x:v>
      </x:c>
      <x:c r="K98" s="236">
        <x:f>'REMUNERACION_EAAB-CL'!K109</x:f>
        <x:v>0</x:v>
      </x:c>
      <x:c r="L98" s="237">
        <x:f>'REMUNERACION_EAAB-CL'!L109</x:f>
        <x:v>0</x:v>
      </x:c>
      <x:c r="M98" s="238">
        <x:f>'REMUNERACION_EAAB-CL'!M109</x:f>
        <x:v>0</x:v>
      </x:c>
      <x:c r="N98" s="237">
        <x:f>'REMUNERACION_EAAB-CL'!N109</x:f>
        <x:v>0</x:v>
      </x:c>
      <x:c r="O98" s="238">
        <x:f>'REMUNERACION_EAAB-CL'!O109</x:f>
        <x:v>0</x:v>
      </x:c>
      <x:c r="P98" s="265"/>
      <x:c r="Q98" s="242"/>
      <x:c r="S98" s="263"/>
      <x:c r="T98" s="264" t="s">
        <x:v>2</x:v>
      </x:c>
      <x:c r="U98" s="266">
        <x:f>'REMUNERACION_EAAB-CL'!U109</x:f>
        <x:v>0</x:v>
      </x:c>
      <x:c r="V98" s="266">
        <x:f>'REMUNERACION_EAAB-CL'!V109</x:f>
        <x:v>0</x:v>
      </x:c>
      <x:c r="W98" s="266">
        <x:f>'REMUNERACION_EAAB-CL'!W109</x:f>
        <x:v>0</x:v>
      </x:c>
      <x:c r="X98" s="266">
        <x:f>'REMUNERACION_EAAB-CL'!X109</x:f>
        <x:v>0</x:v>
      </x:c>
      <x:c r="Y98" s="266">
        <x:f>'REMUNERACION_EAAB-CL'!Y109</x:f>
        <x:v>0</x:v>
      </x:c>
      <x:c r="Z98" s="226">
        <x:f>'REMUNERACION_EAAB-CL'!Z109</x:f>
        <x:v>0</x:v>
      </x:c>
      <x:c r="AA98" s="226">
        <x:f>'REMUNERACION_EAAB-CL'!AA109</x:f>
        <x:v>0</x:v>
      </x:c>
      <x:c r="AB98" s="226">
        <x:f>'REMUNERACION_EAAB-CL'!AB109</x:f>
        <x:v>0</x:v>
      </x:c>
      <x:c r="AC98" s="226">
        <x:f>'REMUNERACION_EAAB-CL'!AC109</x:f>
        <x:v>0</x:v>
      </x:c>
      <x:c r="AD98" s="226">
        <x:f>'REMUNERACION_EAAB-CL'!AD109</x:f>
        <x:v>0</x:v>
      </x:c>
      <x:c r="AE98" s="226">
        <x:f>'REMUNERACION_EAAB-CL'!AE109</x:f>
        <x:v>0</x:v>
      </x:c>
      <x:c r="AF98" s="267">
        <x:f>'REMUNERACION_EAAB-CL'!AF109</x:f>
        <x:v>0</x:v>
      </x:c>
      <x:c r="AG98" s="442">
        <x:f>'REMUNERACION_EAAB-CL'!AG109</x:f>
        <x:v>0</x:v>
      </x:c>
      <x:c r="AH98" s="1"/>
      <x:c r="AI98" s="242"/>
      <x:c r="AM98" s="269"/>
    </x:row>
    <x:row r="99" spans="1:39" ht="12.6" thickBot="1" x14ac:dyDescent="0.3">
      <x:c r="B99" s="2"/>
      <x:c r="C99" s="2"/>
      <x:c r="D99" s="149"/>
      <x:c r="E99" s="374"/>
      <x:c r="F99" s="374"/>
      <x:c r="G99" s="374"/>
      <x:c r="H99" s="374"/>
      <x:c r="I99" s="374"/>
      <x:c r="J99" s="149"/>
      <x:c r="K99" s="374"/>
      <x:c r="L99" s="374"/>
      <x:c r="M99" s="374"/>
      <x:c r="N99" s="374"/>
      <x:c r="O99" s="374"/>
      <x:c r="Q99" s="4"/>
      <x:c r="S99" s="2"/>
      <x:c r="T99" s="2"/>
      <x:c r="U99" s="374"/>
      <x:c r="V99" s="374"/>
      <x:c r="W99" s="374"/>
      <x:c r="X99" s="374"/>
      <x:c r="Y99" s="374"/>
      <x:c r="AF99" s="374"/>
      <x:c r="AI99" s="4"/>
    </x:row>
    <x:row r="100" spans="1:39" ht="12.6" thickBot="1" x14ac:dyDescent="0.3">
      <x:c r="B100" s="2"/>
      <x:c r="C100" s="2"/>
      <x:c r="D100" s="374"/>
      <x:c r="E100" s="374"/>
      <x:c r="F100" s="374"/>
      <x:c r="G100" s="374"/>
      <x:c r="H100" s="374"/>
      <x:c r="I100" s="374"/>
      <x:c r="K100" s="374"/>
      <x:c r="L100" s="374"/>
      <x:c r="M100" s="374"/>
      <x:c r="N100" s="374"/>
      <x:c r="O100" s="374"/>
      <x:c r="Q100" s="4"/>
      <x:c r="Y100" s="375"/>
      <x:c r="AI100" s="4"/>
    </x:row>
    <x:row r="101" spans="1:39" ht="12" x14ac:dyDescent="0.25">
      <x:c r="A101" s="4"/>
      <x:c r="B101" s="34"/>
      <x:c r="C101" s="34"/>
      <x:c r="D101" s="397"/>
      <x:c r="E101" s="397"/>
      <x:c r="F101" s="397"/>
      <x:c r="G101" s="397"/>
      <x:c r="H101" s="397"/>
      <x:c r="I101" s="397"/>
      <x:c r="J101" s="4"/>
      <x:c r="K101" s="397"/>
      <x:c r="L101" s="397"/>
      <x:c r="M101" s="397"/>
      <x:c r="N101" s="397"/>
      <x:c r="O101" s="397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" thickBot="1" x14ac:dyDescent="0.25">
      <x:c r="Q102" s="4"/>
      <x:c r="AI102" s="4"/>
    </x:row>
    <x:row r="103" spans="1:39" ht="12" x14ac:dyDescent="0.25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3.8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6" x14ac:dyDescent="0.3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3.8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6" x14ac:dyDescent="0.3">
      <x:c r="B107" s="8"/>
      <x:c r="C107" s="2"/>
      <x:c r="D107" s="9"/>
      <x:c r="F107" s="41" t="s">
        <x:v>190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190</x:v>
      </x:c>
      <x:c r="V107" s="2"/>
      <x:c r="X107" s="2"/>
      <x:c r="Y107" s="2"/>
      <x:c r="AF107" s="48"/>
      <x:c r="AG107" s="2"/>
      <x:c r="AI107" s="4"/>
    </x:row>
    <x:row r="108" spans="1:39" ht="12.6" thickBot="1" x14ac:dyDescent="0.3">
      <x:c r="B108" s="8"/>
      <x:c r="C108" s="2"/>
      <x:c r="D108" s="198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599999999999994" thickBot="1" x14ac:dyDescent="0.25">
      <x:c r="B109" s="11" t="s">
        <x:v>3</x:v>
      </x:c>
      <x:c r="C109" s="27" t="s">
        <x:v>9</x:v>
      </x:c>
      <x:c r="D109" s="97" t="s">
        <x:v>4</x:v>
      </x:c>
      <x:c r="E109" s="98" t="s">
        <x:v>5</x:v>
      </x:c>
      <x:c r="F109" s="98" t="s">
        <x:v>6</x:v>
      </x:c>
      <x:c r="G109" s="468" t="s">
        <x:v>159</x:v>
      </x:c>
      <x:c r="H109" s="98" t="s">
        <x:v>18</x:v>
      </x:c>
      <x:c r="I109" s="98" t="s">
        <x:v>24</x:v>
      </x:c>
      <x:c r="J109" s="134" t="s">
        <x:v>19</x:v>
      </x:c>
      <x:c r="K109" s="39" t="s">
        <x:v>20</x:v>
      </x:c>
      <x:c r="L109" s="469" t="s">
        <x:v>21</x:v>
      </x:c>
      <x:c r="M109" s="39" t="s">
        <x:v>22</x:v>
      </x:c>
      <x:c r="N109" s="98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46" t="s">
        <x:v>39</x:v>
      </x:c>
      <x:c r="V109" s="147" t="s">
        <x:v>40</x:v>
      </x:c>
      <x:c r="W109" s="147" t="s">
        <x:v>41</x:v>
      </x:c>
      <x:c r="X109" s="147" t="s">
        <x:v>42</x:v>
      </x:c>
      <x:c r="Y109" s="148" t="s">
        <x:v>43</x:v>
      </x:c>
      <x:c r="Z109" s="472" t="s">
        <x:v>21</x:v>
      </x:c>
      <x:c r="AA109" s="308" t="s">
        <x:v>46</x:v>
      </x:c>
      <x:c r="AB109" s="308" t="s">
        <x:v>7</x:v>
      </x:c>
      <x:c r="AC109" s="472" t="s">
        <x:v>167</x:v>
      </x:c>
      <x:c r="AD109" s="468" t="s">
        <x:v>105</x:v>
      </x:c>
      <x:c r="AE109" s="468" t="s">
        <x:v>104</x:v>
      </x:c>
      <x:c r="AF109" s="39" t="s">
        <x:v>23</x:v>
      </x:c>
      <x:c r="AG109" s="13"/>
      <x:c r="AI109" s="4"/>
    </x:row>
    <x:row r="110" spans="1:39" ht="12" x14ac:dyDescent="0.25">
      <x:c r="B110" s="14">
        <x:v>1</x:v>
      </x:c>
      <x:c r="C110" s="61" t="s">
        <x:v>10</x:v>
      </x:c>
      <x:c r="D110" s="470">
        <x:f>D9-(D26+D60+D43+D76+D93)</x:f>
        <x:v>0</x:v>
      </x:c>
      <x:c r="E110" s="470">
        <x:f t="shared" ref="E110:O110" si="0">E9-(E26+E60+E43+E76+E93)</x:f>
        <x:v>0</x:v>
      </x:c>
      <x:c r="F110" s="470">
        <x:f t="shared" si="0"/>
        <x:v>0</x:v>
      </x:c>
      <x:c r="G110" s="470">
        <x:f t="shared" si="0"/>
        <x:v>0</x:v>
      </x:c>
      <x:c r="H110" s="470">
        <x:f t="shared" si="0"/>
        <x:v>0</x:v>
      </x:c>
      <x:c r="I110" s="470">
        <x:f t="shared" si="0"/>
        <x:v>0</x:v>
      </x:c>
      <x:c r="J110" s="470">
        <x:f t="shared" si="0"/>
        <x:v>0</x:v>
      </x:c>
      <x:c r="K110" s="470">
        <x:f t="shared" si="0"/>
        <x:v>0</x:v>
      </x:c>
      <x:c r="L110" s="470">
        <x:f t="shared" si="0"/>
        <x:v>0</x:v>
      </x:c>
      <x:c r="M110" s="470">
        <x:f t="shared" si="0"/>
        <x:v>0</x:v>
      </x:c>
      <x:c r="N110" s="470">
        <x:f t="shared" si="0"/>
        <x:v>0</x:v>
      </x:c>
      <x:c r="O110" s="470">
        <x:f t="shared" si="0"/>
        <x:v>0</x:v>
      </x:c>
      <x:c r="P110" s="403"/>
      <x:c r="Q110" s="404"/>
      <x:c r="R110" s="403"/>
      <x:c r="S110" s="405">
        <x:v>1</x:v>
      </x:c>
      <x:c r="T110" s="406" t="s">
        <x:v>10</x:v>
      </x:c>
      <x:c r="U110" s="470">
        <x:f>U9-(U26+U43+U60++U76+U93)</x:f>
        <x:v>0</x:v>
      </x:c>
      <x:c r="V110" s="470">
        <x:f t="shared" ref="V110:AF110" si="1">V9-(V26+V43+V60++V76+V93)</x:f>
        <x:v>0</x:v>
      </x:c>
      <x:c r="W110" s="470">
        <x:f t="shared" si="1"/>
        <x:v>0</x:v>
      </x:c>
      <x:c r="X110" s="470">
        <x:f t="shared" si="1"/>
        <x:v>0</x:v>
      </x:c>
      <x:c r="Y110" s="470">
        <x:f t="shared" si="1"/>
        <x:v>0</x:v>
      </x:c>
      <x:c r="Z110" s="470">
        <x:f t="shared" si="1"/>
        <x:v>0</x:v>
      </x:c>
      <x:c r="AA110" s="470">
        <x:f t="shared" si="1"/>
        <x:v>0</x:v>
      </x:c>
      <x:c r="AB110" s="470">
        <x:f t="shared" si="1"/>
        <x:v>0</x:v>
      </x:c>
      <x:c r="AC110" s="470">
        <x:f t="shared" si="1"/>
        <x:v>0</x:v>
      </x:c>
      <x:c r="AD110" s="470">
        <x:f t="shared" ref="AD110:AD115" si="2">AD9-(AD26+AD43+AD60+AD76+AD93)</x:f>
        <x:v>0</x:v>
      </x:c>
      <x:c r="AE110" s="470">
        <x:f t="shared" si="1"/>
        <x:v>0</x:v>
      </x:c>
      <x:c r="AF110" s="470">
        <x:f t="shared" si="1"/>
        <x:v>0</x:v>
      </x:c>
      <x:c r="AG110" s="470">
        <x:f t="shared" ref="AG110" si="3">AG9-(AG26+AG43+AG60++AG76+AG93)</x:f>
        <x:v>0</x:v>
      </x:c>
      <x:c r="AI110" s="404"/>
      <x:c r="AJ110" s="403"/>
    </x:row>
    <x:row r="111" spans="1:39" ht="12" x14ac:dyDescent="0.25">
      <x:c r="B111" s="16">
        <x:v>2</x:v>
      </x:c>
      <x:c r="C111" s="62" t="s">
        <x:v>11</x:v>
      </x:c>
      <x:c r="D111" s="402">
        <x:f t="shared" ref="D111:O115" si="4">D10-(D27+D61+D44+D77+D94)</x:f>
        <x:v>0</x:v>
      </x:c>
      <x:c r="E111" s="402">
        <x:f t="shared" si="4"/>
        <x:v>0</x:v>
      </x:c>
      <x:c r="F111" s="402">
        <x:f t="shared" si="4"/>
        <x:v>0</x:v>
      </x:c>
      <x:c r="G111" s="402">
        <x:f t="shared" si="4"/>
        <x:v>0</x:v>
      </x:c>
      <x:c r="H111" s="402">
        <x:f t="shared" si="4"/>
        <x:v>0</x:v>
      </x:c>
      <x:c r="I111" s="402">
        <x:f t="shared" si="4"/>
        <x:v>0</x:v>
      </x:c>
      <x:c r="J111" s="402">
        <x:f t="shared" si="4"/>
        <x:v>0</x:v>
      </x:c>
      <x:c r="K111" s="402">
        <x:f t="shared" si="4"/>
        <x:v>0</x:v>
      </x:c>
      <x:c r="L111" s="402">
        <x:f t="shared" si="4"/>
        <x:v>0</x:v>
      </x:c>
      <x:c r="M111" s="402">
        <x:f t="shared" si="4"/>
        <x:v>0</x:v>
      </x:c>
      <x:c r="N111" s="402">
        <x:f t="shared" si="4"/>
        <x:v>0</x:v>
      </x:c>
      <x:c r="O111" s="402">
        <x:f t="shared" si="4"/>
        <x:v>0</x:v>
      </x:c>
      <x:c r="P111" s="403"/>
      <x:c r="Q111" s="404"/>
      <x:c r="R111" s="403"/>
      <x:c r="S111" s="407">
        <x:v>2</x:v>
      </x:c>
      <x:c r="T111" s="408" t="s">
        <x:v>11</x:v>
      </x:c>
      <x:c r="U111" s="402">
        <x:f t="shared" ref="U111:AF115" si="5">U10-(U27+U44+U61++U77+U94)</x:f>
        <x:v>0</x:v>
      </x:c>
      <x:c r="V111" s="402">
        <x:f t="shared" si="5"/>
        <x:v>0</x:v>
      </x:c>
      <x:c r="W111" s="402">
        <x:f t="shared" si="5"/>
        <x:v>0</x:v>
      </x:c>
      <x:c r="X111" s="402">
        <x:f t="shared" si="5"/>
        <x:v>0</x:v>
      </x:c>
      <x:c r="Y111" s="402">
        <x:f t="shared" si="5"/>
        <x:v>0</x:v>
      </x:c>
      <x:c r="Z111" s="402">
        <x:f t="shared" si="5"/>
        <x:v>0</x:v>
      </x:c>
      <x:c r="AA111" s="402">
        <x:f t="shared" si="5"/>
        <x:v>0</x:v>
      </x:c>
      <x:c r="AB111" s="402">
        <x:f t="shared" si="5"/>
        <x:v>0</x:v>
      </x:c>
      <x:c r="AC111" s="402">
        <x:f t="shared" si="5"/>
        <x:v>0</x:v>
      </x:c>
      <x:c r="AD111" s="402">
        <x:f t="shared" si="2"/>
        <x:v>0</x:v>
      </x:c>
      <x:c r="AE111" s="402">
        <x:f t="shared" si="5"/>
        <x:v>0</x:v>
      </x:c>
      <x:c r="AF111" s="402">
        <x:f t="shared" si="5"/>
        <x:v>0</x:v>
      </x:c>
      <x:c r="AG111" s="402">
        <x:f t="shared" ref="AG111" si="6">AG10-(AG27+AG44+AG61++AG77+AG94)</x:f>
        <x:v>0</x:v>
      </x:c>
      <x:c r="AI111" s="404"/>
      <x:c r="AJ111" s="403"/>
    </x:row>
    <x:row r="112" spans="1:39" ht="12" x14ac:dyDescent="0.25">
      <x:c r="B112" s="16">
        <x:v>3</x:v>
      </x:c>
      <x:c r="C112" s="62" t="s">
        <x:v>12</x:v>
      </x:c>
      <x:c r="D112" s="402">
        <x:f t="shared" si="4"/>
        <x:v>0</x:v>
      </x:c>
      <x:c r="E112" s="402">
        <x:f t="shared" si="4"/>
        <x:v>0</x:v>
      </x:c>
      <x:c r="F112" s="402">
        <x:f t="shared" si="4"/>
        <x:v>0</x:v>
      </x:c>
      <x:c r="G112" s="402">
        <x:f t="shared" si="4"/>
        <x:v>0</x:v>
      </x:c>
      <x:c r="H112" s="402">
        <x:f t="shared" si="4"/>
        <x:v>0</x:v>
      </x:c>
      <x:c r="I112" s="402">
        <x:f t="shared" si="4"/>
        <x:v>0</x:v>
      </x:c>
      <x:c r="J112" s="402">
        <x:f t="shared" si="4"/>
        <x:v>0</x:v>
      </x:c>
      <x:c r="K112" s="402">
        <x:f t="shared" si="4"/>
        <x:v>0</x:v>
      </x:c>
      <x:c r="L112" s="402">
        <x:f t="shared" si="4"/>
        <x:v>0</x:v>
      </x:c>
      <x:c r="M112" s="402">
        <x:f t="shared" si="4"/>
        <x:v>0</x:v>
      </x:c>
      <x:c r="N112" s="402">
        <x:f t="shared" si="4"/>
        <x:v>0</x:v>
      </x:c>
      <x:c r="O112" s="402">
        <x:f t="shared" si="4"/>
        <x:v>0</x:v>
      </x:c>
      <x:c r="P112" s="403"/>
      <x:c r="Q112" s="404"/>
      <x:c r="R112" s="403"/>
      <x:c r="S112" s="407">
        <x:v>3</x:v>
      </x:c>
      <x:c r="T112" s="408" t="s">
        <x:v>12</x:v>
      </x:c>
      <x:c r="U112" s="402">
        <x:f t="shared" si="5"/>
        <x:v>0</x:v>
      </x:c>
      <x:c r="V112" s="402">
        <x:f t="shared" si="5"/>
        <x:v>0</x:v>
      </x:c>
      <x:c r="W112" s="402">
        <x:f t="shared" si="5"/>
        <x:v>0</x:v>
      </x:c>
      <x:c r="X112" s="402">
        <x:f t="shared" si="5"/>
        <x:v>0</x:v>
      </x:c>
      <x:c r="Y112" s="402">
        <x:f t="shared" si="5"/>
        <x:v>0</x:v>
      </x:c>
      <x:c r="Z112" s="402">
        <x:f t="shared" si="5"/>
        <x:v>0</x:v>
      </x:c>
      <x:c r="AA112" s="402">
        <x:f t="shared" si="5"/>
        <x:v>0</x:v>
      </x:c>
      <x:c r="AB112" s="402">
        <x:f t="shared" si="5"/>
        <x:v>0</x:v>
      </x:c>
      <x:c r="AC112" s="402">
        <x:f t="shared" si="5"/>
        <x:v>0</x:v>
      </x:c>
      <x:c r="AD112" s="402">
        <x:f t="shared" si="2"/>
        <x:v>0</x:v>
      </x:c>
      <x:c r="AE112" s="402">
        <x:f t="shared" si="5"/>
        <x:v>0</x:v>
      </x:c>
      <x:c r="AF112" s="402">
        <x:f t="shared" si="5"/>
        <x:v>0</x:v>
      </x:c>
      <x:c r="AG112" s="402">
        <x:f t="shared" ref="AG112" si="7">AG11-(AG28+AG45+AG62++AG78+AG95)</x:f>
        <x:v>0</x:v>
      </x:c>
      <x:c r="AI112" s="404"/>
      <x:c r="AJ112" s="403"/>
    </x:row>
    <x:row r="113" spans="1:36" ht="12" x14ac:dyDescent="0.25">
      <x:c r="B113" s="16">
        <x:v>4</x:v>
      </x:c>
      <x:c r="C113" s="62" t="s">
        <x:v>13</x:v>
      </x:c>
      <x:c r="D113" s="402">
        <x:f t="shared" si="4"/>
        <x:v>0</x:v>
      </x:c>
      <x:c r="E113" s="402">
        <x:f t="shared" si="4"/>
        <x:v>0</x:v>
      </x:c>
      <x:c r="F113" s="402">
        <x:f t="shared" si="4"/>
        <x:v>0</x:v>
      </x:c>
      <x:c r="G113" s="402">
        <x:f t="shared" si="4"/>
        <x:v>0</x:v>
      </x:c>
      <x:c r="H113" s="402">
        <x:f t="shared" si="4"/>
        <x:v>0</x:v>
      </x:c>
      <x:c r="I113" s="402">
        <x:f t="shared" si="4"/>
        <x:v>0</x:v>
      </x:c>
      <x:c r="J113" s="402">
        <x:f t="shared" si="4"/>
        <x:v>0</x:v>
      </x:c>
      <x:c r="K113" s="402">
        <x:f t="shared" si="4"/>
        <x:v>0</x:v>
      </x:c>
      <x:c r="L113" s="402">
        <x:f t="shared" si="4"/>
        <x:v>0</x:v>
      </x:c>
      <x:c r="M113" s="402">
        <x:f t="shared" si="4"/>
        <x:v>0</x:v>
      </x:c>
      <x:c r="N113" s="402">
        <x:f t="shared" si="4"/>
        <x:v>0</x:v>
      </x:c>
      <x:c r="O113" s="402">
        <x:f t="shared" si="4"/>
        <x:v>0</x:v>
      </x:c>
      <x:c r="P113" s="403"/>
      <x:c r="Q113" s="404"/>
      <x:c r="R113" s="403"/>
      <x:c r="S113" s="407">
        <x:v>4</x:v>
      </x:c>
      <x:c r="T113" s="408" t="s">
        <x:v>13</x:v>
      </x:c>
      <x:c r="U113" s="402">
        <x:f t="shared" si="5"/>
        <x:v>0</x:v>
      </x:c>
      <x:c r="V113" s="402">
        <x:f t="shared" si="5"/>
        <x:v>0</x:v>
      </x:c>
      <x:c r="W113" s="402">
        <x:f t="shared" si="5"/>
        <x:v>0</x:v>
      </x:c>
      <x:c r="X113" s="402">
        <x:f t="shared" si="5"/>
        <x:v>0</x:v>
      </x:c>
      <x:c r="Y113" s="402">
        <x:f t="shared" si="5"/>
        <x:v>0</x:v>
      </x:c>
      <x:c r="Z113" s="402">
        <x:f t="shared" si="5"/>
        <x:v>0</x:v>
      </x:c>
      <x:c r="AA113" s="402">
        <x:f t="shared" si="5"/>
        <x:v>0</x:v>
      </x:c>
      <x:c r="AB113" s="402">
        <x:f t="shared" si="5"/>
        <x:v>0</x:v>
      </x:c>
      <x:c r="AC113" s="402">
        <x:f t="shared" si="5"/>
        <x:v>0</x:v>
      </x:c>
      <x:c r="AD113" s="402">
        <x:f t="shared" si="2"/>
        <x:v>0</x:v>
      </x:c>
      <x:c r="AE113" s="402">
        <x:f t="shared" si="5"/>
        <x:v>0</x:v>
      </x:c>
      <x:c r="AF113" s="402">
        <x:f t="shared" si="5"/>
        <x:v>0</x:v>
      </x:c>
      <x:c r="AG113" s="402">
        <x:f t="shared" ref="AG113" si="8">AG12-(AG29+AG46+AG63++AG79+AG96)</x:f>
        <x:v>0</x:v>
      </x:c>
      <x:c r="AI113" s="404"/>
      <x:c r="AJ113" s="403"/>
    </x:row>
    <x:row r="114" spans="1:36" ht="12.6" thickBot="1" x14ac:dyDescent="0.3">
      <x:c r="B114" s="19">
        <x:v>5</x:v>
      </x:c>
      <x:c r="C114" s="63" t="s">
        <x:v>14</x:v>
      </x:c>
      <x:c r="D114" s="402">
        <x:f t="shared" si="4"/>
        <x:v>0</x:v>
      </x:c>
      <x:c r="E114" s="402">
        <x:f t="shared" si="4"/>
        <x:v>0</x:v>
      </x:c>
      <x:c r="F114" s="402">
        <x:f t="shared" si="4"/>
        <x:v>0</x:v>
      </x:c>
      <x:c r="G114" s="402">
        <x:f t="shared" si="4"/>
        <x:v>0</x:v>
      </x:c>
      <x:c r="H114" s="402">
        <x:f t="shared" si="4"/>
        <x:v>0</x:v>
      </x:c>
      <x:c r="I114" s="402">
        <x:f t="shared" si="4"/>
        <x:v>0</x:v>
      </x:c>
      <x:c r="J114" s="402">
        <x:f t="shared" si="4"/>
        <x:v>0</x:v>
      </x:c>
      <x:c r="K114" s="402">
        <x:f t="shared" si="4"/>
        <x:v>0</x:v>
      </x:c>
      <x:c r="L114" s="402">
        <x:f t="shared" si="4"/>
        <x:v>0</x:v>
      </x:c>
      <x:c r="M114" s="402">
        <x:f t="shared" si="4"/>
        <x:v>0</x:v>
      </x:c>
      <x:c r="N114" s="402">
        <x:f t="shared" si="4"/>
        <x:v>0</x:v>
      </x:c>
      <x:c r="O114" s="402">
        <x:f t="shared" si="4"/>
        <x:v>0</x:v>
      </x:c>
      <x:c r="P114" s="403"/>
      <x:c r="Q114" s="404"/>
      <x:c r="R114" s="403"/>
      <x:c r="S114" s="409">
        <x:v>5</x:v>
      </x:c>
      <x:c r="T114" s="410" t="s">
        <x:v>14</x:v>
      </x:c>
      <x:c r="U114" s="402">
        <x:f t="shared" si="5"/>
        <x:v>0</x:v>
      </x:c>
      <x:c r="V114" s="402">
        <x:f t="shared" si="5"/>
        <x:v>0</x:v>
      </x:c>
      <x:c r="W114" s="402">
        <x:f t="shared" si="5"/>
        <x:v>0</x:v>
      </x:c>
      <x:c r="X114" s="402">
        <x:f t="shared" si="5"/>
        <x:v>0</x:v>
      </x:c>
      <x:c r="Y114" s="402">
        <x:f t="shared" si="5"/>
        <x:v>0</x:v>
      </x:c>
      <x:c r="Z114" s="402">
        <x:f t="shared" si="5"/>
        <x:v>0</x:v>
      </x:c>
      <x:c r="AA114" s="402">
        <x:f t="shared" si="5"/>
        <x:v>0</x:v>
      </x:c>
      <x:c r="AB114" s="402">
        <x:f t="shared" si="5"/>
        <x:v>0</x:v>
      </x:c>
      <x:c r="AC114" s="402">
        <x:f t="shared" si="5"/>
        <x:v>0</x:v>
      </x:c>
      <x:c r="AD114" s="402">
        <x:f t="shared" si="2"/>
        <x:v>0</x:v>
      </x:c>
      <x:c r="AE114" s="402">
        <x:f t="shared" si="5"/>
        <x:v>0</x:v>
      </x:c>
      <x:c r="AF114" s="402">
        <x:f t="shared" si="5"/>
        <x:v>0</x:v>
      </x:c>
      <x:c r="AG114" s="402">
        <x:f t="shared" ref="AG114" si="9">AG13-(AG30+AG47+AG64++AG80+AG97)</x:f>
        <x:v>0</x:v>
      </x:c>
      <x:c r="AI114" s="404"/>
      <x:c r="AJ114" s="403"/>
    </x:row>
    <x:row r="115" spans="1:36" ht="12.6" thickBot="1" x14ac:dyDescent="0.3">
      <x:c r="B115" s="21"/>
      <x:c r="C115" s="22" t="s">
        <x:v>2</x:v>
      </x:c>
      <x:c r="D115" s="471">
        <x:f t="shared" si="4"/>
        <x:v>0</x:v>
      </x:c>
      <x:c r="E115" s="471">
        <x:f t="shared" si="4"/>
        <x:v>0</x:v>
      </x:c>
      <x:c r="F115" s="471">
        <x:f t="shared" si="4"/>
        <x:v>0</x:v>
      </x:c>
      <x:c r="G115" s="471">
        <x:f t="shared" si="4"/>
        <x:v>0</x:v>
      </x:c>
      <x:c r="H115" s="471">
        <x:f t="shared" si="4"/>
        <x:v>0</x:v>
      </x:c>
      <x:c r="I115" s="471">
        <x:f t="shared" si="4"/>
        <x:v>0</x:v>
      </x:c>
      <x:c r="J115" s="471">
        <x:f t="shared" si="4"/>
        <x:v>0</x:v>
      </x:c>
      <x:c r="K115" s="471">
        <x:f t="shared" si="4"/>
        <x:v>0</x:v>
      </x:c>
      <x:c r="L115" s="471">
        <x:f t="shared" si="4"/>
        <x:v>0</x:v>
      </x:c>
      <x:c r="M115" s="471">
        <x:f t="shared" si="4"/>
        <x:v>0</x:v>
      </x:c>
      <x:c r="N115" s="471">
        <x:f t="shared" si="4"/>
        <x:v>0</x:v>
      </x:c>
      <x:c r="O115" s="471">
        <x:f t="shared" si="4"/>
        <x:v>0</x:v>
      </x:c>
      <x:c r="P115" s="411"/>
      <x:c r="Q115" s="404"/>
      <x:c r="R115" s="403"/>
      <x:c r="S115" s="412"/>
      <x:c r="T115" s="413" t="s">
        <x:v>2</x:v>
      </x:c>
      <x:c r="U115" s="471">
        <x:f t="shared" si="5"/>
        <x:v>0</x:v>
      </x:c>
      <x:c r="V115" s="471">
        <x:f t="shared" si="5"/>
        <x:v>0</x:v>
      </x:c>
      <x:c r="W115" s="471">
        <x:f t="shared" si="5"/>
        <x:v>0</x:v>
      </x:c>
      <x:c r="X115" s="471">
        <x:f t="shared" si="5"/>
        <x:v>0</x:v>
      </x:c>
      <x:c r="Y115" s="471">
        <x:f t="shared" si="5"/>
        <x:v>0</x:v>
      </x:c>
      <x:c r="Z115" s="471">
        <x:f t="shared" si="5"/>
        <x:v>0</x:v>
      </x:c>
      <x:c r="AA115" s="471">
        <x:f t="shared" si="5"/>
        <x:v>0</x:v>
      </x:c>
      <x:c r="AB115" s="471">
        <x:f t="shared" si="5"/>
        <x:v>0</x:v>
      </x:c>
      <x:c r="AC115" s="471">
        <x:f t="shared" si="5"/>
        <x:v>0</x:v>
      </x:c>
      <x:c r="AD115" s="471">
        <x:f t="shared" si="2"/>
        <x:v>0</x:v>
      </x:c>
      <x:c r="AE115" s="471">
        <x:f t="shared" si="5"/>
        <x:v>0</x:v>
      </x:c>
      <x:c r="AF115" s="471">
        <x:f t="shared" si="5"/>
        <x:v>0</x:v>
      </x:c>
      <x:c r="AG115" s="471">
        <x:f t="shared" ref="AG115" si="10">AG14-(AG31+AG48+AG65++AG81+AG98)</x:f>
        <x:v>0</x:v>
      </x:c>
      <x:c r="AI115" s="404"/>
      <x:c r="AJ115" s="403"/>
    </x:row>
    <x:row r="116" spans="1:36" ht="12" x14ac:dyDescent="0.25">
      <x:c r="B116" s="2"/>
      <x:c r="C116" s="2"/>
      <x:c r="D116" s="374"/>
      <x:c r="E116" s="374"/>
      <x:c r="F116" s="374"/>
      <x:c r="G116" s="374"/>
      <x:c r="H116" s="374"/>
      <x:c r="I116" s="374"/>
      <x:c r="K116" s="374"/>
      <x:c r="L116" s="374"/>
      <x:c r="M116" s="374"/>
      <x:c r="N116" s="374"/>
      <x:c r="O116" s="374"/>
      <x:c r="Q116" s="4"/>
      <x:c r="S116" s="2"/>
      <x:c r="T116" s="2"/>
      <x:c r="U116" s="374"/>
      <x:c r="V116" s="374"/>
      <x:c r="W116" s="374"/>
      <x:c r="X116" s="374"/>
      <x:c r="Y116" s="374"/>
      <x:c r="AF116" s="374"/>
      <x:c r="AI116" s="4"/>
    </x:row>
    <x:row r="117" spans="1:36" ht="12" x14ac:dyDescent="0.25">
      <x:c r="B117" s="2"/>
      <x:c r="C117" s="2"/>
      <x:c r="D117" s="374" t="s">
        <x:v>1</x:v>
      </x:c>
      <x:c r="E117" s="374"/>
      <x:c r="F117" s="374"/>
      <x:c r="G117" s="374"/>
      <x:c r="H117" s="374"/>
      <x:c r="I117" s="374"/>
      <x:c r="K117" s="374"/>
      <x:c r="L117" s="374"/>
      <x:c r="M117" s="374"/>
      <x:c r="N117" s="374"/>
      <x:c r="O117" s="374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ht="12" x14ac:dyDescent="0.25">
      <x:c r="A118" s="4"/>
      <x:c r="B118" s="34"/>
      <x:c r="C118" s="34"/>
      <x:c r="D118" s="397"/>
      <x:c r="E118" s="397"/>
      <x:c r="F118" s="397"/>
      <x:c r="G118" s="397"/>
      <x:c r="H118" s="397"/>
      <x:c r="I118" s="397"/>
      <x:c r="J118" s="4"/>
      <x:c r="K118" s="397"/>
      <x:c r="L118" s="397"/>
      <x:c r="M118" s="397"/>
      <x:c r="N118" s="397"/>
      <x:c r="O118" s="397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" thickBot="1" x14ac:dyDescent="0.25">
      <x:c r="Q119" s="4"/>
      <x:c r="AI119" s="4"/>
    </x:row>
    <x:row r="120" spans="1:36" ht="12" x14ac:dyDescent="0.25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3.8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6" x14ac:dyDescent="0.3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3.8" x14ac:dyDescent="0.25">
      <x:c r="B123" s="8"/>
      <x:c r="F123" s="2" t="s">
        <x:v>30</x:v>
      </x:c>
      <x:c r="G123" s="2"/>
      <x:c r="L123" s="90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6" x14ac:dyDescent="0.3">
      <x:c r="B124" s="8"/>
      <x:c r="C124" s="2" t="s">
        <x:v>17</x:v>
      </x:c>
      <x:c r="D124" s="9">
        <x:f>'REMUNERACION_EAAB-CL'!D101</x:f>
        <x:v>46238</x:v>
      </x:c>
      <x:c r="F124" s="58" t="s">
        <x:v>188</x:v>
      </x:c>
      <x:c r="G124" s="58"/>
      <x:c r="H124" s="59"/>
      <x:c r="I124" s="60"/>
      <x:c r="J124" s="59"/>
      <x:c r="K124" s="60"/>
      <x:c r="L124" s="90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9.8" thickBot="1" x14ac:dyDescent="0.5">
      <x:c r="B125" s="92"/>
      <x:c r="C125" s="473" t="s">
        <x:v>0</x:v>
      </x:c>
      <x:c r="D125" s="474">
        <x:f>'REMUNERACION_EAAB-CL'!D102</x:f>
        <x:v>0.58333333333333337</x:v>
      </x:c>
      <x:c r="E125" s="45"/>
      <x:c r="F125" s="473" t="s">
        <x:v>27</x:v>
      </x:c>
      <x:c r="G125" s="475">
        <x:f>'REMUNERACION_EAAB-CL'!G102</x:f>
        <x:v>46219</x:v>
      </x:c>
      <x:c r="H125" s="45"/>
      <x:c r="I125" s="45"/>
      <x:c r="J125" s="473" t="s">
        <x:v>28</x:v>
      </x:c>
      <x:c r="K125" s="475">
        <x:f>'REMUNERACION_EAAB-CL'!K102</x:f>
        <x:v>46234</x:v>
      </x:c>
      <x:c r="L125" s="91"/>
      <x:c r="M125" s="45"/>
      <x:c r="N125" s="45"/>
      <x:c r="O125" s="476"/>
      <x:c r="P125" s="2"/>
      <x:c r="Q125" s="4"/>
      <x:c r="S125" s="92"/>
      <x:c r="T125" s="45"/>
      <x:c r="U125" s="45" t="str">
        <x:f>F125</x:f>
        <x:v>Fecha Desde:</x:v>
      </x:c>
      <x:c r="V125" s="475">
        <x:f>'REMUNERACION_EAAB-CL'!V102</x:f>
        <x:v>46219</x:v>
      </x:c>
      <x:c r="W125" s="45" t="s">
        <x:v>1</x:v>
      </x:c>
      <x:c r="X125" s="45" t="str">
        <x:f>J125</x:f>
        <x:v>Feha Hasta:</x:v>
      </x:c>
      <x:c r="Y125" s="475">
        <x:f>'REMUNERACION_EAAB-CL'!Y102</x:f>
        <x:v>46234</x:v>
      </x:c>
      <x:c r="Z125" s="45" t="s">
        <x:v>1</x:v>
      </x:c>
      <x:c r="AA125" s="45"/>
      <x:c r="AB125" s="45"/>
      <x:c r="AC125" s="45"/>
      <x:c r="AD125" s="45"/>
      <x:c r="AE125" s="45"/>
      <x:c r="AF125" s="477"/>
      <x:c r="AG125" s="2"/>
      <x:c r="AI125" s="4"/>
      <x:c r="AJ125" s="105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workbookViewId="0">
      <x:selection activeCell="D106" sqref="D106"/>
    </x:sheetView>
  </x:sheetViews>
  <x:sheetFormatPr baseColWidth="10" defaultRowHeight="13.2" x14ac:dyDescent="0.25"/>
  <x:cols>
    <x:col min="1" max="1" width="2.44140625" customWidth="1"/>
    <x:col min="3" max="3" width="36.6640625" bestFit="1" customWidth="1"/>
    <x:col min="4" max="4" width="12" bestFit="1" customWidth="1"/>
    <x:col min="5" max="5" width="12.33203125" customWidth="1"/>
    <x:col min="6" max="6" width="9.33203125" customWidth="1"/>
    <x:col min="7" max="7" width="14.6640625" customWidth="1"/>
    <x:col min="8" max="8" width="15.33203125" customWidth="1"/>
    <x:col min="9" max="9" width="20.33203125" bestFit="1" customWidth="1"/>
    <x:col min="10" max="10" width="15.44140625" customWidth="1"/>
    <x:col min="11" max="11" width="17.6640625" customWidth="1"/>
    <x:col min="12" max="12" width="20.6640625" customWidth="1"/>
    <x:col min="17" max="17" width="1.33203125" customWidth="1"/>
  </x:cols>
  <x:sheetData>
    <x:row r="1" spans="1:33" s="1" customFormat="1" ht="12" thickBot="1" x14ac:dyDescent="0.25">
      <x:c r="Q1" s="4"/>
    </x:row>
    <x:row r="2" spans="1:33" s="1" customFormat="1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397"/>
    </x:row>
    <x:row r="3" spans="1:33" s="1" customFormat="1" ht="15.6" x14ac:dyDescent="0.3">
      <x:c r="B3" s="8"/>
      <x:c r="F3" s="394" t="s">
        <x:v>37</x:v>
      </x:c>
      <x:c r="G3" s="394"/>
      <x:c r="H3" s="395"/>
      <x:c r="I3" s="396"/>
      <x:c r="J3" s="395"/>
      <x:c r="K3" s="396"/>
      <x:c r="O3" s="10"/>
      <x:c r="P3" s="2"/>
      <x:c r="Q3" s="4"/>
    </x:row>
    <x:row r="4" spans="1:33" s="1" customFormat="1" ht="12.6" thickBot="1" x14ac:dyDescent="0.3">
      <x:c r="B4" s="8"/>
      <x:c r="C4" s="2" t="s">
        <x:v>1</x:v>
      </x:c>
      <x:c r="D4" s="2" t="s">
        <x:v>1</x:v>
      </x:c>
      <x:c r="O4" s="44"/>
      <x:c r="P4" s="2"/>
      <x:c r="Q4" s="4"/>
      <x:c r="AG4" s="403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97" t="s">
        <x:v>47</x:v>
      </x:c>
      <x:c r="H5" s="73" t="s">
        <x:v>56</x:v>
      </x:c>
      <x:c r="I5" s="73" t="s">
        <x:v>130</x:v>
      </x:c>
      <x:c r="J5" s="73" t="s">
        <x:v>171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241" customFormat="1" ht="12" x14ac:dyDescent="0.25">
      <x:c r="B6" s="270">
        <x:v>1</x:v>
      </x:c>
      <x:c r="C6" s="271" t="s">
        <x:v>10</x:v>
      </x:c>
      <x:c r="D6" s="244">
        <x:f>'CONSOLIDADO_TOTAL RECAUDO'!D125</x:f>
        <x:v>0</x:v>
      </x:c>
      <x:c r="E6" s="245">
        <x:f>'CONSOLIDADO_TOTAL RECAUDO'!E125</x:f>
        <x:v>0</x:v>
      </x:c>
      <x:c r="G6" s="272">
        <x:f>'CONSOLIDADO_TOTAL RECAUDO'!G125</x:f>
        <x:v>0</x:v>
      </x:c>
      <x:c r="H6" s="246">
        <x:f>'CONSOLIDADO_TOTAL RECAUDO'!H125</x:f>
        <x:v>0</x:v>
      </x:c>
      <x:c r="I6" s="245">
        <x:f>'CONSOLIDADO_TOTAL RECAUDO'!I125</x:f>
        <x:v>0</x:v>
      </x:c>
      <x:c r="J6" s="245">
        <x:f>'CONSOLIDADO_TOTAL RECAUDO'!J125</x:f>
        <x:v>0</x:v>
      </x:c>
      <x:c r="K6" s="245">
        <x:f>'CONSOLIDADO_TOTAL RECAUDO'!K125</x:f>
        <x:v>0</x:v>
      </x:c>
      <x:c r="L6" s="245">
        <x:f>'CONSOLIDADO_TOTAL RECAUDO'!L125</x:f>
        <x:v>0</x:v>
      </x:c>
      <x:c r="O6" s="273"/>
      <x:c r="Q6" s="242"/>
    </x:row>
    <x:row r="7" spans="1:33" s="241" customFormat="1" ht="12" x14ac:dyDescent="0.25">
      <x:c r="B7" s="250">
        <x:v>2</x:v>
      </x:c>
      <x:c r="C7" s="274" t="s">
        <x:v>11</x:v>
      </x:c>
      <x:c r="D7" s="228">
        <x:f>'CONSOLIDADO_TOTAL RECAUDO'!D126</x:f>
        <x:v>0</x:v>
      </x:c>
      <x:c r="E7" s="224">
        <x:f>'CONSOLIDADO_TOTAL RECAUDO'!E126</x:f>
        <x:v>0</x:v>
      </x:c>
      <x:c r="G7" s="275">
        <x:f>'CONSOLIDADO_TOTAL RECAUDO'!G126</x:f>
        <x:v>0</x:v>
      </x:c>
      <x:c r="H7" s="276">
        <x:f>'CONSOLIDADO_TOTAL RECAUDO'!H126</x:f>
        <x:v>0</x:v>
      </x:c>
      <x:c r="I7" s="224">
        <x:f>'CONSOLIDADO_TOTAL RECAUDO'!I126</x:f>
        <x:v>0</x:v>
      </x:c>
      <x:c r="J7" s="224">
        <x:f>'CONSOLIDADO_TOTAL RECAUDO'!J126</x:f>
        <x:v>0</x:v>
      </x:c>
      <x:c r="K7" s="224">
        <x:f>'CONSOLIDADO_TOTAL RECAUDO'!K126</x:f>
        <x:v>0</x:v>
      </x:c>
      <x:c r="L7" s="224">
        <x:f>'CONSOLIDADO_TOTAL RECAUDO'!L126</x:f>
        <x:v>0</x:v>
      </x:c>
      <x:c r="O7" s="273"/>
      <x:c r="Q7" s="242"/>
    </x:row>
    <x:row r="8" spans="1:33" s="241" customFormat="1" ht="12" x14ac:dyDescent="0.25">
      <x:c r="B8" s="250">
        <x:v>3</x:v>
      </x:c>
      <x:c r="C8" s="274" t="s">
        <x:v>12</x:v>
      </x:c>
      <x:c r="D8" s="228">
        <x:f>'CONSOLIDADO_TOTAL RECAUDO'!D127</x:f>
        <x:v>0</x:v>
      </x:c>
      <x:c r="E8" s="224">
        <x:f>'CONSOLIDADO_TOTAL RECAUDO'!E127</x:f>
        <x:v>0</x:v>
      </x:c>
      <x:c r="G8" s="275">
        <x:f>'CONSOLIDADO_TOTAL RECAUDO'!G127</x:f>
        <x:v>0</x:v>
      </x:c>
      <x:c r="H8" s="276">
        <x:f>'CONSOLIDADO_TOTAL RECAUDO'!H127</x:f>
        <x:v>0</x:v>
      </x:c>
      <x:c r="I8" s="224">
        <x:f>'CONSOLIDADO_TOTAL RECAUDO'!I127</x:f>
        <x:v>0</x:v>
      </x:c>
      <x:c r="J8" s="224">
        <x:f>'CONSOLIDADO_TOTAL RECAUDO'!J127</x:f>
        <x:v>0</x:v>
      </x:c>
      <x:c r="K8" s="224">
        <x:f>'CONSOLIDADO_TOTAL RECAUDO'!K127</x:f>
        <x:v>0</x:v>
      </x:c>
      <x:c r="L8" s="224">
        <x:f>'CONSOLIDADO_TOTAL RECAUDO'!L127</x:f>
        <x:v>0</x:v>
      </x:c>
      <x:c r="O8" s="273"/>
      <x:c r="Q8" s="242"/>
    </x:row>
    <x:row r="9" spans="1:33" s="241" customFormat="1" ht="12" x14ac:dyDescent="0.25">
      <x:c r="B9" s="250">
        <x:v>4</x:v>
      </x:c>
      <x:c r="C9" s="274" t="s">
        <x:v>13</x:v>
      </x:c>
      <x:c r="D9" s="228">
        <x:f>'CONSOLIDADO_TOTAL RECAUDO'!D128</x:f>
        <x:v>0</x:v>
      </x:c>
      <x:c r="E9" s="224">
        <x:f>'CONSOLIDADO_TOTAL RECAUDO'!E128</x:f>
        <x:v>0</x:v>
      </x:c>
      <x:c r="G9" s="275">
        <x:f>'CONSOLIDADO_TOTAL RECAUDO'!G128</x:f>
        <x:v>0</x:v>
      </x:c>
      <x:c r="H9" s="276">
        <x:f>'CONSOLIDADO_TOTAL RECAUDO'!H128</x:f>
        <x:v>0</x:v>
      </x:c>
      <x:c r="I9" s="224">
        <x:f>'CONSOLIDADO_TOTAL RECAUDO'!I128</x:f>
        <x:v>0</x:v>
      </x:c>
      <x:c r="J9" s="224">
        <x:f>'CONSOLIDADO_TOTAL RECAUDO'!J128</x:f>
        <x:v>0</x:v>
      </x:c>
      <x:c r="K9" s="224">
        <x:f>'CONSOLIDADO_TOTAL RECAUDO'!K128</x:f>
        <x:v>0</x:v>
      </x:c>
      <x:c r="L9" s="224">
        <x:f>'CONSOLIDADO_TOTAL RECAUDO'!L128</x:f>
        <x:v>0</x:v>
      </x:c>
      <x:c r="O9" s="273"/>
      <x:c r="Q9" s="242"/>
    </x:row>
    <x:row r="10" spans="1:33" s="241" customFormat="1" ht="12" x14ac:dyDescent="0.25">
      <x:c r="B10" s="277">
        <x:v>5</x:v>
      </x:c>
      <x:c r="C10" s="278" t="s">
        <x:v>14</x:v>
      </x:c>
      <x:c r="D10" s="228">
        <x:f>'CONSOLIDADO_TOTAL RECAUDO'!D129</x:f>
        <x:v>0</x:v>
      </x:c>
      <x:c r="E10" s="280">
        <x:f>'CONSOLIDADO_TOTAL RECAUDO'!E129</x:f>
        <x:v>0</x:v>
      </x:c>
      <x:c r="G10" s="275">
        <x:f>'CONSOLIDADO_TOTAL RECAUDO'!G129</x:f>
        <x:v>0</x:v>
      </x:c>
      <x:c r="H10" s="276">
        <x:f>'CONSOLIDADO_TOTAL RECAUDO'!H129</x:f>
        <x:v>0</x:v>
      </x:c>
      <x:c r="I10" s="224">
        <x:f>'CONSOLIDADO_TOTAL RECAUDO'!I129</x:f>
        <x:v>0</x:v>
      </x:c>
      <x:c r="J10" s="224">
        <x:f>'CONSOLIDADO_TOTAL RECAUDO'!J129</x:f>
        <x:v>0</x:v>
      </x:c>
      <x:c r="K10" s="224">
        <x:f>'CONSOLIDADO_TOTAL RECAUDO'!K129</x:f>
        <x:v>0</x:v>
      </x:c>
      <x:c r="L10" s="224">
        <x:f>'CONSOLIDADO_TOTAL RECAUDO'!L129</x:f>
        <x:v>0</x:v>
      </x:c>
      <x:c r="O10" s="273"/>
      <x:c r="Q10" s="242"/>
    </x:row>
    <x:row r="11" spans="1:33" s="241" customFormat="1" ht="12.6" thickBot="1" x14ac:dyDescent="0.3">
      <x:c r="B11" s="260" t="s">
        <x:v>89</x:v>
      </x:c>
      <x:c r="C11" s="281" t="s">
        <x:v>113</x:v>
      </x:c>
      <x:c r="D11" s="233">
        <x:f>'CONSOLIDADO_TOTAL RECAUDO'!D130</x:f>
        <x:v>0</x:v>
      </x:c>
      <x:c r="E11" s="225">
        <x:f>'CONSOLIDADO_TOTAL RECAUDO'!E130</x:f>
        <x:v>0</x:v>
      </x:c>
      <x:c r="G11" s="282">
        <x:f>'CONSOLIDADO_TOTAL RECAUDO'!G130</x:f>
        <x:v>0</x:v>
      </x:c>
      <x:c r="H11" s="283">
        <x:f>'CONSOLIDADO_TOTAL RECAUDO'!H130</x:f>
        <x:v>0</x:v>
      </x:c>
      <x:c r="I11" s="225">
        <x:f>'CONSOLIDADO_TOTAL RECAUDO'!I130</x:f>
        <x:v>0</x:v>
      </x:c>
      <x:c r="J11" s="225">
        <x:f>'CONSOLIDADO_TOTAL RECAUDO'!J130</x:f>
        <x:v>0</x:v>
      </x:c>
      <x:c r="K11" s="225">
        <x:f>'CONSOLIDADO_TOTAL RECAUDO'!K130</x:f>
        <x:v>0</x:v>
      </x:c>
      <x:c r="L11" s="225">
        <x:f>'CONSOLIDADO_TOTAL RECAUDO'!L130</x:f>
        <x:v>0</x:v>
      </x:c>
      <x:c r="O11" s="273"/>
      <x:c r="Q11" s="242"/>
    </x:row>
    <x:row r="12" spans="1:33" s="241" customFormat="1" ht="12.6" thickBot="1" x14ac:dyDescent="0.3">
      <x:c r="B12" s="284"/>
      <x:c r="C12" s="285" t="s">
        <x:v>2</x:v>
      </x:c>
      <x:c r="D12" s="286">
        <x:f>'CONSOLIDADO_TOTAL RECAUDO'!D131</x:f>
        <x:v>0</x:v>
      </x:c>
      <x:c r="E12" s="286">
        <x:f>'CONSOLIDADO_TOTAL RECAUDO'!E131</x:f>
        <x:v>0</x:v>
      </x:c>
      <x:c r="F12" s="287"/>
      <x:c r="G12" s="286">
        <x:f>'CONSOLIDADO_TOTAL RECAUDO'!G131</x:f>
        <x:v>0</x:v>
      </x:c>
      <x:c r="H12" s="286">
        <x:f>'CONSOLIDADO_TOTAL RECAUDO'!H131</x:f>
        <x:v>0</x:v>
      </x:c>
      <x:c r="I12" s="286">
        <x:f>'CONSOLIDADO_TOTAL RECAUDO'!I131</x:f>
        <x:v>0</x:v>
      </x:c>
      <x:c r="J12" s="286">
        <x:f>'CONSOLIDADO_TOTAL RECAUDO'!J131</x:f>
        <x:v>0</x:v>
      </x:c>
      <x:c r="K12" s="286">
        <x:f>'CONSOLIDADO_TOTAL RECAUDO'!K131</x:f>
        <x:v>0</x:v>
      </x:c>
      <x:c r="L12" s="286">
        <x:f>'CONSOLIDADO_TOTAL RECAUDO'!L131</x:f>
        <x:v>0</x:v>
      </x:c>
      <x:c r="M12" s="287"/>
      <x:c r="N12" s="287"/>
      <x:c r="O12" s="288"/>
      <x:c r="P12" s="265"/>
      <x:c r="Q12" s="242"/>
    </x:row>
    <x:row r="13" spans="1:33" s="1" customFormat="1" ht="12" x14ac:dyDescent="0.25">
      <x:c r="B13" s="2"/>
      <x:c r="C13" s="2"/>
      <x:c r="D13" s="374"/>
      <x:c r="Q13" s="4"/>
    </x:row>
    <x:row r="14" spans="1:33" s="1" customFormat="1" ht="12" x14ac:dyDescent="0.25">
      <x:c r="B14" s="2"/>
      <x:c r="C14" s="2"/>
      <x:c r="D14" s="374"/>
      <x:c r="Q14" s="4"/>
    </x:row>
    <x:row r="15" spans="1:33" s="1" customFormat="1" ht="12" x14ac:dyDescent="0.25">
      <x:c r="A15" s="52"/>
      <x:c r="B15" s="53"/>
      <x:c r="C15" s="53"/>
      <x:c r="D15" s="380"/>
      <x:c r="E15" s="380"/>
      <x:c r="F15" s="380"/>
      <x:c r="G15" s="380"/>
      <x:c r="H15" s="380"/>
      <x:c r="I15" s="380"/>
      <x:c r="J15" s="52"/>
      <x:c r="K15" s="380"/>
      <x:c r="L15" s="380"/>
      <x:c r="M15" s="380"/>
      <x:c r="N15" s="380"/>
      <x:c r="O15" s="380"/>
      <x:c r="P15" s="52"/>
      <x:c r="Q15" s="4"/>
    </x:row>
    <x:row r="16" spans="1:33" ht="13.8" thickBot="1" x14ac:dyDescent="0.3"/>
    <x:row r="17" spans="1:17" s="1" customFormat="1" ht="12" x14ac:dyDescent="0.25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397"/>
    </x:row>
    <x:row r="18" spans="1:17" s="1" customFormat="1" ht="15.6" x14ac:dyDescent="0.3">
      <x:c r="B18" s="8"/>
      <x:c r="F18" s="398" t="s">
        <x:v>191</x:v>
      </x:c>
      <x:c r="G18" s="398"/>
      <x:c r="H18" s="34"/>
      <x:c r="I18" s="4"/>
      <x:c r="J18" s="34"/>
      <x:c r="K18" s="4"/>
      <x:c r="O18" s="10"/>
      <x:c r="P18" s="2"/>
      <x:c r="Q18" s="4"/>
    </x:row>
    <x:row r="19" spans="1:17" s="1" customFormat="1" ht="12.6" thickBot="1" x14ac:dyDescent="0.3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97" t="s">
        <x:v>47</x:v>
      </x:c>
      <x:c r="H20" s="73" t="s">
        <x:v>56</x:v>
      </x:c>
      <x:c r="I20" s="73" t="s">
        <x:v>130</x:v>
      </x:c>
      <x:c r="J20" s="73" t="s">
        <x:v>171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241" customFormat="1" ht="12" x14ac:dyDescent="0.25">
      <x:c r="B21" s="270">
        <x:v>1</x:v>
      </x:c>
      <x:c r="C21" s="271" t="s">
        <x:v>10</x:v>
      </x:c>
      <x:c r="D21" s="244">
        <x:f>'REMUNERACION Reciprocidad EAAB'!D125</x:f>
        <x:v>0</x:v>
      </x:c>
      <x:c r="E21" s="245">
        <x:f>'REMUNERACION Reciprocidad EAAB'!E125</x:f>
        <x:v>0</x:v>
      </x:c>
      <x:c r="G21" s="272">
        <x:f>'REMUNERACION Reciprocidad EAAB'!G125</x:f>
        <x:v>0</x:v>
      </x:c>
      <x:c r="H21" s="246">
        <x:f>'REMUNERACION Reciprocidad EAAB'!H125</x:f>
        <x:v>0</x:v>
      </x:c>
      <x:c r="I21" s="245">
        <x:f>'REMUNERACION Reciprocidad EAAB'!I125</x:f>
        <x:v>0</x:v>
      </x:c>
      <x:c r="J21" s="245">
        <x:f>'REMUNERACION Reciprocidad EAAB'!J125</x:f>
        <x:v>0</x:v>
      </x:c>
      <x:c r="K21" s="245">
        <x:f>'REMUNERACION Reciprocidad EAAB'!K125</x:f>
        <x:v>0</x:v>
      </x:c>
      <x:c r="L21" s="245">
        <x:f>'REMUNERACION Reciprocidad EAAB'!L125</x:f>
        <x:v>0</x:v>
      </x:c>
      <x:c r="O21" s="273"/>
      <x:c r="Q21" s="242"/>
    </x:row>
    <x:row r="22" spans="1:17" s="241" customFormat="1" ht="12" x14ac:dyDescent="0.25">
      <x:c r="B22" s="250">
        <x:v>2</x:v>
      </x:c>
      <x:c r="C22" s="274" t="s">
        <x:v>11</x:v>
      </x:c>
      <x:c r="D22" s="228">
        <x:f>'REMUNERACION Reciprocidad EAAB'!D126</x:f>
        <x:v>0</x:v>
      </x:c>
      <x:c r="E22" s="224">
        <x:f>'REMUNERACION Reciprocidad EAAB'!E126</x:f>
        <x:v>0</x:v>
      </x:c>
      <x:c r="G22" s="275">
        <x:f>'REMUNERACION Reciprocidad EAAB'!G126</x:f>
        <x:v>0</x:v>
      </x:c>
      <x:c r="H22" s="276">
        <x:f>'REMUNERACION Reciprocidad EAAB'!H126</x:f>
        <x:v>0</x:v>
      </x:c>
      <x:c r="I22" s="224">
        <x:f>'REMUNERACION Reciprocidad EAAB'!I126</x:f>
        <x:v>0</x:v>
      </x:c>
      <x:c r="J22" s="224">
        <x:f>'REMUNERACION Reciprocidad EAAB'!J126</x:f>
        <x:v>0</x:v>
      </x:c>
      <x:c r="K22" s="224">
        <x:f>'REMUNERACION Reciprocidad EAAB'!K126</x:f>
        <x:v>0</x:v>
      </x:c>
      <x:c r="L22" s="224">
        <x:f>'REMUNERACION Reciprocidad EAAB'!L126</x:f>
        <x:v>0</x:v>
      </x:c>
      <x:c r="O22" s="273"/>
      <x:c r="Q22" s="242"/>
    </x:row>
    <x:row r="23" spans="1:17" s="241" customFormat="1" ht="12" x14ac:dyDescent="0.25">
      <x:c r="B23" s="250">
        <x:v>3</x:v>
      </x:c>
      <x:c r="C23" s="274" t="s">
        <x:v>12</x:v>
      </x:c>
      <x:c r="D23" s="228">
        <x:f>'REMUNERACION Reciprocidad EAAB'!D127</x:f>
        <x:v>0</x:v>
      </x:c>
      <x:c r="E23" s="224">
        <x:f>'REMUNERACION Reciprocidad EAAB'!E127</x:f>
        <x:v>0</x:v>
      </x:c>
      <x:c r="G23" s="275">
        <x:f>'REMUNERACION Reciprocidad EAAB'!G127</x:f>
        <x:v>0</x:v>
      </x:c>
      <x:c r="H23" s="276">
        <x:f>'REMUNERACION Reciprocidad EAAB'!H127</x:f>
        <x:v>0</x:v>
      </x:c>
      <x:c r="I23" s="224">
        <x:f>'REMUNERACION Reciprocidad EAAB'!I127</x:f>
        <x:v>0</x:v>
      </x:c>
      <x:c r="J23" s="224">
        <x:f>'REMUNERACION Reciprocidad EAAB'!J127</x:f>
        <x:v>0</x:v>
      </x:c>
      <x:c r="K23" s="224">
        <x:f>'REMUNERACION Reciprocidad EAAB'!K127</x:f>
        <x:v>0</x:v>
      </x:c>
      <x:c r="L23" s="224">
        <x:f>'REMUNERACION Reciprocidad EAAB'!L127</x:f>
        <x:v>0</x:v>
      </x:c>
      <x:c r="O23" s="273"/>
      <x:c r="Q23" s="242"/>
    </x:row>
    <x:row r="24" spans="1:17" s="241" customFormat="1" ht="12" x14ac:dyDescent="0.25">
      <x:c r="B24" s="250">
        <x:v>4</x:v>
      </x:c>
      <x:c r="C24" s="274" t="s">
        <x:v>13</x:v>
      </x:c>
      <x:c r="D24" s="228">
        <x:f>'REMUNERACION Reciprocidad EAAB'!D128</x:f>
        <x:v>0</x:v>
      </x:c>
      <x:c r="E24" s="224">
        <x:f>'REMUNERACION Reciprocidad EAAB'!E128</x:f>
        <x:v>0</x:v>
      </x:c>
      <x:c r="G24" s="275">
        <x:f>'REMUNERACION Reciprocidad EAAB'!G128</x:f>
        <x:v>0</x:v>
      </x:c>
      <x:c r="H24" s="276">
        <x:f>'REMUNERACION Reciprocidad EAAB'!H128</x:f>
        <x:v>0</x:v>
      </x:c>
      <x:c r="I24" s="224">
        <x:f>'REMUNERACION Reciprocidad EAAB'!I128</x:f>
        <x:v>0</x:v>
      </x:c>
      <x:c r="J24" s="224">
        <x:f>'REMUNERACION Reciprocidad EAAB'!J128</x:f>
        <x:v>0</x:v>
      </x:c>
      <x:c r="K24" s="224">
        <x:f>'REMUNERACION Reciprocidad EAAB'!K128</x:f>
        <x:v>0</x:v>
      </x:c>
      <x:c r="L24" s="224">
        <x:f>'REMUNERACION Reciprocidad EAAB'!L128</x:f>
        <x:v>0</x:v>
      </x:c>
      <x:c r="O24" s="273"/>
      <x:c r="Q24" s="242"/>
    </x:row>
    <x:row r="25" spans="1:17" s="241" customFormat="1" ht="12" x14ac:dyDescent="0.25">
      <x:c r="B25" s="277">
        <x:v>5</x:v>
      </x:c>
      <x:c r="C25" s="278" t="s">
        <x:v>14</x:v>
      </x:c>
      <x:c r="D25" s="228">
        <x:f>'REMUNERACION Reciprocidad EAAB'!D129</x:f>
        <x:v>0</x:v>
      </x:c>
      <x:c r="E25" s="280">
        <x:f>'REMUNERACION Reciprocidad EAAB'!E129</x:f>
        <x:v>0</x:v>
      </x:c>
      <x:c r="G25" s="275">
        <x:f>'REMUNERACION Reciprocidad EAAB'!G129</x:f>
        <x:v>0</x:v>
      </x:c>
      <x:c r="H25" s="276">
        <x:f>'REMUNERACION Reciprocidad EAAB'!H129</x:f>
        <x:v>0</x:v>
      </x:c>
      <x:c r="I25" s="224">
        <x:f>'REMUNERACION Reciprocidad EAAB'!I129</x:f>
        <x:v>0</x:v>
      </x:c>
      <x:c r="J25" s="224">
        <x:f>'REMUNERACION Reciprocidad EAAB'!J129</x:f>
        <x:v>0</x:v>
      </x:c>
      <x:c r="K25" s="224">
        <x:f>'REMUNERACION Reciprocidad EAAB'!K129</x:f>
        <x:v>0</x:v>
      </x:c>
      <x:c r="L25" s="224">
        <x:f>'REMUNERACION Reciprocidad EAAB'!L129</x:f>
        <x:v>0</x:v>
      </x:c>
      <x:c r="O25" s="273"/>
      <x:c r="Q25" s="242"/>
    </x:row>
    <x:row r="26" spans="1:17" s="241" customFormat="1" ht="12.6" thickBot="1" x14ac:dyDescent="0.3">
      <x:c r="B26" s="260" t="s">
        <x:v>89</x:v>
      </x:c>
      <x:c r="C26" s="281" t="s">
        <x:v>113</x:v>
      </x:c>
      <x:c r="D26" s="233">
        <x:f>'REMUNERACION Reciprocidad EAAB'!D130</x:f>
        <x:v>0</x:v>
      </x:c>
      <x:c r="E26" s="225">
        <x:f>'REMUNERACION Reciprocidad EAAB'!E130</x:f>
        <x:v>0</x:v>
      </x:c>
      <x:c r="G26" s="282">
        <x:f>'REMUNERACION Reciprocidad EAAB'!G130</x:f>
        <x:v>0</x:v>
      </x:c>
      <x:c r="H26" s="283">
        <x:f>'REMUNERACION Reciprocidad EAAB'!H130</x:f>
        <x:v>0</x:v>
      </x:c>
      <x:c r="I26" s="225">
        <x:f>'REMUNERACION Reciprocidad EAAB'!I130</x:f>
        <x:v>0</x:v>
      </x:c>
      <x:c r="J26" s="225">
        <x:f>'REMUNERACION Reciprocidad EAAB'!J130</x:f>
        <x:v>0</x:v>
      </x:c>
      <x:c r="K26" s="225">
        <x:f>'REMUNERACION Reciprocidad EAAB'!K130</x:f>
        <x:v>0</x:v>
      </x:c>
      <x:c r="L26" s="225">
        <x:f>'REMUNERACION Reciprocidad EAAB'!L130</x:f>
        <x:v>0</x:v>
      </x:c>
      <x:c r="O26" s="273"/>
      <x:c r="Q26" s="242"/>
    </x:row>
    <x:row r="27" spans="1:17" s="241" customFormat="1" ht="12.6" thickBot="1" x14ac:dyDescent="0.3">
      <x:c r="B27" s="284"/>
      <x:c r="C27" s="285" t="s">
        <x:v>2</x:v>
      </x:c>
      <x:c r="D27" s="286">
        <x:f>'REMUNERACION Reciprocidad EAAB'!D131</x:f>
        <x:v>0</x:v>
      </x:c>
      <x:c r="E27" s="286">
        <x:f>'REMUNERACION Reciprocidad EAAB'!E131</x:f>
        <x:v>0</x:v>
      </x:c>
      <x:c r="F27" s="287"/>
      <x:c r="G27" s="286">
        <x:f>'REMUNERACION Reciprocidad EAAB'!G131</x:f>
        <x:v>0</x:v>
      </x:c>
      <x:c r="H27" s="286">
        <x:f>'REMUNERACION Reciprocidad EAAB'!H131</x:f>
        <x:v>0</x:v>
      </x:c>
      <x:c r="I27" s="286">
        <x:f>'REMUNERACION Reciprocidad EAAB'!I131</x:f>
        <x:v>0</x:v>
      </x:c>
      <x:c r="J27" s="286">
        <x:f>'REMUNERACION Reciprocidad EAAB'!J131</x:f>
        <x:v>0</x:v>
      </x:c>
      <x:c r="K27" s="286">
        <x:f>'REMUNERACION Reciprocidad EAAB'!K131</x:f>
        <x:v>0</x:v>
      </x:c>
      <x:c r="L27" s="286">
        <x:f>'REMUNERACION Reciprocidad EAAB'!L131</x:f>
        <x:v>0</x:v>
      </x:c>
      <x:c r="M27" s="287"/>
      <x:c r="N27" s="287"/>
      <x:c r="O27" s="288"/>
      <x:c r="P27" s="265"/>
      <x:c r="Q27" s="242"/>
    </x:row>
    <x:row r="28" spans="1:17" s="1" customFormat="1" ht="12" x14ac:dyDescent="0.25">
      <x:c r="B28" s="2"/>
      <x:c r="C28" s="2"/>
      <x:c r="D28" s="374"/>
      <x:c r="Q28" s="4"/>
    </x:row>
    <x:row r="29" spans="1:17" s="1" customFormat="1" ht="12" x14ac:dyDescent="0.25">
      <x:c r="B29" s="2"/>
      <x:c r="C29" s="2"/>
      <x:c r="D29" s="374"/>
      <x:c r="Q29" s="4"/>
    </x:row>
    <x:row r="30" spans="1:17" s="1" customFormat="1" ht="12" x14ac:dyDescent="0.25">
      <x:c r="A30" s="52"/>
      <x:c r="B30" s="53"/>
      <x:c r="C30" s="53"/>
      <x:c r="D30" s="380"/>
      <x:c r="E30" s="380"/>
      <x:c r="F30" s="380"/>
      <x:c r="G30" s="380"/>
      <x:c r="H30" s="380"/>
      <x:c r="I30" s="380"/>
      <x:c r="J30" s="52"/>
      <x:c r="K30" s="380"/>
      <x:c r="L30" s="380"/>
      <x:c r="M30" s="380"/>
      <x:c r="N30" s="380"/>
      <x:c r="O30" s="380"/>
      <x:c r="P30" s="52"/>
      <x:c r="Q30" s="4"/>
    </x:row>
    <x:row r="32" spans="1:17" s="1" customFormat="1" ht="15.6" x14ac:dyDescent="0.3">
      <x:c r="B32" s="8"/>
      <x:c r="F32" s="414" t="s">
        <x:v>192</x:v>
      </x:c>
      <x:c r="G32" s="414"/>
      <x:c r="H32" s="415"/>
      <x:c r="I32" s="416"/>
      <x:c r="J32" s="415"/>
      <x:c r="K32" s="416"/>
      <x:c r="O32" s="10"/>
      <x:c r="P32" s="2"/>
      <x:c r="Q32" s="4"/>
    </x:row>
    <x:row r="33" spans="1:17" s="1" customFormat="1" ht="12.6" thickBot="1" x14ac:dyDescent="0.3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97" t="s">
        <x:v>47</x:v>
      </x:c>
      <x:c r="H34" s="73" t="s">
        <x:v>56</x:v>
      </x:c>
      <x:c r="I34" s="73" t="s">
        <x:v>130</x:v>
      </x:c>
      <x:c r="J34" s="73" t="s">
        <x:v>171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241" customFormat="1" ht="12" x14ac:dyDescent="0.25">
      <x:c r="B35" s="270">
        <x:v>1</x:v>
      </x:c>
      <x:c r="C35" s="271" t="s">
        <x:v>10</x:v>
      </x:c>
      <x:c r="D35" s="244">
        <x:f>REMUNERACION_ENEL!D125</x:f>
        <x:v>0</x:v>
      </x:c>
      <x:c r="E35" s="245">
        <x:f>REMUNERACION_ENEL!E125</x:f>
        <x:v>0</x:v>
      </x:c>
      <x:c r="G35" s="272">
        <x:f>REMUNERACION_ENEL!G125</x:f>
        <x:v>0</x:v>
      </x:c>
      <x:c r="H35" s="246">
        <x:f>REMUNERACION_ENEL!H125</x:f>
        <x:v>0</x:v>
      </x:c>
      <x:c r="I35" s="245">
        <x:f>REMUNERACION_ENEL!I125</x:f>
        <x:v>0</x:v>
      </x:c>
      <x:c r="J35" s="245">
        <x:f>REMUNERACION_ENEL!J125</x:f>
        <x:v>0</x:v>
      </x:c>
      <x:c r="K35" s="245">
        <x:f>REMUNERACION_ENEL!K125</x:f>
        <x:v>0</x:v>
      </x:c>
      <x:c r="L35" s="245">
        <x:f>REMUNERACION_ENEL!L125</x:f>
        <x:v>0</x:v>
      </x:c>
      <x:c r="O35" s="273"/>
      <x:c r="Q35" s="242"/>
    </x:row>
    <x:row r="36" spans="1:17" s="241" customFormat="1" ht="12" x14ac:dyDescent="0.25">
      <x:c r="B36" s="250">
        <x:v>2</x:v>
      </x:c>
      <x:c r="C36" s="274" t="s">
        <x:v>11</x:v>
      </x:c>
      <x:c r="D36" s="228">
        <x:f>REMUNERACION_ENEL!D126</x:f>
        <x:v>0</x:v>
      </x:c>
      <x:c r="E36" s="224">
        <x:f>REMUNERACION_ENEL!E126</x:f>
        <x:v>0</x:v>
      </x:c>
      <x:c r="G36" s="275">
        <x:f>REMUNERACION_ENEL!G126</x:f>
        <x:v>0</x:v>
      </x:c>
      <x:c r="H36" s="276">
        <x:f>REMUNERACION_ENEL!H126</x:f>
        <x:v>0</x:v>
      </x:c>
      <x:c r="I36" s="224">
        <x:f>REMUNERACION_ENEL!I126</x:f>
        <x:v>0</x:v>
      </x:c>
      <x:c r="J36" s="224">
        <x:f>REMUNERACION_ENEL!J126</x:f>
        <x:v>0</x:v>
      </x:c>
      <x:c r="K36" s="224">
        <x:f>REMUNERACION_ENEL!K126</x:f>
        <x:v>0</x:v>
      </x:c>
      <x:c r="L36" s="224">
        <x:f>REMUNERACION_ENEL!L126</x:f>
        <x:v>0</x:v>
      </x:c>
      <x:c r="O36" s="273"/>
      <x:c r="Q36" s="242"/>
    </x:row>
    <x:row r="37" spans="1:17" s="241" customFormat="1" ht="12" x14ac:dyDescent="0.25">
      <x:c r="B37" s="250">
        <x:v>3</x:v>
      </x:c>
      <x:c r="C37" s="274" t="s">
        <x:v>12</x:v>
      </x:c>
      <x:c r="D37" s="228">
        <x:f>REMUNERACION_ENEL!D127</x:f>
        <x:v>0</x:v>
      </x:c>
      <x:c r="E37" s="224">
        <x:f>REMUNERACION_ENEL!E127</x:f>
        <x:v>0</x:v>
      </x:c>
      <x:c r="G37" s="275">
        <x:f>REMUNERACION_ENEL!G127</x:f>
        <x:v>0</x:v>
      </x:c>
      <x:c r="H37" s="276">
        <x:f>REMUNERACION_ENEL!H127</x:f>
        <x:v>0</x:v>
      </x:c>
      <x:c r="I37" s="224">
        <x:f>REMUNERACION_ENEL!I127</x:f>
        <x:v>0</x:v>
      </x:c>
      <x:c r="J37" s="224">
        <x:f>REMUNERACION_ENEL!J127</x:f>
        <x:v>0</x:v>
      </x:c>
      <x:c r="K37" s="224">
        <x:f>REMUNERACION_ENEL!K127</x:f>
        <x:v>0</x:v>
      </x:c>
      <x:c r="L37" s="224">
        <x:f>REMUNERACION_ENEL!L127</x:f>
        <x:v>0</x:v>
      </x:c>
      <x:c r="O37" s="273"/>
      <x:c r="Q37" s="242"/>
    </x:row>
    <x:row r="38" spans="1:17" s="241" customFormat="1" ht="12" x14ac:dyDescent="0.25">
      <x:c r="B38" s="250">
        <x:v>4</x:v>
      </x:c>
      <x:c r="C38" s="274" t="s">
        <x:v>13</x:v>
      </x:c>
      <x:c r="D38" s="228">
        <x:f>REMUNERACION_ENEL!D128</x:f>
        <x:v>0</x:v>
      </x:c>
      <x:c r="E38" s="224">
        <x:f>REMUNERACION_ENEL!E128</x:f>
        <x:v>0</x:v>
      </x:c>
      <x:c r="G38" s="275">
        <x:f>REMUNERACION_ENEL!G128</x:f>
        <x:v>0</x:v>
      </x:c>
      <x:c r="H38" s="276">
        <x:f>REMUNERACION_ENEL!H128</x:f>
        <x:v>0</x:v>
      </x:c>
      <x:c r="I38" s="224">
        <x:f>REMUNERACION_ENEL!I128</x:f>
        <x:v>0</x:v>
      </x:c>
      <x:c r="J38" s="224">
        <x:f>REMUNERACION_ENEL!J128</x:f>
        <x:v>0</x:v>
      </x:c>
      <x:c r="K38" s="224">
        <x:f>REMUNERACION_ENEL!K128</x:f>
        <x:v>0</x:v>
      </x:c>
      <x:c r="L38" s="224">
        <x:f>REMUNERACION_ENEL!L128</x:f>
        <x:v>0</x:v>
      </x:c>
      <x:c r="O38" s="273"/>
      <x:c r="Q38" s="242"/>
    </x:row>
    <x:row r="39" spans="1:17" s="241" customFormat="1" ht="12" x14ac:dyDescent="0.25">
      <x:c r="B39" s="277">
        <x:v>5</x:v>
      </x:c>
      <x:c r="C39" s="278" t="s">
        <x:v>14</x:v>
      </x:c>
      <x:c r="D39" s="228">
        <x:f>REMUNERACION_ENEL!D129</x:f>
        <x:v>0</x:v>
      </x:c>
      <x:c r="E39" s="280">
        <x:f>REMUNERACION_ENEL!E129</x:f>
        <x:v>0</x:v>
      </x:c>
      <x:c r="G39" s="275">
        <x:f>REMUNERACION_ENEL!G129</x:f>
        <x:v>0</x:v>
      </x:c>
      <x:c r="H39" s="276">
        <x:f>REMUNERACION_ENEL!H129</x:f>
        <x:v>0</x:v>
      </x:c>
      <x:c r="I39" s="224">
        <x:f>REMUNERACION_ENEL!I129</x:f>
        <x:v>0</x:v>
      </x:c>
      <x:c r="J39" s="224">
        <x:f>REMUNERACION_ENEL!J129</x:f>
        <x:v>0</x:v>
      </x:c>
      <x:c r="K39" s="224">
        <x:f>REMUNERACION_ENEL!K129</x:f>
        <x:v>0</x:v>
      </x:c>
      <x:c r="L39" s="224">
        <x:f>REMUNERACION_ENEL!L129</x:f>
        <x:v>0</x:v>
      </x:c>
      <x:c r="O39" s="273"/>
      <x:c r="Q39" s="242"/>
    </x:row>
    <x:row r="40" spans="1:17" s="241" customFormat="1" ht="12.6" thickBot="1" x14ac:dyDescent="0.3">
      <x:c r="B40" s="260" t="s">
        <x:v>89</x:v>
      </x:c>
      <x:c r="C40" s="281" t="s">
        <x:v>113</x:v>
      </x:c>
      <x:c r="D40" s="233">
        <x:f>REMUNERACION_ENEL!D130</x:f>
        <x:v>0</x:v>
      </x:c>
      <x:c r="E40" s="225">
        <x:f>REMUNERACION_ENEL!E130</x:f>
        <x:v>0</x:v>
      </x:c>
      <x:c r="G40" s="282">
        <x:f>REMUNERACION_ENEL!G130</x:f>
        <x:v>0</x:v>
      </x:c>
      <x:c r="H40" s="283">
        <x:f>REMUNERACION_ENEL!H130</x:f>
        <x:v>0</x:v>
      </x:c>
      <x:c r="I40" s="225">
        <x:f>REMUNERACION_ENEL!I130</x:f>
        <x:v>0</x:v>
      </x:c>
      <x:c r="J40" s="225">
        <x:f>REMUNERACION_ENEL!J130</x:f>
        <x:v>0</x:v>
      </x:c>
      <x:c r="K40" s="225">
        <x:f>REMUNERACION_ENEL!K130</x:f>
        <x:v>0</x:v>
      </x:c>
      <x:c r="L40" s="225">
        <x:f>REMUNERACION_ENEL!L130</x:f>
        <x:v>0</x:v>
      </x:c>
      <x:c r="O40" s="273"/>
      <x:c r="Q40" s="242"/>
    </x:row>
    <x:row r="41" spans="1:17" s="241" customFormat="1" ht="12.6" thickBot="1" x14ac:dyDescent="0.3">
      <x:c r="B41" s="284"/>
      <x:c r="C41" s="285" t="s">
        <x:v>2</x:v>
      </x:c>
      <x:c r="D41" s="286">
        <x:f>REMUNERACION_ENEL!D131</x:f>
        <x:v>0</x:v>
      </x:c>
      <x:c r="E41" s="286">
        <x:f>REMUNERACION_ENEL!E131</x:f>
        <x:v>0</x:v>
      </x:c>
      <x:c r="F41" s="287"/>
      <x:c r="G41" s="286">
        <x:f>REMUNERACION_ENEL!G131</x:f>
        <x:v>0</x:v>
      </x:c>
      <x:c r="H41" s="286">
        <x:f>REMUNERACION_ENEL!H131</x:f>
        <x:v>0</x:v>
      </x:c>
      <x:c r="I41" s="286">
        <x:f>REMUNERACION_ENEL!I131</x:f>
        <x:v>0</x:v>
      </x:c>
      <x:c r="J41" s="286">
        <x:f>REMUNERACION_ENEL!J131</x:f>
        <x:v>0</x:v>
      </x:c>
      <x:c r="K41" s="286">
        <x:f>REMUNERACION_ENEL!K131</x:f>
        <x:v>0</x:v>
      </x:c>
      <x:c r="L41" s="286">
        <x:f>REMUNERACION_ENEL!L131</x:f>
        <x:v>0</x:v>
      </x:c>
      <x:c r="M41" s="287"/>
      <x:c r="N41" s="287"/>
      <x:c r="O41" s="288"/>
      <x:c r="P41" s="265"/>
      <x:c r="Q41" s="242"/>
    </x:row>
    <x:row r="42" spans="1:17" s="1" customFormat="1" ht="12" x14ac:dyDescent="0.25">
      <x:c r="B42" s="2"/>
      <x:c r="C42" s="2"/>
      <x:c r="D42" s="374"/>
      <x:c r="Q42" s="4"/>
    </x:row>
    <x:row r="43" spans="1:17" s="1" customFormat="1" ht="12" x14ac:dyDescent="0.25">
      <x:c r="B43" s="2"/>
      <x:c r="C43" s="2"/>
      <x:c r="D43" s="374"/>
      <x:c r="Q43" s="4"/>
    </x:row>
    <x:row r="44" spans="1:17" s="1" customFormat="1" ht="12" x14ac:dyDescent="0.25">
      <x:c r="A44" s="52"/>
      <x:c r="B44" s="53"/>
      <x:c r="C44" s="53"/>
      <x:c r="D44" s="380"/>
      <x:c r="E44" s="380"/>
      <x:c r="F44" s="380"/>
      <x:c r="G44" s="380"/>
      <x:c r="H44" s="380"/>
      <x:c r="I44" s="380"/>
      <x:c r="J44" s="52"/>
      <x:c r="K44" s="380"/>
      <x:c r="L44" s="380"/>
      <x:c r="M44" s="380"/>
      <x:c r="N44" s="380"/>
      <x:c r="O44" s="380"/>
      <x:c r="P44" s="52"/>
      <x:c r="Q44" s="4"/>
    </x:row>
    <x:row r="45" spans="1:17" s="1" customFormat="1" ht="12" x14ac:dyDescent="0.25">
      <x:c r="B45" s="2"/>
      <x:c r="C45" s="2"/>
      <x:c r="D45" s="374"/>
      <x:c r="Q45" s="4"/>
    </x:row>
    <x:row r="46" spans="1:17" s="1" customFormat="1" ht="15.6" x14ac:dyDescent="0.3">
      <x:c r="B46" s="8"/>
      <x:c r="F46" s="414" t="s">
        <x:v>331</x:v>
      </x:c>
      <x:c r="G46" s="414"/>
      <x:c r="H46" s="415"/>
      <x:c r="I46" s="416"/>
      <x:c r="J46" s="415"/>
      <x:c r="K46" s="416"/>
      <x:c r="O46" s="10"/>
      <x:c r="P46" s="2"/>
      <x:c r="Q46" s="4"/>
    </x:row>
    <x:row r="47" spans="1:17" s="1" customFormat="1" ht="12.6" thickBot="1" x14ac:dyDescent="0.3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97" t="s">
        <x:v>47</x:v>
      </x:c>
      <x:c r="H48" s="73" t="s">
        <x:v>56</x:v>
      </x:c>
      <x:c r="I48" s="73" t="s">
        <x:v>130</x:v>
      </x:c>
      <x:c r="J48" s="73" t="s">
        <x:v>171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241" customFormat="1" ht="12" x14ac:dyDescent="0.25">
      <x:c r="B49" s="270">
        <x:v>1</x:v>
      </x:c>
      <x:c r="C49" s="271" t="s">
        <x:v>10</x:v>
      </x:c>
      <x:c r="D49" s="244">
        <x:f>REMUNERACION_ENERBIT!D125</x:f>
        <x:v>0</x:v>
      </x:c>
      <x:c r="E49" s="244">
        <x:f>REMUNERACION_ENERBIT!E125</x:f>
        <x:v>0</x:v>
      </x:c>
      <x:c r="G49" s="272">
        <x:f>REMUNERACION_ENERBIT!G125</x:f>
        <x:v>0</x:v>
      </x:c>
      <x:c r="H49" s="272">
        <x:f>REMUNERACION_ENERBIT!H125</x:f>
        <x:v>0</x:v>
      </x:c>
      <x:c r="I49" s="272">
        <x:f>REMUNERACION_ENERBIT!I125</x:f>
        <x:v>0</x:v>
      </x:c>
      <x:c r="J49" s="272">
        <x:f>REMUNERACION_ENERBIT!J125</x:f>
        <x:v>0</x:v>
      </x:c>
      <x:c r="K49" s="272">
        <x:f>REMUNERACION_ENERBIT!K125</x:f>
        <x:v>0</x:v>
      </x:c>
      <x:c r="L49" s="272">
        <x:f>REMUNERACION_ENERBIT!L125</x:f>
        <x:v>0</x:v>
      </x:c>
      <x:c r="O49" s="273"/>
      <x:c r="Q49" s="242"/>
    </x:row>
    <x:row r="50" spans="1:17" s="241" customFormat="1" ht="12" x14ac:dyDescent="0.25">
      <x:c r="B50" s="250">
        <x:v>2</x:v>
      </x:c>
      <x:c r="C50" s="274" t="s">
        <x:v>11</x:v>
      </x:c>
      <x:c r="D50" s="228">
        <x:f>REMUNERACION_ENERBIT!D126</x:f>
        <x:v>0</x:v>
      </x:c>
      <x:c r="E50" s="228">
        <x:f>REMUNERACION_ENERBIT!E126</x:f>
        <x:v>0</x:v>
      </x:c>
      <x:c r="G50" s="275">
        <x:f>REMUNERACION_ENERBIT!G126</x:f>
        <x:v>0</x:v>
      </x:c>
      <x:c r="H50" s="275">
        <x:f>REMUNERACION_ENERBIT!H126</x:f>
        <x:v>0</x:v>
      </x:c>
      <x:c r="I50" s="275">
        <x:f>REMUNERACION_ENERBIT!I126</x:f>
        <x:v>0</x:v>
      </x:c>
      <x:c r="J50" s="275">
        <x:f>REMUNERACION_ENERBIT!J126</x:f>
        <x:v>0</x:v>
      </x:c>
      <x:c r="K50" s="275">
        <x:f>REMUNERACION_ENERBIT!K126</x:f>
        <x:v>0</x:v>
      </x:c>
      <x:c r="L50" s="275">
        <x:f>REMUNERACION_ENERBIT!L126</x:f>
        <x:v>0</x:v>
      </x:c>
      <x:c r="O50" s="273"/>
      <x:c r="Q50" s="242"/>
    </x:row>
    <x:row r="51" spans="1:17" s="241" customFormat="1" ht="12" x14ac:dyDescent="0.25">
      <x:c r="B51" s="250">
        <x:v>3</x:v>
      </x:c>
      <x:c r="C51" s="274" t="s">
        <x:v>12</x:v>
      </x:c>
      <x:c r="D51" s="228">
        <x:f>REMUNERACION_ENERBIT!D127</x:f>
        <x:v>0</x:v>
      </x:c>
      <x:c r="E51" s="228">
        <x:f>REMUNERACION_ENERBIT!E127</x:f>
        <x:v>0</x:v>
      </x:c>
      <x:c r="G51" s="275">
        <x:f>REMUNERACION_ENERBIT!G127</x:f>
        <x:v>0</x:v>
      </x:c>
      <x:c r="H51" s="275">
        <x:f>REMUNERACION_ENERBIT!H127</x:f>
        <x:v>0</x:v>
      </x:c>
      <x:c r="I51" s="275">
        <x:f>REMUNERACION_ENERBIT!I127</x:f>
        <x:v>0</x:v>
      </x:c>
      <x:c r="J51" s="275">
        <x:f>REMUNERACION_ENERBIT!J127</x:f>
        <x:v>0</x:v>
      </x:c>
      <x:c r="K51" s="275">
        <x:f>REMUNERACION_ENERBIT!K127</x:f>
        <x:v>0</x:v>
      </x:c>
      <x:c r="L51" s="275">
        <x:f>REMUNERACION_ENERBIT!L127</x:f>
        <x:v>0</x:v>
      </x:c>
      <x:c r="O51" s="273"/>
      <x:c r="Q51" s="242"/>
    </x:row>
    <x:row r="52" spans="1:17" s="241" customFormat="1" ht="12" x14ac:dyDescent="0.25">
      <x:c r="B52" s="250">
        <x:v>4</x:v>
      </x:c>
      <x:c r="C52" s="274" t="s">
        <x:v>13</x:v>
      </x:c>
      <x:c r="D52" s="228">
        <x:f>REMUNERACION_ENERBIT!D128</x:f>
        <x:v>0</x:v>
      </x:c>
      <x:c r="E52" s="228">
        <x:f>REMUNERACION_ENERBIT!E128</x:f>
        <x:v>0</x:v>
      </x:c>
      <x:c r="G52" s="275">
        <x:f>REMUNERACION_ENERBIT!G128</x:f>
        <x:v>0</x:v>
      </x:c>
      <x:c r="H52" s="275">
        <x:f>REMUNERACION_ENERBIT!H128</x:f>
        <x:v>0</x:v>
      </x:c>
      <x:c r="I52" s="275">
        <x:f>REMUNERACION_ENERBIT!I128</x:f>
        <x:v>0</x:v>
      </x:c>
      <x:c r="J52" s="275">
        <x:f>REMUNERACION_ENERBIT!J128</x:f>
        <x:v>0</x:v>
      </x:c>
      <x:c r="K52" s="275">
        <x:f>REMUNERACION_ENERBIT!K128</x:f>
        <x:v>0</x:v>
      </x:c>
      <x:c r="L52" s="275">
        <x:f>REMUNERACION_ENERBIT!L128</x:f>
        <x:v>0</x:v>
      </x:c>
      <x:c r="O52" s="273"/>
      <x:c r="Q52" s="242"/>
    </x:row>
    <x:row r="53" spans="1:17" s="241" customFormat="1" ht="12" x14ac:dyDescent="0.25">
      <x:c r="B53" s="277">
        <x:v>5</x:v>
      </x:c>
      <x:c r="C53" s="278" t="s">
        <x:v>14</x:v>
      </x:c>
      <x:c r="D53" s="228">
        <x:f>REMUNERACION_ENERBIT!D129</x:f>
        <x:v>0</x:v>
      </x:c>
      <x:c r="E53" s="228">
        <x:f>REMUNERACION_ENERBIT!E129</x:f>
        <x:v>0</x:v>
      </x:c>
      <x:c r="G53" s="275">
        <x:f>REMUNERACION_ENERBIT!G129</x:f>
        <x:v>0</x:v>
      </x:c>
      <x:c r="H53" s="275">
        <x:f>REMUNERACION_ENERBIT!H129</x:f>
        <x:v>0</x:v>
      </x:c>
      <x:c r="I53" s="275">
        <x:f>REMUNERACION_ENERBIT!I129</x:f>
        <x:v>0</x:v>
      </x:c>
      <x:c r="J53" s="275">
        <x:f>REMUNERACION_ENERBIT!J129</x:f>
        <x:v>0</x:v>
      </x:c>
      <x:c r="K53" s="275">
        <x:f>REMUNERACION_ENERBIT!K129</x:f>
        <x:v>0</x:v>
      </x:c>
      <x:c r="L53" s="275">
        <x:f>REMUNERACION_ENERBIT!L129</x:f>
        <x:v>0</x:v>
      </x:c>
      <x:c r="O53" s="273"/>
      <x:c r="Q53" s="242"/>
    </x:row>
    <x:row r="54" spans="1:17" s="241" customFormat="1" ht="12.6" thickBot="1" x14ac:dyDescent="0.3">
      <x:c r="B54" s="260" t="s">
        <x:v>89</x:v>
      </x:c>
      <x:c r="C54" s="281" t="s">
        <x:v>113</x:v>
      </x:c>
      <x:c r="D54" s="233">
        <x:f>REMUNERACION_ENERBIT!D130</x:f>
        <x:v>0</x:v>
      </x:c>
      <x:c r="E54" s="233">
        <x:f>REMUNERACION_ENERBIT!E130</x:f>
        <x:v>0</x:v>
      </x:c>
      <x:c r="G54" s="282">
        <x:f>REMUNERACION_ENERBIT!G130</x:f>
        <x:v>0</x:v>
      </x:c>
      <x:c r="H54" s="282">
        <x:f>REMUNERACION_ENERBIT!H130</x:f>
        <x:v>0</x:v>
      </x:c>
      <x:c r="I54" s="282">
        <x:f>REMUNERACION_ENERBIT!I130</x:f>
        <x:v>0</x:v>
      </x:c>
      <x:c r="J54" s="282">
        <x:f>REMUNERACION_ENERBIT!J130</x:f>
        <x:v>0</x:v>
      </x:c>
      <x:c r="K54" s="282">
        <x:f>REMUNERACION_ENERBIT!K130</x:f>
        <x:v>0</x:v>
      </x:c>
      <x:c r="L54" s="282">
        <x:f>REMUNERACION_ENERBIT!L130</x:f>
        <x:v>0</x:v>
      </x:c>
      <x:c r="O54" s="273"/>
      <x:c r="Q54" s="242"/>
    </x:row>
    <x:row r="55" spans="1:17" s="241" customFormat="1" ht="12.6" thickBot="1" x14ac:dyDescent="0.3">
      <x:c r="B55" s="284"/>
      <x:c r="C55" s="285" t="s">
        <x:v>2</x:v>
      </x:c>
      <x:c r="D55" s="286">
        <x:f>REMUNERACION_ENERBIT!D131</x:f>
        <x:v>0</x:v>
      </x:c>
      <x:c r="E55" s="286">
        <x:f>REMUNERACION_ENERBIT!E131</x:f>
        <x:v>0</x:v>
      </x:c>
      <x:c r="F55" s="287"/>
      <x:c r="G55" s="286">
        <x:f>REMUNERACION_ENERBIT!G131</x:f>
        <x:v>0</x:v>
      </x:c>
      <x:c r="H55" s="286">
        <x:f>REMUNERACION_ENERBIT!H131</x:f>
        <x:v>0</x:v>
      </x:c>
      <x:c r="I55" s="286">
        <x:f>REMUNERACION_ENERBIT!I131</x:f>
        <x:v>0</x:v>
      </x:c>
      <x:c r="J55" s="286">
        <x:f>REMUNERACION_ENERBIT!J131</x:f>
        <x:v>0</x:v>
      </x:c>
      <x:c r="K55" s="286">
        <x:f>REMUNERACION_ENERBIT!K131</x:f>
        <x:v>0</x:v>
      </x:c>
      <x:c r="L55" s="286">
        <x:f>REMUNERACION_ENERBIT!L131</x:f>
        <x:v>0</x:v>
      </x:c>
      <x:c r="M55" s="287"/>
      <x:c r="N55" s="287"/>
      <x:c r="O55" s="288"/>
      <x:c r="P55" s="265"/>
      <x:c r="Q55" s="242"/>
    </x:row>
    <x:row r="56" spans="1:17" s="1" customFormat="1" ht="12" x14ac:dyDescent="0.25">
      <x:c r="B56" s="2"/>
      <x:c r="C56" s="2"/>
      <x:c r="D56" s="374"/>
      <x:c r="Q56" s="4"/>
    </x:row>
    <x:row r="57" spans="1:17" s="1" customFormat="1" ht="12" x14ac:dyDescent="0.25">
      <x:c r="B57" s="2"/>
      <x:c r="C57" s="2"/>
      <x:c r="D57" s="374"/>
      <x:c r="Q57" s="4"/>
    </x:row>
    <x:row r="58" spans="1:17" s="1" customFormat="1" ht="12" x14ac:dyDescent="0.25">
      <x:c r="A58" s="52"/>
      <x:c r="B58" s="53"/>
      <x:c r="C58" s="53"/>
      <x:c r="D58" s="380"/>
      <x:c r="E58" s="380"/>
      <x:c r="F58" s="380"/>
      <x:c r="G58" s="380"/>
      <x:c r="H58" s="380"/>
      <x:c r="I58" s="380"/>
      <x:c r="J58" s="52"/>
      <x:c r="K58" s="380"/>
      <x:c r="L58" s="380"/>
      <x:c r="M58" s="380"/>
      <x:c r="N58" s="380"/>
      <x:c r="O58" s="380"/>
      <x:c r="P58" s="52"/>
      <x:c r="Q58" s="4"/>
    </x:row>
    <x:row r="60" spans="1:17" s="1" customFormat="1" ht="15.6" x14ac:dyDescent="0.3">
      <x:c r="B60" s="8"/>
      <x:c r="F60" s="399" t="s">
        <x:v>193</x:v>
      </x:c>
      <x:c r="G60" s="399"/>
      <x:c r="H60" s="400"/>
      <x:c r="I60" s="401"/>
      <x:c r="J60" s="400"/>
      <x:c r="K60" s="401"/>
      <x:c r="O60" s="10"/>
      <x:c r="P60" s="2"/>
      <x:c r="Q60" s="4"/>
    </x:row>
    <x:row r="61" spans="1:17" s="1" customFormat="1" ht="12.6" thickBot="1" x14ac:dyDescent="0.3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97" t="s">
        <x:v>47</x:v>
      </x:c>
      <x:c r="H62" s="73" t="s">
        <x:v>56</x:v>
      </x:c>
      <x:c r="I62" s="73" t="s">
        <x:v>130</x:v>
      </x:c>
      <x:c r="J62" s="73" t="s">
        <x:v>171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241" customFormat="1" ht="12" x14ac:dyDescent="0.25">
      <x:c r="B63" s="270">
        <x:v>1</x:v>
      </x:c>
      <x:c r="C63" s="271" t="s">
        <x:v>10</x:v>
      </x:c>
      <x:c r="D63" s="244">
        <x:f>'REMUNERACION_OCCIDENTE_ Directa'!D125</x:f>
        <x:v>0</x:v>
      </x:c>
      <x:c r="E63" s="245">
        <x:f>'REMUNERACION_OCCIDENTE_ Directa'!E125</x:f>
        <x:v>0</x:v>
      </x:c>
      <x:c r="G63" s="272">
        <x:f>'REMUNERACION_OCCIDENTE_ Directa'!G125</x:f>
        <x:v>0</x:v>
      </x:c>
      <x:c r="H63" s="246">
        <x:f>'REMUNERACION_OCCIDENTE_ Directa'!H125</x:f>
        <x:v>0</x:v>
      </x:c>
      <x:c r="I63" s="245">
        <x:f>'REMUNERACION_OCCIDENTE_ Directa'!I125</x:f>
        <x:v>0</x:v>
      </x:c>
      <x:c r="J63" s="245">
        <x:f>'REMUNERACION_OCCIDENTE_ Directa'!J125</x:f>
        <x:v>0</x:v>
      </x:c>
      <x:c r="K63" s="245">
        <x:f>'REMUNERACION_OCCIDENTE_ Directa'!K125</x:f>
        <x:v>0</x:v>
      </x:c>
      <x:c r="L63" s="245">
        <x:f>'REMUNERACION_OCCIDENTE_ Directa'!L125</x:f>
        <x:v>0</x:v>
      </x:c>
      <x:c r="O63" s="273"/>
      <x:c r="Q63" s="242"/>
    </x:row>
    <x:row r="64" spans="1:17" s="241" customFormat="1" ht="12" x14ac:dyDescent="0.25">
      <x:c r="B64" s="250">
        <x:v>2</x:v>
      </x:c>
      <x:c r="C64" s="274" t="s">
        <x:v>11</x:v>
      </x:c>
      <x:c r="D64" s="228">
        <x:f>'REMUNERACION_OCCIDENTE_ Directa'!D126</x:f>
        <x:v>0</x:v>
      </x:c>
      <x:c r="E64" s="224">
        <x:f>'REMUNERACION_OCCIDENTE_ Directa'!E126</x:f>
        <x:v>0</x:v>
      </x:c>
      <x:c r="G64" s="275">
        <x:f>'REMUNERACION_OCCIDENTE_ Directa'!G126</x:f>
        <x:v>0</x:v>
      </x:c>
      <x:c r="H64" s="276">
        <x:f>'REMUNERACION_OCCIDENTE_ Directa'!H126</x:f>
        <x:v>0</x:v>
      </x:c>
      <x:c r="I64" s="224">
        <x:f>'REMUNERACION_OCCIDENTE_ Directa'!I126</x:f>
        <x:v>0</x:v>
      </x:c>
      <x:c r="J64" s="224">
        <x:f>'REMUNERACION_OCCIDENTE_ Directa'!J126</x:f>
        <x:v>0</x:v>
      </x:c>
      <x:c r="K64" s="224">
        <x:f>'REMUNERACION_OCCIDENTE_ Directa'!K126</x:f>
        <x:v>0</x:v>
      </x:c>
      <x:c r="L64" s="224">
        <x:f>'REMUNERACION_OCCIDENTE_ Directa'!L126</x:f>
        <x:v>0</x:v>
      </x:c>
      <x:c r="O64" s="273"/>
      <x:c r="Q64" s="242"/>
    </x:row>
    <x:row r="65" spans="1:17" s="241" customFormat="1" ht="12" x14ac:dyDescent="0.25">
      <x:c r="B65" s="250">
        <x:v>3</x:v>
      </x:c>
      <x:c r="C65" s="274" t="s">
        <x:v>12</x:v>
      </x:c>
      <x:c r="D65" s="228">
        <x:f>'REMUNERACION_OCCIDENTE_ Directa'!D127</x:f>
        <x:v>0</x:v>
      </x:c>
      <x:c r="E65" s="224">
        <x:f>'REMUNERACION_OCCIDENTE_ Directa'!E127</x:f>
        <x:v>0</x:v>
      </x:c>
      <x:c r="G65" s="275">
        <x:f>'REMUNERACION_OCCIDENTE_ Directa'!G127</x:f>
        <x:v>0</x:v>
      </x:c>
      <x:c r="H65" s="276">
        <x:f>'REMUNERACION_OCCIDENTE_ Directa'!H127</x:f>
        <x:v>0</x:v>
      </x:c>
      <x:c r="I65" s="224">
        <x:f>'REMUNERACION_OCCIDENTE_ Directa'!I127</x:f>
        <x:v>0</x:v>
      </x:c>
      <x:c r="J65" s="224">
        <x:f>'REMUNERACION_OCCIDENTE_ Directa'!J127</x:f>
        <x:v>0</x:v>
      </x:c>
      <x:c r="K65" s="224">
        <x:f>'REMUNERACION_OCCIDENTE_ Directa'!K127</x:f>
        <x:v>0</x:v>
      </x:c>
      <x:c r="L65" s="224">
        <x:f>'REMUNERACION_OCCIDENTE_ Directa'!L127</x:f>
        <x:v>0</x:v>
      </x:c>
      <x:c r="O65" s="273"/>
      <x:c r="Q65" s="242"/>
    </x:row>
    <x:row r="66" spans="1:17" s="241" customFormat="1" ht="12" x14ac:dyDescent="0.25">
      <x:c r="B66" s="250">
        <x:v>4</x:v>
      </x:c>
      <x:c r="C66" s="274" t="s">
        <x:v>13</x:v>
      </x:c>
      <x:c r="D66" s="228">
        <x:f>'REMUNERACION_OCCIDENTE_ Directa'!D128</x:f>
        <x:v>0</x:v>
      </x:c>
      <x:c r="E66" s="224">
        <x:f>'REMUNERACION_OCCIDENTE_ Directa'!E128</x:f>
        <x:v>0</x:v>
      </x:c>
      <x:c r="G66" s="275">
        <x:f>'REMUNERACION_OCCIDENTE_ Directa'!G128</x:f>
        <x:v>0</x:v>
      </x:c>
      <x:c r="H66" s="276">
        <x:f>'REMUNERACION_OCCIDENTE_ Directa'!H128</x:f>
        <x:v>0</x:v>
      </x:c>
      <x:c r="I66" s="224">
        <x:f>'REMUNERACION_OCCIDENTE_ Directa'!I128</x:f>
        <x:v>0</x:v>
      </x:c>
      <x:c r="J66" s="224">
        <x:f>'REMUNERACION_OCCIDENTE_ Directa'!J128</x:f>
        <x:v>0</x:v>
      </x:c>
      <x:c r="K66" s="224">
        <x:f>'REMUNERACION_OCCIDENTE_ Directa'!K128</x:f>
        <x:v>0</x:v>
      </x:c>
      <x:c r="L66" s="224">
        <x:f>'REMUNERACION_OCCIDENTE_ Directa'!L128</x:f>
        <x:v>0</x:v>
      </x:c>
      <x:c r="O66" s="273"/>
      <x:c r="Q66" s="242"/>
    </x:row>
    <x:row r="67" spans="1:17" s="241" customFormat="1" ht="12" x14ac:dyDescent="0.25">
      <x:c r="B67" s="277">
        <x:v>5</x:v>
      </x:c>
      <x:c r="C67" s="278" t="s">
        <x:v>14</x:v>
      </x:c>
      <x:c r="D67" s="228">
        <x:f>'REMUNERACION_OCCIDENTE_ Directa'!D129</x:f>
        <x:v>0</x:v>
      </x:c>
      <x:c r="E67" s="280">
        <x:f>'REMUNERACION_OCCIDENTE_ Directa'!E129</x:f>
        <x:v>0</x:v>
      </x:c>
      <x:c r="G67" s="275">
        <x:f>'REMUNERACION_OCCIDENTE_ Directa'!G129</x:f>
        <x:v>0</x:v>
      </x:c>
      <x:c r="H67" s="276">
        <x:f>'REMUNERACION_OCCIDENTE_ Directa'!H129</x:f>
        <x:v>0</x:v>
      </x:c>
      <x:c r="I67" s="224">
        <x:f>'REMUNERACION_OCCIDENTE_ Directa'!I129</x:f>
        <x:v>0</x:v>
      </x:c>
      <x:c r="J67" s="224">
        <x:f>'REMUNERACION_OCCIDENTE_ Directa'!J129</x:f>
        <x:v>0</x:v>
      </x:c>
      <x:c r="K67" s="224">
        <x:f>'REMUNERACION_OCCIDENTE_ Directa'!K129</x:f>
        <x:v>0</x:v>
      </x:c>
      <x:c r="L67" s="224">
        <x:f>'REMUNERACION_OCCIDENTE_ Directa'!L129</x:f>
        <x:v>0</x:v>
      </x:c>
      <x:c r="O67" s="273"/>
      <x:c r="Q67" s="242"/>
    </x:row>
    <x:row r="68" spans="1:17" s="241" customFormat="1" ht="12.6" thickBot="1" x14ac:dyDescent="0.3">
      <x:c r="B68" s="260" t="s">
        <x:v>89</x:v>
      </x:c>
      <x:c r="C68" s="281" t="s">
        <x:v>113</x:v>
      </x:c>
      <x:c r="D68" s="233">
        <x:f>'REMUNERACION_OCCIDENTE_ Directa'!D130</x:f>
        <x:v>0</x:v>
      </x:c>
      <x:c r="E68" s="225">
        <x:f>'REMUNERACION_OCCIDENTE_ Directa'!E130</x:f>
        <x:v>0</x:v>
      </x:c>
      <x:c r="G68" s="282">
        <x:f>'REMUNERACION_OCCIDENTE_ Directa'!G130</x:f>
        <x:v>0</x:v>
      </x:c>
      <x:c r="H68" s="283">
        <x:f>'REMUNERACION_OCCIDENTE_ Directa'!H130</x:f>
        <x:v>0</x:v>
      </x:c>
      <x:c r="I68" s="225">
        <x:f>'REMUNERACION_OCCIDENTE_ Directa'!I130</x:f>
        <x:v>0</x:v>
      </x:c>
      <x:c r="J68" s="225">
        <x:f>'REMUNERACION_OCCIDENTE_ Directa'!J130</x:f>
        <x:v>0</x:v>
      </x:c>
      <x:c r="K68" s="225">
        <x:f>'REMUNERACION_OCCIDENTE_ Directa'!K130</x:f>
        <x:v>0</x:v>
      </x:c>
      <x:c r="L68" s="225">
        <x:f>'REMUNERACION_OCCIDENTE_ Directa'!L130</x:f>
        <x:v>0</x:v>
      </x:c>
      <x:c r="O68" s="273"/>
      <x:c r="Q68" s="242"/>
    </x:row>
    <x:row r="69" spans="1:17" s="241" customFormat="1" ht="12.6" thickBot="1" x14ac:dyDescent="0.3">
      <x:c r="B69" s="284"/>
      <x:c r="C69" s="285" t="s">
        <x:v>2</x:v>
      </x:c>
      <x:c r="D69" s="286">
        <x:f>'REMUNERACION_OCCIDENTE_ Directa'!D131</x:f>
        <x:v>0</x:v>
      </x:c>
      <x:c r="E69" s="286">
        <x:f>'REMUNERACION_OCCIDENTE_ Directa'!E131</x:f>
        <x:v>0</x:v>
      </x:c>
      <x:c r="F69" s="287"/>
      <x:c r="G69" s="286">
        <x:f>'REMUNERACION_OCCIDENTE_ Directa'!G131</x:f>
        <x:v>0</x:v>
      </x:c>
      <x:c r="H69" s="286">
        <x:f>'REMUNERACION_OCCIDENTE_ Directa'!H131</x:f>
        <x:v>0</x:v>
      </x:c>
      <x:c r="I69" s="286">
        <x:f>'REMUNERACION_OCCIDENTE_ Directa'!I131</x:f>
        <x:v>0</x:v>
      </x:c>
      <x:c r="J69" s="286">
        <x:f>'REMUNERACION_OCCIDENTE_ Directa'!J131</x:f>
        <x:v>0</x:v>
      </x:c>
      <x:c r="K69" s="286">
        <x:f>'REMUNERACION_OCCIDENTE_ Directa'!K131</x:f>
        <x:v>0</x:v>
      </x:c>
      <x:c r="L69" s="286">
        <x:f>'REMUNERACION_OCCIDENTE_ Directa'!L131</x:f>
        <x:v>0</x:v>
      </x:c>
      <x:c r="M69" s="287"/>
      <x:c r="N69" s="287"/>
      <x:c r="O69" s="288"/>
      <x:c r="P69" s="265"/>
      <x:c r="Q69" s="242"/>
    </x:row>
    <x:row r="70" spans="1:17" s="1" customFormat="1" ht="12" x14ac:dyDescent="0.25">
      <x:c r="B70" s="2"/>
      <x:c r="C70" s="2"/>
      <x:c r="D70" s="374"/>
      <x:c r="Q70" s="4"/>
    </x:row>
    <x:row r="71" spans="1:17" s="1" customFormat="1" ht="12" x14ac:dyDescent="0.25">
      <x:c r="B71" s="2"/>
      <x:c r="C71" s="2"/>
      <x:c r="D71" s="374"/>
      <x:c r="Q71" s="4"/>
    </x:row>
    <x:row r="72" spans="1:17" s="1" customFormat="1" ht="12" x14ac:dyDescent="0.25">
      <x:c r="A72" s="52"/>
      <x:c r="B72" s="53"/>
      <x:c r="C72" s="53"/>
      <x:c r="D72" s="380"/>
      <x:c r="E72" s="380"/>
      <x:c r="F72" s="380"/>
      <x:c r="G72" s="380"/>
      <x:c r="H72" s="380"/>
      <x:c r="I72" s="380"/>
      <x:c r="J72" s="52"/>
      <x:c r="K72" s="380"/>
      <x:c r="L72" s="380"/>
      <x:c r="M72" s="380"/>
      <x:c r="N72" s="380"/>
      <x:c r="O72" s="380"/>
      <x:c r="P72" s="52"/>
      <x:c r="Q72" s="4"/>
    </x:row>
    <x:row r="74" spans="1:17" s="1" customFormat="1" ht="15.6" x14ac:dyDescent="0.3">
      <x:c r="B74" s="8"/>
      <x:c r="F74" s="58" t="s">
        <x:v>194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ht="12.6" thickBot="1" x14ac:dyDescent="0.3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97" t="s">
        <x:v>47</x:v>
      </x:c>
      <x:c r="H76" s="73" t="s">
        <x:v>56</x:v>
      </x:c>
      <x:c r="I76" s="73" t="s">
        <x:v>130</x:v>
      </x:c>
      <x:c r="J76" s="73" t="s">
        <x:v>171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241" customFormat="1" ht="12" x14ac:dyDescent="0.25">
      <x:c r="B77" s="270">
        <x:v>1</x:v>
      </x:c>
      <x:c r="C77" s="271" t="s">
        <x:v>10</x:v>
      </x:c>
      <x:c r="D77" s="244">
        <x:f>'REMUNERACION_EAAB-CL'!D125</x:f>
        <x:v>0</x:v>
      </x:c>
      <x:c r="E77" s="245">
        <x:f>'REMUNERACION_EAAB-CL'!E125</x:f>
        <x:v>0</x:v>
      </x:c>
      <x:c r="G77" s="272">
        <x:f>'REMUNERACION_EAAB-CL'!G125</x:f>
        <x:v>0</x:v>
      </x:c>
      <x:c r="H77" s="246">
        <x:f>'REMUNERACION_EAAB-CL'!H125</x:f>
        <x:v>0</x:v>
      </x:c>
      <x:c r="I77" s="245">
        <x:f>'REMUNERACION_EAAB-CL'!I125</x:f>
        <x:v>0</x:v>
      </x:c>
      <x:c r="J77" s="245">
        <x:f>'REMUNERACION_EAAB-CL'!J125</x:f>
        <x:v>0</x:v>
      </x:c>
      <x:c r="K77" s="245">
        <x:f>'REMUNERACION_EAAB-CL'!K125</x:f>
        <x:v>0</x:v>
      </x:c>
      <x:c r="L77" s="245">
        <x:f>'REMUNERACION_EAAB-CL'!L125</x:f>
        <x:v>0</x:v>
      </x:c>
      <x:c r="O77" s="273"/>
      <x:c r="Q77" s="242"/>
    </x:row>
    <x:row r="78" spans="1:17" s="241" customFormat="1" ht="12" x14ac:dyDescent="0.25">
      <x:c r="B78" s="250">
        <x:v>2</x:v>
      </x:c>
      <x:c r="C78" s="274" t="s">
        <x:v>11</x:v>
      </x:c>
      <x:c r="D78" s="228">
        <x:f>'REMUNERACION_EAAB-CL'!D126</x:f>
        <x:v>0</x:v>
      </x:c>
      <x:c r="E78" s="224">
        <x:f>'REMUNERACION_EAAB-CL'!E126</x:f>
        <x:v>0</x:v>
      </x:c>
      <x:c r="G78" s="275">
        <x:f>'REMUNERACION_EAAB-CL'!G126</x:f>
        <x:v>0</x:v>
      </x:c>
      <x:c r="H78" s="276">
        <x:f>'REMUNERACION_EAAB-CL'!H126</x:f>
        <x:v>0</x:v>
      </x:c>
      <x:c r="I78" s="224">
        <x:f>'REMUNERACION_EAAB-CL'!I126</x:f>
        <x:v>0</x:v>
      </x:c>
      <x:c r="J78" s="224">
        <x:f>'REMUNERACION_EAAB-CL'!J126</x:f>
        <x:v>0</x:v>
      </x:c>
      <x:c r="K78" s="224">
        <x:f>'REMUNERACION_EAAB-CL'!K126</x:f>
        <x:v>0</x:v>
      </x:c>
      <x:c r="L78" s="224">
        <x:f>'REMUNERACION_EAAB-CL'!L126</x:f>
        <x:v>0</x:v>
      </x:c>
      <x:c r="O78" s="273"/>
      <x:c r="Q78" s="242"/>
    </x:row>
    <x:row r="79" spans="1:17" s="241" customFormat="1" ht="12" x14ac:dyDescent="0.25">
      <x:c r="B79" s="250">
        <x:v>3</x:v>
      </x:c>
      <x:c r="C79" s="274" t="s">
        <x:v>12</x:v>
      </x:c>
      <x:c r="D79" s="228">
        <x:f>'REMUNERACION_EAAB-CL'!D127</x:f>
        <x:v>0</x:v>
      </x:c>
      <x:c r="E79" s="224">
        <x:f>'REMUNERACION_EAAB-CL'!E127</x:f>
        <x:v>0</x:v>
      </x:c>
      <x:c r="G79" s="275">
        <x:f>'REMUNERACION_EAAB-CL'!G127</x:f>
        <x:v>0</x:v>
      </x:c>
      <x:c r="H79" s="276">
        <x:f>'REMUNERACION_EAAB-CL'!H127</x:f>
        <x:v>0</x:v>
      </x:c>
      <x:c r="I79" s="224">
        <x:f>'REMUNERACION_EAAB-CL'!I127</x:f>
        <x:v>0</x:v>
      </x:c>
      <x:c r="J79" s="224">
        <x:f>'REMUNERACION_EAAB-CL'!J127</x:f>
        <x:v>0</x:v>
      </x:c>
      <x:c r="K79" s="224">
        <x:f>'REMUNERACION_EAAB-CL'!K127</x:f>
        <x:v>0</x:v>
      </x:c>
      <x:c r="L79" s="224">
        <x:f>'REMUNERACION_EAAB-CL'!L127</x:f>
        <x:v>0</x:v>
      </x:c>
      <x:c r="O79" s="273"/>
      <x:c r="Q79" s="242"/>
    </x:row>
    <x:row r="80" spans="1:17" s="241" customFormat="1" ht="12" x14ac:dyDescent="0.25">
      <x:c r="B80" s="250">
        <x:v>4</x:v>
      </x:c>
      <x:c r="C80" s="274" t="s">
        <x:v>13</x:v>
      </x:c>
      <x:c r="D80" s="228">
        <x:f>'REMUNERACION_EAAB-CL'!D128</x:f>
        <x:v>0</x:v>
      </x:c>
      <x:c r="E80" s="224">
        <x:f>'REMUNERACION_EAAB-CL'!E128</x:f>
        <x:v>0</x:v>
      </x:c>
      <x:c r="G80" s="275">
        <x:f>'REMUNERACION_EAAB-CL'!G128</x:f>
        <x:v>0</x:v>
      </x:c>
      <x:c r="H80" s="276">
        <x:f>'REMUNERACION_EAAB-CL'!H128</x:f>
        <x:v>0</x:v>
      </x:c>
      <x:c r="I80" s="224">
        <x:f>'REMUNERACION_EAAB-CL'!I128</x:f>
        <x:v>0</x:v>
      </x:c>
      <x:c r="J80" s="224">
        <x:f>'REMUNERACION_EAAB-CL'!J128</x:f>
        <x:v>0</x:v>
      </x:c>
      <x:c r="K80" s="224">
        <x:f>'REMUNERACION_EAAB-CL'!K128</x:f>
        <x:v>0</x:v>
      </x:c>
      <x:c r="L80" s="224">
        <x:f>'REMUNERACION_EAAB-CL'!L128</x:f>
        <x:v>0</x:v>
      </x:c>
      <x:c r="O80" s="273"/>
      <x:c r="Q80" s="242"/>
    </x:row>
    <x:row r="81" spans="1:17" s="241" customFormat="1" ht="12" x14ac:dyDescent="0.25">
      <x:c r="B81" s="277">
        <x:v>5</x:v>
      </x:c>
      <x:c r="C81" s="278" t="s">
        <x:v>14</x:v>
      </x:c>
      <x:c r="D81" s="228">
        <x:f>'REMUNERACION_EAAB-CL'!D129</x:f>
        <x:v>0</x:v>
      </x:c>
      <x:c r="E81" s="280">
        <x:f>'REMUNERACION_EAAB-CL'!E129</x:f>
        <x:v>0</x:v>
      </x:c>
      <x:c r="G81" s="275">
        <x:f>'REMUNERACION_EAAB-CL'!G129</x:f>
        <x:v>0</x:v>
      </x:c>
      <x:c r="H81" s="276">
        <x:f>'REMUNERACION_EAAB-CL'!H129</x:f>
        <x:v>0</x:v>
      </x:c>
      <x:c r="I81" s="224">
        <x:f>'REMUNERACION_EAAB-CL'!I129</x:f>
        <x:v>0</x:v>
      </x:c>
      <x:c r="J81" s="224">
        <x:f>'REMUNERACION_EAAB-CL'!J129</x:f>
        <x:v>0</x:v>
      </x:c>
      <x:c r="K81" s="224">
        <x:f>'REMUNERACION_EAAB-CL'!K129</x:f>
        <x:v>0</x:v>
      </x:c>
      <x:c r="L81" s="224">
        <x:f>'REMUNERACION_EAAB-CL'!L129</x:f>
        <x:v>0</x:v>
      </x:c>
      <x:c r="O81" s="273"/>
      <x:c r="Q81" s="242"/>
    </x:row>
    <x:row r="82" spans="1:17" s="241" customFormat="1" ht="12.6" thickBot="1" x14ac:dyDescent="0.3">
      <x:c r="B82" s="260" t="s">
        <x:v>89</x:v>
      </x:c>
      <x:c r="C82" s="281" t="s">
        <x:v>113</x:v>
      </x:c>
      <x:c r="D82" s="233">
        <x:f>'REMUNERACION_EAAB-CL'!D130</x:f>
        <x:v>0</x:v>
      </x:c>
      <x:c r="E82" s="225">
        <x:f>'REMUNERACION_EAAB-CL'!E130</x:f>
        <x:v>0</x:v>
      </x:c>
      <x:c r="G82" s="282">
        <x:f>'REMUNERACION_EAAB-CL'!G130</x:f>
        <x:v>0</x:v>
      </x:c>
      <x:c r="H82" s="283">
        <x:f>'REMUNERACION_EAAB-CL'!H130</x:f>
        <x:v>0</x:v>
      </x:c>
      <x:c r="I82" s="225">
        <x:f>'REMUNERACION_EAAB-CL'!I130</x:f>
        <x:v>0</x:v>
      </x:c>
      <x:c r="J82" s="225">
        <x:f>'REMUNERACION_EAAB-CL'!J130</x:f>
        <x:v>0</x:v>
      </x:c>
      <x:c r="K82" s="225">
        <x:f>'REMUNERACION_EAAB-CL'!K130</x:f>
        <x:v>0</x:v>
      </x:c>
      <x:c r="L82" s="225">
        <x:f>'REMUNERACION_EAAB-CL'!L130</x:f>
        <x:v>0</x:v>
      </x:c>
      <x:c r="O82" s="273"/>
      <x:c r="Q82" s="242"/>
    </x:row>
    <x:row r="83" spans="1:17" s="241" customFormat="1" ht="12.6" thickBot="1" x14ac:dyDescent="0.3">
      <x:c r="B83" s="284"/>
      <x:c r="C83" s="285" t="s">
        <x:v>2</x:v>
      </x:c>
      <x:c r="D83" s="286">
        <x:f>'REMUNERACION_EAAB-CL'!D131</x:f>
        <x:v>0</x:v>
      </x:c>
      <x:c r="E83" s="286">
        <x:f>'REMUNERACION_EAAB-CL'!E131</x:f>
        <x:v>0</x:v>
      </x:c>
      <x:c r="F83" s="287"/>
      <x:c r="G83" s="286">
        <x:f>'REMUNERACION_EAAB-CL'!G131</x:f>
        <x:v>0</x:v>
      </x:c>
      <x:c r="H83" s="286">
        <x:f>'REMUNERACION_EAAB-CL'!H131</x:f>
        <x:v>0</x:v>
      </x:c>
      <x:c r="I83" s="286">
        <x:f>'REMUNERACION_EAAB-CL'!I131</x:f>
        <x:v>0</x:v>
      </x:c>
      <x:c r="J83" s="286">
        <x:f>'REMUNERACION_EAAB-CL'!J131</x:f>
        <x:v>0</x:v>
      </x:c>
      <x:c r="K83" s="286">
        <x:f>'REMUNERACION_EAAB-CL'!K131</x:f>
        <x:v>0</x:v>
      </x:c>
      <x:c r="L83" s="286">
        <x:f>'REMUNERACION_EAAB-CL'!L131</x:f>
        <x:v>0</x:v>
      </x:c>
      <x:c r="M83" s="287"/>
      <x:c r="N83" s="287"/>
      <x:c r="O83" s="288"/>
      <x:c r="P83" s="265"/>
      <x:c r="Q83" s="242"/>
    </x:row>
    <x:row r="84" spans="1:17" s="1" customFormat="1" ht="12" x14ac:dyDescent="0.25">
      <x:c r="B84" s="2"/>
      <x:c r="C84" s="2"/>
      <x:c r="D84" s="374"/>
      <x:c r="Q84" s="4"/>
    </x:row>
    <x:row r="85" spans="1:17" s="1" customFormat="1" ht="12" x14ac:dyDescent="0.25">
      <x:c r="B85" s="2"/>
      <x:c r="C85" s="2"/>
      <x:c r="D85" s="374"/>
      <x:c r="Q85" s="4"/>
    </x:row>
    <x:row r="86" spans="1:17" s="1" customFormat="1" ht="12" x14ac:dyDescent="0.25">
      <x:c r="A86" s="52"/>
      <x:c r="B86" s="53"/>
      <x:c r="C86" s="53"/>
      <x:c r="D86" s="380"/>
      <x:c r="E86" s="380"/>
      <x:c r="F86" s="380"/>
      <x:c r="G86" s="380"/>
      <x:c r="H86" s="380"/>
      <x:c r="I86" s="380"/>
      <x:c r="J86" s="52"/>
      <x:c r="K86" s="380"/>
      <x:c r="L86" s="380"/>
      <x:c r="M86" s="380"/>
      <x:c r="N86" s="380"/>
      <x:c r="O86" s="380"/>
      <x:c r="P86" s="52"/>
      <x:c r="Q86" s="4"/>
    </x:row>
    <x:row r="88" spans="1:17" ht="15.6" x14ac:dyDescent="0.3">
      <x:c r="F88" s="41" t="s">
        <x:v>190</x:v>
      </x:c>
    </x:row>
    <x:row r="89" spans="1:17" s="1" customFormat="1" ht="15.6" x14ac:dyDescent="0.3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ht="12.6" thickBot="1" x14ac:dyDescent="0.3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97" t="s">
        <x:v>47</x:v>
      </x:c>
      <x:c r="H91" s="73" t="s">
        <x:v>56</x:v>
      </x:c>
      <x:c r="I91" s="73" t="s">
        <x:v>130</x:v>
      </x:c>
      <x:c r="J91" s="73" t="s">
        <x:v>171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241" customFormat="1" ht="12" x14ac:dyDescent="0.25">
      <x:c r="B92" s="270">
        <x:v>1</x:v>
      </x:c>
      <x:c r="C92" s="271" t="s">
        <x:v>10</x:v>
      </x:c>
      <x:c r="D92" s="244">
        <x:f>D6-(D21+D35+D49++D63+D77)</x:f>
        <x:v>0</x:v>
      </x:c>
      <x:c r="E92" s="244">
        <x:f>E6-(E21+E35+E49++E63+E77)</x:f>
        <x:v>0</x:v>
      </x:c>
      <x:c r="G92" s="272">
        <x:f>G6-(G21+G35+G49+G63+G77)</x:f>
        <x:v>0</x:v>
      </x:c>
      <x:c r="H92" s="272">
        <x:f t="shared" ref="H92:L92" si="0">H6-(H21+H35+H49+H63+H77)</x:f>
        <x:v>0</x:v>
      </x:c>
      <x:c r="I92" s="272">
        <x:f t="shared" si="0"/>
        <x:v>0</x:v>
      </x:c>
      <x:c r="J92" s="272">
        <x:f t="shared" si="0"/>
        <x:v>0</x:v>
      </x:c>
      <x:c r="K92" s="272">
        <x:f t="shared" si="0"/>
        <x:v>0</x:v>
      </x:c>
      <x:c r="L92" s="272">
        <x:f t="shared" si="0"/>
        <x:v>0</x:v>
      </x:c>
      <x:c r="O92" s="273"/>
      <x:c r="Q92" s="242"/>
    </x:row>
    <x:row r="93" spans="1:17" s="241" customFormat="1" ht="12" x14ac:dyDescent="0.25">
      <x:c r="B93" s="250">
        <x:v>2</x:v>
      </x:c>
      <x:c r="C93" s="274" t="s">
        <x:v>11</x:v>
      </x:c>
      <x:c r="D93" s="228">
        <x:f t="shared" ref="D93:E98" si="1">D7-(D22+D36+D50++D64+D78)</x:f>
        <x:v>0</x:v>
      </x:c>
      <x:c r="E93" s="228">
        <x:f t="shared" si="1"/>
        <x:v>0</x:v>
      </x:c>
      <x:c r="G93" s="275">
        <x:f t="shared" ref="G93:L98" si="2">G7-(G22+G36+G50+G64+G78)</x:f>
        <x:v>0</x:v>
      </x:c>
      <x:c r="H93" s="275">
        <x:f t="shared" si="2"/>
        <x:v>0</x:v>
      </x:c>
      <x:c r="I93" s="275">
        <x:f t="shared" si="2"/>
        <x:v>0</x:v>
      </x:c>
      <x:c r="J93" s="275">
        <x:f t="shared" si="2"/>
        <x:v>0</x:v>
      </x:c>
      <x:c r="K93" s="275">
        <x:f t="shared" si="2"/>
        <x:v>0</x:v>
      </x:c>
      <x:c r="L93" s="275">
        <x:f t="shared" si="2"/>
        <x:v>0</x:v>
      </x:c>
      <x:c r="O93" s="273"/>
      <x:c r="Q93" s="242"/>
    </x:row>
    <x:row r="94" spans="1:17" s="241" customFormat="1" ht="12" x14ac:dyDescent="0.25">
      <x:c r="B94" s="250">
        <x:v>3</x:v>
      </x:c>
      <x:c r="C94" s="274" t="s">
        <x:v>12</x:v>
      </x:c>
      <x:c r="D94" s="228">
        <x:f t="shared" si="1"/>
        <x:v>0</x:v>
      </x:c>
      <x:c r="E94" s="228">
        <x:f t="shared" si="1"/>
        <x:v>0</x:v>
      </x:c>
      <x:c r="G94" s="275">
        <x:f t="shared" si="2"/>
        <x:v>0</x:v>
      </x:c>
      <x:c r="H94" s="275">
        <x:f t="shared" si="2"/>
        <x:v>0</x:v>
      </x:c>
      <x:c r="I94" s="275">
        <x:f t="shared" si="2"/>
        <x:v>0</x:v>
      </x:c>
      <x:c r="J94" s="275">
        <x:f t="shared" si="2"/>
        <x:v>0</x:v>
      </x:c>
      <x:c r="K94" s="275">
        <x:f t="shared" si="2"/>
        <x:v>0</x:v>
      </x:c>
      <x:c r="L94" s="275">
        <x:f t="shared" si="2"/>
        <x:v>0</x:v>
      </x:c>
      <x:c r="O94" s="273"/>
      <x:c r="Q94" s="242"/>
    </x:row>
    <x:row r="95" spans="1:17" s="241" customFormat="1" ht="12" x14ac:dyDescent="0.25">
      <x:c r="B95" s="250">
        <x:v>4</x:v>
      </x:c>
      <x:c r="C95" s="274" t="s">
        <x:v>13</x:v>
      </x:c>
      <x:c r="D95" s="228">
        <x:f t="shared" si="1"/>
        <x:v>0</x:v>
      </x:c>
      <x:c r="E95" s="228">
        <x:f t="shared" si="1"/>
        <x:v>0</x:v>
      </x:c>
      <x:c r="G95" s="275">
        <x:f t="shared" si="2"/>
        <x:v>0</x:v>
      </x:c>
      <x:c r="H95" s="275">
        <x:f t="shared" si="2"/>
        <x:v>0</x:v>
      </x:c>
      <x:c r="I95" s="275">
        <x:f t="shared" si="2"/>
        <x:v>0</x:v>
      </x:c>
      <x:c r="J95" s="275">
        <x:f t="shared" si="2"/>
        <x:v>0</x:v>
      </x:c>
      <x:c r="K95" s="275">
        <x:f t="shared" si="2"/>
        <x:v>0</x:v>
      </x:c>
      <x:c r="L95" s="275">
        <x:f t="shared" si="2"/>
        <x:v>0</x:v>
      </x:c>
      <x:c r="O95" s="273"/>
      <x:c r="Q95" s="242"/>
    </x:row>
    <x:row r="96" spans="1:17" s="241" customFormat="1" ht="12" x14ac:dyDescent="0.25">
      <x:c r="B96" s="277">
        <x:v>5</x:v>
      </x:c>
      <x:c r="C96" s="278" t="s">
        <x:v>14</x:v>
      </x:c>
      <x:c r="D96" s="228">
        <x:f t="shared" si="1"/>
        <x:v>0</x:v>
      </x:c>
      <x:c r="E96" s="228">
        <x:f t="shared" si="1"/>
        <x:v>0</x:v>
      </x:c>
      <x:c r="G96" s="275">
        <x:f t="shared" si="2"/>
        <x:v>0</x:v>
      </x:c>
      <x:c r="H96" s="275">
        <x:f t="shared" si="2"/>
        <x:v>0</x:v>
      </x:c>
      <x:c r="I96" s="275">
        <x:f t="shared" si="2"/>
        <x:v>0</x:v>
      </x:c>
      <x:c r="J96" s="275">
        <x:f t="shared" si="2"/>
        <x:v>0</x:v>
      </x:c>
      <x:c r="K96" s="275">
        <x:f t="shared" si="2"/>
        <x:v>0</x:v>
      </x:c>
      <x:c r="L96" s="275">
        <x:f t="shared" si="2"/>
        <x:v>0</x:v>
      </x:c>
      <x:c r="O96" s="273"/>
      <x:c r="Q96" s="242"/>
    </x:row>
    <x:row r="97" spans="1:17" s="241" customFormat="1" ht="12.6" thickBot="1" x14ac:dyDescent="0.3">
      <x:c r="B97" s="260" t="s">
        <x:v>89</x:v>
      </x:c>
      <x:c r="C97" s="281" t="s">
        <x:v>113</x:v>
      </x:c>
      <x:c r="D97" s="233">
        <x:f t="shared" si="1"/>
        <x:v>0</x:v>
      </x:c>
      <x:c r="E97" s="233">
        <x:f t="shared" si="1"/>
        <x:v>0</x:v>
      </x:c>
      <x:c r="G97" s="282">
        <x:f t="shared" si="2"/>
        <x:v>0</x:v>
      </x:c>
      <x:c r="H97" s="282">
        <x:f t="shared" si="2"/>
        <x:v>0</x:v>
      </x:c>
      <x:c r="I97" s="282">
        <x:f t="shared" si="2"/>
        <x:v>0</x:v>
      </x:c>
      <x:c r="J97" s="282">
        <x:f t="shared" si="2"/>
        <x:v>0</x:v>
      </x:c>
      <x:c r="K97" s="282">
        <x:f t="shared" si="2"/>
        <x:v>0</x:v>
      </x:c>
      <x:c r="L97" s="282">
        <x:f t="shared" si="2"/>
        <x:v>0</x:v>
      </x:c>
      <x:c r="O97" s="273"/>
      <x:c r="Q97" s="242"/>
    </x:row>
    <x:row r="98" spans="1:17" s="241" customFormat="1" ht="12.6" thickBot="1" x14ac:dyDescent="0.3">
      <x:c r="B98" s="284"/>
      <x:c r="C98" s="285" t="s">
        <x:v>2</x:v>
      </x:c>
      <x:c r="D98" s="286">
        <x:f t="shared" si="1"/>
        <x:v>0</x:v>
      </x:c>
      <x:c r="E98" s="286">
        <x:f t="shared" si="1"/>
        <x:v>0</x:v>
      </x:c>
      <x:c r="F98" s="287"/>
      <x:c r="G98" s="286">
        <x:f t="shared" si="2"/>
        <x:v>0</x:v>
      </x:c>
      <x:c r="H98" s="286">
        <x:f t="shared" si="2"/>
        <x:v>0</x:v>
      </x:c>
      <x:c r="I98" s="286">
        <x:f t="shared" si="2"/>
        <x:v>0</x:v>
      </x:c>
      <x:c r="J98" s="286">
        <x:f t="shared" si="2"/>
        <x:v>0</x:v>
      </x:c>
      <x:c r="K98" s="286">
        <x:f t="shared" si="2"/>
        <x:v>0</x:v>
      </x:c>
      <x:c r="L98" s="286">
        <x:f t="shared" si="2"/>
        <x:v>0</x:v>
      </x:c>
      <x:c r="M98" s="287"/>
      <x:c r="N98" s="287"/>
      <x:c r="O98" s="288"/>
      <x:c r="P98" s="265"/>
      <x:c r="Q98" s="242"/>
    </x:row>
    <x:row r="99" spans="1:17" s="1" customFormat="1" ht="12" x14ac:dyDescent="0.25">
      <x:c r="B99" s="2"/>
      <x:c r="C99" s="2"/>
      <x:c r="D99" s="374"/>
      <x:c r="Q99" s="4"/>
    </x:row>
    <x:row r="100" spans="1:17" s="1" customFormat="1" ht="12" x14ac:dyDescent="0.25">
      <x:c r="B100" s="2"/>
      <x:c r="C100" s="2"/>
      <x:c r="D100" s="374"/>
      <x:c r="L100" s="1" t="s">
        <x:v>1</x:v>
      </x:c>
      <x:c r="Q100" s="4"/>
    </x:row>
    <x:row r="101" spans="1:17" s="1" customFormat="1" ht="12" x14ac:dyDescent="0.25">
      <x:c r="A101" s="52"/>
      <x:c r="B101" s="53"/>
      <x:c r="C101" s="53"/>
      <x:c r="D101" s="380"/>
      <x:c r="E101" s="380"/>
      <x:c r="F101" s="380"/>
      <x:c r="G101" s="380"/>
      <x:c r="H101" s="380"/>
      <x:c r="I101" s="380"/>
      <x:c r="J101" s="52"/>
      <x:c r="K101" s="380"/>
      <x:c r="L101" s="380"/>
      <x:c r="M101" s="380"/>
      <x:c r="N101" s="380"/>
      <x:c r="O101" s="380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K16" sqref="K16"/>
    </x:sheetView>
  </x:sheetViews>
  <x:sheetFormatPr baseColWidth="10" defaultRowHeight="13.2" x14ac:dyDescent="0.25"/>
  <x:cols>
    <x:col min="1" max="1" width="4.6640625" customWidth="1"/>
    <x:col min="2" max="2" width="10" customWidth="1"/>
    <x:col min="3" max="3" width="20.44140625" bestFit="1" customWidth="1"/>
    <x:col min="4" max="4" width="17.33203125" customWidth="1"/>
    <x:col min="5" max="5" width="16.33203125" customWidth="1"/>
    <x:col min="6" max="6" width="21" bestFit="1" customWidth="1"/>
  </x:cols>
  <x:sheetData>
    <x:row r="1" spans="2:9" ht="13.8" thickBot="1" x14ac:dyDescent="0.3"/>
    <x:row r="2" spans="2:9" ht="15" thickBot="1" x14ac:dyDescent="0.35">
      <x:c r="C2" s="444">
        <x:f>'CONSOLIDADO_TOTAL RECAUDO'!N3</x:f>
        <x:v>2026072</x:v>
      </x:c>
      <x:c r="D2" s="445" t="s">
        <x:v>224</x:v>
      </x:c>
      <x:c r="E2" s="445" t="s">
        <x:v>201</x:v>
      </x:c>
      <x:c r="F2" s="132"/>
      <x:c r="G2" s="132"/>
      <x:c r="H2" s="132"/>
      <x:c r="I2" s="132"/>
    </x:row>
    <x:row r="3" spans="2:9" ht="14.4" x14ac:dyDescent="0.3">
      <x:c r="B3" s="494">
        <x:v>0</x:v>
      </x:c>
      <x:c r="C3" s="455" t="s">
        <x:v>202</x:v>
      </x:c>
      <x:c r="D3" s="446">
        <x:v>0</x:v>
      </x:c>
      <x:c r="E3" s="456">
        <x:v>0</x:v>
      </x:c>
      <x:c r="F3" s="447"/>
      <x:c r="G3" s="132"/>
      <x:c r="H3" s="132"/>
      <x:c r="I3" s="132"/>
    </x:row>
    <x:row r="4" spans="2:9" ht="14.4" x14ac:dyDescent="0.3">
      <x:c r="B4" s="495">
        <x:v>0</x:v>
      </x:c>
      <x:c r="C4" s="457" t="s">
        <x:v>202</x:v>
      </x:c>
      <x:c r="D4" s="448">
        <x:v>0</x:v>
      </x:c>
      <x:c r="E4" s="458"/>
      <x:c r="F4" s="450"/>
      <x:c r="G4" s="132"/>
      <x:c r="H4" s="132"/>
      <x:c r="I4" s="132"/>
    </x:row>
    <x:row r="5" spans="2:9" ht="14.4" x14ac:dyDescent="0.3">
      <x:c r="B5" s="495">
        <x:v>0</x:v>
      </x:c>
      <x:c r="C5" s="459" t="s">
        <x:v>203</x:v>
      </x:c>
      <x:c r="D5" s="460">
        <x:v>0</x:v>
      </x:c>
      <x:c r="E5" s="461">
        <x:v>0</x:v>
      </x:c>
      <x:c r="F5" s="450"/>
      <x:c r="G5" s="132"/>
      <x:c r="H5" s="132"/>
      <x:c r="I5" s="132"/>
    </x:row>
    <x:row r="6" spans="2:9" ht="15" thickBot="1" x14ac:dyDescent="0.35">
      <x:c r="B6" s="496">
        <x:v>0</x:v>
      </x:c>
      <x:c r="C6" s="459" t="s">
        <x:v>203</x:v>
      </x:c>
      <x:c r="D6" s="460">
        <x:v>0</x:v>
      </x:c>
      <x:c r="E6" s="462"/>
      <x:c r="F6" s="450"/>
      <x:c r="G6" s="132"/>
      <x:c r="H6" s="132"/>
      <x:c r="I6" s="132"/>
    </x:row>
    <x:row r="7" spans="2:9" ht="14.4" x14ac:dyDescent="0.3">
      <x:c r="B7" t="s">
        <x:v>1</x:v>
      </x:c>
      <x:c r="C7" s="463" t="s">
        <x:v>204</x:v>
      </x:c>
      <x:c r="D7" s="464">
        <x:v>0</x:v>
      </x:c>
      <x:c r="E7" s="451">
        <x:v>0</x:v>
      </x:c>
      <x:c r="F7" s="452" t="b">
        <x:v>1</x:v>
      </x:c>
      <x:c r="G7" s="132"/>
      <x:c r="H7" s="132"/>
      <x:c r="I7" s="132"/>
    </x:row>
    <x:row r="8" spans="2:9" ht="14.4" x14ac:dyDescent="0.3">
      <x:c r="C8" s="463" t="s">
        <x:v>326</x:v>
      </x:c>
      <x:c r="D8" s="464">
        <x:v>0</x:v>
      </x:c>
      <x:c r="E8" s="604"/>
      <x:c r="F8" s="452"/>
      <x:c r="G8" s="132"/>
      <x:c r="H8" s="132"/>
      <x:c r="I8" s="132"/>
    </x:row>
    <x:row r="9" spans="2:9" ht="14.4" x14ac:dyDescent="0.3">
      <x:c r="B9" t="s">
        <x:v>1</x:v>
      </x:c>
      <x:c r="C9" s="463" t="s">
        <x:v>205</x:v>
      </x:c>
      <x:c r="D9" s="464">
        <x:v>0</x:v>
      </x:c>
      <x:c r="E9" s="449"/>
      <x:c r="F9" s="450"/>
      <x:c r="G9" s="132"/>
      <x:c r="H9" s="132"/>
      <x:c r="I9" s="132"/>
    </x:row>
    <x:row r="10" spans="2:9" ht="15" thickBot="1" x14ac:dyDescent="0.35">
      <x:c r="C10" s="465" t="s">
        <x:v>206</x:v>
      </x:c>
      <x:c r="D10" s="453">
        <x:v>0</x:v>
      </x:c>
      <x:c r="E10" s="453">
        <x:v>0</x:v>
      </x:c>
      <x:c r="F10" s="454" t="n">
        <x:v>58447133168</x:v>
      </x:c>
      <x:c r="G10" s="132"/>
      <x:c r="H10" s="132"/>
      <x:c r="I10" s="132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DetRetri2026071</vt:lpstr>
      <vt:lpstr>DetValiRetri2026071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2026-10-08T14:58:36Z</dcterms:modified>
</cp:coreProperties>
</file>