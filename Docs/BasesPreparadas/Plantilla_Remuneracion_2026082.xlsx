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bookViews>
    <workbookView xWindow="-108" yWindow="-108" windowWidth="23256" windowHeight="12456" tabRatio="780" firstSheet="9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8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82" sheetId="93" r:id="rId36"/>
    <sheet name="DetValiRetri202608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2" l="1"/>
  <c r="L11" i="22"/>
  <c r="L12" i="22"/>
  <c r="L13" i="22"/>
  <c r="L9" i="22"/>
  <c r="L14" i="22" s="1"/>
  <c r="D10" i="68"/>
  <c r="C11" i="68"/>
  <c r="C10" i="68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E367" i="61"/>
  <c r="D368" i="61"/>
  <c r="D367" i="6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E361" i="61"/>
  <c r="D362" i="61"/>
  <c r="D361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4" i="61"/>
  <c r="D223" i="61"/>
  <c r="D218" i="61"/>
  <c r="E217" i="61"/>
  <c r="D217" i="61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E211" i="61"/>
  <c r="D212" i="61"/>
  <c r="D211" i="61"/>
  <c r="E180" i="61"/>
  <c r="D181" i="61"/>
  <c r="D180" i="61"/>
  <c r="E177" i="61"/>
  <c r="D178" i="61"/>
  <c r="D177" i="61"/>
  <c r="D175" i="61"/>
  <c r="E174" i="61"/>
  <c r="D174" i="61"/>
  <c r="E85" i="61"/>
  <c r="D86" i="61"/>
  <c r="D85" i="61"/>
  <c r="E79" i="61"/>
  <c r="D80" i="61"/>
  <c r="D79" i="61"/>
  <c r="E73" i="61"/>
  <c r="D74" i="61"/>
  <c r="D73" i="61"/>
  <c r="R452" i="59"/>
  <c r="Q452" i="59"/>
  <c r="P452" i="59"/>
  <c r="O452" i="59"/>
  <c r="N452" i="59"/>
  <c r="M452" i="59"/>
  <c r="L452" i="59"/>
  <c r="K452" i="59"/>
  <c r="J452" i="59"/>
  <c r="I452" i="59"/>
  <c r="H452" i="59"/>
  <c r="G452" i="59"/>
  <c r="F452" i="59"/>
  <c r="E452" i="59"/>
  <c r="E150" i="59"/>
  <c r="R147" i="59"/>
  <c r="Q147" i="59"/>
  <c r="P147" i="59"/>
  <c r="O147" i="59"/>
  <c r="N147" i="59"/>
  <c r="M147" i="59"/>
  <c r="L147" i="59"/>
  <c r="K147" i="59"/>
  <c r="J147" i="59"/>
  <c r="I147" i="59"/>
  <c r="H147" i="59"/>
  <c r="G147" i="59"/>
  <c r="F147" i="59"/>
  <c r="E148" i="59"/>
  <c r="E147" i="59"/>
  <c r="E144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F53" i="59"/>
  <c r="E53" i="59"/>
  <c r="E48" i="59"/>
  <c r="F47" i="59"/>
  <c r="E47" i="59"/>
  <c r="Z598" i="55"/>
  <c r="Y598" i="55"/>
  <c r="X598" i="55"/>
  <c r="W598" i="55"/>
  <c r="V598" i="55"/>
  <c r="U598" i="55"/>
  <c r="T598" i="55"/>
  <c r="S598" i="55"/>
  <c r="R598" i="55"/>
  <c r="Q598" i="55"/>
  <c r="P598" i="55"/>
  <c r="O598" i="55"/>
  <c r="N598" i="55"/>
  <c r="M598" i="55"/>
  <c r="L598" i="55"/>
  <c r="K598" i="55"/>
  <c r="J598" i="55"/>
  <c r="I598" i="55"/>
  <c r="H598" i="55"/>
  <c r="G598" i="55"/>
  <c r="F598" i="55"/>
  <c r="F590" i="55"/>
  <c r="G588" i="55"/>
  <c r="F588" i="55"/>
  <c r="F580" i="55"/>
  <c r="G578" i="55"/>
  <c r="F579" i="55"/>
  <c r="F578" i="55"/>
  <c r="G575" i="55"/>
  <c r="F575" i="55"/>
  <c r="G573" i="55"/>
  <c r="F573" i="55"/>
  <c r="G570" i="55"/>
  <c r="F571" i="55"/>
  <c r="F570" i="55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G261" i="55"/>
  <c r="F262" i="55"/>
  <c r="F261" i="55"/>
  <c r="G259" i="55"/>
  <c r="F259" i="55"/>
  <c r="G256" i="55"/>
  <c r="F257" i="55"/>
  <c r="F256" i="55"/>
  <c r="F445" i="5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G437" i="55"/>
  <c r="F438" i="55"/>
  <c r="F437" i="55"/>
  <c r="F435" i="55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G427" i="55"/>
  <c r="F428" i="55"/>
  <c r="F427" i="55"/>
  <c r="G425" i="55"/>
  <c r="F426" i="55"/>
  <c r="F425" i="55"/>
  <c r="G417" i="55"/>
  <c r="F417" i="55"/>
  <c r="G415" i="55"/>
  <c r="F416" i="55"/>
  <c r="F415" i="55"/>
  <c r="F284" i="55"/>
  <c r="F266" i="55"/>
  <c r="G264" i="55"/>
  <c r="F264" i="55"/>
  <c r="G254" i="55"/>
  <c r="F254" i="55"/>
  <c r="F87" i="55"/>
  <c r="F85" i="55"/>
  <c r="G77" i="55"/>
  <c r="F77" i="55"/>
  <c r="G75" i="55"/>
  <c r="F76" i="55"/>
  <c r="F75" i="55"/>
  <c r="F105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8" i="55"/>
  <c r="F97" i="55"/>
  <c r="G95" i="55"/>
  <c r="F96" i="55"/>
  <c r="F95" i="55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8" i="55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6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F78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C37" i="68"/>
  <c r="D36" i="68"/>
  <c r="C36" i="68"/>
  <c r="D339" i="61"/>
  <c r="E338" i="61"/>
  <c r="D338" i="61"/>
  <c r="E332" i="61"/>
  <c r="D333" i="61"/>
  <c r="D332" i="61"/>
  <c r="E329" i="61"/>
  <c r="D330" i="61"/>
  <c r="D329" i="61"/>
  <c r="E326" i="61"/>
  <c r="D327" i="61"/>
  <c r="D326" i="61"/>
  <c r="E186" i="61"/>
  <c r="D187" i="61"/>
  <c r="D186" i="61"/>
  <c r="R177" i="61"/>
  <c r="Q177" i="61"/>
  <c r="P177" i="61"/>
  <c r="O177" i="61"/>
  <c r="N177" i="61"/>
  <c r="M177" i="61"/>
  <c r="L177" i="61"/>
  <c r="K177" i="61"/>
  <c r="J177" i="61"/>
  <c r="I177" i="61"/>
  <c r="H177" i="61"/>
  <c r="G177" i="61"/>
  <c r="F177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374" i="59"/>
  <c r="F365" i="59"/>
  <c r="E365" i="59"/>
  <c r="E366" i="59"/>
  <c r="E363" i="59"/>
  <c r="F362" i="59"/>
  <c r="E362" i="59"/>
  <c r="F589" i="55"/>
  <c r="G580" i="55"/>
  <c r="F581" i="55"/>
  <c r="F574" i="55"/>
  <c r="G435" i="55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F418" i="55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7" i="55"/>
  <c r="F276" i="55"/>
  <c r="G274" i="55"/>
  <c r="F275" i="55"/>
  <c r="F274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G266" i="55"/>
  <c r="F267" i="55"/>
  <c r="F265" i="55"/>
  <c r="F255" i="55"/>
  <c r="H17" i="62"/>
  <c r="R31" i="95"/>
  <c r="R30" i="95"/>
  <c r="R29" i="95"/>
  <c r="R28" i="95"/>
  <c r="R27" i="95"/>
  <c r="R26" i="95"/>
  <c r="O49" i="68"/>
  <c r="O62" i="68"/>
  <c r="P446" i="59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1" i="55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F576" i="55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R374" i="59"/>
  <c r="Q374" i="59"/>
  <c r="P374" i="59"/>
  <c r="O374" i="59"/>
  <c r="N374" i="59"/>
  <c r="M374" i="59"/>
  <c r="L374" i="59"/>
  <c r="K374" i="59"/>
  <c r="J374" i="59"/>
  <c r="I374" i="59"/>
  <c r="H374" i="59"/>
  <c r="G374" i="59"/>
  <c r="F374" i="59"/>
  <c r="E375" i="59"/>
  <c r="R368" i="59"/>
  <c r="Q368" i="59"/>
  <c r="P368" i="59"/>
  <c r="O368" i="59"/>
  <c r="N368" i="59"/>
  <c r="M368" i="59"/>
  <c r="L368" i="59"/>
  <c r="K368" i="59"/>
  <c r="J368" i="59"/>
  <c r="I368" i="59"/>
  <c r="H368" i="59"/>
  <c r="G368" i="59"/>
  <c r="F368" i="59"/>
  <c r="E369" i="59"/>
  <c r="E368" i="59"/>
  <c r="R365" i="59"/>
  <c r="Q365" i="59"/>
  <c r="P365" i="59"/>
  <c r="O365" i="59"/>
  <c r="N365" i="59"/>
  <c r="M365" i="59"/>
  <c r="L365" i="59"/>
  <c r="K365" i="59"/>
  <c r="J365" i="59"/>
  <c r="I365" i="59"/>
  <c r="H365" i="59"/>
  <c r="G365" i="59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S700" i="55"/>
  <c r="R700" i="55"/>
  <c r="Q700" i="55"/>
  <c r="P700" i="55"/>
  <c r="O700" i="55"/>
  <c r="N700" i="55"/>
  <c r="M700" i="55"/>
  <c r="L700" i="55"/>
  <c r="K700" i="55"/>
  <c r="J700" i="55"/>
  <c r="I700" i="55"/>
  <c r="H700" i="55"/>
  <c r="G700" i="55"/>
  <c r="F700" i="55"/>
  <c r="F710" i="55"/>
  <c r="E268" i="59"/>
  <c r="F262" i="59"/>
  <c r="E263" i="59"/>
  <c r="E262" i="59"/>
  <c r="AA710" i="55"/>
  <c r="Z710" i="55"/>
  <c r="Y710" i="55"/>
  <c r="X710" i="55"/>
  <c r="W710" i="55"/>
  <c r="V710" i="55"/>
  <c r="U710" i="55"/>
  <c r="T710" i="55"/>
  <c r="S710" i="55"/>
  <c r="R710" i="55"/>
  <c r="Q710" i="55"/>
  <c r="P710" i="55"/>
  <c r="O710" i="55"/>
  <c r="N710" i="55"/>
  <c r="M710" i="55"/>
  <c r="L710" i="55"/>
  <c r="K710" i="55"/>
  <c r="J710" i="55"/>
  <c r="I710" i="55"/>
  <c r="H710" i="55"/>
  <c r="G710" i="55"/>
  <c r="F701" i="55"/>
  <c r="G695" i="55"/>
  <c r="F695" i="55"/>
  <c r="G690" i="55"/>
  <c r="F690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S680" i="55"/>
  <c r="R680" i="55"/>
  <c r="Q680" i="55"/>
  <c r="P680" i="55"/>
  <c r="O680" i="55"/>
  <c r="N680" i="55"/>
  <c r="M680" i="55"/>
  <c r="L680" i="55"/>
  <c r="K680" i="55"/>
  <c r="J680" i="55"/>
  <c r="I680" i="55"/>
  <c r="H680" i="55"/>
  <c r="G680" i="55"/>
  <c r="F680" i="55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U445" i="55"/>
  <c r="V445" i="55"/>
  <c r="W445" i="55"/>
  <c r="X445" i="55"/>
  <c r="Y445" i="55"/>
  <c r="Z445" i="55"/>
  <c r="D23" i="68"/>
  <c r="C24" i="68"/>
  <c r="C23" i="68"/>
  <c r="E156" i="59"/>
  <c r="E59" i="59"/>
  <c r="F691" i="55"/>
  <c r="F681" i="55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F260" i="55"/>
  <c r="AC50" i="79" l="1"/>
  <c r="F3" i="64"/>
  <c r="R329" i="61"/>
  <c r="Q329" i="61"/>
  <c r="P329" i="61"/>
  <c r="O329" i="61"/>
  <c r="N329" i="61"/>
  <c r="M329" i="61"/>
  <c r="L329" i="61"/>
  <c r="K329" i="61"/>
  <c r="J329" i="61"/>
  <c r="I329" i="61"/>
  <c r="H329" i="61"/>
  <c r="G329" i="61"/>
  <c r="F329" i="61"/>
  <c r="R326" i="6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E455" i="59" l="1"/>
  <c r="E453" i="59"/>
  <c r="F446" i="59"/>
  <c r="E447" i="59"/>
  <c r="E446" i="59"/>
  <c r="F274" i="59"/>
  <c r="E275" i="59"/>
  <c r="E274" i="59"/>
  <c r="F268" i="59"/>
  <c r="E269" i="59"/>
  <c r="F156" i="59"/>
  <c r="E157" i="59"/>
  <c r="F150" i="59"/>
  <c r="E151" i="59"/>
  <c r="F144" i="59"/>
  <c r="E145" i="59"/>
  <c r="E60" i="59"/>
  <c r="F59" i="59"/>
  <c r="E54" i="59"/>
  <c r="F696" i="55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S690" i="55"/>
  <c r="R690" i="55"/>
  <c r="Q690" i="55"/>
  <c r="P690" i="55"/>
  <c r="O690" i="55"/>
  <c r="N690" i="55"/>
  <c r="M690" i="55"/>
  <c r="L690" i="55"/>
  <c r="K690" i="55"/>
  <c r="J690" i="55"/>
  <c r="I690" i="55"/>
  <c r="H690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F3" i="70"/>
  <c r="D31" i="66"/>
  <c r="D33" i="71" l="1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C67" i="62"/>
  <c r="AC50" i="22" l="1"/>
  <c r="L13" i="79"/>
  <c r="L10" i="79"/>
  <c r="L11" i="79"/>
  <c r="L12" i="79"/>
  <c r="O36" i="68"/>
  <c r="O23" i="68"/>
  <c r="O10" i="68"/>
  <c r="L695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455" i="59"/>
  <c r="Q455" i="59"/>
  <c r="P455" i="59"/>
  <c r="O455" i="59"/>
  <c r="N455" i="59"/>
  <c r="M455" i="59"/>
  <c r="L455" i="59"/>
  <c r="K455" i="59"/>
  <c r="J455" i="59"/>
  <c r="I455" i="59"/>
  <c r="H455" i="59"/>
  <c r="G455" i="59"/>
  <c r="F455" i="59"/>
  <c r="E456" i="59"/>
  <c r="R150" i="59"/>
  <c r="Q150" i="59"/>
  <c r="P150" i="59"/>
  <c r="O150" i="59"/>
  <c r="N150" i="59"/>
  <c r="M150" i="59"/>
  <c r="L150" i="59"/>
  <c r="K150" i="59"/>
  <c r="J150" i="59"/>
  <c r="I150" i="59"/>
  <c r="H150" i="59"/>
  <c r="G150" i="59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S695" i="55"/>
  <c r="R695" i="55"/>
  <c r="Q695" i="55"/>
  <c r="P695" i="55"/>
  <c r="O695" i="55"/>
  <c r="N695" i="55"/>
  <c r="M695" i="55"/>
  <c r="K695" i="55"/>
  <c r="J695" i="55"/>
  <c r="I695" i="55"/>
  <c r="H695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I144" i="59"/>
  <c r="R144" i="59"/>
  <c r="Q144" i="59"/>
  <c r="P144" i="59"/>
  <c r="O144" i="59"/>
  <c r="N144" i="59"/>
  <c r="M144" i="59"/>
  <c r="L144" i="59"/>
  <c r="K144" i="59"/>
  <c r="J144" i="59"/>
  <c r="H144" i="59"/>
  <c r="G144" i="59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AB11" i="97"/>
  <c r="AD11" i="97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43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8" i="59"/>
  <c r="Q458" i="59"/>
  <c r="P458" i="59"/>
  <c r="O458" i="59"/>
  <c r="N458" i="59"/>
  <c r="M458" i="59"/>
  <c r="L458" i="59"/>
  <c r="K458" i="59"/>
  <c r="J458" i="59"/>
  <c r="I458" i="59"/>
  <c r="H458" i="59"/>
  <c r="G458" i="59"/>
  <c r="F458" i="59"/>
  <c r="E459" i="59"/>
  <c r="E458" i="59"/>
  <c r="R446" i="59"/>
  <c r="Q446" i="59"/>
  <c r="O446" i="59"/>
  <c r="N446" i="59"/>
  <c r="M446" i="59"/>
  <c r="L446" i="59"/>
  <c r="K446" i="59"/>
  <c r="J446" i="59"/>
  <c r="I446" i="59"/>
  <c r="H446" i="59"/>
  <c r="G446" i="59"/>
  <c r="AF14" i="97" l="1"/>
  <c r="AG9" i="97"/>
  <c r="E381" i="61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AH9" i="97" l="1"/>
  <c r="AG14" i="97"/>
  <c r="AH14" i="97" s="1"/>
  <c r="S59" i="59" l="1"/>
  <c r="R59" i="59"/>
  <c r="Q59" i="59"/>
  <c r="P59" i="59"/>
  <c r="O59" i="59"/>
  <c r="N59" i="59"/>
  <c r="M59" i="59"/>
  <c r="L59" i="59"/>
  <c r="K59" i="59"/>
  <c r="J59" i="59"/>
  <c r="I59" i="59"/>
  <c r="H59" i="59"/>
  <c r="G59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AB68" i="97" l="1"/>
  <c r="J127" i="97"/>
  <c r="G144" i="97"/>
  <c r="K68" i="97"/>
  <c r="M68" i="97" s="1"/>
  <c r="O68" i="97" s="1"/>
  <c r="R274" i="59"/>
  <c r="Q274" i="59"/>
  <c r="P274" i="59"/>
  <c r="O274" i="59"/>
  <c r="N274" i="59"/>
  <c r="M274" i="59"/>
  <c r="L274" i="59"/>
  <c r="K274" i="59"/>
  <c r="J274" i="59"/>
  <c r="I274" i="59"/>
  <c r="H274" i="59"/>
  <c r="G274" i="59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81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8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81" i="61"/>
  <c r="Q381" i="61"/>
  <c r="P381" i="61"/>
  <c r="O381" i="61"/>
  <c r="N381" i="61"/>
  <c r="M381" i="61"/>
  <c r="L381" i="61"/>
  <c r="K381" i="61"/>
  <c r="J381" i="61"/>
  <c r="I381" i="61"/>
  <c r="H381" i="61"/>
  <c r="G381" i="61"/>
  <c r="F381" i="61"/>
  <c r="R362" i="59"/>
  <c r="Q362" i="59"/>
  <c r="P362" i="59"/>
  <c r="O362" i="59"/>
  <c r="N362" i="59"/>
  <c r="M362" i="59"/>
  <c r="L362" i="59"/>
  <c r="K362" i="59"/>
  <c r="J362" i="59"/>
  <c r="I362" i="59"/>
  <c r="H362" i="59"/>
  <c r="G362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111" i="22" l="1"/>
  <c r="D34" i="36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<sst xmlns="http://schemas.openxmlformats.org/spreadsheetml/2006/main" count="7750" uniqueCount="345">
  <si>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</si>
  <si>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</si>
  <si>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</si>
  <si>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</si>
  <si>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</si>
  <si>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</si>
  <si>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</si>
  <si>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</si>
  <si>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</si>
  <si>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</si>
  <si>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</si>
  <si>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</si>
  <si>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</si>
  <si>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</si>
  <si>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</si>
  <si>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</si>
  <si>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</si>
  <si>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</si>
  <si>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</si>
  <si>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</si>
  <si>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</si>
  <si>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</si>
  <si>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</si>
  <si>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</si>
  <si>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</si>
  <si>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</si>
  <si>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</si>
  <si>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</si>
  <si>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</si>
  <si>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</si>
  <si>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</si>
  <si>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</si>
  <si>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</si>
  <si>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</si>
  <si>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</si>
  <si>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</si>
  <si>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</si>
  <si>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</si>
  <si>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</si>
  <si>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</si>
  <si>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</si>
  <si>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</si>
  <si>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</si>
  <si>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</si>
  <si>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</si>
  <si>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</si>
  <si>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</si>
  <si>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</si>
  <si>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</si>
  <si>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</si>
  <si>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</si>
  <si>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</si>
  <si>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</si>
  <si>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</si>
  <si>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</si>
  <si>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</si>
  <si>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</si>
  <si>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</si>
  <si>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</si>
  <si>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</si>
  <si>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</si>
  <si>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</si>
  <si>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</si>
  <si>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</si>
  <si>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</si>
  <si>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</si>
  <si>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</si>
  <si>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</si>
  <si>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</si>
  <si>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</si>
  <si>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</si>
  <si>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</si>
  <si>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</si>
  <si>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</si>
  <si>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</si>
  <si>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</si>
  <si>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</si>
  <si>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</si>
  <si>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</si>
  <si>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</si>
  <si>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</si>
  <si>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</si>
  <si>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</si>
  <si>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</si>
  <si>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</si>
  <si>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</si>
  <si>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</si>
  <si>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</si>
  <si>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</si>
  <si>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</si>
  <si>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</si>
  <si>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</si>
  <si>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</si>
  <si>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</si>
  <si>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</si>
  <si>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</si>
  <si>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</si>
  <si>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</si>
  <si>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</si>
  <si>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</si>
  <si>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</si>
  <si>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</si>
  <si>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</si>
  <si>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</si>
  <si>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</si>
  <si>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</si>
  <si>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</si>
  <si>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</si>
  <si>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</si>
  <si>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</si>
  <si>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</si>
  <si>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</si>
  <si>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</si>
  <si>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</si>
  <si>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</si>
  <si>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</si>
  <si>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</si>
  <si>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</si>
  <si>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</si>
  <si>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</si>
  <si>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</si>
  <si>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</si>
  <si>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</si>
  <si>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</si>
  <si>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</si>
  <si>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</si>
  <si>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</si>
  <si>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</si>
  <si>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</si>
  <si>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</si>
  <si>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</si>
  <si>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</si>
  <si>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</si>
  <si>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</si>
  <si>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</si>
  <si>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</si>
  <si>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</si>
  <si>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</si>
  <si>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</si>
  <si>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</si>
  <si>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</si>
  <si>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</si>
  <si>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</si>
  <si>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</si>
  <si>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</si>
  <si>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</si>
  <si>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</si>
  <si>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</si>
  <si>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</si>
  <si>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</si>
  <si>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</si>
  <si>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</si>
  <si>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</si>
  <si>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</si>
  <si>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</si>
  <si>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</si>
  <si>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</si>
  <si>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</si>
  <si>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</si>
  <si>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</si>
  <si>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</si>
  <si>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</si>
  <si>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</si>
  <si>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</si>
  <si>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</si>
  <si>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</si>
  <si>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</si>
  <si>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</si>
  <si>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</si>
  <si>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</si>
  <si>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</si>
  <si>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</si>
  <si>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</si>
  <si>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</si>
  <si>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</si>
  <si>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</si>
  <si>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</si>
  <si>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</si>
  <si>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</si>
  <si>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</si>
  <si>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</si>
  <si>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</si>
  <si>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</si>
  <si>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</si>
  <si>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</si>
  <si>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</si>
  <si>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</si>
  <si>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</si>
  <si>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</si>
  <si>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</si>
  <si>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</si>
  <si>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</si>
  <si>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</si>
  <si>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</si>
  <si>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</si>
  <si>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</si>
  <si>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</si>
  <si>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</si>
  <si>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</si>
  <si>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</si>
  <si>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</si>
  <si>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</si>
  <si>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</si>
  <si>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</si>
  <si>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</si>
  <si>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</si>
  <si>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</si>
  <si>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</si>
  <si>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</si>
  <si>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</si>
  <si>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</si>
  <si>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</si>
  <si>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</si>
  <si>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</si>
  <si>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</si>
  <si>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</si>
  <si>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</si>
  <si>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</si>
  <si>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</si>
  <si>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</si>
  <si>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</si>
  <si>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</si>
  <si>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</si>
  <si>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</si>
  <si>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</si>
  <si>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</si>
  <si>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</si>
  <si>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</si>
  <si>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</si>
  <si>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</si>
  <si>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</si>
  <si>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</si>
  <si>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</si>
  <si>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</si>
  <si>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</si>
  <si>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</si>
  <si>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</si>
  <si>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</si>
  <si>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</si>
  <si>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</si>
  <si>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</si>
  <si>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</si>
  <si>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</si>
  <si>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</si>
  <si>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</si>
  <si>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</si>
  <si>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</si>
  <si>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</si>
  <si>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</si>
  <si>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</si>
  <si>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</si>
  <si>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</si>
  <si>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</si>
  <si>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</si>
  <si>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</si>
  <si>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</si>
  <si>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</si>
  <si>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</si>
  <si>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</si>
  <si>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</si>
  <si>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</si>
  <si>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</si>
  <si>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</si>
  <si>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</si>
  <si>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</si>
  <si>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</si>
  <si>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</si>
  <si>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</si>
  <si>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</si>
  <si>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</si>
  <si>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</si>
  <si>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</si>
  <si>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</si>
  <si>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</si>
  <si>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</si>
  <si>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</si>
  <si>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</si>
  <si>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</si>
  <si>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</si>
  <si>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</si>
  <si>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</si>
  <si>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</si>
  <si>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</si>
  <si>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</si>
  <si>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</si>
  <si>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</si>
  <si>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</si>
  <si>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</si>
  <si>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</si>
  <si>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</si>
  <si>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</si>
  <si>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</si>
  <si>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</si>
  <si>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</si>
  <si>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</si>
  <si>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</si>
  <si>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</si>
  <si>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</si>
  <si>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</si>
  <si>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</si>
  <si>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</si>
  <si>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</si>
  <si>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</si>
  <si>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</si>
  <si>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</si>
  <si>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</si>
  <si>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</si>
  <si>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</si>
  <si>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</si>
  <si>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</si>
  <si>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</si>
  <si>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</si>
  <si>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</si>
  <si>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</si>
  <si>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</si>
  <si>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</si>
  <si>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</si>
  <si>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</si>
  <si>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</si>
  <si>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</si>
  <si>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</si>
  <si>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</si>
  <si>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</si>
  <si>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</si>
  <si>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</si>
  <si>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</si>
  <si>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</si>
  <si>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</si>
  <si>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</si>
  <si>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</si>
  <si>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</si>
  <si>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</si>
  <si>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</si>
  <si>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</si>
  <si>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</si>
  <si>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</si>
  <si>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</si>
  <si>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</si>
  <si>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</si>
  <si>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</si>
  <si>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2026082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</si>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</sst>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5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5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5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5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0</v>
      </c>
      <c r="E18" s="198">
        <v>0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5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5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5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5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5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2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5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4" t="s">
        <v>99</v>
      </c>
      <c r="D1" s="774"/>
      <c r="E1" s="774" t="s">
        <v>100</v>
      </c>
      <c r="F1" s="774"/>
      <c r="G1" s="774" t="s">
        <v>101</v>
      </c>
      <c r="H1" s="774"/>
      <c r="I1" s="774" t="s">
        <v>102</v>
      </c>
      <c r="J1" s="774"/>
      <c r="K1" s="774" t="s">
        <v>103</v>
      </c>
      <c r="L1" s="774"/>
      <c r="M1" s="774" t="s">
        <v>2</v>
      </c>
      <c r="N1" s="774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4" t="s">
        <v>99</v>
      </c>
      <c r="D9" s="774"/>
      <c r="E9" s="774" t="s">
        <v>100</v>
      </c>
      <c r="F9" s="774"/>
      <c r="G9" s="774" t="s">
        <v>101</v>
      </c>
      <c r="H9" s="774"/>
      <c r="I9" s="774" t="s">
        <v>102</v>
      </c>
      <c r="J9" s="774"/>
      <c r="K9" s="774" t="s">
        <v>103</v>
      </c>
      <c r="L9" s="774"/>
      <c r="M9" s="774" t="s">
        <v>2</v>
      </c>
      <c r="N9" s="774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4" t="s">
        <v>99</v>
      </c>
      <c r="D17" s="774"/>
      <c r="E17" s="774" t="s">
        <v>100</v>
      </c>
      <c r="F17" s="774"/>
      <c r="G17" s="774" t="s">
        <v>101</v>
      </c>
      <c r="H17" s="774"/>
      <c r="I17" s="774" t="s">
        <v>102</v>
      </c>
      <c r="J17" s="774"/>
      <c r="K17" s="774" t="s">
        <v>103</v>
      </c>
      <c r="L17" s="774"/>
      <c r="M17" s="774" t="s">
        <v>2</v>
      </c>
      <c r="N17" s="774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4" t="s">
        <v>99</v>
      </c>
      <c r="D25" s="774"/>
      <c r="E25" s="774" t="s">
        <v>100</v>
      </c>
      <c r="F25" s="774"/>
      <c r="G25" s="774" t="s">
        <v>101</v>
      </c>
      <c r="H25" s="774"/>
      <c r="I25" s="774" t="s">
        <v>102</v>
      </c>
      <c r="J25" s="774"/>
      <c r="K25" s="774" t="s">
        <v>103</v>
      </c>
      <c r="L25" s="774"/>
      <c r="M25" s="774" t="s">
        <v>2</v>
      </c>
      <c r="N25" s="774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4" t="s">
        <v>99</v>
      </c>
      <c r="D33" s="774"/>
      <c r="E33" s="774" t="s">
        <v>100</v>
      </c>
      <c r="F33" s="774"/>
      <c r="G33" s="774" t="s">
        <v>101</v>
      </c>
      <c r="H33" s="774"/>
      <c r="I33" s="774" t="s">
        <v>102</v>
      </c>
      <c r="J33" s="774"/>
      <c r="K33" s="774" t="s">
        <v>103</v>
      </c>
      <c r="L33" s="774"/>
      <c r="M33" s="774" t="s">
        <v>2</v>
      </c>
      <c r="N33" s="774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4" t="s">
        <v>99</v>
      </c>
      <c r="D41" s="774"/>
      <c r="E41" s="774" t="s">
        <v>100</v>
      </c>
      <c r="F41" s="774"/>
      <c r="G41" s="774" t="s">
        <v>101</v>
      </c>
      <c r="H41" s="774"/>
      <c r="I41" s="774" t="s">
        <v>102</v>
      </c>
      <c r="J41" s="774"/>
      <c r="K41" s="774" t="s">
        <v>103</v>
      </c>
      <c r="L41" s="774"/>
      <c r="M41" s="774" t="s">
        <v>2</v>
      </c>
      <c r="N41" s="774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DetRetri2026082!J9</f>
        <v>0</v>
      </c>
      <c r="I3" s="276">
        <f>F3-H3</f>
        <v>0</v>
      </c>
    </row>
    <row r="4" spans="1:17" x14ac:dyDescent="0.25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DetRetri2026082!J10</f>
        <v>0</v>
      </c>
      <c r="I4" s="276">
        <f t="shared" ref="I4:I7" si="0">F4-H4</f>
        <v>0</v>
      </c>
    </row>
    <row r="5" spans="1:17" x14ac:dyDescent="0.25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DetRetri2026082!J11</f>
        <v>0</v>
      </c>
      <c r="I5" s="276">
        <f t="shared" si="0"/>
        <v>0</v>
      </c>
    </row>
    <row r="6" spans="1:17" x14ac:dyDescent="0.25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DetRetri2026082!J12</f>
        <v>0</v>
      </c>
      <c r="I6" s="276">
        <f t="shared" si="0"/>
        <v>0</v>
      </c>
    </row>
    <row r="7" spans="1:17" ht="13.8" thickBot="1" x14ac:dyDescent="0.3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DetRetri2026082!J13</f>
        <v>0</v>
      </c>
      <c r="I7" s="276">
        <f t="shared" si="0"/>
        <v>0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8" thickBot="1" x14ac:dyDescent="0.3">
      <c r="D10" s="144"/>
      <c r="E10" s="144"/>
      <c r="F10" s="144"/>
      <c r="G10" s="500"/>
      <c r="H10" s="265" t="b">
        <f>H9=DetRetri2026082!J14</f>
        <v>1</v>
      </c>
    </row>
    <row r="11" spans="1:17" ht="13.8" thickBot="1" x14ac:dyDescent="0.3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5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5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5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8" thickBot="1" x14ac:dyDescent="0.3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8" thickBot="1" x14ac:dyDescent="0.3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tabSelected="1" zoomScale="90" zoomScaleNormal="90" workbookViewId="0">
      <pane ySplit="5" topLeftCell="A669" activePane="bottomLeft" state="frozen"/>
      <selection activeCell="D22" sqref="D22"/>
      <selection pane="bottomLeft" activeCell="E606" sqref="E60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5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5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5">
      <c r="E28" s="89" t="s">
        <v>72</v>
      </c>
      <c r="F28" s="371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5">
      <c r="E29" t="s">
        <v>81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5">
      <c r="D30" t="s">
        <v>87</v>
      </c>
      <c r="E30" s="89" t="s">
        <v>70</v>
      </c>
      <c r="F30" s="371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5">
      <c r="C31" s="101" t="s">
        <v>119</v>
      </c>
      <c r="D31" s="101" t="s">
        <v>70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5">
      <c r="B32" s="378" t="s">
        <v>122</v>
      </c>
      <c r="C32" s="378" t="s">
        <v>70</v>
      </c>
      <c r="E32" s="376"/>
      <c r="F32" s="710">
        <v>0</v>
      </c>
      <c r="G32" s="377">
        <v>0</v>
      </c>
      <c r="H32" s="377">
        <v>0</v>
      </c>
      <c r="I32" s="377">
        <v>0</v>
      </c>
      <c r="J32" s="377">
        <v>0</v>
      </c>
      <c r="K32" s="377">
        <v>0</v>
      </c>
      <c r="L32" s="377">
        <v>0</v>
      </c>
      <c r="M32" s="377">
        <v>0</v>
      </c>
      <c r="N32" s="377">
        <v>0</v>
      </c>
      <c r="O32" s="377">
        <v>0</v>
      </c>
      <c r="P32" s="377">
        <v>0</v>
      </c>
      <c r="Q32" s="377">
        <v>0</v>
      </c>
      <c r="R32" s="377">
        <v>0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5">
      <c r="E33" s="89" t="s">
        <v>72</v>
      </c>
      <c r="F33" s="371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5">
      <c r="E34" s="89" t="s">
        <v>81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26" ht="12.75" customHeight="1" x14ac:dyDescent="0.25">
      <c r="D35" t="s">
        <v>156</v>
      </c>
      <c r="E35" s="89" t="s">
        <v>70</v>
      </c>
      <c r="F35" s="89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s="286" customFormat="1" ht="12.75" customHeight="1" x14ac:dyDescent="0.25">
      <c r="C36" s="286" t="s">
        <v>155</v>
      </c>
      <c r="D36" s="286" t="s">
        <v>70</v>
      </c>
      <c r="E36" s="229"/>
      <c r="F36" s="229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</row>
    <row r="37" spans="1:26" ht="12.75" customHeight="1" x14ac:dyDescent="0.25">
      <c r="E37" s="89" t="s">
        <v>72</v>
      </c>
      <c r="F37" s="89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5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s="89" t="s">
        <v>82</v>
      </c>
      <c r="E39" s="89" t="s">
        <v>70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E40" s="89" t="s">
        <v>72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E41" s="89" t="s">
        <v>81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 t="s">
        <v>86</v>
      </c>
      <c r="E42" s="89" t="s">
        <v>70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/>
      <c r="E43" t="s">
        <v>72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B44" s="89"/>
      <c r="C44" s="89"/>
      <c r="E44" t="s">
        <v>81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5">
      <c r="C45" s="89"/>
      <c r="D45" s="89" t="s">
        <v>87</v>
      </c>
      <c r="E45" t="s">
        <v>70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5">
      <c r="C46" s="101" t="s">
        <v>119</v>
      </c>
      <c r="D46" s="101" t="s">
        <v>70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5">
      <c r="B47" s="98" t="s">
        <v>112</v>
      </c>
      <c r="C47" s="98" t="s">
        <v>70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</row>
    <row r="48" spans="1:26" ht="12.6" customHeight="1" x14ac:dyDescent="0.25">
      <c r="A48" t="s">
        <v>78</v>
      </c>
      <c r="B48" t="s">
        <v>70</v>
      </c>
      <c r="E48" s="89"/>
      <c r="F48" s="89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2:26" x14ac:dyDescent="0.25">
      <c r="E49" t="s">
        <v>73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5">
      <c r="D50" t="s">
        <v>156</v>
      </c>
      <c r="E50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5">
      <c r="C51" s="286" t="s">
        <v>155</v>
      </c>
      <c r="D51" s="286" t="s">
        <v>70</v>
      </c>
      <c r="E51" s="229"/>
      <c r="F51" s="229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5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5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5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5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5">
      <c r="E56" t="s">
        <v>73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5">
      <c r="D57" t="s">
        <v>87</v>
      </c>
      <c r="E57" t="s">
        <v>70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5">
      <c r="C58" s="101" t="s">
        <v>119</v>
      </c>
      <c r="D58" s="101" t="s">
        <v>70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5">
      <c r="B59" s="378" t="s">
        <v>122</v>
      </c>
      <c r="C59" s="378" t="s">
        <v>70</v>
      </c>
      <c r="E59" s="376"/>
      <c r="F59" s="710">
        <v>0</v>
      </c>
      <c r="G59" s="377">
        <v>0</v>
      </c>
      <c r="H59" s="377">
        <v>0</v>
      </c>
      <c r="I59" s="377">
        <v>0</v>
      </c>
      <c r="J59" s="377">
        <v>0</v>
      </c>
      <c r="K59" s="377">
        <v>0</v>
      </c>
      <c r="L59" s="377">
        <v>0</v>
      </c>
      <c r="M59" s="377">
        <v>0</v>
      </c>
      <c r="N59" s="377">
        <v>0</v>
      </c>
      <c r="O59" s="377">
        <v>0</v>
      </c>
      <c r="P59" s="377">
        <v>0</v>
      </c>
      <c r="Q59" s="377">
        <v>0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5">
      <c r="E60" s="89" t="s">
        <v>73</v>
      </c>
      <c r="F60" s="384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5">
      <c r="D61" t="s">
        <v>156</v>
      </c>
      <c r="E61" s="89" t="s">
        <v>70</v>
      </c>
      <c r="F61" s="384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5">
      <c r="C62" s="286" t="s">
        <v>155</v>
      </c>
      <c r="D62" s="286" t="s">
        <v>70</v>
      </c>
      <c r="E62" s="229"/>
      <c r="F62" s="229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5">
      <c r="D63" s="89"/>
      <c r="E63" s="89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5">
      <c r="D64" t="s">
        <v>82</v>
      </c>
      <c r="E64" s="89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5">
      <c r="D65" s="89"/>
      <c r="E65" s="89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5">
      <c r="D66" t="s">
        <v>86</v>
      </c>
      <c r="E66" s="89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5">
      <c r="D67" s="89"/>
      <c r="E67" s="89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5">
      <c r="C68" s="89"/>
      <c r="D68" s="89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5">
      <c r="B70" s="98" t="s">
        <v>112</v>
      </c>
      <c r="C70" s="98" t="s">
        <v>70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5">
      <c r="A71" s="89" t="s">
        <v>79</v>
      </c>
      <c r="B71" t="s">
        <v>70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5">
      <c r="A72" s="89" t="s">
        <v>70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>
        <v>0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0</v>
      </c>
    </row>
    <row r="73" spans="1:42" ht="12.75" customHeight="1" x14ac:dyDescent="0.25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5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7" t="s">
        <v>2</v>
      </c>
      <c r="D75" s="775" t="s">
        <v>132</v>
      </c>
      <c r="E75" s="98" t="s">
        <v>70</v>
      </c>
      <c r="F75" s="100">
        <f>F47+F70+F16-L16-L47</f>
        <v>0</v>
      </c>
      <c r="G75" s="100">
        <f>G47+G16</f>
        <v>0</v>
      </c>
      <c r="H75" s="100">
        <f t="shared" ref="H75:AP75" si="0">H47+H16</f>
        <v>0</v>
      </c>
      <c r="I75" s="100">
        <f t="shared" si="0"/>
        <v>0</v>
      </c>
      <c r="J75" s="100">
        <f t="shared" si="0"/>
        <v>0</v>
      </c>
      <c r="K75" s="100">
        <f t="shared" si="0"/>
        <v>0</v>
      </c>
      <c r="L75" s="100">
        <f t="shared" si="0"/>
        <v>0</v>
      </c>
      <c r="M75" s="100">
        <f t="shared" si="0"/>
        <v>0</v>
      </c>
      <c r="N75" s="100">
        <f t="shared" si="0"/>
        <v>0</v>
      </c>
      <c r="O75" s="100">
        <f t="shared" si="0"/>
        <v>0</v>
      </c>
      <c r="P75" s="100">
        <f t="shared" si="0"/>
        <v>0</v>
      </c>
      <c r="Q75" s="100">
        <f t="shared" si="0"/>
        <v>0</v>
      </c>
      <c r="R75" s="100">
        <f t="shared" si="0"/>
        <v>0</v>
      </c>
      <c r="S75" s="100">
        <f t="shared" si="0"/>
        <v>0</v>
      </c>
      <c r="T75" s="100">
        <f t="shared" si="0"/>
        <v>0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0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5">
      <c r="C76" s="777"/>
      <c r="D76" s="775"/>
      <c r="E76" s="98" t="s">
        <v>73</v>
      </c>
      <c r="F76" s="100">
        <f>F70</f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7"/>
      <c r="D77" s="775" t="s">
        <v>133</v>
      </c>
      <c r="E77" s="233" t="s">
        <v>70</v>
      </c>
      <c r="F77" s="234">
        <f>F59+F32-L32</f>
        <v>0</v>
      </c>
      <c r="G77" s="234">
        <f>G32</f>
        <v>0</v>
      </c>
      <c r="H77" s="234">
        <f t="shared" ref="H77:AP77" si="1">H32</f>
        <v>0</v>
      </c>
      <c r="I77" s="234">
        <f t="shared" si="1"/>
        <v>0</v>
      </c>
      <c r="J77" s="234">
        <f t="shared" si="1"/>
        <v>0</v>
      </c>
      <c r="K77" s="234">
        <f t="shared" si="1"/>
        <v>0</v>
      </c>
      <c r="L77" s="234">
        <f t="shared" si="1"/>
        <v>0</v>
      </c>
      <c r="M77" s="234">
        <f t="shared" si="1"/>
        <v>0</v>
      </c>
      <c r="N77" s="234">
        <f t="shared" si="1"/>
        <v>0</v>
      </c>
      <c r="O77" s="234">
        <f t="shared" si="1"/>
        <v>0</v>
      </c>
      <c r="P77" s="234">
        <f t="shared" si="1"/>
        <v>0</v>
      </c>
      <c r="Q77" s="234">
        <f t="shared" si="1"/>
        <v>0</v>
      </c>
      <c r="R77" s="234">
        <f t="shared" si="1"/>
        <v>0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5">
      <c r="C78" s="777"/>
      <c r="D78" s="775"/>
      <c r="E78" s="233" t="s">
        <v>73</v>
      </c>
      <c r="F78" s="234">
        <f>F59</f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77" t="s">
        <v>160</v>
      </c>
      <c r="D80" s="775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5">
      <c r="C81" s="777"/>
      <c r="D81" s="775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5">
      <c r="C82" s="777"/>
      <c r="D82" s="775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5">
      <c r="C83" s="777"/>
      <c r="D83" s="775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5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5">
      <c r="C85" s="777" t="s">
        <v>155</v>
      </c>
      <c r="D85" s="775" t="s">
        <v>132</v>
      </c>
      <c r="E85" s="221" t="s">
        <v>70</v>
      </c>
      <c r="F85" s="222">
        <f>F62+F36+F8-L8-L36</f>
        <v>0</v>
      </c>
      <c r="G85" s="222">
        <f>G36+G8</f>
        <v>0</v>
      </c>
      <c r="H85" s="222">
        <f t="shared" ref="H85:AP85" si="2">H36+H8</f>
        <v>0</v>
      </c>
      <c r="I85" s="222">
        <f t="shared" si="2"/>
        <v>0</v>
      </c>
      <c r="J85" s="222">
        <f t="shared" si="2"/>
        <v>0</v>
      </c>
      <c r="K85" s="222">
        <f t="shared" si="2"/>
        <v>0</v>
      </c>
      <c r="L85" s="222">
        <f t="shared" si="2"/>
        <v>0</v>
      </c>
      <c r="M85" s="222">
        <f t="shared" si="2"/>
        <v>0</v>
      </c>
      <c r="N85" s="222">
        <f t="shared" si="2"/>
        <v>0</v>
      </c>
      <c r="O85" s="222">
        <f t="shared" si="2"/>
        <v>0</v>
      </c>
      <c r="P85" s="222">
        <f t="shared" si="2"/>
        <v>0</v>
      </c>
      <c r="Q85" s="222">
        <f t="shared" si="2"/>
        <v>0</v>
      </c>
      <c r="R85" s="222">
        <f t="shared" si="2"/>
        <v>0</v>
      </c>
      <c r="S85" s="222">
        <f t="shared" si="2"/>
        <v>0</v>
      </c>
      <c r="T85" s="222">
        <f t="shared" si="2"/>
        <v>0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0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5">
      <c r="C86" s="777"/>
      <c r="D86" s="775"/>
      <c r="E86" s="221" t="s">
        <v>73</v>
      </c>
      <c r="F86" s="222">
        <f>F62</f>
        <v>0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5">
      <c r="B87" s="150"/>
      <c r="C87" s="777"/>
      <c r="D87" s="775" t="s">
        <v>133</v>
      </c>
      <c r="E87" s="229" t="s">
        <v>70</v>
      </c>
      <c r="F87" s="230">
        <f>F51+F21-L21</f>
        <v>0</v>
      </c>
      <c r="G87" s="230">
        <f>G21</f>
        <v>0</v>
      </c>
      <c r="H87" s="230">
        <f t="shared" ref="H87:AP87" si="3">H21</f>
        <v>0</v>
      </c>
      <c r="I87" s="230">
        <f t="shared" si="3"/>
        <v>0</v>
      </c>
      <c r="J87" s="230">
        <f t="shared" si="3"/>
        <v>0</v>
      </c>
      <c r="K87" s="230">
        <f t="shared" si="3"/>
        <v>0</v>
      </c>
      <c r="L87" s="230">
        <f t="shared" si="3"/>
        <v>0</v>
      </c>
      <c r="M87" s="230">
        <f t="shared" si="3"/>
        <v>0</v>
      </c>
      <c r="N87" s="230">
        <f t="shared" si="3"/>
        <v>0</v>
      </c>
      <c r="O87" s="230">
        <f t="shared" si="3"/>
        <v>0</v>
      </c>
      <c r="P87" s="230">
        <f t="shared" si="3"/>
        <v>0</v>
      </c>
      <c r="Q87" s="230">
        <f t="shared" si="3"/>
        <v>0</v>
      </c>
      <c r="R87" s="230">
        <f t="shared" si="3"/>
        <v>0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5">
      <c r="B88" s="150"/>
      <c r="C88" s="777"/>
      <c r="D88" s="775"/>
      <c r="E88" s="229" t="s">
        <v>73</v>
      </c>
      <c r="F88" s="230">
        <f>F51</f>
        <v>0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5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5">
      <c r="C90" s="778" t="s">
        <v>326</v>
      </c>
      <c r="D90" s="775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5">
      <c r="C91" s="778"/>
      <c r="D91" s="775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5">
      <c r="C92" s="778"/>
      <c r="D92" s="775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5">
      <c r="C93" s="778"/>
      <c r="D93" s="775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5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5">
      <c r="C95" s="777" t="s">
        <v>119</v>
      </c>
      <c r="D95" s="775" t="s">
        <v>132</v>
      </c>
      <c r="E95" s="101" t="s">
        <v>70</v>
      </c>
      <c r="F95" s="93">
        <f>F69+F46+F15-L15-L46</f>
        <v>0</v>
      </c>
      <c r="G95" s="93">
        <f t="shared" ref="G95:AP95" si="4">G46+G15</f>
        <v>0</v>
      </c>
      <c r="H95" s="93">
        <f t="shared" si="4"/>
        <v>0</v>
      </c>
      <c r="I95" s="93">
        <f t="shared" si="4"/>
        <v>0</v>
      </c>
      <c r="J95" s="93">
        <f t="shared" si="4"/>
        <v>0</v>
      </c>
      <c r="K95" s="93">
        <f t="shared" si="4"/>
        <v>0</v>
      </c>
      <c r="L95" s="93">
        <f t="shared" si="4"/>
        <v>0</v>
      </c>
      <c r="M95" s="93">
        <f t="shared" si="4"/>
        <v>0</v>
      </c>
      <c r="N95" s="93">
        <f t="shared" si="4"/>
        <v>0</v>
      </c>
      <c r="O95" s="93">
        <f t="shared" si="4"/>
        <v>0</v>
      </c>
      <c r="P95" s="93">
        <f t="shared" si="4"/>
        <v>0</v>
      </c>
      <c r="Q95" s="93">
        <f t="shared" si="4"/>
        <v>0</v>
      </c>
      <c r="R95" s="93">
        <f t="shared" si="4"/>
        <v>0</v>
      </c>
      <c r="S95" s="93">
        <f t="shared" si="4"/>
        <v>0</v>
      </c>
      <c r="T95" s="93">
        <f t="shared" si="4"/>
        <v>0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5">
      <c r="C96" s="777"/>
      <c r="D96" s="775"/>
      <c r="E96" s="101" t="s">
        <v>73</v>
      </c>
      <c r="F96" s="93">
        <f>F69</f>
        <v>0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5">
      <c r="C97" s="777"/>
      <c r="D97" s="775" t="s">
        <v>133</v>
      </c>
      <c r="E97" s="235" t="s">
        <v>70</v>
      </c>
      <c r="F97" s="236">
        <f>F58+F31-L31</f>
        <v>0</v>
      </c>
      <c r="G97" s="236">
        <f>G31</f>
        <v>0</v>
      </c>
      <c r="H97" s="236">
        <f t="shared" ref="H97:AP97" si="5">H31</f>
        <v>0</v>
      </c>
      <c r="I97" s="236">
        <f t="shared" si="5"/>
        <v>0</v>
      </c>
      <c r="J97" s="236">
        <f t="shared" si="5"/>
        <v>0</v>
      </c>
      <c r="K97" s="236">
        <f t="shared" si="5"/>
        <v>0</v>
      </c>
      <c r="L97" s="236">
        <f t="shared" si="5"/>
        <v>0</v>
      </c>
      <c r="M97" s="236">
        <f t="shared" si="5"/>
        <v>0</v>
      </c>
      <c r="N97" s="236">
        <f t="shared" si="5"/>
        <v>0</v>
      </c>
      <c r="O97" s="236">
        <f t="shared" si="5"/>
        <v>0</v>
      </c>
      <c r="P97" s="236">
        <f t="shared" si="5"/>
        <v>0</v>
      </c>
      <c r="Q97" s="236">
        <f t="shared" si="5"/>
        <v>0</v>
      </c>
      <c r="R97" s="236">
        <f t="shared" si="5"/>
        <v>0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5">
      <c r="C98" s="777"/>
      <c r="D98" s="775"/>
      <c r="E98" s="235" t="s">
        <v>73</v>
      </c>
      <c r="F98" s="236">
        <f>F58</f>
        <v>0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5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5">
      <c r="C100" s="776" t="s">
        <v>161</v>
      </c>
      <c r="D100" s="775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5">
      <c r="C101" s="776"/>
      <c r="D101" s="775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5">
      <c r="C102" s="776"/>
      <c r="D102" s="775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5">
      <c r="C103" s="776"/>
      <c r="D103" s="775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5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5">
      <c r="D105" s="458" t="s">
        <v>186</v>
      </c>
      <c r="E105" s="459" t="s">
        <v>70</v>
      </c>
      <c r="F105" s="460">
        <f t="shared" ref="F105:AP105" si="6">F17</f>
        <v>0</v>
      </c>
      <c r="G105" s="460">
        <f t="shared" si="6"/>
        <v>0</v>
      </c>
      <c r="H105" s="460">
        <f t="shared" si="6"/>
        <v>0</v>
      </c>
      <c r="I105" s="460">
        <f t="shared" si="6"/>
        <v>0</v>
      </c>
      <c r="J105" s="460">
        <f t="shared" si="6"/>
        <v>0</v>
      </c>
      <c r="K105" s="460">
        <f t="shared" si="6"/>
        <v>0</v>
      </c>
      <c r="L105" s="460">
        <f t="shared" si="6"/>
        <v>0</v>
      </c>
      <c r="M105" s="460">
        <f t="shared" si="6"/>
        <v>0</v>
      </c>
      <c r="N105" s="460">
        <f t="shared" si="6"/>
        <v>0</v>
      </c>
      <c r="O105" s="460">
        <f t="shared" si="6"/>
        <v>0</v>
      </c>
      <c r="P105" s="460">
        <f t="shared" si="6"/>
        <v>0</v>
      </c>
      <c r="Q105" s="460">
        <f t="shared" si="6"/>
        <v>0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5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5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5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5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5">
      <c r="E110" t="s">
        <v>72</v>
      </c>
      <c r="F110" s="384">
        <v>0</v>
      </c>
      <c r="G110" s="89">
        <v>0</v>
      </c>
      <c r="H110" s="89">
        <v>0</v>
      </c>
      <c r="I110" s="664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5">
      <c r="D111" t="s">
        <v>156</v>
      </c>
      <c r="E111" t="s">
        <v>70</v>
      </c>
      <c r="F111" s="384">
        <v>0</v>
      </c>
      <c r="G111" s="89">
        <v>0</v>
      </c>
      <c r="H111" s="89">
        <v>0</v>
      </c>
      <c r="I111" s="664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5">
      <c r="C112" s="656" t="s">
        <v>155</v>
      </c>
      <c r="D112" s="656" t="s">
        <v>70</v>
      </c>
      <c r="F112" s="736">
        <v>0</v>
      </c>
      <c r="G112" s="657">
        <v>0</v>
      </c>
      <c r="H112" s="657">
        <v>0</v>
      </c>
      <c r="I112" s="737">
        <v>0</v>
      </c>
      <c r="J112" s="657">
        <v>0</v>
      </c>
      <c r="K112" s="657">
        <v>0</v>
      </c>
      <c r="L112" s="657">
        <v>0</v>
      </c>
      <c r="M112" s="657">
        <v>0</v>
      </c>
      <c r="N112" s="657">
        <v>0</v>
      </c>
      <c r="O112" s="657">
        <v>0</v>
      </c>
      <c r="P112" s="657">
        <v>0</v>
      </c>
      <c r="Q112" s="657">
        <v>0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5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5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5">
      <c r="E115" s="89" t="s">
        <v>72</v>
      </c>
      <c r="F115" s="371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D116" t="s">
        <v>86</v>
      </c>
      <c r="E116" s="89" t="s">
        <v>70</v>
      </c>
      <c r="F116" s="371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5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5">
      <c r="C119" s="94" t="s">
        <v>119</v>
      </c>
      <c r="D119" s="94" t="s">
        <v>70</v>
      </c>
      <c r="E119" s="101"/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5">
      <c r="B120" s="89" t="s">
        <v>112</v>
      </c>
      <c r="C120" s="89" t="s">
        <v>70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5">
      <c r="A121" s="458" t="s">
        <v>186</v>
      </c>
      <c r="B121" s="459" t="s">
        <v>70</v>
      </c>
      <c r="C121" s="459"/>
      <c r="F121" s="460">
        <v>0</v>
      </c>
      <c r="G121" s="460">
        <v>0</v>
      </c>
      <c r="H121" s="460">
        <v>0</v>
      </c>
      <c r="I121" s="460">
        <v>0</v>
      </c>
      <c r="J121" s="460">
        <v>0</v>
      </c>
      <c r="K121" s="460">
        <v>0</v>
      </c>
      <c r="L121" s="460">
        <v>0</v>
      </c>
      <c r="M121" s="460">
        <v>0</v>
      </c>
      <c r="N121" s="460">
        <v>0</v>
      </c>
      <c r="O121" s="460">
        <v>0</v>
      </c>
      <c r="P121" s="460">
        <v>0</v>
      </c>
      <c r="Q121" s="460">
        <v>0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5">
      <c r="E122" s="89" t="s">
        <v>72</v>
      </c>
      <c r="F122" s="371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E123" s="89" t="s">
        <v>81</v>
      </c>
      <c r="F123" s="371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156</v>
      </c>
      <c r="E124" t="s">
        <v>70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5">
      <c r="C125" s="656" t="s">
        <v>155</v>
      </c>
      <c r="D125" s="656" t="s">
        <v>70</v>
      </c>
      <c r="F125" s="736">
        <v>0</v>
      </c>
      <c r="G125" s="657">
        <v>0</v>
      </c>
      <c r="H125" s="657">
        <v>0</v>
      </c>
      <c r="I125" s="737">
        <v>0</v>
      </c>
      <c r="J125" s="657">
        <v>0</v>
      </c>
      <c r="K125" s="657">
        <v>0</v>
      </c>
      <c r="L125" s="657">
        <v>0</v>
      </c>
      <c r="M125" s="657">
        <v>0</v>
      </c>
      <c r="N125" s="657">
        <v>0</v>
      </c>
      <c r="O125" s="657">
        <v>0</v>
      </c>
      <c r="P125" s="657">
        <v>0</v>
      </c>
      <c r="Q125" s="657">
        <v>0</v>
      </c>
      <c r="R125" s="657">
        <v>0</v>
      </c>
      <c r="S125" s="657">
        <v>0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5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5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5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5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5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5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5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5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5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5">
      <c r="E136" s="89" t="s">
        <v>72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5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5">
      <c r="D138" t="s">
        <v>82</v>
      </c>
      <c r="E138" s="89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5">
      <c r="E139" s="89" t="s">
        <v>72</v>
      </c>
      <c r="F139" s="371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5">
      <c r="E140" s="89" t="s">
        <v>81</v>
      </c>
      <c r="F140" s="371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5">
      <c r="D141" t="s">
        <v>86</v>
      </c>
      <c r="E141" s="89" t="s">
        <v>70</v>
      </c>
      <c r="F141" s="371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5">
      <c r="E142" s="89" t="s">
        <v>72</v>
      </c>
      <c r="F142" s="371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5">
      <c r="E143" t="s">
        <v>81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5">
      <c r="D144" t="s">
        <v>87</v>
      </c>
      <c r="E144" s="89" t="s">
        <v>70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5">
      <c r="C145" s="94" t="s">
        <v>119</v>
      </c>
      <c r="D145" s="94" t="s">
        <v>70</v>
      </c>
      <c r="E145" s="101"/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5">
      <c r="B146" s="378" t="s">
        <v>122</v>
      </c>
      <c r="C146" s="378" t="s">
        <v>70</v>
      </c>
      <c r="E146" s="376"/>
      <c r="F146" s="710">
        <v>0</v>
      </c>
      <c r="G146" s="377">
        <v>0</v>
      </c>
      <c r="H146" s="377">
        <v>0</v>
      </c>
      <c r="I146" s="377">
        <v>0</v>
      </c>
      <c r="J146" s="377">
        <v>0</v>
      </c>
      <c r="K146" s="377">
        <v>0</v>
      </c>
      <c r="L146" s="377">
        <v>0</v>
      </c>
      <c r="M146" s="377">
        <v>0</v>
      </c>
      <c r="N146" s="377">
        <v>0</v>
      </c>
      <c r="O146" s="377">
        <v>0</v>
      </c>
      <c r="P146" s="377">
        <v>0</v>
      </c>
      <c r="Q146" s="377">
        <v>0</v>
      </c>
      <c r="R146" s="377">
        <v>0</v>
      </c>
      <c r="S146" s="377">
        <v>0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5">
      <c r="E147" s="89" t="s">
        <v>72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5">
      <c r="E148" s="89" t="s">
        <v>81</v>
      </c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2:26" ht="12.75" customHeight="1" x14ac:dyDescent="0.25">
      <c r="D149" t="s">
        <v>156</v>
      </c>
      <c r="E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2:26" s="656" customFormat="1" ht="12.75" customHeight="1" x14ac:dyDescent="0.25">
      <c r="C150" s="656" t="s">
        <v>155</v>
      </c>
      <c r="D150" s="657" t="s">
        <v>70</v>
      </c>
      <c r="E150" s="657"/>
      <c r="F150" s="658">
        <v>0</v>
      </c>
      <c r="G150" s="658">
        <v>0</v>
      </c>
      <c r="H150" s="658">
        <v>0</v>
      </c>
      <c r="I150" s="658">
        <v>0</v>
      </c>
      <c r="J150" s="658">
        <v>0</v>
      </c>
      <c r="K150" s="658">
        <v>0</v>
      </c>
      <c r="L150" s="658">
        <v>0</v>
      </c>
      <c r="M150" s="658">
        <v>0</v>
      </c>
      <c r="N150" s="658">
        <v>0</v>
      </c>
      <c r="O150" s="658">
        <v>0</v>
      </c>
      <c r="P150" s="658">
        <v>0</v>
      </c>
      <c r="Q150" s="658">
        <v>0</v>
      </c>
      <c r="R150" s="658">
        <v>0</v>
      </c>
      <c r="S150" s="658">
        <v>0</v>
      </c>
      <c r="T150" s="658">
        <v>0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0</v>
      </c>
    </row>
    <row r="151" spans="2:26" ht="12.75" customHeight="1" x14ac:dyDescent="0.25">
      <c r="D151" s="89"/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5">
      <c r="D152" s="89"/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2:26" ht="12.75" customHeight="1" x14ac:dyDescent="0.25">
      <c r="D153" s="89" t="s">
        <v>115</v>
      </c>
      <c r="E153" s="89" t="s">
        <v>70</v>
      </c>
      <c r="F153" s="371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5">
      <c r="D154" s="89"/>
      <c r="E154" s="89" t="s">
        <v>72</v>
      </c>
      <c r="F154" s="371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5">
      <c r="D155" s="89"/>
      <c r="E155" s="89" t="s">
        <v>81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5">
      <c r="D156" t="s">
        <v>116</v>
      </c>
      <c r="E156" s="89" t="s">
        <v>70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5">
      <c r="D157" s="89"/>
      <c r="E157" s="89" t="s">
        <v>72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5">
      <c r="E158" s="89" t="s">
        <v>81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5">
      <c r="D159" t="s">
        <v>118</v>
      </c>
      <c r="E159" s="89" t="s">
        <v>70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5">
      <c r="C160" s="223" t="s">
        <v>120</v>
      </c>
      <c r="D160" s="223" t="s">
        <v>70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>
        <v>0</v>
      </c>
      <c r="P160" s="225">
        <v>0</v>
      </c>
      <c r="Q160" s="225">
        <v>0</v>
      </c>
      <c r="R160" s="225">
        <v>0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0</v>
      </c>
    </row>
    <row r="161" spans="1:26" ht="12.75" customHeight="1" x14ac:dyDescent="0.25">
      <c r="C161" s="89"/>
      <c r="D161" s="89"/>
      <c r="E161" t="s">
        <v>72</v>
      </c>
      <c r="F161" s="90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5">
      <c r="C162" s="89"/>
      <c r="D162" s="89"/>
      <c r="E162" t="s">
        <v>81</v>
      </c>
      <c r="F162" s="90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1:26" ht="12.75" customHeight="1" x14ac:dyDescent="0.25">
      <c r="D163" t="s">
        <v>82</v>
      </c>
      <c r="E163" s="89" t="s">
        <v>70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1:26" ht="12.75" customHeight="1" x14ac:dyDescent="0.25">
      <c r="E164" s="89" t="s">
        <v>72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5">
      <c r="D165" s="89"/>
      <c r="E165" s="89" t="s">
        <v>81</v>
      </c>
      <c r="F165" s="90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1:26" ht="12.75" customHeight="1" x14ac:dyDescent="0.25">
      <c r="D166" t="s">
        <v>86</v>
      </c>
      <c r="E166" s="89" t="s">
        <v>70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1:26" ht="12.75" customHeight="1" x14ac:dyDescent="0.25">
      <c r="E167" s="89" t="s">
        <v>72</v>
      </c>
      <c r="F167" s="90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5">
      <c r="D169" t="s">
        <v>87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5">
      <c r="C170" s="94" t="s">
        <v>119</v>
      </c>
      <c r="D170" s="94" t="s">
        <v>70</v>
      </c>
      <c r="E170" s="101"/>
      <c r="F170" s="93">
        <v>0</v>
      </c>
      <c r="G170" s="93">
        <v>0</v>
      </c>
      <c r="H170" s="93">
        <v>0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0</v>
      </c>
    </row>
    <row r="171" spans="1:26" s="226" customFormat="1" ht="12.75" customHeight="1" x14ac:dyDescent="0.25">
      <c r="B171" s="98" t="s">
        <v>112</v>
      </c>
      <c r="C171" s="98" t="s">
        <v>70</v>
      </c>
      <c r="F171" s="100">
        <v>0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</v>
      </c>
      <c r="Q171" s="100">
        <v>0</v>
      </c>
      <c r="R171" s="100">
        <v>0</v>
      </c>
      <c r="S171" s="100">
        <v>0</v>
      </c>
      <c r="T171" s="100">
        <v>0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0</v>
      </c>
    </row>
    <row r="172" spans="1:26" ht="12.75" customHeight="1" x14ac:dyDescent="0.25">
      <c r="A172" t="s">
        <v>78</v>
      </c>
      <c r="B172" s="89" t="s">
        <v>70</v>
      </c>
      <c r="C172" s="89"/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1:26" ht="12.75" customHeight="1" x14ac:dyDescent="0.25">
      <c r="B173" s="89"/>
      <c r="C173" s="89"/>
      <c r="E173" t="s">
        <v>73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5">
      <c r="B174" s="89"/>
      <c r="C174" s="89"/>
      <c r="D174" t="s">
        <v>156</v>
      </c>
      <c r="E174" t="s">
        <v>70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5">
      <c r="C175" s="656" t="s">
        <v>155</v>
      </c>
      <c r="D175" s="657" t="s">
        <v>70</v>
      </c>
      <c r="E175" s="657"/>
      <c r="F175" s="658">
        <v>0</v>
      </c>
      <c r="G175" s="658">
        <v>0</v>
      </c>
      <c r="H175" s="658">
        <v>0</v>
      </c>
      <c r="I175" s="658">
        <v>0</v>
      </c>
      <c r="J175" s="658">
        <v>0</v>
      </c>
      <c r="K175" s="658">
        <v>0</v>
      </c>
      <c r="L175" s="658">
        <v>0</v>
      </c>
      <c r="M175" s="658">
        <v>0</v>
      </c>
      <c r="N175" s="658">
        <v>0</v>
      </c>
      <c r="O175" s="658">
        <v>0</v>
      </c>
      <c r="P175" s="658">
        <v>0</v>
      </c>
      <c r="Q175" s="658">
        <v>0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5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5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5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5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5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5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5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5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5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5">
      <c r="D185" s="89"/>
      <c r="E185" s="89" t="s">
        <v>73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5">
      <c r="D186" s="89" t="s">
        <v>86</v>
      </c>
      <c r="E186" s="89" t="s">
        <v>70</v>
      </c>
      <c r="F186" s="371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5">
      <c r="E187" t="s">
        <v>73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5">
      <c r="D188" t="s">
        <v>87</v>
      </c>
      <c r="E188" t="s">
        <v>70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5">
      <c r="C189" s="94" t="s">
        <v>119</v>
      </c>
      <c r="D189" s="94" t="s">
        <v>70</v>
      </c>
      <c r="E189" s="101"/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5">
      <c r="B190" s="378" t="s">
        <v>122</v>
      </c>
      <c r="C190" s="378" t="s">
        <v>70</v>
      </c>
      <c r="E190" s="376"/>
      <c r="F190" s="710">
        <v>0</v>
      </c>
      <c r="G190" s="377">
        <v>0</v>
      </c>
      <c r="H190" s="377">
        <v>0</v>
      </c>
      <c r="I190" s="377">
        <v>0</v>
      </c>
      <c r="J190" s="377">
        <v>0</v>
      </c>
      <c r="K190" s="377">
        <v>0</v>
      </c>
      <c r="L190" s="377">
        <v>0</v>
      </c>
      <c r="M190" s="377">
        <v>0</v>
      </c>
      <c r="N190" s="377">
        <v>0</v>
      </c>
      <c r="O190" s="377">
        <v>0</v>
      </c>
      <c r="P190" s="377">
        <v>0</v>
      </c>
      <c r="Q190" s="377">
        <v>0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5">
      <c r="E191" s="89" t="s">
        <v>73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5">
      <c r="D192" s="89" t="s">
        <v>156</v>
      </c>
      <c r="E192" s="89" t="s">
        <v>70</v>
      </c>
      <c r="F192" s="90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5">
      <c r="C193" s="656" t="s">
        <v>155</v>
      </c>
      <c r="D193" s="657" t="s">
        <v>70</v>
      </c>
      <c r="E193" s="657"/>
      <c r="F193" s="738">
        <v>0</v>
      </c>
      <c r="G193" s="658">
        <v>0</v>
      </c>
      <c r="H193" s="658">
        <v>0</v>
      </c>
      <c r="I193" s="658">
        <v>0</v>
      </c>
      <c r="J193" s="658">
        <v>0</v>
      </c>
      <c r="K193" s="658">
        <v>0</v>
      </c>
      <c r="L193" s="658">
        <v>0</v>
      </c>
      <c r="M193" s="658">
        <v>0</v>
      </c>
      <c r="N193" s="658">
        <v>0</v>
      </c>
      <c r="O193" s="658">
        <v>0</v>
      </c>
      <c r="P193" s="658">
        <v>0</v>
      </c>
      <c r="Q193" s="658">
        <v>0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5">
      <c r="D194" s="89"/>
      <c r="E194" s="89" t="s">
        <v>73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5">
      <c r="D195" s="89" t="s">
        <v>115</v>
      </c>
      <c r="E195" s="89" t="s">
        <v>70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5">
      <c r="D196" s="89"/>
      <c r="E196" s="89" t="s">
        <v>73</v>
      </c>
      <c r="F196" s="371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5">
      <c r="D197" s="89" t="s">
        <v>116</v>
      </c>
      <c r="E197" s="89" t="s">
        <v>70</v>
      </c>
      <c r="F197" s="371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5">
      <c r="E198" s="89" t="s">
        <v>73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5">
      <c r="D199" s="89" t="s">
        <v>118</v>
      </c>
      <c r="E199" s="89" t="s">
        <v>70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5">
      <c r="C200" s="223" t="s">
        <v>120</v>
      </c>
      <c r="D200" s="223" t="s">
        <v>70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5">
      <c r="E201" s="89" t="s">
        <v>73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5">
      <c r="D202" s="89" t="s">
        <v>82</v>
      </c>
      <c r="E202" s="89" t="s">
        <v>70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5">
      <c r="E203" s="89" t="s">
        <v>73</v>
      </c>
      <c r="F203" s="90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5">
      <c r="D204" s="89" t="s">
        <v>86</v>
      </c>
      <c r="E204" s="89" t="s">
        <v>70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5">
      <c r="E205" s="89" t="s">
        <v>73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5">
      <c r="D206" s="89" t="s">
        <v>87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5">
      <c r="C207" s="101" t="s">
        <v>119</v>
      </c>
      <c r="D207" s="101" t="s">
        <v>70</v>
      </c>
      <c r="F207" s="93">
        <v>0</v>
      </c>
      <c r="G207" s="93">
        <v>0</v>
      </c>
      <c r="H207" s="93">
        <v>0</v>
      </c>
      <c r="I207" s="93">
        <v>0</v>
      </c>
      <c r="J207" s="93">
        <v>0</v>
      </c>
      <c r="K207" s="93">
        <v>0</v>
      </c>
      <c r="L207" s="93">
        <v>0</v>
      </c>
      <c r="M207" s="93">
        <v>0</v>
      </c>
      <c r="N207" s="93">
        <v>0</v>
      </c>
      <c r="O207" s="93">
        <v>0</v>
      </c>
      <c r="P207" s="93">
        <v>0</v>
      </c>
      <c r="Q207" s="93">
        <v>0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5">
      <c r="B208" s="98" t="s">
        <v>112</v>
      </c>
      <c r="C208" s="98" t="s">
        <v>70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100">
        <v>0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5">
      <c r="A209" s="89" t="s">
        <v>79</v>
      </c>
      <c r="B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5">
      <c r="A210" s="89" t="s">
        <v>70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1:26" ht="12.75" customHeight="1" x14ac:dyDescent="0.25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5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5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5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5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5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5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5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5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5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5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5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5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5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5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5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5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5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5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5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5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5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5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5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5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5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5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5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5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5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5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5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5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5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5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5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5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5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5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5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5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5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5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5">
      <c r="C254" s="777" t="s">
        <v>2</v>
      </c>
      <c r="D254" s="775" t="s">
        <v>132</v>
      </c>
      <c r="E254" s="98" t="s">
        <v>70</v>
      </c>
      <c r="F254" s="100">
        <f>F171+F208-L171+F120-L120</f>
        <v>0</v>
      </c>
      <c r="G254" s="100">
        <f t="shared" ref="G254:AP254" si="7">G171+G120</f>
        <v>0</v>
      </c>
      <c r="H254" s="100">
        <f t="shared" si="7"/>
        <v>0</v>
      </c>
      <c r="I254" s="100">
        <f t="shared" si="7"/>
        <v>0</v>
      </c>
      <c r="J254" s="100">
        <f t="shared" si="7"/>
        <v>0</v>
      </c>
      <c r="K254" s="100">
        <f t="shared" si="7"/>
        <v>0</v>
      </c>
      <c r="L254" s="100">
        <f t="shared" si="7"/>
        <v>0</v>
      </c>
      <c r="M254" s="100">
        <f t="shared" si="7"/>
        <v>0</v>
      </c>
      <c r="N254" s="100">
        <f t="shared" si="7"/>
        <v>0</v>
      </c>
      <c r="O254" s="100">
        <f t="shared" si="7"/>
        <v>0</v>
      </c>
      <c r="P254" s="100">
        <f t="shared" si="7"/>
        <v>0</v>
      </c>
      <c r="Q254" s="100">
        <f t="shared" si="7"/>
        <v>0</v>
      </c>
      <c r="R254" s="100">
        <f t="shared" si="7"/>
        <v>0</v>
      </c>
      <c r="S254" s="100">
        <f t="shared" si="7"/>
        <v>0</v>
      </c>
      <c r="T254" s="100">
        <f t="shared" si="7"/>
        <v>0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0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5">
      <c r="C255" s="777"/>
      <c r="D255" s="775"/>
      <c r="E255" s="98" t="s">
        <v>73</v>
      </c>
      <c r="F255" s="100">
        <f>F208</f>
        <v>0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5">
      <c r="C256" s="777"/>
      <c r="D256" s="775" t="s">
        <v>133</v>
      </c>
      <c r="E256" s="233" t="s">
        <v>70</v>
      </c>
      <c r="F256" s="234">
        <f>F190+F146-L146</f>
        <v>0</v>
      </c>
      <c r="G256" s="234">
        <f t="shared" ref="G256:AP256" si="8">G146</f>
        <v>0</v>
      </c>
      <c r="H256" s="234">
        <f t="shared" si="8"/>
        <v>0</v>
      </c>
      <c r="I256" s="234">
        <f t="shared" si="8"/>
        <v>0</v>
      </c>
      <c r="J256" s="234">
        <f t="shared" si="8"/>
        <v>0</v>
      </c>
      <c r="K256" s="234">
        <f t="shared" si="8"/>
        <v>0</v>
      </c>
      <c r="L256" s="234">
        <f t="shared" si="8"/>
        <v>0</v>
      </c>
      <c r="M256" s="234">
        <f t="shared" si="8"/>
        <v>0</v>
      </c>
      <c r="N256" s="234">
        <f t="shared" si="8"/>
        <v>0</v>
      </c>
      <c r="O256" s="234">
        <f t="shared" si="8"/>
        <v>0</v>
      </c>
      <c r="P256" s="234">
        <f t="shared" si="8"/>
        <v>0</v>
      </c>
      <c r="Q256" s="234">
        <f t="shared" si="8"/>
        <v>0</v>
      </c>
      <c r="R256" s="234">
        <f t="shared" si="8"/>
        <v>0</v>
      </c>
      <c r="S256" s="234">
        <f t="shared" si="8"/>
        <v>0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5">
      <c r="C257" s="777"/>
      <c r="D257" s="775"/>
      <c r="E257" s="233" t="s">
        <v>73</v>
      </c>
      <c r="F257" s="234">
        <f>F190</f>
        <v>0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5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5">
      <c r="C259" s="777" t="s">
        <v>160</v>
      </c>
      <c r="D259" s="775" t="s">
        <v>132</v>
      </c>
      <c r="E259" s="223" t="s">
        <v>70</v>
      </c>
      <c r="F259" s="225">
        <f>F200+F160-L160</f>
        <v>0</v>
      </c>
      <c r="G259" s="225">
        <f t="shared" ref="G259:AP259" si="9">G160</f>
        <v>0</v>
      </c>
      <c r="H259" s="225">
        <f t="shared" si="9"/>
        <v>0</v>
      </c>
      <c r="I259" s="225">
        <f t="shared" si="9"/>
        <v>0</v>
      </c>
      <c r="J259" s="225">
        <f t="shared" si="9"/>
        <v>0</v>
      </c>
      <c r="K259" s="225">
        <f t="shared" si="9"/>
        <v>0</v>
      </c>
      <c r="L259" s="225">
        <f t="shared" si="9"/>
        <v>0</v>
      </c>
      <c r="M259" s="225">
        <f t="shared" si="9"/>
        <v>0</v>
      </c>
      <c r="N259" s="225">
        <f t="shared" si="9"/>
        <v>0</v>
      </c>
      <c r="O259" s="225">
        <f t="shared" si="9"/>
        <v>0</v>
      </c>
      <c r="P259" s="225">
        <f t="shared" si="9"/>
        <v>0</v>
      </c>
      <c r="Q259" s="225">
        <f t="shared" si="9"/>
        <v>0</v>
      </c>
      <c r="R259" s="225">
        <f t="shared" si="9"/>
        <v>0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0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5">
      <c r="C260" s="777"/>
      <c r="D260" s="775"/>
      <c r="E260" s="223" t="s">
        <v>73</v>
      </c>
      <c r="F260" s="225">
        <f>F200</f>
        <v>0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5">
      <c r="C261" s="777"/>
      <c r="D261" s="775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5">
      <c r="C262" s="777"/>
      <c r="D262" s="775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5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5">
      <c r="C264" s="777" t="s">
        <v>155</v>
      </c>
      <c r="D264" s="775" t="s">
        <v>132</v>
      </c>
      <c r="E264" s="221" t="s">
        <v>70</v>
      </c>
      <c r="F264" s="222">
        <f>F193+F150+F112--L112-L150</f>
        <v>0</v>
      </c>
      <c r="G264" s="222">
        <f t="shared" ref="G264:AA264" si="11">G150+G112</f>
        <v>0</v>
      </c>
      <c r="H264" s="222">
        <f t="shared" si="11"/>
        <v>0</v>
      </c>
      <c r="I264" s="222">
        <f t="shared" si="11"/>
        <v>0</v>
      </c>
      <c r="J264" s="222">
        <f t="shared" si="11"/>
        <v>0</v>
      </c>
      <c r="K264" s="222">
        <f t="shared" si="11"/>
        <v>0</v>
      </c>
      <c r="L264" s="222">
        <f t="shared" si="11"/>
        <v>0</v>
      </c>
      <c r="M264" s="222">
        <f t="shared" si="11"/>
        <v>0</v>
      </c>
      <c r="N264" s="222">
        <f t="shared" si="11"/>
        <v>0</v>
      </c>
      <c r="O264" s="222">
        <f t="shared" si="11"/>
        <v>0</v>
      </c>
      <c r="P264" s="222">
        <f t="shared" si="11"/>
        <v>0</v>
      </c>
      <c r="Q264" s="222">
        <f t="shared" si="11"/>
        <v>0</v>
      </c>
      <c r="R264" s="222">
        <f t="shared" si="11"/>
        <v>0</v>
      </c>
      <c r="S264" s="222">
        <f t="shared" si="11"/>
        <v>0</v>
      </c>
      <c r="T264" s="222">
        <f t="shared" si="11"/>
        <v>0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0</v>
      </c>
      <c r="AA264" s="222">
        <f t="shared" si="11"/>
        <v>0</v>
      </c>
    </row>
    <row r="265" spans="1:42" ht="12.75" customHeight="1" x14ac:dyDescent="0.25">
      <c r="C265" s="777"/>
      <c r="D265" s="775"/>
      <c r="E265" s="221" t="s">
        <v>73</v>
      </c>
      <c r="F265" s="222">
        <f>F193</f>
        <v>0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5">
      <c r="C266" s="777"/>
      <c r="D266" s="775" t="s">
        <v>133</v>
      </c>
      <c r="E266" s="229" t="s">
        <v>70</v>
      </c>
      <c r="F266" s="230">
        <f>F175+F125-L125</f>
        <v>0</v>
      </c>
      <c r="G266" s="230">
        <f t="shared" ref="G266:AA266" si="12">G125</f>
        <v>0</v>
      </c>
      <c r="H266" s="230">
        <f t="shared" si="12"/>
        <v>0</v>
      </c>
      <c r="I266" s="230">
        <f t="shared" si="12"/>
        <v>0</v>
      </c>
      <c r="J266" s="230">
        <f t="shared" si="12"/>
        <v>0</v>
      </c>
      <c r="K266" s="230">
        <f t="shared" si="12"/>
        <v>0</v>
      </c>
      <c r="L266" s="230">
        <f t="shared" si="12"/>
        <v>0</v>
      </c>
      <c r="M266" s="230">
        <f t="shared" si="12"/>
        <v>0</v>
      </c>
      <c r="N266" s="230">
        <f t="shared" si="12"/>
        <v>0</v>
      </c>
      <c r="O266" s="230">
        <f t="shared" si="12"/>
        <v>0</v>
      </c>
      <c r="P266" s="230">
        <f t="shared" si="12"/>
        <v>0</v>
      </c>
      <c r="Q266" s="230">
        <f t="shared" si="12"/>
        <v>0</v>
      </c>
      <c r="R266" s="230">
        <f t="shared" si="12"/>
        <v>0</v>
      </c>
      <c r="S266" s="230">
        <f t="shared" si="12"/>
        <v>0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5">
      <c r="C267" s="777"/>
      <c r="D267" s="775"/>
      <c r="E267" s="229" t="s">
        <v>73</v>
      </c>
      <c r="F267" s="230">
        <f>F175</f>
        <v>0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5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5">
      <c r="C269" s="778" t="s">
        <v>326</v>
      </c>
      <c r="D269" s="775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5">
      <c r="C270" s="778"/>
      <c r="D270" s="775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5">
      <c r="C271" s="778"/>
      <c r="D271" s="775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5">
      <c r="C272" s="778"/>
      <c r="D272" s="775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5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5">
      <c r="C274" s="777" t="s">
        <v>119</v>
      </c>
      <c r="D274" s="775" t="s">
        <v>132</v>
      </c>
      <c r="E274" s="101" t="s">
        <v>70</v>
      </c>
      <c r="F274" s="93">
        <f>F207+F170+F119-L119-L170</f>
        <v>0</v>
      </c>
      <c r="G274" s="93">
        <f t="shared" ref="G274:AP274" si="13">G170+G119</f>
        <v>0</v>
      </c>
      <c r="H274" s="93">
        <f t="shared" si="13"/>
        <v>0</v>
      </c>
      <c r="I274" s="93">
        <f t="shared" si="13"/>
        <v>0</v>
      </c>
      <c r="J274" s="93">
        <f t="shared" si="13"/>
        <v>0</v>
      </c>
      <c r="K274" s="93">
        <f t="shared" si="13"/>
        <v>0</v>
      </c>
      <c r="L274" s="93">
        <f t="shared" si="13"/>
        <v>0</v>
      </c>
      <c r="M274" s="93">
        <f t="shared" si="13"/>
        <v>0</v>
      </c>
      <c r="N274" s="93">
        <f t="shared" si="13"/>
        <v>0</v>
      </c>
      <c r="O274" s="93">
        <f t="shared" si="13"/>
        <v>0</v>
      </c>
      <c r="P274" s="93">
        <f t="shared" si="13"/>
        <v>0</v>
      </c>
      <c r="Q274" s="93">
        <f t="shared" si="13"/>
        <v>0</v>
      </c>
      <c r="R274" s="93">
        <f t="shared" si="13"/>
        <v>0</v>
      </c>
      <c r="S274" s="93">
        <f t="shared" si="13"/>
        <v>0</v>
      </c>
      <c r="T274" s="93">
        <f t="shared" si="13"/>
        <v>0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0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5">
      <c r="C275" s="777"/>
      <c r="D275" s="775"/>
      <c r="E275" s="101" t="s">
        <v>73</v>
      </c>
      <c r="F275" s="93">
        <f>F207</f>
        <v>0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5">
      <c r="C276" s="777"/>
      <c r="D276" s="775" t="s">
        <v>133</v>
      </c>
      <c r="E276" s="235" t="s">
        <v>70</v>
      </c>
      <c r="F276" s="236">
        <f>F189+F145-L145</f>
        <v>0</v>
      </c>
      <c r="G276" s="236">
        <f t="shared" ref="G276:AP276" si="14">G145</f>
        <v>0</v>
      </c>
      <c r="H276" s="236">
        <f t="shared" si="14"/>
        <v>0</v>
      </c>
      <c r="I276" s="236">
        <f t="shared" si="14"/>
        <v>0</v>
      </c>
      <c r="J276" s="236">
        <f t="shared" si="14"/>
        <v>0</v>
      </c>
      <c r="K276" s="236">
        <f t="shared" si="14"/>
        <v>0</v>
      </c>
      <c r="L276" s="236">
        <f t="shared" si="14"/>
        <v>0</v>
      </c>
      <c r="M276" s="236">
        <f t="shared" si="14"/>
        <v>0</v>
      </c>
      <c r="N276" s="236">
        <f t="shared" si="14"/>
        <v>0</v>
      </c>
      <c r="O276" s="236">
        <f t="shared" si="14"/>
        <v>0</v>
      </c>
      <c r="P276" s="236">
        <f t="shared" si="14"/>
        <v>0</v>
      </c>
      <c r="Q276" s="236">
        <f t="shared" si="14"/>
        <v>0</v>
      </c>
      <c r="R276" s="236">
        <f t="shared" si="14"/>
        <v>0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5">
      <c r="C277" s="777"/>
      <c r="D277" s="775"/>
      <c r="E277" s="235" t="s">
        <v>73</v>
      </c>
      <c r="F277" s="236">
        <f>F189</f>
        <v>0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5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5">
      <c r="C279" s="776" t="s">
        <v>161</v>
      </c>
      <c r="D279" s="775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5">
      <c r="C280" s="776"/>
      <c r="D280" s="775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5">
      <c r="C281" s="776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5">
      <c r="C282" s="776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5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5">
      <c r="D284" s="458" t="s">
        <v>186</v>
      </c>
      <c r="E284" s="459" t="s">
        <v>70</v>
      </c>
      <c r="F284" s="460">
        <f t="shared" ref="F284:AA284" si="15">F120</f>
        <v>0</v>
      </c>
      <c r="G284" s="460">
        <f t="shared" si="15"/>
        <v>0</v>
      </c>
      <c r="H284" s="460">
        <f t="shared" si="15"/>
        <v>0</v>
      </c>
      <c r="I284" s="460">
        <f t="shared" si="15"/>
        <v>0</v>
      </c>
      <c r="J284" s="460">
        <f t="shared" si="15"/>
        <v>0</v>
      </c>
      <c r="K284" s="460">
        <f t="shared" si="15"/>
        <v>0</v>
      </c>
      <c r="L284" s="460">
        <f t="shared" si="15"/>
        <v>0</v>
      </c>
      <c r="M284" s="460">
        <f t="shared" si="15"/>
        <v>0</v>
      </c>
      <c r="N284" s="460">
        <f t="shared" si="15"/>
        <v>0</v>
      </c>
      <c r="O284" s="460">
        <f t="shared" si="15"/>
        <v>0</v>
      </c>
      <c r="P284" s="460">
        <f t="shared" si="15"/>
        <v>0</v>
      </c>
      <c r="Q284" s="460">
        <f t="shared" si="15"/>
        <v>0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5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5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5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5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5">
      <c r="E289" s="89" t="s">
        <v>72</v>
      </c>
      <c r="F289" s="371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5">
      <c r="D290" t="s">
        <v>156</v>
      </c>
      <c r="E290" s="89" t="s">
        <v>70</v>
      </c>
      <c r="F290" s="371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5">
      <c r="C291" s="286" t="s">
        <v>155</v>
      </c>
      <c r="D291" s="286" t="s">
        <v>70</v>
      </c>
      <c r="E291" s="229"/>
      <c r="F291" s="229">
        <v>0</v>
      </c>
      <c r="G291" s="23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30">
        <v>0</v>
      </c>
      <c r="N291" s="230">
        <v>0</v>
      </c>
      <c r="O291" s="230">
        <v>0</v>
      </c>
      <c r="P291" s="230">
        <v>0</v>
      </c>
      <c r="Q291" s="230">
        <v>0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5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5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5">
      <c r="E294" s="89" t="s">
        <v>72</v>
      </c>
      <c r="F294" s="371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5">
      <c r="D295" t="s">
        <v>86</v>
      </c>
      <c r="E295" s="89" t="s">
        <v>70</v>
      </c>
      <c r="F295" s="371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5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5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5">
      <c r="C298" s="101" t="s">
        <v>119</v>
      </c>
      <c r="D298" s="101" t="s">
        <v>70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5">
      <c r="B299" t="s">
        <v>112</v>
      </c>
      <c r="C299" t="s">
        <v>70</v>
      </c>
      <c r="E299" s="89"/>
      <c r="F299" s="371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5">
      <c r="A300" s="458" t="s">
        <v>186</v>
      </c>
      <c r="B300" s="458" t="s">
        <v>70</v>
      </c>
      <c r="F300" s="458">
        <v>0</v>
      </c>
      <c r="G300" s="458">
        <v>0</v>
      </c>
      <c r="H300" s="458">
        <v>0</v>
      </c>
      <c r="I300" s="458">
        <v>0</v>
      </c>
      <c r="J300" s="458">
        <v>0</v>
      </c>
      <c r="K300" s="458">
        <v>0</v>
      </c>
      <c r="L300" s="458">
        <v>0</v>
      </c>
      <c r="M300" s="458">
        <v>0</v>
      </c>
      <c r="N300" s="458">
        <v>0</v>
      </c>
      <c r="O300" s="458">
        <v>0</v>
      </c>
      <c r="P300" s="458">
        <v>0</v>
      </c>
      <c r="Q300" s="458">
        <v>0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5">
      <c r="E301" t="s">
        <v>72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5">
      <c r="E302" t="s">
        <v>81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5">
      <c r="D303" t="s">
        <v>156</v>
      </c>
      <c r="E303" t="s">
        <v>70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5">
      <c r="C304" s="286" t="s">
        <v>155</v>
      </c>
      <c r="D304" s="286" t="s">
        <v>70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30">
        <v>0</v>
      </c>
      <c r="N304" s="230">
        <v>0</v>
      </c>
      <c r="O304" s="230">
        <v>0</v>
      </c>
      <c r="P304" s="230">
        <v>0</v>
      </c>
      <c r="Q304" s="230">
        <v>0</v>
      </c>
      <c r="R304" s="230">
        <v>0</v>
      </c>
      <c r="S304" s="230">
        <v>0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5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5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5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5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5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5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5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5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5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5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5">
      <c r="B315" s="378" t="s">
        <v>122</v>
      </c>
      <c r="C315" s="378" t="s">
        <v>70</v>
      </c>
      <c r="E315" s="376"/>
      <c r="F315" s="710">
        <v>0</v>
      </c>
      <c r="G315" s="377">
        <v>0</v>
      </c>
      <c r="H315" s="377">
        <v>0</v>
      </c>
      <c r="I315" s="377">
        <v>0</v>
      </c>
      <c r="J315" s="377">
        <v>0</v>
      </c>
      <c r="K315" s="377">
        <v>0</v>
      </c>
      <c r="L315" s="377">
        <v>0</v>
      </c>
      <c r="M315" s="377">
        <v>0</v>
      </c>
      <c r="N315" s="377">
        <v>0</v>
      </c>
      <c r="O315" s="377">
        <v>0</v>
      </c>
      <c r="P315" s="377">
        <v>0</v>
      </c>
      <c r="Q315" s="377">
        <v>0</v>
      </c>
      <c r="R315" s="377">
        <v>0</v>
      </c>
      <c r="S315" s="377">
        <v>0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5">
      <c r="E316" s="89" t="s">
        <v>72</v>
      </c>
      <c r="F316" s="371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0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5">
      <c r="E317" s="89" t="s">
        <v>81</v>
      </c>
      <c r="F317" s="371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0</v>
      </c>
      <c r="S317" s="90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5">
      <c r="D318" t="s">
        <v>156</v>
      </c>
      <c r="E318" s="89" t="s">
        <v>70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0</v>
      </c>
      <c r="S318" s="90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5">
      <c r="C319" s="286" t="s">
        <v>155</v>
      </c>
      <c r="D319" s="286" t="s">
        <v>70</v>
      </c>
      <c r="E319" s="229"/>
      <c r="F319" s="229">
        <v>0</v>
      </c>
      <c r="G319" s="23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230">
        <v>0</v>
      </c>
      <c r="N319" s="230">
        <v>0</v>
      </c>
      <c r="O319" s="230">
        <v>0</v>
      </c>
      <c r="P319" s="230">
        <v>0</v>
      </c>
      <c r="Q319" s="230">
        <v>0</v>
      </c>
      <c r="R319" s="230">
        <v>0</v>
      </c>
      <c r="S319" s="230">
        <v>0</v>
      </c>
      <c r="T319" s="230">
        <v>0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5">
      <c r="E320" s="89" t="s">
        <v>72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0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5">
      <c r="E321" s="89" t="s">
        <v>81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0</v>
      </c>
      <c r="S321" s="90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5">
      <c r="D322" s="89" t="s">
        <v>82</v>
      </c>
      <c r="E322" s="89" t="s">
        <v>70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0</v>
      </c>
      <c r="S322" s="90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5">
      <c r="D323" s="89"/>
      <c r="E323" s="89" t="s">
        <v>72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0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5">
      <c r="E324" s="89" t="s">
        <v>81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5">
      <c r="D325" s="89" t="s">
        <v>86</v>
      </c>
      <c r="E325" s="89" t="s">
        <v>70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0</v>
      </c>
      <c r="S325" s="90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5">
      <c r="E326" s="89" t="s">
        <v>72</v>
      </c>
      <c r="F326" s="90">
        <v>0</v>
      </c>
      <c r="G326" s="90">
        <v>0</v>
      </c>
      <c r="H326" s="90">
        <v>0</v>
      </c>
      <c r="I326" s="90">
        <v>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0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5">
      <c r="E327" s="89" t="s">
        <v>81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0</v>
      </c>
      <c r="S327" s="90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5">
      <c r="D328" s="89" t="s">
        <v>87</v>
      </c>
      <c r="E328" s="89" t="s">
        <v>70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0</v>
      </c>
      <c r="S328" s="90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5">
      <c r="C329" s="101" t="s">
        <v>119</v>
      </c>
      <c r="D329" s="101" t="s">
        <v>70</v>
      </c>
      <c r="F329" s="93">
        <v>0</v>
      </c>
      <c r="G329" s="93"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4">
        <v>0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5">
      <c r="B330" s="98" t="s">
        <v>112</v>
      </c>
      <c r="C330" s="98" t="s">
        <v>70</v>
      </c>
      <c r="F330" s="100">
        <v>0</v>
      </c>
      <c r="G330" s="100">
        <v>0</v>
      </c>
      <c r="H330" s="100">
        <v>0</v>
      </c>
      <c r="I330" s="100">
        <v>0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100">
        <v>0</v>
      </c>
      <c r="R330" s="100">
        <v>0</v>
      </c>
      <c r="S330" s="100">
        <v>0</v>
      </c>
      <c r="T330" s="226">
        <v>0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5">
      <c r="A331" s="89" t="s">
        <v>78</v>
      </c>
      <c r="B331" s="89" t="s">
        <v>70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 s="90">
        <v>0</v>
      </c>
      <c r="S331" s="90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E332" t="s">
        <v>73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5">
      <c r="D333" t="s">
        <v>156</v>
      </c>
      <c r="E333" t="s">
        <v>70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.75" customHeight="1" x14ac:dyDescent="0.25">
      <c r="C334" s="286" t="s">
        <v>155</v>
      </c>
      <c r="D334" s="286" t="s">
        <v>70</v>
      </c>
      <c r="E334" s="229"/>
      <c r="F334" s="229">
        <v>0</v>
      </c>
      <c r="G334" s="23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30">
        <v>0</v>
      </c>
      <c r="N334" s="230">
        <v>0</v>
      </c>
      <c r="O334" s="230">
        <v>0</v>
      </c>
      <c r="P334" s="230">
        <v>0</v>
      </c>
      <c r="Q334" s="230">
        <v>0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5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5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5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5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5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5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5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5">
      <c r="B342" s="378" t="s">
        <v>122</v>
      </c>
      <c r="C342" s="378" t="s">
        <v>70</v>
      </c>
      <c r="E342" s="376"/>
      <c r="F342" s="710">
        <v>0</v>
      </c>
      <c r="G342" s="377">
        <v>0</v>
      </c>
      <c r="H342" s="377">
        <v>0</v>
      </c>
      <c r="I342" s="377">
        <v>0</v>
      </c>
      <c r="J342" s="377">
        <v>0</v>
      </c>
      <c r="K342" s="377">
        <v>0</v>
      </c>
      <c r="L342" s="377">
        <v>0</v>
      </c>
      <c r="M342" s="377">
        <v>0</v>
      </c>
      <c r="N342" s="377">
        <v>0</v>
      </c>
      <c r="O342" s="377">
        <v>0</v>
      </c>
      <c r="P342" s="377">
        <v>0</v>
      </c>
      <c r="Q342" s="377">
        <v>0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5">
      <c r="E343" s="89" t="s">
        <v>73</v>
      </c>
      <c r="F343" s="371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5">
      <c r="D344" t="s">
        <v>156</v>
      </c>
      <c r="E344" s="89" t="s">
        <v>70</v>
      </c>
      <c r="F344" s="371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5">
      <c r="C345" s="286" t="s">
        <v>155</v>
      </c>
      <c r="D345" s="286" t="s">
        <v>70</v>
      </c>
      <c r="E345" s="229"/>
      <c r="F345" s="229">
        <v>0</v>
      </c>
      <c r="G345" s="230">
        <v>0</v>
      </c>
      <c r="H345" s="230">
        <v>0</v>
      </c>
      <c r="I345" s="230">
        <v>0</v>
      </c>
      <c r="J345" s="230">
        <v>0</v>
      </c>
      <c r="K345" s="230">
        <v>0</v>
      </c>
      <c r="L345" s="230">
        <v>0</v>
      </c>
      <c r="M345" s="230">
        <v>0</v>
      </c>
      <c r="N345" s="230">
        <v>0</v>
      </c>
      <c r="O345" s="230">
        <v>0</v>
      </c>
      <c r="P345" s="230">
        <v>0</v>
      </c>
      <c r="Q345" s="230">
        <v>0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5">
      <c r="D346" s="89"/>
      <c r="E346" s="89" t="s">
        <v>73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5">
      <c r="D347" t="s">
        <v>82</v>
      </c>
      <c r="E347" s="89" t="s">
        <v>70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5">
      <c r="D348" s="89"/>
      <c r="E348" s="89" t="s">
        <v>73</v>
      </c>
      <c r="F348" s="90">
        <v>0</v>
      </c>
      <c r="G348" s="90">
        <v>0</v>
      </c>
      <c r="H348" s="90">
        <v>0</v>
      </c>
      <c r="I348" s="90">
        <v>0</v>
      </c>
      <c r="J348" s="90">
        <v>0</v>
      </c>
      <c r="K348" s="90">
        <v>0</v>
      </c>
      <c r="L348" s="90">
        <v>0</v>
      </c>
      <c r="M348" s="90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5">
      <c r="D349" t="s">
        <v>86</v>
      </c>
      <c r="E349" s="89" t="s">
        <v>70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5">
      <c r="D350" s="89"/>
      <c r="E350" s="89" t="s">
        <v>73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5">
      <c r="C351" s="89"/>
      <c r="D351" s="89" t="s">
        <v>87</v>
      </c>
      <c r="E351" t="s">
        <v>70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5">
      <c r="C352" s="101" t="s">
        <v>119</v>
      </c>
      <c r="D352" s="101" t="s">
        <v>70</v>
      </c>
      <c r="F352" s="93">
        <v>0</v>
      </c>
      <c r="G352" s="93"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5">
      <c r="A353" s="98"/>
      <c r="B353" s="98" t="s">
        <v>112</v>
      </c>
      <c r="C353" s="226" t="s">
        <v>70</v>
      </c>
      <c r="F353" s="100">
        <v>0</v>
      </c>
      <c r="G353" s="100">
        <v>0</v>
      </c>
      <c r="H353" s="100">
        <v>0</v>
      </c>
      <c r="I353" s="100">
        <v>0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100">
        <v>0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5">
      <c r="A354" s="89" t="s">
        <v>79</v>
      </c>
      <c r="B354" t="s">
        <v>70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5">
      <c r="A355" t="s">
        <v>70</v>
      </c>
      <c r="E355" s="89"/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0</v>
      </c>
      <c r="S355" s="90">
        <v>0</v>
      </c>
      <c r="T355" s="150">
        <v>0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5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5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5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5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5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5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5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5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5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5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5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5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5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5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5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5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5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5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5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5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5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5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5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5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5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5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5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5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5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5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5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5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5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5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5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5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5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5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5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5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5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5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5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5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5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5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5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5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5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5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5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5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5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5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5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5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5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5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5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5">
      <c r="C415" s="777" t="s">
        <v>2</v>
      </c>
      <c r="D415" s="775" t="s">
        <v>132</v>
      </c>
      <c r="E415" s="98" t="s">
        <v>70</v>
      </c>
      <c r="F415" s="100">
        <f>F330+F353+F299-L299-L330</f>
        <v>0</v>
      </c>
      <c r="G415" s="100">
        <f t="shared" ref="G415:AO415" si="16">G330+G299</f>
        <v>0</v>
      </c>
      <c r="H415" s="100">
        <f t="shared" si="16"/>
        <v>0</v>
      </c>
      <c r="I415" s="100">
        <f t="shared" si="16"/>
        <v>0</v>
      </c>
      <c r="J415" s="100">
        <f t="shared" si="16"/>
        <v>0</v>
      </c>
      <c r="K415" s="100">
        <f t="shared" si="16"/>
        <v>0</v>
      </c>
      <c r="L415" s="100">
        <f t="shared" si="16"/>
        <v>0</v>
      </c>
      <c r="M415" s="100">
        <f t="shared" si="16"/>
        <v>0</v>
      </c>
      <c r="N415" s="100">
        <f t="shared" si="16"/>
        <v>0</v>
      </c>
      <c r="O415" s="100">
        <f t="shared" si="16"/>
        <v>0</v>
      </c>
      <c r="P415" s="100">
        <f t="shared" si="16"/>
        <v>0</v>
      </c>
      <c r="Q415" s="100">
        <f t="shared" si="16"/>
        <v>0</v>
      </c>
      <c r="R415" s="100">
        <f t="shared" si="16"/>
        <v>0</v>
      </c>
      <c r="S415" s="100">
        <f t="shared" si="16"/>
        <v>0</v>
      </c>
      <c r="T415" s="100">
        <f t="shared" si="16"/>
        <v>0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5">
      <c r="C416" s="777"/>
      <c r="D416" s="775"/>
      <c r="E416" s="98" t="s">
        <v>73</v>
      </c>
      <c r="F416" s="100">
        <f>F353</f>
        <v>0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5">
      <c r="A417" s="90"/>
      <c r="C417" s="777"/>
      <c r="D417" s="775" t="s">
        <v>133</v>
      </c>
      <c r="E417" s="233" t="s">
        <v>70</v>
      </c>
      <c r="F417" s="234">
        <f>F342+F315-L315</f>
        <v>0</v>
      </c>
      <c r="G417" s="234">
        <f>G315</f>
        <v>0</v>
      </c>
      <c r="H417" s="234">
        <f t="shared" ref="H417:AO417" si="17">H315</f>
        <v>0</v>
      </c>
      <c r="I417" s="234">
        <f t="shared" si="17"/>
        <v>0</v>
      </c>
      <c r="J417" s="234">
        <f t="shared" si="17"/>
        <v>0</v>
      </c>
      <c r="K417" s="234">
        <f t="shared" si="17"/>
        <v>0</v>
      </c>
      <c r="L417" s="234">
        <f t="shared" si="17"/>
        <v>0</v>
      </c>
      <c r="M417" s="234">
        <f t="shared" si="17"/>
        <v>0</v>
      </c>
      <c r="N417" s="234">
        <f t="shared" si="17"/>
        <v>0</v>
      </c>
      <c r="O417" s="234">
        <f t="shared" si="17"/>
        <v>0</v>
      </c>
      <c r="P417" s="234">
        <f t="shared" si="17"/>
        <v>0</v>
      </c>
      <c r="Q417" s="234">
        <f t="shared" si="17"/>
        <v>0</v>
      </c>
      <c r="R417" s="234">
        <f t="shared" si="17"/>
        <v>0</v>
      </c>
      <c r="S417" s="234">
        <f t="shared" si="17"/>
        <v>0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5">
      <c r="C418" s="777"/>
      <c r="D418" s="775"/>
      <c r="E418" s="233" t="s">
        <v>73</v>
      </c>
      <c r="F418" s="234">
        <f>F342</f>
        <v>0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5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5">
      <c r="C420" s="777" t="s">
        <v>160</v>
      </c>
      <c r="D420" s="775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5">
      <c r="C421" s="777"/>
      <c r="D421" s="775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5">
      <c r="C422" s="777"/>
      <c r="D422" s="775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5">
      <c r="C423" s="777"/>
      <c r="D423" s="775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5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5">
      <c r="C425" s="777" t="s">
        <v>155</v>
      </c>
      <c r="D425" s="775" t="s">
        <v>132</v>
      </c>
      <c r="E425" s="221" t="s">
        <v>70</v>
      </c>
      <c r="F425" s="222">
        <f>F345+F319+F291-L291-L319</f>
        <v>0</v>
      </c>
      <c r="G425" s="222">
        <f t="shared" ref="G425:AO425" si="18">G319+G291</f>
        <v>0</v>
      </c>
      <c r="H425" s="222">
        <f t="shared" si="18"/>
        <v>0</v>
      </c>
      <c r="I425" s="222">
        <f t="shared" si="18"/>
        <v>0</v>
      </c>
      <c r="J425" s="222">
        <f t="shared" si="18"/>
        <v>0</v>
      </c>
      <c r="K425" s="222">
        <f t="shared" si="18"/>
        <v>0</v>
      </c>
      <c r="L425" s="222">
        <f t="shared" si="18"/>
        <v>0</v>
      </c>
      <c r="M425" s="222">
        <f t="shared" si="18"/>
        <v>0</v>
      </c>
      <c r="N425" s="222">
        <f t="shared" si="18"/>
        <v>0</v>
      </c>
      <c r="O425" s="222">
        <f t="shared" si="18"/>
        <v>0</v>
      </c>
      <c r="P425" s="222">
        <f t="shared" si="18"/>
        <v>0</v>
      </c>
      <c r="Q425" s="222">
        <f t="shared" si="18"/>
        <v>0</v>
      </c>
      <c r="R425" s="222">
        <f t="shared" si="18"/>
        <v>0</v>
      </c>
      <c r="S425" s="222">
        <f t="shared" si="18"/>
        <v>0</v>
      </c>
      <c r="T425" s="222">
        <f t="shared" si="18"/>
        <v>0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5">
      <c r="C426" s="777"/>
      <c r="D426" s="775"/>
      <c r="E426" s="221" t="s">
        <v>73</v>
      </c>
      <c r="F426" s="222">
        <f>F345</f>
        <v>0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5">
      <c r="C427" s="777"/>
      <c r="D427" s="775" t="s">
        <v>133</v>
      </c>
      <c r="E427" s="229" t="s">
        <v>70</v>
      </c>
      <c r="F427" s="230">
        <f>F334+F304-L304</f>
        <v>0</v>
      </c>
      <c r="G427" s="230">
        <f>G304</f>
        <v>0</v>
      </c>
      <c r="H427" s="230">
        <f t="shared" ref="H427:AO427" si="19">H304</f>
        <v>0</v>
      </c>
      <c r="I427" s="230">
        <f t="shared" si="19"/>
        <v>0</v>
      </c>
      <c r="J427" s="230">
        <f t="shared" si="19"/>
        <v>0</v>
      </c>
      <c r="K427" s="230">
        <f t="shared" si="19"/>
        <v>0</v>
      </c>
      <c r="L427" s="230">
        <f t="shared" si="19"/>
        <v>0</v>
      </c>
      <c r="M427" s="230">
        <f t="shared" si="19"/>
        <v>0</v>
      </c>
      <c r="N427" s="230">
        <f t="shared" si="19"/>
        <v>0</v>
      </c>
      <c r="O427" s="230">
        <f t="shared" si="19"/>
        <v>0</v>
      </c>
      <c r="P427" s="230">
        <f t="shared" si="19"/>
        <v>0</v>
      </c>
      <c r="Q427" s="230">
        <f t="shared" si="19"/>
        <v>0</v>
      </c>
      <c r="R427" s="230">
        <f t="shared" si="19"/>
        <v>0</v>
      </c>
      <c r="S427" s="230">
        <f t="shared" si="19"/>
        <v>0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5">
      <c r="C428" s="777"/>
      <c r="D428" s="775"/>
      <c r="E428" s="229" t="s">
        <v>73</v>
      </c>
      <c r="F428" s="230">
        <f>F334</f>
        <v>0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5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5">
      <c r="C430" s="778" t="s">
        <v>326</v>
      </c>
      <c r="D430" s="775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5">
      <c r="C431" s="778"/>
      <c r="D431" s="775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5">
      <c r="C432" s="778"/>
      <c r="D432" s="775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5">
      <c r="C433" s="778"/>
      <c r="D433" s="775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5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5">
      <c r="C435" s="777" t="s">
        <v>119</v>
      </c>
      <c r="D435" s="775" t="s">
        <v>132</v>
      </c>
      <c r="E435" s="101" t="s">
        <v>70</v>
      </c>
      <c r="F435" s="93">
        <f>F352+F329+F298-L298-L329</f>
        <v>0</v>
      </c>
      <c r="G435" s="93">
        <f t="shared" ref="G435:AO435" si="20">G329+G298</f>
        <v>0</v>
      </c>
      <c r="H435" s="93">
        <f t="shared" si="20"/>
        <v>0</v>
      </c>
      <c r="I435" s="93">
        <f t="shared" si="20"/>
        <v>0</v>
      </c>
      <c r="J435" s="93">
        <f t="shared" si="20"/>
        <v>0</v>
      </c>
      <c r="K435" s="93">
        <f t="shared" si="20"/>
        <v>0</v>
      </c>
      <c r="L435" s="93">
        <f t="shared" si="20"/>
        <v>0</v>
      </c>
      <c r="M435" s="93">
        <f t="shared" si="20"/>
        <v>0</v>
      </c>
      <c r="N435" s="93">
        <f t="shared" si="20"/>
        <v>0</v>
      </c>
      <c r="O435" s="93">
        <f t="shared" si="20"/>
        <v>0</v>
      </c>
      <c r="P435" s="93">
        <f t="shared" si="20"/>
        <v>0</v>
      </c>
      <c r="Q435" s="93">
        <f t="shared" si="20"/>
        <v>0</v>
      </c>
      <c r="R435" s="93">
        <f t="shared" si="20"/>
        <v>0</v>
      </c>
      <c r="S435" s="93">
        <f t="shared" si="20"/>
        <v>0</v>
      </c>
      <c r="T435" s="93">
        <f t="shared" si="20"/>
        <v>0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5">
      <c r="C436" s="777"/>
      <c r="D436" s="775"/>
      <c r="E436" s="101" t="s">
        <v>73</v>
      </c>
      <c r="F436" s="93">
        <f>F352</f>
        <v>0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5">
      <c r="C437" s="777"/>
      <c r="D437" s="775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5">
      <c r="C438" s="777"/>
      <c r="D438" s="775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5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5">
      <c r="C440" s="776" t="s">
        <v>161</v>
      </c>
      <c r="D440" s="775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5">
      <c r="C441" s="776"/>
      <c r="D441" s="775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5">
      <c r="C442" s="776"/>
      <c r="D442" s="775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5">
      <c r="C443" s="776"/>
      <c r="D443" s="775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5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5">
      <c r="D445" s="458" t="s">
        <v>186</v>
      </c>
      <c r="E445" s="459" t="s">
        <v>70</v>
      </c>
      <c r="F445" s="460">
        <f t="shared" ref="F445:Z445" si="22">F299</f>
        <v>0</v>
      </c>
      <c r="G445" s="460">
        <f t="shared" si="22"/>
        <v>0</v>
      </c>
      <c r="H445" s="460">
        <f t="shared" si="22"/>
        <v>0</v>
      </c>
      <c r="I445" s="460">
        <f t="shared" si="22"/>
        <v>0</v>
      </c>
      <c r="J445" s="460">
        <f t="shared" si="22"/>
        <v>0</v>
      </c>
      <c r="K445" s="460">
        <f t="shared" si="22"/>
        <v>0</v>
      </c>
      <c r="L445" s="460">
        <f t="shared" si="22"/>
        <v>0</v>
      </c>
      <c r="M445" s="460">
        <f t="shared" si="22"/>
        <v>0</v>
      </c>
      <c r="N445" s="460">
        <f t="shared" si="22"/>
        <v>0</v>
      </c>
      <c r="O445" s="460">
        <f t="shared" si="22"/>
        <v>0</v>
      </c>
      <c r="P445" s="460">
        <f t="shared" si="22"/>
        <v>0</v>
      </c>
      <c r="Q445" s="460">
        <f t="shared" si="22"/>
        <v>0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5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5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5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5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5">
      <c r="E450" s="89" t="s">
        <v>72</v>
      </c>
      <c r="F450" s="371">
        <v>0</v>
      </c>
      <c r="G450" s="90">
        <v>0</v>
      </c>
      <c r="H450" s="90">
        <v>0</v>
      </c>
      <c r="I450" s="90">
        <v>0</v>
      </c>
      <c r="J450" s="90">
        <v>0</v>
      </c>
      <c r="K450" s="90">
        <v>0</v>
      </c>
      <c r="L450" s="90">
        <v>0</v>
      </c>
      <c r="M450" s="90">
        <v>0</v>
      </c>
      <c r="N450" s="90">
        <v>0</v>
      </c>
      <c r="O450" s="90">
        <v>0</v>
      </c>
      <c r="P450" s="90">
        <v>0</v>
      </c>
      <c r="Q450" s="90">
        <v>0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5">
      <c r="D451" t="s">
        <v>156</v>
      </c>
      <c r="E451" s="89" t="s">
        <v>70</v>
      </c>
      <c r="F451" s="371">
        <v>0</v>
      </c>
      <c r="G451" s="90">
        <v>0</v>
      </c>
      <c r="H451" s="90">
        <v>0</v>
      </c>
      <c r="I451" s="90">
        <v>0</v>
      </c>
      <c r="J451" s="90">
        <v>0</v>
      </c>
      <c r="K451" s="90">
        <v>0</v>
      </c>
      <c r="L451" s="90">
        <v>0</v>
      </c>
      <c r="M451" s="90">
        <v>0</v>
      </c>
      <c r="N451" s="90">
        <v>0</v>
      </c>
      <c r="O451" s="90">
        <v>0</v>
      </c>
      <c r="P451" s="90">
        <v>0</v>
      </c>
      <c r="Q451" s="90">
        <v>0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5">
      <c r="C452" s="656" t="s">
        <v>155</v>
      </c>
      <c r="D452" s="657" t="s">
        <v>70</v>
      </c>
      <c r="E452" s="657"/>
      <c r="F452" s="658">
        <v>0</v>
      </c>
      <c r="G452" s="658">
        <v>0</v>
      </c>
      <c r="H452" s="658">
        <v>0</v>
      </c>
      <c r="I452" s="658">
        <v>0</v>
      </c>
      <c r="J452" s="658">
        <v>0</v>
      </c>
      <c r="K452" s="658">
        <v>0</v>
      </c>
      <c r="L452" s="658">
        <v>0</v>
      </c>
      <c r="M452" s="658">
        <v>0</v>
      </c>
      <c r="N452" s="658">
        <v>0</v>
      </c>
      <c r="O452" s="658">
        <v>0</v>
      </c>
      <c r="P452" s="658">
        <v>0</v>
      </c>
      <c r="Q452" s="658">
        <v>0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5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5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5">
      <c r="E455" s="89" t="s">
        <v>72</v>
      </c>
      <c r="F455" s="371">
        <v>0</v>
      </c>
      <c r="G455" s="90">
        <v>0</v>
      </c>
      <c r="H455" s="90">
        <v>0</v>
      </c>
      <c r="I455" s="90">
        <v>0</v>
      </c>
      <c r="J455" s="90">
        <v>0</v>
      </c>
      <c r="K455" s="90">
        <v>0</v>
      </c>
      <c r="L455" s="90">
        <v>0</v>
      </c>
      <c r="M455" s="90">
        <v>0</v>
      </c>
      <c r="N455" s="90">
        <v>0</v>
      </c>
      <c r="O455" s="90">
        <v>0</v>
      </c>
      <c r="P455" s="90">
        <v>0</v>
      </c>
      <c r="Q455" s="90">
        <v>0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5">
      <c r="D456" t="s">
        <v>86</v>
      </c>
      <c r="E456" s="89" t="s">
        <v>70</v>
      </c>
      <c r="F456" s="371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5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5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5">
      <c r="C459" s="101" t="s">
        <v>119</v>
      </c>
      <c r="D459" s="101" t="s">
        <v>70</v>
      </c>
      <c r="F459" s="93">
        <v>0</v>
      </c>
      <c r="G459" s="93">
        <v>0</v>
      </c>
      <c r="H459" s="93">
        <v>0</v>
      </c>
      <c r="I459" s="93">
        <v>0</v>
      </c>
      <c r="J459" s="93">
        <v>0</v>
      </c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5">
      <c r="B460" t="s">
        <v>112</v>
      </c>
      <c r="C460" t="s">
        <v>70</v>
      </c>
      <c r="E460" s="89"/>
      <c r="F460" s="371">
        <v>0</v>
      </c>
      <c r="G460" s="90">
        <v>0</v>
      </c>
      <c r="H460" s="90">
        <v>0</v>
      </c>
      <c r="I460" s="90">
        <v>0</v>
      </c>
      <c r="J460" s="90">
        <v>0</v>
      </c>
      <c r="K460" s="90">
        <v>0</v>
      </c>
      <c r="L460" s="90">
        <v>0</v>
      </c>
      <c r="M460" s="90">
        <v>0</v>
      </c>
      <c r="N460" s="90">
        <v>0</v>
      </c>
      <c r="O460" s="90">
        <v>0</v>
      </c>
      <c r="P460" s="90">
        <v>0</v>
      </c>
      <c r="Q460" s="90">
        <v>0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5">
      <c r="A461" s="458" t="s">
        <v>186</v>
      </c>
      <c r="B461" s="459" t="s">
        <v>70</v>
      </c>
      <c r="C461" s="459"/>
      <c r="F461" s="460">
        <v>0</v>
      </c>
      <c r="G461" s="460">
        <v>0</v>
      </c>
      <c r="H461" s="460">
        <v>0</v>
      </c>
      <c r="I461" s="460">
        <v>0</v>
      </c>
      <c r="J461" s="460">
        <v>0</v>
      </c>
      <c r="K461" s="460">
        <v>0</v>
      </c>
      <c r="L461" s="460">
        <v>0</v>
      </c>
      <c r="M461" s="460">
        <v>0</v>
      </c>
      <c r="N461" s="460">
        <v>0</v>
      </c>
      <c r="O461" s="460">
        <v>0</v>
      </c>
      <c r="P461" s="460">
        <v>0</v>
      </c>
      <c r="Q461" s="460">
        <v>0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5">
      <c r="E462" s="89" t="s">
        <v>72</v>
      </c>
      <c r="F462" s="90">
        <v>0</v>
      </c>
      <c r="G462" s="90">
        <v>0</v>
      </c>
      <c r="H462" s="90">
        <v>0</v>
      </c>
      <c r="I462" s="90">
        <v>0</v>
      </c>
      <c r="J462" s="90">
        <v>0</v>
      </c>
      <c r="K462" s="90">
        <v>0</v>
      </c>
      <c r="L462" s="90">
        <v>0</v>
      </c>
      <c r="M462" s="90">
        <v>0</v>
      </c>
      <c r="N462" s="90">
        <v>0</v>
      </c>
      <c r="O462" s="90">
        <v>0</v>
      </c>
      <c r="P462" s="90">
        <v>0</v>
      </c>
      <c r="Q462" s="90">
        <v>0</v>
      </c>
      <c r="R462" s="90">
        <v>0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5">
      <c r="E463" s="89" t="s">
        <v>81</v>
      </c>
      <c r="F463" s="90">
        <v>0</v>
      </c>
      <c r="G463" s="90">
        <v>0</v>
      </c>
      <c r="H463" s="90">
        <v>0</v>
      </c>
      <c r="I463" s="90">
        <v>0</v>
      </c>
      <c r="J463" s="90">
        <v>0</v>
      </c>
      <c r="K463" s="90">
        <v>0</v>
      </c>
      <c r="L463" s="90">
        <v>0</v>
      </c>
      <c r="M463" s="90">
        <v>0</v>
      </c>
      <c r="N463" s="90">
        <v>0</v>
      </c>
      <c r="O463" s="90">
        <v>0</v>
      </c>
      <c r="P463" s="90">
        <v>0</v>
      </c>
      <c r="Q463" s="90">
        <v>0</v>
      </c>
      <c r="R463" s="90">
        <v>0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0</v>
      </c>
    </row>
    <row r="464" spans="1:26" ht="12.75" customHeight="1" x14ac:dyDescent="0.25">
      <c r="D464" t="s">
        <v>156</v>
      </c>
      <c r="E464" s="89" t="s">
        <v>70</v>
      </c>
      <c r="F464" s="90">
        <v>0</v>
      </c>
      <c r="G464" s="90">
        <v>0</v>
      </c>
      <c r="H464" s="90">
        <v>0</v>
      </c>
      <c r="I464" s="90">
        <v>0</v>
      </c>
      <c r="J464" s="90">
        <v>0</v>
      </c>
      <c r="K464" s="90">
        <v>0</v>
      </c>
      <c r="L464" s="90">
        <v>0</v>
      </c>
      <c r="M464" s="90">
        <v>0</v>
      </c>
      <c r="N464" s="90">
        <v>0</v>
      </c>
      <c r="O464" s="90">
        <v>0</v>
      </c>
      <c r="P464" s="90">
        <v>0</v>
      </c>
      <c r="Q464" s="90">
        <v>0</v>
      </c>
      <c r="R464" s="90">
        <v>0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0</v>
      </c>
    </row>
    <row r="465" spans="3:26" s="656" customFormat="1" ht="12.75" customHeight="1" x14ac:dyDescent="0.25">
      <c r="C465" s="656" t="s">
        <v>155</v>
      </c>
      <c r="D465" s="657" t="s">
        <v>70</v>
      </c>
      <c r="E465" s="657"/>
      <c r="F465" s="658">
        <v>0</v>
      </c>
      <c r="G465" s="658">
        <v>0</v>
      </c>
      <c r="H465" s="658">
        <v>0</v>
      </c>
      <c r="I465" s="658">
        <v>0</v>
      </c>
      <c r="J465" s="658">
        <v>0</v>
      </c>
      <c r="K465" s="658">
        <v>0</v>
      </c>
      <c r="L465" s="658">
        <v>0</v>
      </c>
      <c r="M465" s="658">
        <v>0</v>
      </c>
      <c r="N465" s="658">
        <v>0</v>
      </c>
      <c r="O465" s="658">
        <v>0</v>
      </c>
      <c r="P465" s="658">
        <v>0</v>
      </c>
      <c r="Q465" s="658">
        <v>0</v>
      </c>
      <c r="R465" s="658">
        <v>0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0</v>
      </c>
    </row>
    <row r="466" spans="3:26" ht="12.75" customHeight="1" x14ac:dyDescent="0.25">
      <c r="D466" s="89"/>
      <c r="E466" s="89" t="s">
        <v>72</v>
      </c>
      <c r="F466" s="371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 s="90">
        <v>0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5">
      <c r="D467" s="89"/>
      <c r="E467" s="89" t="s">
        <v>81</v>
      </c>
      <c r="F467" s="371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5">
      <c r="D468" s="89" t="s">
        <v>115</v>
      </c>
      <c r="E468" s="89" t="s">
        <v>70</v>
      </c>
      <c r="F468" s="371">
        <v>0</v>
      </c>
      <c r="G468" s="90">
        <v>0</v>
      </c>
      <c r="H468" s="90">
        <v>0</v>
      </c>
      <c r="I468" s="90">
        <v>0</v>
      </c>
      <c r="J468" s="90">
        <v>0</v>
      </c>
      <c r="K468" s="90">
        <v>0</v>
      </c>
      <c r="L468" s="90">
        <v>0</v>
      </c>
      <c r="M468" s="90">
        <v>0</v>
      </c>
      <c r="N468" s="90">
        <v>0</v>
      </c>
      <c r="O468" s="90">
        <v>0</v>
      </c>
      <c r="P468" s="90">
        <v>0</v>
      </c>
      <c r="Q468" s="90">
        <v>0</v>
      </c>
      <c r="R468" s="90">
        <v>0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5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5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5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5">
      <c r="D472" s="89"/>
      <c r="E472" s="89" t="s">
        <v>72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5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5">
      <c r="D474" t="s">
        <v>118</v>
      </c>
      <c r="E474" s="89" t="s">
        <v>70</v>
      </c>
      <c r="F474" s="90">
        <v>0</v>
      </c>
      <c r="G474" s="90">
        <v>0</v>
      </c>
      <c r="H474" s="90">
        <v>0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5">
      <c r="C475" s="223" t="s">
        <v>120</v>
      </c>
      <c r="D475" s="223" t="s">
        <v>70</v>
      </c>
      <c r="F475" s="225">
        <v>0</v>
      </c>
      <c r="G475" s="225">
        <v>0</v>
      </c>
      <c r="H475" s="225">
        <v>0</v>
      </c>
      <c r="I475" s="225">
        <v>0</v>
      </c>
      <c r="J475" s="225">
        <v>0</v>
      </c>
      <c r="K475" s="225">
        <v>0</v>
      </c>
      <c r="L475" s="225">
        <v>0</v>
      </c>
      <c r="M475" s="225">
        <v>0</v>
      </c>
      <c r="N475" s="225">
        <v>0</v>
      </c>
      <c r="O475" s="225">
        <v>0</v>
      </c>
      <c r="P475" s="225">
        <v>0</v>
      </c>
      <c r="Q475" s="225">
        <v>0</v>
      </c>
      <c r="R475" s="225">
        <v>0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5">
      <c r="E476" s="89" t="s">
        <v>72</v>
      </c>
      <c r="F476" s="371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0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5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5">
      <c r="D478" t="s">
        <v>82</v>
      </c>
      <c r="E478" s="89" t="s">
        <v>70</v>
      </c>
      <c r="F478" s="371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0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5">
      <c r="E479" s="89" t="s">
        <v>72</v>
      </c>
      <c r="F479" s="371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 s="90">
        <v>0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5">
      <c r="E480" s="89" t="s">
        <v>81</v>
      </c>
      <c r="F480" s="371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5">
      <c r="D481" t="s">
        <v>86</v>
      </c>
      <c r="E481" s="89" t="s">
        <v>70</v>
      </c>
      <c r="F481" s="371">
        <v>0</v>
      </c>
      <c r="G481" s="90">
        <v>0</v>
      </c>
      <c r="H481" s="90">
        <v>0</v>
      </c>
      <c r="I481" s="90">
        <v>0</v>
      </c>
      <c r="J481" s="90">
        <v>0</v>
      </c>
      <c r="K481" s="90">
        <v>0</v>
      </c>
      <c r="L481" s="90">
        <v>0</v>
      </c>
      <c r="M481" s="90">
        <v>0</v>
      </c>
      <c r="N481" s="90">
        <v>0</v>
      </c>
      <c r="O481" s="90">
        <v>0</v>
      </c>
      <c r="P481" s="90">
        <v>0</v>
      </c>
      <c r="Q481" s="90">
        <v>0</v>
      </c>
      <c r="R481" s="90">
        <v>0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5">
      <c r="E482" s="89" t="s">
        <v>72</v>
      </c>
      <c r="F482" s="371">
        <v>0</v>
      </c>
      <c r="G482" s="90">
        <v>0</v>
      </c>
      <c r="H482" s="90">
        <v>0</v>
      </c>
      <c r="I482" s="90">
        <v>0</v>
      </c>
      <c r="J482" s="90">
        <v>0</v>
      </c>
      <c r="K482" s="90">
        <v>0</v>
      </c>
      <c r="L482" s="90">
        <v>0</v>
      </c>
      <c r="M482" s="90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5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5">
      <c r="D484" t="s">
        <v>87</v>
      </c>
      <c r="E484" s="89" t="s">
        <v>70</v>
      </c>
      <c r="F484" s="371">
        <v>0</v>
      </c>
      <c r="G484" s="90">
        <v>0</v>
      </c>
      <c r="H484" s="90">
        <v>0</v>
      </c>
      <c r="I484" s="90">
        <v>0</v>
      </c>
      <c r="J484" s="90">
        <v>0</v>
      </c>
      <c r="K484" s="90">
        <v>0</v>
      </c>
      <c r="L484" s="90">
        <v>0</v>
      </c>
      <c r="M484" s="90">
        <v>0</v>
      </c>
      <c r="N484" s="90">
        <v>0</v>
      </c>
      <c r="O484" s="90">
        <v>0</v>
      </c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5">
      <c r="C485" s="94" t="s">
        <v>119</v>
      </c>
      <c r="D485" s="94" t="s">
        <v>70</v>
      </c>
      <c r="E485" s="101"/>
      <c r="F485" s="93">
        <v>0</v>
      </c>
      <c r="G485" s="93">
        <v>0</v>
      </c>
      <c r="H485" s="93">
        <v>0</v>
      </c>
      <c r="I485" s="93">
        <v>0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5">
      <c r="B486" s="378" t="s">
        <v>122</v>
      </c>
      <c r="C486" s="378" t="s">
        <v>70</v>
      </c>
      <c r="E486" s="376"/>
      <c r="F486" s="377">
        <v>0</v>
      </c>
      <c r="G486" s="377">
        <v>0</v>
      </c>
      <c r="H486" s="377">
        <v>0</v>
      </c>
      <c r="I486" s="377">
        <v>0</v>
      </c>
      <c r="J486" s="377">
        <v>0</v>
      </c>
      <c r="K486" s="377">
        <v>0</v>
      </c>
      <c r="L486" s="377">
        <v>0</v>
      </c>
      <c r="M486" s="377">
        <v>0</v>
      </c>
      <c r="N486" s="377">
        <v>0</v>
      </c>
      <c r="O486" s="377">
        <v>0</v>
      </c>
      <c r="P486" s="377">
        <v>0</v>
      </c>
      <c r="Q486" s="377">
        <v>0</v>
      </c>
      <c r="R486" s="377">
        <v>0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0</v>
      </c>
    </row>
    <row r="487" spans="2:26" ht="12.75" customHeight="1" x14ac:dyDescent="0.25">
      <c r="E487" s="89" t="s">
        <v>72</v>
      </c>
      <c r="F487" s="90">
        <v>0</v>
      </c>
      <c r="G487" s="90">
        <v>0</v>
      </c>
      <c r="H487" s="90">
        <v>0</v>
      </c>
      <c r="I487" s="90">
        <v>0</v>
      </c>
      <c r="J487" s="90">
        <v>0</v>
      </c>
      <c r="K487" s="90">
        <v>0</v>
      </c>
      <c r="L487" s="90">
        <v>0</v>
      </c>
      <c r="M487" s="90">
        <v>0</v>
      </c>
      <c r="N487" s="90">
        <v>0</v>
      </c>
      <c r="O487" s="90">
        <v>0</v>
      </c>
      <c r="P487" s="90">
        <v>0</v>
      </c>
      <c r="Q487" s="90">
        <v>0</v>
      </c>
      <c r="R487" s="90">
        <v>0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5">
      <c r="E488" s="89" t="s">
        <v>81</v>
      </c>
      <c r="F488" s="371">
        <v>0</v>
      </c>
      <c r="G488" s="90">
        <v>0</v>
      </c>
      <c r="H488" s="90">
        <v>0</v>
      </c>
      <c r="I488" s="90">
        <v>0</v>
      </c>
      <c r="J488" s="90">
        <v>0</v>
      </c>
      <c r="K488" s="90">
        <v>0</v>
      </c>
      <c r="L488" s="90">
        <v>0</v>
      </c>
      <c r="M488" s="90">
        <v>0</v>
      </c>
      <c r="N488" s="90">
        <v>0</v>
      </c>
      <c r="O488" s="90">
        <v>0</v>
      </c>
      <c r="P488" s="90">
        <v>0</v>
      </c>
      <c r="Q488" s="90">
        <v>0</v>
      </c>
      <c r="R488" s="90">
        <v>0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0</v>
      </c>
    </row>
    <row r="489" spans="2:26" ht="12.75" customHeight="1" x14ac:dyDescent="0.25">
      <c r="D489" t="s">
        <v>156</v>
      </c>
      <c r="E489" s="89" t="s">
        <v>70</v>
      </c>
      <c r="F489" s="90">
        <v>0</v>
      </c>
      <c r="G489" s="90">
        <v>0</v>
      </c>
      <c r="H489" s="90">
        <v>0</v>
      </c>
      <c r="I489" s="90">
        <v>0</v>
      </c>
      <c r="J489" s="90">
        <v>0</v>
      </c>
      <c r="K489" s="90">
        <v>0</v>
      </c>
      <c r="L489" s="90">
        <v>0</v>
      </c>
      <c r="M489" s="90">
        <v>0</v>
      </c>
      <c r="N489" s="90">
        <v>0</v>
      </c>
      <c r="O489" s="90">
        <v>0</v>
      </c>
      <c r="P489" s="90">
        <v>0</v>
      </c>
      <c r="Q489" s="90">
        <v>0</v>
      </c>
      <c r="R489" s="90">
        <v>0</v>
      </c>
      <c r="S489" s="90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0</v>
      </c>
    </row>
    <row r="490" spans="2:26" s="656" customFormat="1" ht="12.75" customHeight="1" x14ac:dyDescent="0.25">
      <c r="C490" s="656" t="s">
        <v>155</v>
      </c>
      <c r="D490" s="657" t="s">
        <v>70</v>
      </c>
      <c r="E490" s="657"/>
      <c r="F490" s="658">
        <v>0</v>
      </c>
      <c r="G490" s="658">
        <v>0</v>
      </c>
      <c r="H490" s="658">
        <v>0</v>
      </c>
      <c r="I490" s="658">
        <v>0</v>
      </c>
      <c r="J490" s="658">
        <v>0</v>
      </c>
      <c r="K490" s="658">
        <v>0</v>
      </c>
      <c r="L490" s="658">
        <v>0</v>
      </c>
      <c r="M490" s="658">
        <v>0</v>
      </c>
      <c r="N490" s="658">
        <v>0</v>
      </c>
      <c r="O490" s="658">
        <v>0</v>
      </c>
      <c r="P490" s="658">
        <v>0</v>
      </c>
      <c r="Q490" s="658">
        <v>0</v>
      </c>
      <c r="R490" s="658">
        <v>0</v>
      </c>
      <c r="S490" s="658">
        <v>0</v>
      </c>
      <c r="T490" s="656">
        <v>0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0</v>
      </c>
    </row>
    <row r="491" spans="2:26" ht="12.75" customHeight="1" x14ac:dyDescent="0.25">
      <c r="D491" s="89"/>
      <c r="E491" s="89" t="s">
        <v>72</v>
      </c>
      <c r="F491" s="371">
        <v>0</v>
      </c>
      <c r="G491" s="90">
        <v>0</v>
      </c>
      <c r="H491" s="90">
        <v>0</v>
      </c>
      <c r="I491" s="90">
        <v>0</v>
      </c>
      <c r="J491" s="90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5">
      <c r="D492" s="89"/>
      <c r="E492" s="89" t="s">
        <v>81</v>
      </c>
      <c r="F492" s="371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  <c r="N492" s="90">
        <v>0</v>
      </c>
      <c r="O492" s="90">
        <v>0</v>
      </c>
      <c r="P492" s="90">
        <v>0</v>
      </c>
      <c r="Q492" s="90">
        <v>0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5">
      <c r="D493" s="89" t="s">
        <v>115</v>
      </c>
      <c r="E493" s="89" t="s">
        <v>70</v>
      </c>
      <c r="F493" s="371">
        <v>0</v>
      </c>
      <c r="G493" s="90">
        <v>0</v>
      </c>
      <c r="H493" s="90">
        <v>0</v>
      </c>
      <c r="I493" s="90">
        <v>0</v>
      </c>
      <c r="J493" s="90">
        <v>0</v>
      </c>
      <c r="K493" s="90">
        <v>0</v>
      </c>
      <c r="L493" s="90">
        <v>0</v>
      </c>
      <c r="M493" s="90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5">
      <c r="C494" s="89"/>
      <c r="D494" s="89"/>
      <c r="E494" t="s">
        <v>72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5">
      <c r="E495" s="89" t="s">
        <v>81</v>
      </c>
      <c r="F495" s="90">
        <v>0</v>
      </c>
      <c r="G495" s="90">
        <v>0</v>
      </c>
      <c r="H495" s="90">
        <v>0</v>
      </c>
      <c r="I495" s="90">
        <v>0</v>
      </c>
      <c r="J495" s="90">
        <v>0</v>
      </c>
      <c r="K495" s="90">
        <v>0</v>
      </c>
      <c r="L495" s="90">
        <v>0</v>
      </c>
      <c r="M495" s="90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5">
      <c r="D496" s="773">
        <v>2</v>
      </c>
      <c r="E496" s="89" t="s">
        <v>70</v>
      </c>
      <c r="F496" s="90">
        <v>0</v>
      </c>
      <c r="G496" s="90">
        <v>0</v>
      </c>
      <c r="H496" s="90">
        <v>0</v>
      </c>
      <c r="I496" s="90">
        <v>0</v>
      </c>
      <c r="J496" s="90">
        <v>0</v>
      </c>
      <c r="K496" s="90">
        <v>0</v>
      </c>
      <c r="L496" s="90">
        <v>0</v>
      </c>
      <c r="M496" s="90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5">
      <c r="C497" s="89"/>
      <c r="D497" s="89"/>
      <c r="E497" t="s">
        <v>72</v>
      </c>
      <c r="F497" s="90">
        <v>0</v>
      </c>
      <c r="G497" s="90">
        <v>0</v>
      </c>
      <c r="H497" s="90">
        <v>0</v>
      </c>
      <c r="I497" s="90">
        <v>0</v>
      </c>
      <c r="J497" s="90">
        <v>0</v>
      </c>
      <c r="K497" s="90">
        <v>0</v>
      </c>
      <c r="L497" s="90">
        <v>0</v>
      </c>
      <c r="M497" s="90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5">
      <c r="E498" s="89" t="s">
        <v>81</v>
      </c>
      <c r="F498" s="90">
        <v>0</v>
      </c>
      <c r="G498" s="90">
        <v>0</v>
      </c>
      <c r="H498" s="90">
        <v>0</v>
      </c>
      <c r="I498" s="90">
        <v>0</v>
      </c>
      <c r="J498" s="90">
        <v>0</v>
      </c>
      <c r="K498" s="90">
        <v>0</v>
      </c>
      <c r="L498" s="90">
        <v>0</v>
      </c>
      <c r="M498" s="90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5">
      <c r="D499" t="s">
        <v>118</v>
      </c>
      <c r="E499" s="89" t="s">
        <v>70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5">
      <c r="C500" s="223" t="s">
        <v>120</v>
      </c>
      <c r="D500" s="223" t="s">
        <v>70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  <c r="K500" s="225">
        <v>0</v>
      </c>
      <c r="L500" s="225">
        <v>0</v>
      </c>
      <c r="M500" s="225">
        <v>0</v>
      </c>
      <c r="N500" s="225">
        <v>0</v>
      </c>
      <c r="O500" s="225">
        <v>0</v>
      </c>
      <c r="P500" s="225">
        <v>0</v>
      </c>
      <c r="Q500" s="225">
        <v>0</v>
      </c>
      <c r="R500" s="225">
        <v>0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5">
      <c r="E501" s="89" t="s">
        <v>72</v>
      </c>
      <c r="F501" s="90">
        <v>0</v>
      </c>
      <c r="G501" s="90">
        <v>0</v>
      </c>
      <c r="H501" s="90">
        <v>0</v>
      </c>
      <c r="I501" s="90">
        <v>0</v>
      </c>
      <c r="J501" s="90">
        <v>0</v>
      </c>
      <c r="K501" s="90">
        <v>0</v>
      </c>
      <c r="L501" s="90">
        <v>0</v>
      </c>
      <c r="M501" s="90">
        <v>0</v>
      </c>
      <c r="N501" s="90">
        <v>0</v>
      </c>
      <c r="O501" s="90">
        <v>0</v>
      </c>
      <c r="P501" s="90">
        <v>0</v>
      </c>
      <c r="Q501" s="90">
        <v>0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5">
      <c r="D502" s="89"/>
      <c r="E502" s="89" t="s">
        <v>81</v>
      </c>
      <c r="F502" s="90">
        <v>0</v>
      </c>
      <c r="G502" s="90">
        <v>0</v>
      </c>
      <c r="H502" s="90">
        <v>0</v>
      </c>
      <c r="I502" s="90">
        <v>0</v>
      </c>
      <c r="J502" s="90">
        <v>0</v>
      </c>
      <c r="K502" s="90">
        <v>0</v>
      </c>
      <c r="L502" s="90">
        <v>0</v>
      </c>
      <c r="M502" s="90">
        <v>0</v>
      </c>
      <c r="N502" s="90">
        <v>0</v>
      </c>
      <c r="O502" s="90">
        <v>0</v>
      </c>
      <c r="P502" s="90">
        <v>0</v>
      </c>
      <c r="Q502" s="90">
        <v>0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5">
      <c r="D503" t="s">
        <v>82</v>
      </c>
      <c r="E503" s="89" t="s">
        <v>70</v>
      </c>
      <c r="F503" s="90">
        <v>0</v>
      </c>
      <c r="G503" s="90">
        <v>0</v>
      </c>
      <c r="H503" s="90">
        <v>0</v>
      </c>
      <c r="I503" s="90">
        <v>0</v>
      </c>
      <c r="J503" s="90">
        <v>0</v>
      </c>
      <c r="K503" s="90">
        <v>0</v>
      </c>
      <c r="L503" s="90">
        <v>0</v>
      </c>
      <c r="M503" s="90">
        <v>0</v>
      </c>
      <c r="N503" s="90">
        <v>0</v>
      </c>
      <c r="O503" s="90">
        <v>0</v>
      </c>
      <c r="P503" s="90">
        <v>0</v>
      </c>
      <c r="Q503" s="90">
        <v>0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5">
      <c r="E504" s="89" t="s">
        <v>72</v>
      </c>
      <c r="F504" s="90">
        <v>0</v>
      </c>
      <c r="G504" s="90">
        <v>0</v>
      </c>
      <c r="H504" s="90">
        <v>0</v>
      </c>
      <c r="I504" s="90">
        <v>0</v>
      </c>
      <c r="J504" s="90">
        <v>0</v>
      </c>
      <c r="K504" s="90">
        <v>0</v>
      </c>
      <c r="L504" s="90">
        <v>0</v>
      </c>
      <c r="M504" s="90">
        <v>0</v>
      </c>
      <c r="N504" s="90">
        <v>0</v>
      </c>
      <c r="O504" s="90">
        <v>0</v>
      </c>
      <c r="P504" s="90">
        <v>0</v>
      </c>
      <c r="Q504" s="90">
        <v>0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5">
      <c r="D505" s="89"/>
      <c r="E505" s="89" t="s">
        <v>81</v>
      </c>
      <c r="F505" s="90">
        <v>0</v>
      </c>
      <c r="G505" s="90">
        <v>0</v>
      </c>
      <c r="H505" s="90">
        <v>0</v>
      </c>
      <c r="I505" s="90">
        <v>0</v>
      </c>
      <c r="J505" s="90">
        <v>0</v>
      </c>
      <c r="K505" s="90">
        <v>0</v>
      </c>
      <c r="L505" s="90">
        <v>0</v>
      </c>
      <c r="M505" s="90">
        <v>0</v>
      </c>
      <c r="N505" s="90">
        <v>0</v>
      </c>
      <c r="O505" s="90">
        <v>0</v>
      </c>
      <c r="P505" s="90">
        <v>0</v>
      </c>
      <c r="Q505" s="90">
        <v>0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0</v>
      </c>
    </row>
    <row r="506" spans="1:26" ht="12.75" customHeight="1" x14ac:dyDescent="0.25">
      <c r="C506" s="89"/>
      <c r="D506" s="89" t="s">
        <v>86</v>
      </c>
      <c r="E506" t="s">
        <v>70</v>
      </c>
      <c r="F506" s="90">
        <v>0</v>
      </c>
      <c r="G506" s="90">
        <v>0</v>
      </c>
      <c r="H506" s="90">
        <v>0</v>
      </c>
      <c r="I506" s="90">
        <v>0</v>
      </c>
      <c r="J506" s="90">
        <v>0</v>
      </c>
      <c r="K506" s="90">
        <v>0</v>
      </c>
      <c r="L506" s="90">
        <v>0</v>
      </c>
      <c r="M506" s="90">
        <v>0</v>
      </c>
      <c r="N506" s="90">
        <v>0</v>
      </c>
      <c r="O506" s="90">
        <v>0</v>
      </c>
      <c r="P506" s="90">
        <v>0</v>
      </c>
      <c r="Q506" s="90">
        <v>0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0</v>
      </c>
    </row>
    <row r="507" spans="1:26" ht="12.75" customHeight="1" x14ac:dyDescent="0.25">
      <c r="B507" s="89"/>
      <c r="C507" s="89"/>
      <c r="E507" t="s">
        <v>72</v>
      </c>
      <c r="F507" s="90">
        <v>0</v>
      </c>
      <c r="G507" s="90">
        <v>0</v>
      </c>
      <c r="H507" s="90">
        <v>0</v>
      </c>
      <c r="I507" s="90">
        <v>0</v>
      </c>
      <c r="J507" s="90">
        <v>0</v>
      </c>
      <c r="K507" s="90">
        <v>0</v>
      </c>
      <c r="L507" s="90">
        <v>0</v>
      </c>
      <c r="M507" s="90">
        <v>0</v>
      </c>
      <c r="N507" s="90">
        <v>0</v>
      </c>
      <c r="O507" s="90">
        <v>0</v>
      </c>
      <c r="P507" s="90">
        <v>0</v>
      </c>
      <c r="Q507" s="90">
        <v>0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5">
      <c r="A508" s="89"/>
      <c r="B508" s="89"/>
      <c r="E508" t="s">
        <v>81</v>
      </c>
      <c r="F508" s="90">
        <v>0</v>
      </c>
      <c r="G508" s="90">
        <v>0</v>
      </c>
      <c r="H508" s="90">
        <v>0</v>
      </c>
      <c r="I508" s="90">
        <v>0</v>
      </c>
      <c r="J508" s="90">
        <v>0</v>
      </c>
      <c r="K508" s="90">
        <v>0</v>
      </c>
      <c r="L508" s="90">
        <v>0</v>
      </c>
      <c r="M508" s="90">
        <v>0</v>
      </c>
      <c r="N508" s="90">
        <v>0</v>
      </c>
      <c r="O508" s="90">
        <v>0</v>
      </c>
      <c r="P508" s="90">
        <v>0</v>
      </c>
      <c r="Q508" s="90">
        <v>0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5">
      <c r="A509" s="89"/>
      <c r="B509" s="89"/>
      <c r="D509" t="s">
        <v>87</v>
      </c>
      <c r="E509" t="s">
        <v>70</v>
      </c>
      <c r="F509" s="371">
        <v>0</v>
      </c>
      <c r="G509" s="90">
        <v>0</v>
      </c>
      <c r="H509" s="90">
        <v>0</v>
      </c>
      <c r="I509" s="90">
        <v>0</v>
      </c>
      <c r="J509" s="90">
        <v>0</v>
      </c>
      <c r="K509" s="90">
        <v>0</v>
      </c>
      <c r="L509" s="90">
        <v>0</v>
      </c>
      <c r="M509" s="90">
        <v>0</v>
      </c>
      <c r="N509" s="90">
        <v>0</v>
      </c>
      <c r="O509" s="90">
        <v>0</v>
      </c>
      <c r="P509" s="90">
        <v>0</v>
      </c>
      <c r="Q509" s="90">
        <v>0</v>
      </c>
      <c r="R509" s="90">
        <v>0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5">
      <c r="C510" s="101" t="s">
        <v>119</v>
      </c>
      <c r="D510" s="101" t="s">
        <v>70</v>
      </c>
      <c r="F510" s="93">
        <v>0</v>
      </c>
      <c r="G510" s="93">
        <v>0</v>
      </c>
      <c r="H510" s="93">
        <v>0</v>
      </c>
      <c r="I510" s="93">
        <v>0</v>
      </c>
      <c r="J510" s="93">
        <v>0</v>
      </c>
      <c r="K510" s="93">
        <v>0</v>
      </c>
      <c r="L510" s="93">
        <v>0</v>
      </c>
      <c r="M510" s="93">
        <v>0</v>
      </c>
      <c r="N510" s="93">
        <v>0</v>
      </c>
      <c r="O510" s="93">
        <v>0</v>
      </c>
      <c r="P510" s="93">
        <v>0</v>
      </c>
      <c r="Q510" s="93">
        <v>0</v>
      </c>
      <c r="R510" s="93">
        <v>0</v>
      </c>
      <c r="S510" s="93">
        <v>0</v>
      </c>
      <c r="T510" s="94">
        <v>0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0</v>
      </c>
    </row>
    <row r="511" spans="1:26" s="226" customFormat="1" ht="12.75" customHeight="1" x14ac:dyDescent="0.25">
      <c r="B511" s="98" t="s">
        <v>112</v>
      </c>
      <c r="C511" s="98" t="s">
        <v>70</v>
      </c>
      <c r="F511" s="100">
        <v>0</v>
      </c>
      <c r="G511" s="100">
        <v>0</v>
      </c>
      <c r="H511" s="100">
        <v>0</v>
      </c>
      <c r="I511" s="100">
        <v>0</v>
      </c>
      <c r="J511" s="100">
        <v>0</v>
      </c>
      <c r="K511" s="100">
        <v>0</v>
      </c>
      <c r="L511" s="100">
        <v>0</v>
      </c>
      <c r="M511" s="100">
        <v>0</v>
      </c>
      <c r="N511" s="100">
        <v>0</v>
      </c>
      <c r="O511" s="100">
        <v>0</v>
      </c>
      <c r="P511" s="100">
        <v>0</v>
      </c>
      <c r="Q511" s="100">
        <v>0</v>
      </c>
      <c r="R511" s="100">
        <v>0</v>
      </c>
      <c r="S511" s="100">
        <v>0</v>
      </c>
      <c r="T511" s="226">
        <v>0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0</v>
      </c>
    </row>
    <row r="512" spans="1:26" ht="12" customHeight="1" x14ac:dyDescent="0.25">
      <c r="A512" s="89" t="s">
        <v>78</v>
      </c>
      <c r="B512" s="89" t="s">
        <v>70</v>
      </c>
      <c r="F512" s="371">
        <v>0</v>
      </c>
      <c r="G512" s="90">
        <v>0</v>
      </c>
      <c r="H512" s="90">
        <v>0</v>
      </c>
      <c r="I512" s="90">
        <v>0</v>
      </c>
      <c r="J512" s="90">
        <v>0</v>
      </c>
      <c r="K512" s="90">
        <v>0</v>
      </c>
      <c r="L512" s="90">
        <v>0</v>
      </c>
      <c r="M512" s="90">
        <v>0</v>
      </c>
      <c r="N512" s="90">
        <v>0</v>
      </c>
      <c r="O512" s="90">
        <v>0</v>
      </c>
      <c r="P512" s="90">
        <v>0</v>
      </c>
      <c r="Q512" s="90">
        <v>0</v>
      </c>
      <c r="R512" s="90">
        <v>0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0</v>
      </c>
    </row>
    <row r="513" spans="2:26" ht="12.75" customHeight="1" x14ac:dyDescent="0.25">
      <c r="B513" s="89"/>
      <c r="C513" s="89"/>
      <c r="E513" t="s">
        <v>73</v>
      </c>
      <c r="F513" s="90">
        <v>0</v>
      </c>
      <c r="G513" s="90">
        <v>0</v>
      </c>
      <c r="H513" s="90">
        <v>0</v>
      </c>
      <c r="I513" s="90">
        <v>0</v>
      </c>
      <c r="J513" s="90">
        <v>0</v>
      </c>
      <c r="K513" s="90">
        <v>0</v>
      </c>
      <c r="L513" s="90">
        <v>0</v>
      </c>
      <c r="M513" s="90">
        <v>0</v>
      </c>
      <c r="N513" s="90">
        <v>0</v>
      </c>
      <c r="O513" s="90">
        <v>0</v>
      </c>
      <c r="P513" s="90">
        <v>0</v>
      </c>
      <c r="Q513" s="90">
        <v>0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5">
      <c r="B514" s="89"/>
      <c r="C514" s="89"/>
      <c r="D514" t="s">
        <v>156</v>
      </c>
      <c r="E514" t="s">
        <v>70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90">
        <v>0</v>
      </c>
      <c r="M514" s="90">
        <v>0</v>
      </c>
      <c r="N514" s="90">
        <v>0</v>
      </c>
      <c r="O514" s="90">
        <v>0</v>
      </c>
      <c r="P514" s="90">
        <v>0</v>
      </c>
      <c r="Q514" s="90">
        <v>0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5">
      <c r="C515" s="656" t="s">
        <v>155</v>
      </c>
      <c r="D515" s="657" t="s">
        <v>70</v>
      </c>
      <c r="E515" s="657"/>
      <c r="F515" s="658">
        <v>0</v>
      </c>
      <c r="G515" s="658">
        <v>0</v>
      </c>
      <c r="H515" s="658">
        <v>0</v>
      </c>
      <c r="I515" s="658">
        <v>0</v>
      </c>
      <c r="J515" s="658">
        <v>0</v>
      </c>
      <c r="K515" s="658">
        <v>0</v>
      </c>
      <c r="L515" s="658">
        <v>0</v>
      </c>
      <c r="M515" s="658">
        <v>0</v>
      </c>
      <c r="N515" s="658">
        <v>0</v>
      </c>
      <c r="O515" s="658">
        <v>0</v>
      </c>
      <c r="P515" s="658">
        <v>0</v>
      </c>
      <c r="Q515" s="658">
        <v>0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5">
      <c r="E516" s="89" t="s">
        <v>73</v>
      </c>
      <c r="F516" s="90">
        <v>0</v>
      </c>
      <c r="G516" s="90">
        <v>0</v>
      </c>
      <c r="H516" s="90">
        <v>0</v>
      </c>
      <c r="I516" s="90">
        <v>0</v>
      </c>
      <c r="J516" s="90">
        <v>0</v>
      </c>
      <c r="K516" s="90">
        <v>0</v>
      </c>
      <c r="L516" s="90">
        <v>0</v>
      </c>
      <c r="M516" s="90">
        <v>0</v>
      </c>
      <c r="N516" s="90">
        <v>0</v>
      </c>
      <c r="O516" s="90">
        <v>0</v>
      </c>
      <c r="P516" s="90">
        <v>0</v>
      </c>
      <c r="Q516" s="90">
        <v>0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5">
      <c r="D517" t="s">
        <v>115</v>
      </c>
      <c r="E517" s="89" t="s">
        <v>70</v>
      </c>
      <c r="F517" s="371">
        <v>0</v>
      </c>
      <c r="G517" s="90">
        <v>0</v>
      </c>
      <c r="H517" s="90">
        <v>0</v>
      </c>
      <c r="I517" s="90">
        <v>0</v>
      </c>
      <c r="J517" s="90">
        <v>0</v>
      </c>
      <c r="K517" s="90">
        <v>0</v>
      </c>
      <c r="L517" s="90">
        <v>0</v>
      </c>
      <c r="M517" s="90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5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5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5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5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5">
      <c r="C522" s="223" t="s">
        <v>120</v>
      </c>
      <c r="D522" s="223" t="s">
        <v>70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>
        <v>0</v>
      </c>
      <c r="P522" s="225">
        <v>0</v>
      </c>
      <c r="Q522" s="225">
        <v>0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5">
      <c r="D523" s="89"/>
      <c r="E523" s="89" t="s">
        <v>73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5">
      <c r="D524" s="89" t="s">
        <v>82</v>
      </c>
      <c r="E524" s="89" t="s">
        <v>70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5">
      <c r="D525" s="89"/>
      <c r="E525" s="89" t="s">
        <v>73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5">
      <c r="D526" s="89" t="s">
        <v>86</v>
      </c>
      <c r="E526" s="89" t="s">
        <v>70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5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5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5">
      <c r="C529" s="94" t="s">
        <v>119</v>
      </c>
      <c r="D529" s="94" t="s">
        <v>70</v>
      </c>
      <c r="E529" s="101"/>
      <c r="F529" s="93">
        <v>0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93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5">
      <c r="B530" s="378" t="s">
        <v>122</v>
      </c>
      <c r="C530" s="378" t="s">
        <v>70</v>
      </c>
      <c r="E530" s="376"/>
      <c r="F530" s="377">
        <v>0</v>
      </c>
      <c r="G530" s="377">
        <v>0</v>
      </c>
      <c r="H530" s="377">
        <v>0</v>
      </c>
      <c r="I530" s="377">
        <v>0</v>
      </c>
      <c r="J530" s="377">
        <v>0</v>
      </c>
      <c r="K530" s="377">
        <v>0</v>
      </c>
      <c r="L530" s="377">
        <v>0</v>
      </c>
      <c r="M530" s="377">
        <v>0</v>
      </c>
      <c r="N530" s="377">
        <v>0</v>
      </c>
      <c r="O530" s="377">
        <v>0</v>
      </c>
      <c r="P530" s="377">
        <v>0</v>
      </c>
      <c r="Q530" s="377">
        <v>0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5">
      <c r="E531" s="89" t="s">
        <v>73</v>
      </c>
      <c r="F531" s="90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5">
      <c r="D532" s="89" t="s">
        <v>156</v>
      </c>
      <c r="E532" s="89" t="s">
        <v>70</v>
      </c>
      <c r="F532" s="90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5">
      <c r="C533" s="656" t="s">
        <v>155</v>
      </c>
      <c r="D533" s="657" t="s">
        <v>70</v>
      </c>
      <c r="E533" s="657"/>
      <c r="F533" s="738">
        <v>0</v>
      </c>
      <c r="G533" s="658">
        <v>0</v>
      </c>
      <c r="H533" s="658">
        <v>0</v>
      </c>
      <c r="I533" s="658">
        <v>0</v>
      </c>
      <c r="J533" s="658">
        <v>0</v>
      </c>
      <c r="K533" s="658">
        <v>0</v>
      </c>
      <c r="L533" s="658">
        <v>0</v>
      </c>
      <c r="M533" s="658">
        <v>0</v>
      </c>
      <c r="N533" s="658">
        <v>0</v>
      </c>
      <c r="O533" s="658">
        <v>0</v>
      </c>
      <c r="P533" s="658">
        <v>0</v>
      </c>
      <c r="Q533" s="658">
        <v>0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5">
      <c r="D534" s="89"/>
      <c r="E534" s="89" t="s">
        <v>73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5">
      <c r="D535" s="89" t="s">
        <v>115</v>
      </c>
      <c r="E535" s="89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5">
      <c r="E536" s="89" t="s">
        <v>73</v>
      </c>
      <c r="F536" s="90">
        <v>0</v>
      </c>
      <c r="G536" s="90">
        <v>0</v>
      </c>
      <c r="H536" s="90">
        <v>0</v>
      </c>
      <c r="I536" s="90">
        <v>0</v>
      </c>
      <c r="J536" s="90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5">
      <c r="D537" s="773">
        <v>2</v>
      </c>
      <c r="E537" s="89" t="s">
        <v>70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5">
      <c r="E538" s="89" t="s">
        <v>73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5">
      <c r="D539" s="89" t="s">
        <v>118</v>
      </c>
      <c r="E539" s="89" t="s">
        <v>70</v>
      </c>
      <c r="F539" s="90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5">
      <c r="C540" s="223" t="s">
        <v>120</v>
      </c>
      <c r="D540" s="223" t="s">
        <v>70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>
        <v>0</v>
      </c>
      <c r="P540" s="225">
        <v>0</v>
      </c>
      <c r="Q540" s="225">
        <v>0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5">
      <c r="E541" s="89" t="s">
        <v>73</v>
      </c>
      <c r="F541" s="90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5">
      <c r="D542" s="89" t="s">
        <v>82</v>
      </c>
      <c r="E542" s="89" t="s">
        <v>70</v>
      </c>
      <c r="F542" s="90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5">
      <c r="E543" s="89" t="s">
        <v>73</v>
      </c>
      <c r="F543" s="90">
        <v>0</v>
      </c>
      <c r="G543" s="90">
        <v>0</v>
      </c>
      <c r="H543" s="90">
        <v>0</v>
      </c>
      <c r="I543" s="90">
        <v>0</v>
      </c>
      <c r="J543" s="90">
        <v>0</v>
      </c>
      <c r="K543" s="90">
        <v>0</v>
      </c>
      <c r="L543" s="90">
        <v>0</v>
      </c>
      <c r="M543" s="90">
        <v>0</v>
      </c>
      <c r="N543" s="90">
        <v>0</v>
      </c>
      <c r="O543" s="90">
        <v>0</v>
      </c>
      <c r="P543" s="90">
        <v>0</v>
      </c>
      <c r="Q543" s="90">
        <v>0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5">
      <c r="D544" s="89" t="s">
        <v>86</v>
      </c>
      <c r="E544" s="89" t="s">
        <v>70</v>
      </c>
      <c r="F544" s="90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5">
      <c r="E545" s="89" t="s">
        <v>73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5">
      <c r="D546" s="89" t="s">
        <v>87</v>
      </c>
      <c r="E546" s="89" t="s">
        <v>70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5">
      <c r="C547" s="101" t="s">
        <v>119</v>
      </c>
      <c r="D547" s="101" t="s">
        <v>70</v>
      </c>
      <c r="F547" s="93">
        <v>0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5">
      <c r="B548" s="98" t="s">
        <v>112</v>
      </c>
      <c r="C548" s="98" t="s">
        <v>70</v>
      </c>
      <c r="F548" s="100">
        <v>0</v>
      </c>
      <c r="G548" s="100">
        <v>0</v>
      </c>
      <c r="H548" s="100">
        <v>0</v>
      </c>
      <c r="I548" s="100">
        <v>0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100">
        <v>0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5">
      <c r="A549" s="89" t="s">
        <v>79</v>
      </c>
      <c r="B549" s="89" t="s">
        <v>70</v>
      </c>
      <c r="F549" s="90">
        <v>0</v>
      </c>
      <c r="G549" s="90">
        <v>0</v>
      </c>
      <c r="H549" s="90">
        <v>0</v>
      </c>
      <c r="I549" s="90">
        <v>0</v>
      </c>
      <c r="J549" s="90">
        <v>0</v>
      </c>
      <c r="K549" s="90">
        <v>0</v>
      </c>
      <c r="L549" s="90">
        <v>0</v>
      </c>
      <c r="M549" s="90">
        <v>0</v>
      </c>
      <c r="N549" s="90">
        <v>0</v>
      </c>
      <c r="O549" s="90">
        <v>0</v>
      </c>
      <c r="P549" s="90">
        <v>0</v>
      </c>
      <c r="Q549" s="90">
        <v>0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5">
      <c r="A550" s="89" t="s">
        <v>70</v>
      </c>
      <c r="F550" s="90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0</v>
      </c>
    </row>
    <row r="551" spans="1:26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5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5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5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5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5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5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5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5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5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5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5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5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5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5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7" t="s">
        <v>2</v>
      </c>
      <c r="D568" s="775" t="s">
        <v>132</v>
      </c>
      <c r="E568" s="98" t="s">
        <v>70</v>
      </c>
      <c r="F568" s="100">
        <f>F511+F548+F460-L460-L511</f>
        <v>0</v>
      </c>
      <c r="G568" s="100">
        <f>G511+G460</f>
        <v>0</v>
      </c>
      <c r="H568" s="100">
        <f t="shared" ref="H568:AO568" si="23">H511+H460</f>
        <v>0</v>
      </c>
      <c r="I568" s="100">
        <f t="shared" si="23"/>
        <v>0</v>
      </c>
      <c r="J568" s="100">
        <f t="shared" si="23"/>
        <v>0</v>
      </c>
      <c r="K568" s="100">
        <f t="shared" si="23"/>
        <v>0</v>
      </c>
      <c r="L568" s="100">
        <f t="shared" si="23"/>
        <v>0</v>
      </c>
      <c r="M568" s="100">
        <f t="shared" si="23"/>
        <v>0</v>
      </c>
      <c r="N568" s="100">
        <f t="shared" si="23"/>
        <v>0</v>
      </c>
      <c r="O568" s="100">
        <f t="shared" si="23"/>
        <v>0</v>
      </c>
      <c r="P568" s="100">
        <f t="shared" si="23"/>
        <v>0</v>
      </c>
      <c r="Q568" s="100">
        <f t="shared" si="23"/>
        <v>0</v>
      </c>
      <c r="R568" s="100">
        <f t="shared" si="23"/>
        <v>0</v>
      </c>
      <c r="S568" s="100">
        <f t="shared" si="23"/>
        <v>0</v>
      </c>
      <c r="T568" s="100">
        <f t="shared" si="23"/>
        <v>0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0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5">
      <c r="C569" s="777"/>
      <c r="D569" s="775"/>
      <c r="E569" s="98" t="s">
        <v>73</v>
      </c>
      <c r="F569" s="100">
        <f>F548</f>
        <v>0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5">
      <c r="C570" s="777"/>
      <c r="D570" s="775" t="s">
        <v>133</v>
      </c>
      <c r="E570" s="233" t="s">
        <v>70</v>
      </c>
      <c r="F570" s="234">
        <f>F530+F486-L486</f>
        <v>0</v>
      </c>
      <c r="G570" s="234">
        <f t="shared" ref="G570:AA570" si="24">G486</f>
        <v>0</v>
      </c>
      <c r="H570" s="234">
        <f t="shared" si="24"/>
        <v>0</v>
      </c>
      <c r="I570" s="234">
        <f t="shared" si="24"/>
        <v>0</v>
      </c>
      <c r="J570" s="234">
        <f t="shared" si="24"/>
        <v>0</v>
      </c>
      <c r="K570" s="234">
        <f t="shared" si="24"/>
        <v>0</v>
      </c>
      <c r="L570" s="234">
        <f t="shared" si="24"/>
        <v>0</v>
      </c>
      <c r="M570" s="234">
        <f t="shared" si="24"/>
        <v>0</v>
      </c>
      <c r="N570" s="234">
        <f t="shared" si="24"/>
        <v>0</v>
      </c>
      <c r="O570" s="234">
        <f t="shared" si="24"/>
        <v>0</v>
      </c>
      <c r="P570" s="234">
        <f t="shared" si="24"/>
        <v>0</v>
      </c>
      <c r="Q570" s="234">
        <f t="shared" si="24"/>
        <v>0</v>
      </c>
      <c r="R570" s="234">
        <f t="shared" si="24"/>
        <v>0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0</v>
      </c>
      <c r="AA570" s="234">
        <f t="shared" si="24"/>
        <v>0</v>
      </c>
    </row>
    <row r="571" spans="1:41" ht="12.75" customHeight="1" x14ac:dyDescent="0.25">
      <c r="C571" s="777"/>
      <c r="D571" s="775"/>
      <c r="E571" s="233" t="s">
        <v>73</v>
      </c>
      <c r="F571" s="234">
        <f>F530</f>
        <v>0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5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7" t="s">
        <v>160</v>
      </c>
      <c r="D573" s="775" t="s">
        <v>132</v>
      </c>
      <c r="E573" s="223" t="s">
        <v>70</v>
      </c>
      <c r="F573" s="225">
        <f>F540+F500-L500</f>
        <v>0</v>
      </c>
      <c r="G573" s="225">
        <f t="shared" ref="G573:AO573" si="25">G500</f>
        <v>0</v>
      </c>
      <c r="H573" s="225">
        <f t="shared" si="25"/>
        <v>0</v>
      </c>
      <c r="I573" s="225">
        <f t="shared" si="25"/>
        <v>0</v>
      </c>
      <c r="J573" s="225">
        <f t="shared" si="25"/>
        <v>0</v>
      </c>
      <c r="K573" s="225">
        <f t="shared" si="25"/>
        <v>0</v>
      </c>
      <c r="L573" s="225">
        <f t="shared" si="25"/>
        <v>0</v>
      </c>
      <c r="M573" s="225">
        <f t="shared" si="25"/>
        <v>0</v>
      </c>
      <c r="N573" s="225">
        <f t="shared" si="25"/>
        <v>0</v>
      </c>
      <c r="O573" s="225">
        <f t="shared" si="25"/>
        <v>0</v>
      </c>
      <c r="P573" s="225">
        <f t="shared" si="25"/>
        <v>0</v>
      </c>
      <c r="Q573" s="225">
        <f t="shared" si="25"/>
        <v>0</v>
      </c>
      <c r="R573" s="225">
        <f t="shared" si="25"/>
        <v>0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5">
      <c r="C574" s="777"/>
      <c r="D574" s="775"/>
      <c r="E574" s="223" t="s">
        <v>73</v>
      </c>
      <c r="F574" s="225">
        <f>F540</f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5">
      <c r="C575" s="777"/>
      <c r="D575" s="775" t="s">
        <v>133</v>
      </c>
      <c r="E575" s="227" t="s">
        <v>70</v>
      </c>
      <c r="F575" s="228">
        <f>F522+F475-L475</f>
        <v>0</v>
      </c>
      <c r="G575" s="228">
        <f t="shared" ref="G575:Z575" si="26">G475</f>
        <v>0</v>
      </c>
      <c r="H575" s="228">
        <f t="shared" si="26"/>
        <v>0</v>
      </c>
      <c r="I575" s="228">
        <f t="shared" si="26"/>
        <v>0</v>
      </c>
      <c r="J575" s="228">
        <f t="shared" si="26"/>
        <v>0</v>
      </c>
      <c r="K575" s="228">
        <f t="shared" si="26"/>
        <v>0</v>
      </c>
      <c r="L575" s="228">
        <f t="shared" si="26"/>
        <v>0</v>
      </c>
      <c r="M575" s="228">
        <f t="shared" si="26"/>
        <v>0</v>
      </c>
      <c r="N575" s="228">
        <f t="shared" si="26"/>
        <v>0</v>
      </c>
      <c r="O575" s="228">
        <f t="shared" si="26"/>
        <v>0</v>
      </c>
      <c r="P575" s="228">
        <f t="shared" si="26"/>
        <v>0</v>
      </c>
      <c r="Q575" s="228">
        <f t="shared" si="26"/>
        <v>0</v>
      </c>
      <c r="R575" s="228">
        <f t="shared" si="26"/>
        <v>0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5">
      <c r="C576" s="777"/>
      <c r="D576" s="775"/>
      <c r="E576" s="227" t="s">
        <v>73</v>
      </c>
      <c r="F576" s="228">
        <f>F522</f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5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5">
      <c r="C578" s="777" t="s">
        <v>155</v>
      </c>
      <c r="D578" s="775" t="s">
        <v>132</v>
      </c>
      <c r="E578" s="221" t="s">
        <v>70</v>
      </c>
      <c r="F578" s="222">
        <f>F533+F490+F452-L452-L490</f>
        <v>0</v>
      </c>
      <c r="G578" s="222">
        <f t="shared" ref="G578:Z578" si="27">G490+G452</f>
        <v>0</v>
      </c>
      <c r="H578" s="222">
        <f t="shared" si="27"/>
        <v>0</v>
      </c>
      <c r="I578" s="222">
        <f t="shared" si="27"/>
        <v>0</v>
      </c>
      <c r="J578" s="222">
        <f t="shared" si="27"/>
        <v>0</v>
      </c>
      <c r="K578" s="222">
        <f t="shared" si="27"/>
        <v>0</v>
      </c>
      <c r="L578" s="222">
        <f t="shared" si="27"/>
        <v>0</v>
      </c>
      <c r="M578" s="222">
        <f t="shared" si="27"/>
        <v>0</v>
      </c>
      <c r="N578" s="222">
        <f t="shared" si="27"/>
        <v>0</v>
      </c>
      <c r="O578" s="222">
        <f t="shared" si="27"/>
        <v>0</v>
      </c>
      <c r="P578" s="222">
        <f t="shared" si="27"/>
        <v>0</v>
      </c>
      <c r="Q578" s="222">
        <f t="shared" si="27"/>
        <v>0</v>
      </c>
      <c r="R578" s="222">
        <f t="shared" si="27"/>
        <v>0</v>
      </c>
      <c r="S578" s="222">
        <f t="shared" si="27"/>
        <v>0</v>
      </c>
      <c r="T578" s="222">
        <f t="shared" si="27"/>
        <v>0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0</v>
      </c>
    </row>
    <row r="579" spans="1:41" ht="12.75" customHeight="1" x14ac:dyDescent="0.25">
      <c r="C579" s="777"/>
      <c r="D579" s="775"/>
      <c r="E579" s="221" t="s">
        <v>73</v>
      </c>
      <c r="F579" s="222">
        <f>F533</f>
        <v>0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5">
      <c r="C580" s="777"/>
      <c r="D580" s="775" t="s">
        <v>133</v>
      </c>
      <c r="E580" s="229" t="s">
        <v>70</v>
      </c>
      <c r="F580" s="230">
        <f>F515+F465-L465</f>
        <v>0</v>
      </c>
      <c r="G580" s="230">
        <f t="shared" ref="G580:Z580" si="28">G465</f>
        <v>0</v>
      </c>
      <c r="H580" s="230">
        <f t="shared" si="28"/>
        <v>0</v>
      </c>
      <c r="I580" s="230">
        <f t="shared" si="28"/>
        <v>0</v>
      </c>
      <c r="J580" s="230">
        <f t="shared" si="28"/>
        <v>0</v>
      </c>
      <c r="K580" s="230">
        <f t="shared" si="28"/>
        <v>0</v>
      </c>
      <c r="L580" s="230">
        <f t="shared" si="28"/>
        <v>0</v>
      </c>
      <c r="M580" s="230">
        <f t="shared" si="28"/>
        <v>0</v>
      </c>
      <c r="N580" s="230">
        <f t="shared" si="28"/>
        <v>0</v>
      </c>
      <c r="O580" s="230">
        <f t="shared" si="28"/>
        <v>0</v>
      </c>
      <c r="P580" s="230">
        <f t="shared" si="28"/>
        <v>0</v>
      </c>
      <c r="Q580" s="230">
        <f t="shared" si="28"/>
        <v>0</v>
      </c>
      <c r="R580" s="230">
        <f t="shared" si="28"/>
        <v>0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0</v>
      </c>
    </row>
    <row r="581" spans="1:41" ht="12.75" customHeight="1" x14ac:dyDescent="0.25">
      <c r="C581" s="777"/>
      <c r="D581" s="775"/>
      <c r="E581" s="229" t="s">
        <v>73</v>
      </c>
      <c r="F581" s="230">
        <f>F515</f>
        <v>0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5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5">
      <c r="C583" s="778" t="s">
        <v>326</v>
      </c>
      <c r="D583" s="775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5">
      <c r="C584" s="778"/>
      <c r="D584" s="775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5">
      <c r="C585" s="778"/>
      <c r="D585" s="775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5">
      <c r="C586" s="778"/>
      <c r="D586" s="775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5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5">
      <c r="C588" s="777" t="s">
        <v>119</v>
      </c>
      <c r="D588" s="775" t="s">
        <v>132</v>
      </c>
      <c r="E588" s="101" t="s">
        <v>70</v>
      </c>
      <c r="F588" s="93">
        <f>F547+F510+F459-L459-L510</f>
        <v>0</v>
      </c>
      <c r="G588" s="93">
        <f t="shared" ref="G588:AO588" si="29">G510+G459</f>
        <v>0</v>
      </c>
      <c r="H588" s="93">
        <f t="shared" si="29"/>
        <v>0</v>
      </c>
      <c r="I588" s="93">
        <f t="shared" si="29"/>
        <v>0</v>
      </c>
      <c r="J588" s="93">
        <f t="shared" si="29"/>
        <v>0</v>
      </c>
      <c r="K588" s="93">
        <f t="shared" si="29"/>
        <v>0</v>
      </c>
      <c r="L588" s="93">
        <f t="shared" si="29"/>
        <v>0</v>
      </c>
      <c r="M588" s="93">
        <f t="shared" si="29"/>
        <v>0</v>
      </c>
      <c r="N588" s="93">
        <f t="shared" si="29"/>
        <v>0</v>
      </c>
      <c r="O588" s="93">
        <f t="shared" si="29"/>
        <v>0</v>
      </c>
      <c r="P588" s="93">
        <f t="shared" si="29"/>
        <v>0</v>
      </c>
      <c r="Q588" s="93">
        <f t="shared" si="29"/>
        <v>0</v>
      </c>
      <c r="R588" s="93">
        <f t="shared" si="29"/>
        <v>0</v>
      </c>
      <c r="S588" s="93">
        <f t="shared" si="29"/>
        <v>0</v>
      </c>
      <c r="T588" s="93">
        <f t="shared" si="29"/>
        <v>0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0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5">
      <c r="C589" s="777"/>
      <c r="D589" s="775"/>
      <c r="E589" s="101" t="s">
        <v>73</v>
      </c>
      <c r="F589" s="93">
        <f>F547</f>
        <v>0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5">
      <c r="C590" s="777"/>
      <c r="D590" s="775" t="s">
        <v>133</v>
      </c>
      <c r="E590" s="235" t="s">
        <v>70</v>
      </c>
      <c r="F590" s="236">
        <f>F529+F485-L485</f>
        <v>0</v>
      </c>
      <c r="G590" s="236">
        <f t="shared" ref="G590:Z590" si="30">G485</f>
        <v>0</v>
      </c>
      <c r="H590" s="236">
        <f t="shared" si="30"/>
        <v>0</v>
      </c>
      <c r="I590" s="236">
        <f t="shared" si="30"/>
        <v>0</v>
      </c>
      <c r="J590" s="236">
        <f t="shared" si="30"/>
        <v>0</v>
      </c>
      <c r="K590" s="236">
        <f t="shared" si="30"/>
        <v>0</v>
      </c>
      <c r="L590" s="236">
        <f t="shared" si="30"/>
        <v>0</v>
      </c>
      <c r="M590" s="236">
        <f t="shared" si="30"/>
        <v>0</v>
      </c>
      <c r="N590" s="236">
        <f t="shared" si="30"/>
        <v>0</v>
      </c>
      <c r="O590" s="236">
        <f t="shared" si="30"/>
        <v>0</v>
      </c>
      <c r="P590" s="236">
        <f t="shared" si="30"/>
        <v>0</v>
      </c>
      <c r="Q590" s="236">
        <f t="shared" si="30"/>
        <v>0</v>
      </c>
      <c r="R590" s="236">
        <f t="shared" si="30"/>
        <v>0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5">
      <c r="C591" s="777"/>
      <c r="D591" s="775"/>
      <c r="E591" s="235" t="s">
        <v>73</v>
      </c>
      <c r="F591" s="236">
        <f>F529</f>
        <v>0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5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5">
      <c r="C593" s="776" t="s">
        <v>161</v>
      </c>
      <c r="D593" s="775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5">
      <c r="C594" s="776"/>
      <c r="D594" s="775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5">
      <c r="C595" s="776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5">
      <c r="C596" s="776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5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5">
      <c r="D598" s="458" t="s">
        <v>186</v>
      </c>
      <c r="E598" s="459" t="s">
        <v>70</v>
      </c>
      <c r="F598" s="460">
        <f>F460</f>
        <v>0</v>
      </c>
      <c r="G598" s="460">
        <f t="shared" ref="G598:Z598" si="31">G460</f>
        <v>0</v>
      </c>
      <c r="H598" s="460">
        <f t="shared" si="31"/>
        <v>0</v>
      </c>
      <c r="I598" s="460">
        <f t="shared" si="31"/>
        <v>0</v>
      </c>
      <c r="J598" s="460">
        <f t="shared" si="31"/>
        <v>0</v>
      </c>
      <c r="K598" s="460">
        <f t="shared" si="31"/>
        <v>0</v>
      </c>
      <c r="L598" s="460">
        <f t="shared" si="31"/>
        <v>0</v>
      </c>
      <c r="M598" s="460">
        <f t="shared" si="31"/>
        <v>0</v>
      </c>
      <c r="N598" s="460">
        <f t="shared" si="31"/>
        <v>0</v>
      </c>
      <c r="O598" s="460">
        <f t="shared" si="31"/>
        <v>0</v>
      </c>
      <c r="P598" s="460">
        <f t="shared" si="31"/>
        <v>0</v>
      </c>
      <c r="Q598" s="460">
        <f t="shared" si="31"/>
        <v>0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5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5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5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5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5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5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5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5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5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5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5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5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5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5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5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5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5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5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5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5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5">
      <c r="E619" t="s">
        <v>72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370.08</v>
      </c>
      <c r="R619" s="90">
        <v>-1.95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5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5">
      <c r="D621" t="s">
        <v>82</v>
      </c>
      <c r="E621" t="s">
        <v>70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370.15</v>
      </c>
      <c r="R621" s="90">
        <v>-1.95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5">
      <c r="E622" t="s">
        <v>72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370.08</v>
      </c>
      <c r="R622" s="90">
        <v>-1.95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5">
      <c r="E623" t="s">
        <v>81</v>
      </c>
      <c r="F623" s="90">
        <v>0</v>
      </c>
      <c r="G623" s="90">
        <v>0</v>
      </c>
      <c r="H623" s="90">
        <v>0</v>
      </c>
      <c r="I623" s="90">
        <v>0</v>
      </c>
      <c r="J623" s="90">
        <v>0</v>
      </c>
      <c r="K623" s="90">
        <v>0</v>
      </c>
      <c r="L623" s="90">
        <v>0</v>
      </c>
      <c r="M623" s="90">
        <v>0</v>
      </c>
      <c r="N623" s="90">
        <v>0</v>
      </c>
      <c r="O623" s="90">
        <v>0</v>
      </c>
      <c r="P623" s="90">
        <v>0</v>
      </c>
      <c r="Q623" s="90">
        <v>7.0000000000000007E-2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5">
      <c r="D624" t="s">
        <v>86</v>
      </c>
      <c r="E624" t="s">
        <v>70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370.15</v>
      </c>
      <c r="R624" s="90">
        <v>-1.95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5">
      <c r="E625" s="89" t="s">
        <v>72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5">
      <c r="E626" t="s">
        <v>81</v>
      </c>
      <c r="F626" s="90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5">
      <c r="D627" t="s">
        <v>87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5">
      <c r="C628" s="101" t="s">
        <v>119</v>
      </c>
      <c r="D628" s="101" t="s">
        <v>70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5">
      <c r="B629" s="378" t="s">
        <v>122</v>
      </c>
      <c r="C629" s="378" t="s">
        <v>70</v>
      </c>
      <c r="E629" s="376"/>
      <c r="F629" s="710">
        <v>0</v>
      </c>
      <c r="G629" s="377">
        <v>0</v>
      </c>
      <c r="H629" s="377">
        <v>0</v>
      </c>
      <c r="I629" s="377">
        <v>0</v>
      </c>
      <c r="J629" s="377">
        <v>0</v>
      </c>
      <c r="K629" s="377">
        <v>0</v>
      </c>
      <c r="L629" s="377">
        <v>0</v>
      </c>
      <c r="M629" s="377">
        <v>0</v>
      </c>
      <c r="N629" s="377">
        <v>0</v>
      </c>
      <c r="O629" s="377">
        <v>0</v>
      </c>
      <c r="P629" s="377">
        <v>0</v>
      </c>
      <c r="Q629" s="377">
        <v>0</v>
      </c>
      <c r="R629" s="377">
        <v>0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5">
      <c r="C630" s="89"/>
      <c r="D630" s="89"/>
      <c r="E630" t="s">
        <v>72</v>
      </c>
      <c r="F630" s="371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5">
      <c r="C631" s="89"/>
      <c r="D631" s="89"/>
      <c r="E631" t="s">
        <v>81</v>
      </c>
      <c r="F631" s="90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ht="12.75" customHeight="1" x14ac:dyDescent="0.25">
      <c r="D632" t="s">
        <v>156</v>
      </c>
      <c r="E632" s="89" t="s">
        <v>70</v>
      </c>
      <c r="F632" s="90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s="656" customFormat="1" ht="12.75" customHeight="1" x14ac:dyDescent="0.25">
      <c r="A633" s="657"/>
      <c r="B633" s="657"/>
      <c r="C633" s="656" t="s">
        <v>155</v>
      </c>
      <c r="D633" s="656" t="s">
        <v>70</v>
      </c>
      <c r="F633" s="658">
        <v>0</v>
      </c>
      <c r="G633" s="658">
        <v>0</v>
      </c>
      <c r="H633" s="658">
        <v>0</v>
      </c>
      <c r="I633" s="658">
        <v>0</v>
      </c>
      <c r="J633" s="658">
        <v>0</v>
      </c>
      <c r="K633" s="658">
        <v>0</v>
      </c>
      <c r="L633" s="658">
        <v>0</v>
      </c>
      <c r="M633" s="658">
        <v>0</v>
      </c>
      <c r="N633" s="658">
        <v>0</v>
      </c>
      <c r="O633" s="658">
        <v>0</v>
      </c>
      <c r="P633" s="658">
        <v>0</v>
      </c>
      <c r="Q633" s="658">
        <v>0</v>
      </c>
      <c r="R633" s="658">
        <v>0</v>
      </c>
      <c r="S633" s="658">
        <v>0</v>
      </c>
      <c r="T633" s="656">
        <v>0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0</v>
      </c>
    </row>
    <row r="634" spans="1:26" ht="12.75" customHeight="1" x14ac:dyDescent="0.25">
      <c r="E634" s="89" t="s">
        <v>72</v>
      </c>
      <c r="F634" s="90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5">
      <c r="E635" s="89" t="s">
        <v>81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5">
      <c r="D636" t="s">
        <v>156</v>
      </c>
      <c r="E636" s="89" t="s">
        <v>70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5">
      <c r="C637" s="739" t="s">
        <v>326</v>
      </c>
      <c r="D637" s="739" t="s">
        <v>70</v>
      </c>
      <c r="E637" s="231"/>
      <c r="F637" s="740">
        <v>0</v>
      </c>
      <c r="G637" s="232">
        <v>0</v>
      </c>
      <c r="H637" s="232">
        <v>0</v>
      </c>
      <c r="I637" s="232">
        <v>0</v>
      </c>
      <c r="J637" s="232">
        <v>0</v>
      </c>
      <c r="K637" s="232">
        <v>0</v>
      </c>
      <c r="L637" s="232">
        <v>0</v>
      </c>
      <c r="M637" s="232">
        <v>0</v>
      </c>
      <c r="N637" s="232">
        <v>0</v>
      </c>
      <c r="O637" s="232">
        <v>0</v>
      </c>
      <c r="P637" s="232">
        <v>0</v>
      </c>
      <c r="Q637" s="232">
        <v>0</v>
      </c>
      <c r="R637" s="232">
        <v>0</v>
      </c>
      <c r="S637" s="232">
        <v>0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5">
      <c r="E638" s="89" t="s">
        <v>72</v>
      </c>
      <c r="F638" s="371">
        <v>0</v>
      </c>
      <c r="G638" s="90">
        <v>0</v>
      </c>
      <c r="H638" s="90">
        <v>0</v>
      </c>
      <c r="I638" s="90">
        <v>0</v>
      </c>
      <c r="J638" s="90">
        <v>0</v>
      </c>
      <c r="K638" s="90">
        <v>0</v>
      </c>
      <c r="L638" s="90">
        <v>0</v>
      </c>
      <c r="M638" s="90">
        <v>0</v>
      </c>
      <c r="N638" s="90">
        <v>0</v>
      </c>
      <c r="O638" s="90">
        <v>0</v>
      </c>
      <c r="P638" s="90">
        <v>0</v>
      </c>
      <c r="Q638" s="90">
        <v>0</v>
      </c>
      <c r="R638" s="90">
        <v>0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5">
      <c r="E639" s="89" t="s">
        <v>81</v>
      </c>
      <c r="F639" s="90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5">
      <c r="D640" s="89" t="s">
        <v>82</v>
      </c>
      <c r="E640" s="89" t="s">
        <v>70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5">
      <c r="C641" s="89"/>
      <c r="D641" s="89"/>
      <c r="E641" t="s">
        <v>72</v>
      </c>
      <c r="F641" s="90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5">
      <c r="B642" s="89"/>
      <c r="C642" s="89"/>
      <c r="E642" t="s">
        <v>81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5">
      <c r="A643" s="89"/>
      <c r="B643" s="89"/>
      <c r="D643" t="s">
        <v>86</v>
      </c>
      <c r="E643" t="s">
        <v>70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5">
      <c r="E644" s="89" t="s">
        <v>72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5">
      <c r="A645" s="89"/>
      <c r="B645" s="89"/>
      <c r="E645" t="s">
        <v>81</v>
      </c>
      <c r="F645" s="90">
        <v>0</v>
      </c>
      <c r="G645" s="90">
        <v>0</v>
      </c>
      <c r="H645" s="90">
        <v>0</v>
      </c>
      <c r="I645" s="90">
        <v>0</v>
      </c>
      <c r="J645" s="90">
        <v>0</v>
      </c>
      <c r="K645" s="90">
        <v>0</v>
      </c>
      <c r="L645" s="90">
        <v>0</v>
      </c>
      <c r="M645" s="90">
        <v>0</v>
      </c>
      <c r="N645" s="90">
        <v>0</v>
      </c>
      <c r="O645" s="90">
        <v>0</v>
      </c>
      <c r="P645" s="90">
        <v>0</v>
      </c>
      <c r="Q645" s="90">
        <v>0</v>
      </c>
      <c r="R645" s="90">
        <v>0</v>
      </c>
      <c r="S645" s="90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5">
      <c r="D646" t="s">
        <v>87</v>
      </c>
      <c r="E646" s="89" t="s">
        <v>70</v>
      </c>
      <c r="F646" s="90">
        <v>0</v>
      </c>
      <c r="G646" s="90">
        <v>0</v>
      </c>
      <c r="H646" s="90">
        <v>0</v>
      </c>
      <c r="I646" s="90">
        <v>0</v>
      </c>
      <c r="J646" s="90">
        <v>0</v>
      </c>
      <c r="K646" s="90">
        <v>0</v>
      </c>
      <c r="L646" s="90">
        <v>0</v>
      </c>
      <c r="M646" s="90">
        <v>0</v>
      </c>
      <c r="N646" s="90">
        <v>0</v>
      </c>
      <c r="O646" s="90">
        <v>0</v>
      </c>
      <c r="P646" s="90">
        <v>0</v>
      </c>
      <c r="Q646" s="90">
        <v>0</v>
      </c>
      <c r="R646" s="90">
        <v>0</v>
      </c>
      <c r="S646" s="90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5">
      <c r="A647" s="101"/>
      <c r="B647" s="101"/>
      <c r="C647" s="94" t="s">
        <v>119</v>
      </c>
      <c r="D647" s="94" t="s">
        <v>70</v>
      </c>
      <c r="F647" s="93">
        <v>0</v>
      </c>
      <c r="G647" s="93">
        <v>0</v>
      </c>
      <c r="H647" s="93">
        <v>0</v>
      </c>
      <c r="I647" s="93">
        <v>0</v>
      </c>
      <c r="J647" s="93">
        <v>0</v>
      </c>
      <c r="K647" s="93">
        <v>0</v>
      </c>
      <c r="L647" s="93">
        <v>0</v>
      </c>
      <c r="M647" s="93">
        <v>0</v>
      </c>
      <c r="N647" s="93">
        <v>0</v>
      </c>
      <c r="O647" s="93">
        <v>0</v>
      </c>
      <c r="P647" s="93">
        <v>0</v>
      </c>
      <c r="Q647" s="93">
        <v>0</v>
      </c>
      <c r="R647" s="93">
        <v>0</v>
      </c>
      <c r="S647" s="93">
        <v>0</v>
      </c>
      <c r="T647" s="94">
        <v>0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5">
      <c r="B648" s="226" t="s">
        <v>112</v>
      </c>
      <c r="C648" s="226" t="s">
        <v>70</v>
      </c>
      <c r="E648" s="98"/>
      <c r="F648" s="100">
        <v>0</v>
      </c>
      <c r="G648" s="100">
        <v>0</v>
      </c>
      <c r="H648" s="100">
        <v>0</v>
      </c>
      <c r="I648" s="100">
        <v>0</v>
      </c>
      <c r="J648" s="100">
        <v>0</v>
      </c>
      <c r="K648" s="100">
        <v>0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100">
        <v>0</v>
      </c>
      <c r="R648" s="100">
        <v>0</v>
      </c>
      <c r="S648" s="100">
        <v>0</v>
      </c>
      <c r="T648" s="226">
        <v>0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0</v>
      </c>
    </row>
    <row r="649" spans="1:26" ht="13.5" customHeight="1" x14ac:dyDescent="0.25">
      <c r="A649" t="s">
        <v>78</v>
      </c>
      <c r="B649" t="s">
        <v>70</v>
      </c>
      <c r="E649" s="89"/>
      <c r="F649" s="90">
        <v>13359789539.23</v>
      </c>
      <c r="G649" s="90">
        <v>697483550.35000002</v>
      </c>
      <c r="H649" s="90">
        <v>388259624.73000002</v>
      </c>
      <c r="I649" s="90">
        <v>206453897.28999999</v>
      </c>
      <c r="J649" s="90">
        <v>3256933254.8000002</v>
      </c>
      <c r="K649" s="90">
        <v>106089721.18000001</v>
      </c>
      <c r="L649" s="90">
        <v>12154250.720000001</v>
      </c>
      <c r="M649" s="90">
        <v>930507799.59000003</v>
      </c>
      <c r="N649" s="90">
        <v>903844784.82000005</v>
      </c>
      <c r="O649" s="90">
        <v>4612204182.5699997</v>
      </c>
      <c r="P649" s="90">
        <v>2072913975.9400001</v>
      </c>
      <c r="Q649" s="90">
        <v>173121721.61000001</v>
      </c>
      <c r="R649" s="90">
        <v>-177200.85</v>
      </c>
      <c r="S649" s="90">
        <v>191.97</v>
      </c>
      <c r="T649">
        <v>6.64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-222.13</v>
      </c>
    </row>
    <row r="650" spans="1:26" x14ac:dyDescent="0.25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5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5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5">
      <c r="E653" t="s">
        <v>73</v>
      </c>
      <c r="F653" s="90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5">
      <c r="D654" t="s">
        <v>82</v>
      </c>
      <c r="E654" t="s">
        <v>70</v>
      </c>
      <c r="F654" s="90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5">
      <c r="E655" t="s">
        <v>73</v>
      </c>
      <c r="F655" s="90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5">
      <c r="D656" t="s">
        <v>86</v>
      </c>
      <c r="E656" t="s">
        <v>70</v>
      </c>
      <c r="F656" s="90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5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5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5">
      <c r="C659" s="101" t="s">
        <v>119</v>
      </c>
      <c r="D659" s="101" t="s">
        <v>70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5">
      <c r="B660" s="378" t="s">
        <v>122</v>
      </c>
      <c r="C660" s="378" t="s">
        <v>70</v>
      </c>
      <c r="E660" s="376"/>
      <c r="F660" s="710">
        <v>0</v>
      </c>
      <c r="G660" s="377">
        <v>0</v>
      </c>
      <c r="H660" s="377">
        <v>0</v>
      </c>
      <c r="I660" s="377">
        <v>0</v>
      </c>
      <c r="J660" s="377">
        <v>0</v>
      </c>
      <c r="K660" s="377">
        <v>0</v>
      </c>
      <c r="L660" s="377">
        <v>0</v>
      </c>
      <c r="M660" s="377">
        <v>0</v>
      </c>
      <c r="N660" s="377">
        <v>0</v>
      </c>
      <c r="O660" s="377">
        <v>0</v>
      </c>
      <c r="P660" s="377">
        <v>0</v>
      </c>
      <c r="Q660" s="377">
        <v>0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5">
      <c r="E661" s="89" t="s">
        <v>73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5">
      <c r="D662" t="s">
        <v>156</v>
      </c>
      <c r="E662" s="89" t="s">
        <v>70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5">
      <c r="A663" s="657"/>
      <c r="B663" s="657"/>
      <c r="C663" s="656" t="s">
        <v>155</v>
      </c>
      <c r="D663" s="656" t="s">
        <v>70</v>
      </c>
      <c r="F663" s="658">
        <v>0</v>
      </c>
      <c r="G663" s="658">
        <v>0</v>
      </c>
      <c r="H663" s="658">
        <v>0</v>
      </c>
      <c r="I663" s="658">
        <v>0</v>
      </c>
      <c r="J663" s="658">
        <v>0</v>
      </c>
      <c r="K663" s="658">
        <v>0</v>
      </c>
      <c r="L663" s="658">
        <v>0</v>
      </c>
      <c r="M663" s="658">
        <v>0</v>
      </c>
      <c r="N663" s="658">
        <v>0</v>
      </c>
      <c r="O663" s="658">
        <v>0</v>
      </c>
      <c r="P663" s="658">
        <v>0</v>
      </c>
      <c r="Q663" s="658">
        <v>0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5">
      <c r="E664" s="89" t="s">
        <v>73</v>
      </c>
      <c r="F664" s="371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  <c r="N664" s="90">
        <v>0</v>
      </c>
      <c r="O664" s="90">
        <v>0</v>
      </c>
      <c r="P664" s="90">
        <v>0</v>
      </c>
      <c r="Q664" s="90">
        <v>0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5">
      <c r="D665" t="s">
        <v>156</v>
      </c>
      <c r="E665" s="89" t="s">
        <v>70</v>
      </c>
      <c r="F665" s="371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5">
      <c r="C666" s="739" t="s">
        <v>326</v>
      </c>
      <c r="D666" s="739" t="s">
        <v>70</v>
      </c>
      <c r="E666" s="231"/>
      <c r="F666" s="740">
        <v>0</v>
      </c>
      <c r="G666" s="232">
        <v>0</v>
      </c>
      <c r="H666" s="232">
        <v>0</v>
      </c>
      <c r="I666" s="232">
        <v>0</v>
      </c>
      <c r="J666" s="232">
        <v>0</v>
      </c>
      <c r="K666" s="232">
        <v>0</v>
      </c>
      <c r="L666" s="232">
        <v>0</v>
      </c>
      <c r="M666" s="232">
        <v>0</v>
      </c>
      <c r="N666" s="232">
        <v>0</v>
      </c>
      <c r="O666" s="232">
        <v>0</v>
      </c>
      <c r="P666" s="232">
        <v>0</v>
      </c>
      <c r="Q666" s="232">
        <v>0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5">
      <c r="E667" s="89" t="s">
        <v>73</v>
      </c>
      <c r="F667" s="371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5">
      <c r="D668" s="89" t="s">
        <v>82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5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5">
      <c r="D670" s="89" t="s">
        <v>86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5">
      <c r="E671" s="89" t="s">
        <v>73</v>
      </c>
      <c r="F671" s="90">
        <v>0</v>
      </c>
      <c r="G671" s="90">
        <v>0</v>
      </c>
      <c r="H671" s="90">
        <v>0</v>
      </c>
      <c r="I671" s="90">
        <v>0</v>
      </c>
      <c r="J671" s="90">
        <v>0</v>
      </c>
      <c r="K671" s="90">
        <v>0</v>
      </c>
      <c r="L671" s="90">
        <v>0</v>
      </c>
      <c r="M671" s="90">
        <v>0</v>
      </c>
      <c r="N671" s="90">
        <v>0</v>
      </c>
      <c r="O671" s="90">
        <v>0</v>
      </c>
      <c r="P671" s="90">
        <v>0</v>
      </c>
      <c r="Q671" s="90">
        <v>0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5">
      <c r="D672" s="89" t="s">
        <v>87</v>
      </c>
      <c r="E672" s="89" t="s">
        <v>70</v>
      </c>
      <c r="F672" s="90">
        <v>0</v>
      </c>
      <c r="G672" s="90">
        <v>0</v>
      </c>
      <c r="H672" s="90">
        <v>0</v>
      </c>
      <c r="I672" s="90">
        <v>0</v>
      </c>
      <c r="J672" s="90">
        <v>0</v>
      </c>
      <c r="K672" s="90">
        <v>0</v>
      </c>
      <c r="L672" s="90">
        <v>0</v>
      </c>
      <c r="M672" s="90">
        <v>0</v>
      </c>
      <c r="N672" s="90">
        <v>0</v>
      </c>
      <c r="O672" s="90">
        <v>0</v>
      </c>
      <c r="P672" s="90">
        <v>0</v>
      </c>
      <c r="Q672" s="90">
        <v>0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5">
      <c r="C673" s="94" t="s">
        <v>119</v>
      </c>
      <c r="D673" s="94" t="s">
        <v>70</v>
      </c>
      <c r="E673" s="101"/>
      <c r="F673" s="93">
        <v>0</v>
      </c>
      <c r="G673" s="93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93">
        <v>0</v>
      </c>
      <c r="P673" s="93">
        <v>0</v>
      </c>
      <c r="Q673" s="93">
        <v>0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5">
      <c r="B674" s="98" t="s">
        <v>112</v>
      </c>
      <c r="C674" s="98" t="s">
        <v>70</v>
      </c>
      <c r="F674" s="100">
        <v>0</v>
      </c>
      <c r="G674" s="100">
        <v>0</v>
      </c>
      <c r="H674" s="100">
        <v>0</v>
      </c>
      <c r="I674" s="100">
        <v>0</v>
      </c>
      <c r="J674" s="100">
        <v>0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5">
      <c r="A675" s="89" t="s">
        <v>79</v>
      </c>
      <c r="B675" s="89" t="s">
        <v>70</v>
      </c>
      <c r="F675" s="90">
        <v>0</v>
      </c>
      <c r="G675" s="90">
        <v>0</v>
      </c>
      <c r="H675" s="90">
        <v>0</v>
      </c>
      <c r="I675" s="90">
        <v>0</v>
      </c>
      <c r="J675" s="90">
        <v>0</v>
      </c>
      <c r="K675" s="90">
        <v>0</v>
      </c>
      <c r="L675" s="90">
        <v>0</v>
      </c>
      <c r="M675" s="90">
        <v>0</v>
      </c>
      <c r="N675" s="90">
        <v>0</v>
      </c>
      <c r="O675" s="90">
        <v>0</v>
      </c>
      <c r="P675" s="90">
        <v>0</v>
      </c>
      <c r="Q675" s="90">
        <v>0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5">
      <c r="A676" s="89" t="s">
        <v>70</v>
      </c>
      <c r="F676" s="90">
        <v>0</v>
      </c>
      <c r="G676" s="90">
        <v>0</v>
      </c>
      <c r="H676" s="90">
        <v>0</v>
      </c>
      <c r="I676" s="90">
        <v>0</v>
      </c>
      <c r="J676" s="90">
        <v>0</v>
      </c>
      <c r="K676" s="90">
        <v>0</v>
      </c>
      <c r="L676" s="90">
        <v>0</v>
      </c>
      <c r="M676" s="90">
        <v>0</v>
      </c>
      <c r="N676" s="90">
        <v>0</v>
      </c>
      <c r="O676" s="90">
        <v>0</v>
      </c>
      <c r="P676" s="90">
        <v>0</v>
      </c>
      <c r="Q676" s="90">
        <v>0</v>
      </c>
      <c r="R676" s="90">
        <v>0</v>
      </c>
      <c r="S676" s="90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41" ht="12.75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5">
      <c r="C680" s="777" t="s">
        <v>2</v>
      </c>
      <c r="D680" s="775" t="s">
        <v>132</v>
      </c>
      <c r="E680" s="98" t="s">
        <v>70</v>
      </c>
      <c r="F680" s="100">
        <f>F674+F648+F613-L613-L648</f>
        <v>0</v>
      </c>
      <c r="G680" s="100">
        <f t="shared" ref="G680:AO680" si="32">G648+G613</f>
        <v>0</v>
      </c>
      <c r="H680" s="100">
        <f t="shared" si="32"/>
        <v>0</v>
      </c>
      <c r="I680" s="100">
        <f t="shared" si="32"/>
        <v>0</v>
      </c>
      <c r="J680" s="100">
        <f t="shared" si="32"/>
        <v>0</v>
      </c>
      <c r="K680" s="100">
        <f t="shared" si="32"/>
        <v>0</v>
      </c>
      <c r="L680" s="100">
        <f t="shared" si="32"/>
        <v>0</v>
      </c>
      <c r="M680" s="100">
        <f t="shared" si="32"/>
        <v>0</v>
      </c>
      <c r="N680" s="100">
        <f t="shared" si="32"/>
        <v>0</v>
      </c>
      <c r="O680" s="100">
        <f t="shared" si="32"/>
        <v>0</v>
      </c>
      <c r="P680" s="100">
        <f t="shared" si="32"/>
        <v>0</v>
      </c>
      <c r="Q680" s="100">
        <f t="shared" si="32"/>
        <v>0</v>
      </c>
      <c r="R680" s="100">
        <f t="shared" si="32"/>
        <v>0</v>
      </c>
      <c r="S680" s="100">
        <f t="shared" si="32"/>
        <v>0</v>
      </c>
      <c r="T680" s="100">
        <f t="shared" si="32"/>
        <v>0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0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5">
      <c r="C681" s="777"/>
      <c r="D681" s="775"/>
      <c r="E681" s="98" t="s">
        <v>73</v>
      </c>
      <c r="F681" s="100">
        <f>F674</f>
        <v>0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5">
      <c r="C682" s="777"/>
      <c r="D682" s="775" t="s">
        <v>133</v>
      </c>
      <c r="E682" s="233" t="s">
        <v>70</v>
      </c>
      <c r="F682" s="234">
        <v>0</v>
      </c>
      <c r="G682" s="234">
        <v>0</v>
      </c>
      <c r="H682" s="234">
        <v>0</v>
      </c>
      <c r="I682" s="234">
        <v>0</v>
      </c>
      <c r="J682" s="234">
        <v>0</v>
      </c>
      <c r="K682" s="234">
        <v>0</v>
      </c>
      <c r="L682" s="234">
        <v>0</v>
      </c>
      <c r="M682" s="234">
        <v>0</v>
      </c>
      <c r="N682" s="234">
        <v>0</v>
      </c>
      <c r="O682" s="234">
        <v>0</v>
      </c>
      <c r="P682" s="234">
        <v>0</v>
      </c>
      <c r="Q682" s="234">
        <v>0</v>
      </c>
      <c r="R682" s="234">
        <v>0</v>
      </c>
      <c r="S682" s="234">
        <v>0</v>
      </c>
      <c r="T682" s="234">
        <v>0</v>
      </c>
      <c r="U682" s="234">
        <v>0</v>
      </c>
      <c r="V682" s="234">
        <v>0</v>
      </c>
      <c r="W682" s="234">
        <v>0</v>
      </c>
      <c r="X682" s="234">
        <v>0</v>
      </c>
      <c r="Y682" s="234">
        <v>0</v>
      </c>
      <c r="Z682" s="234">
        <v>0</v>
      </c>
      <c r="AA682" s="234">
        <v>0</v>
      </c>
      <c r="AB682" s="234">
        <v>0</v>
      </c>
      <c r="AC682" s="234">
        <v>0</v>
      </c>
      <c r="AD682" s="234">
        <v>0</v>
      </c>
      <c r="AE682" s="234">
        <v>0</v>
      </c>
      <c r="AF682" s="234">
        <v>0</v>
      </c>
      <c r="AG682" s="234">
        <v>0</v>
      </c>
      <c r="AH682" s="234">
        <v>0</v>
      </c>
      <c r="AI682" s="234">
        <v>0</v>
      </c>
      <c r="AJ682" s="234">
        <v>0</v>
      </c>
      <c r="AK682" s="234">
        <v>0</v>
      </c>
      <c r="AL682" s="234">
        <v>0</v>
      </c>
      <c r="AM682" s="234">
        <v>0</v>
      </c>
      <c r="AN682" s="234">
        <v>0</v>
      </c>
      <c r="AO682" s="234">
        <v>0</v>
      </c>
    </row>
    <row r="683" spans="1:41" ht="12.75" customHeight="1" x14ac:dyDescent="0.25">
      <c r="C683" s="777"/>
      <c r="D683" s="775"/>
      <c r="E683" s="233" t="s">
        <v>73</v>
      </c>
      <c r="F683" s="234">
        <v>0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5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5">
      <c r="C685" s="777" t="s">
        <v>160</v>
      </c>
      <c r="D685" s="775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5">
      <c r="C686" s="777"/>
      <c r="D686" s="775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5">
      <c r="C687" s="777"/>
      <c r="D687" s="775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5">
      <c r="C688" s="777"/>
      <c r="D688" s="775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5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5">
      <c r="C690" s="777" t="s">
        <v>155</v>
      </c>
      <c r="D690" s="775" t="s">
        <v>132</v>
      </c>
      <c r="E690" s="221" t="s">
        <v>70</v>
      </c>
      <c r="F690" s="222">
        <f>F663+F633-L633</f>
        <v>0</v>
      </c>
      <c r="G690" s="222">
        <f>G633</f>
        <v>0</v>
      </c>
      <c r="H690" s="222">
        <f t="shared" ref="H690:AO690" si="33">H633</f>
        <v>0</v>
      </c>
      <c r="I690" s="222">
        <f t="shared" si="33"/>
        <v>0</v>
      </c>
      <c r="J690" s="222">
        <f t="shared" si="33"/>
        <v>0</v>
      </c>
      <c r="K690" s="222">
        <f t="shared" si="33"/>
        <v>0</v>
      </c>
      <c r="L690" s="222">
        <f t="shared" si="33"/>
        <v>0</v>
      </c>
      <c r="M690" s="222">
        <f t="shared" si="33"/>
        <v>0</v>
      </c>
      <c r="N690" s="222">
        <f t="shared" si="33"/>
        <v>0</v>
      </c>
      <c r="O690" s="222">
        <f t="shared" si="33"/>
        <v>0</v>
      </c>
      <c r="P690" s="222">
        <f t="shared" si="33"/>
        <v>0</v>
      </c>
      <c r="Q690" s="222">
        <f t="shared" si="33"/>
        <v>0</v>
      </c>
      <c r="R690" s="222">
        <f t="shared" si="33"/>
        <v>0</v>
      </c>
      <c r="S690" s="222">
        <f t="shared" si="33"/>
        <v>0</v>
      </c>
      <c r="T690" s="222">
        <f t="shared" si="33"/>
        <v>0</v>
      </c>
      <c r="U690" s="222">
        <f t="shared" si="33"/>
        <v>0</v>
      </c>
      <c r="V690" s="222">
        <f t="shared" si="33"/>
        <v>0</v>
      </c>
      <c r="W690" s="222">
        <f t="shared" si="33"/>
        <v>0</v>
      </c>
      <c r="X690" s="222">
        <f t="shared" si="33"/>
        <v>0</v>
      </c>
      <c r="Y690" s="222">
        <f t="shared" si="33"/>
        <v>0</v>
      </c>
      <c r="Z690" s="222">
        <f t="shared" si="33"/>
        <v>0</v>
      </c>
      <c r="AA690" s="222">
        <f t="shared" si="33"/>
        <v>0</v>
      </c>
      <c r="AB690" s="222">
        <f t="shared" si="33"/>
        <v>0</v>
      </c>
      <c r="AC690" s="222">
        <f t="shared" si="33"/>
        <v>0</v>
      </c>
      <c r="AD690" s="222">
        <f t="shared" si="33"/>
        <v>0</v>
      </c>
      <c r="AE690" s="222">
        <f t="shared" si="33"/>
        <v>0</v>
      </c>
      <c r="AF690" s="222">
        <f t="shared" si="33"/>
        <v>0</v>
      </c>
      <c r="AG690" s="222">
        <f t="shared" si="33"/>
        <v>0</v>
      </c>
      <c r="AH690" s="222">
        <f t="shared" si="33"/>
        <v>0</v>
      </c>
      <c r="AI690" s="222">
        <f t="shared" si="33"/>
        <v>0</v>
      </c>
      <c r="AJ690" s="222">
        <f t="shared" si="33"/>
        <v>0</v>
      </c>
      <c r="AK690" s="222">
        <f t="shared" si="33"/>
        <v>0</v>
      </c>
      <c r="AL690" s="222">
        <f t="shared" si="33"/>
        <v>0</v>
      </c>
      <c r="AM690" s="222">
        <f t="shared" si="33"/>
        <v>0</v>
      </c>
      <c r="AN690" s="222">
        <f t="shared" si="33"/>
        <v>0</v>
      </c>
      <c r="AO690" s="222">
        <f t="shared" si="33"/>
        <v>0</v>
      </c>
    </row>
    <row r="691" spans="1:41" ht="12.75" customHeight="1" x14ac:dyDescent="0.25">
      <c r="C691" s="777"/>
      <c r="D691" s="775"/>
      <c r="E691" s="221" t="s">
        <v>73</v>
      </c>
      <c r="F691" s="222">
        <f>F663</f>
        <v>0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7"/>
      <c r="D692" s="775" t="s">
        <v>133</v>
      </c>
      <c r="E692" s="242" t="s">
        <v>70</v>
      </c>
      <c r="F692" s="243">
        <v>0</v>
      </c>
      <c r="G692" s="243">
        <v>0</v>
      </c>
      <c r="H692" s="243">
        <v>0</v>
      </c>
      <c r="I692" s="243">
        <v>0</v>
      </c>
      <c r="J692" s="243">
        <v>0</v>
      </c>
      <c r="K692" s="243">
        <v>0</v>
      </c>
      <c r="L692" s="243">
        <v>0</v>
      </c>
      <c r="M692" s="243">
        <v>0</v>
      </c>
      <c r="N692" s="243">
        <v>0</v>
      </c>
      <c r="O692" s="243">
        <v>0</v>
      </c>
      <c r="P692" s="243">
        <v>0</v>
      </c>
      <c r="Q692" s="243">
        <v>0</v>
      </c>
      <c r="R692" s="243">
        <v>0</v>
      </c>
      <c r="S692" s="243">
        <v>0</v>
      </c>
      <c r="T692" s="243">
        <v>0</v>
      </c>
      <c r="U692" s="243">
        <v>0</v>
      </c>
      <c r="V692" s="243">
        <v>0</v>
      </c>
      <c r="W692" s="243">
        <v>0</v>
      </c>
      <c r="X692" s="243">
        <v>0</v>
      </c>
      <c r="Y692" s="243">
        <v>0</v>
      </c>
      <c r="Z692" s="243">
        <v>0</v>
      </c>
      <c r="AA692" s="243">
        <v>0</v>
      </c>
      <c r="AB692" s="243">
        <v>0</v>
      </c>
      <c r="AC692" s="243">
        <v>0</v>
      </c>
      <c r="AD692" s="243">
        <v>0</v>
      </c>
      <c r="AE692" s="243">
        <v>0</v>
      </c>
      <c r="AF692" s="243">
        <v>0</v>
      </c>
      <c r="AG692" s="243">
        <v>0</v>
      </c>
      <c r="AH692" s="243">
        <v>0</v>
      </c>
      <c r="AI692" s="243">
        <v>0</v>
      </c>
      <c r="AJ692" s="243">
        <v>0</v>
      </c>
      <c r="AK692" s="243">
        <v>0</v>
      </c>
      <c r="AL692" s="243">
        <v>0</v>
      </c>
      <c r="AM692" s="243">
        <v>0</v>
      </c>
      <c r="AN692" s="243">
        <v>0</v>
      </c>
      <c r="AO692" s="243">
        <v>0</v>
      </c>
    </row>
    <row r="693" spans="1:41" ht="12.75" customHeight="1" x14ac:dyDescent="0.25">
      <c r="C693" s="777"/>
      <c r="D693" s="775"/>
      <c r="E693" s="242" t="s">
        <v>73</v>
      </c>
      <c r="F693" s="243"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5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5">
      <c r="C695" s="778" t="s">
        <v>326</v>
      </c>
      <c r="D695" s="775" t="s">
        <v>132</v>
      </c>
      <c r="E695" s="373" t="s">
        <v>70</v>
      </c>
      <c r="F695" s="374">
        <f>F666+F637-L637</f>
        <v>0</v>
      </c>
      <c r="G695" s="374">
        <f>G637</f>
        <v>0</v>
      </c>
      <c r="H695" s="374">
        <f t="shared" ref="H695:AO695" si="34">H637</f>
        <v>0</v>
      </c>
      <c r="I695" s="374">
        <f t="shared" si="34"/>
        <v>0</v>
      </c>
      <c r="J695" s="374">
        <f t="shared" si="34"/>
        <v>0</v>
      </c>
      <c r="K695" s="374">
        <f t="shared" si="34"/>
        <v>0</v>
      </c>
      <c r="L695" s="374">
        <f>L637</f>
        <v>0</v>
      </c>
      <c r="M695" s="374">
        <f t="shared" si="34"/>
        <v>0</v>
      </c>
      <c r="N695" s="374">
        <f t="shared" si="34"/>
        <v>0</v>
      </c>
      <c r="O695" s="374">
        <f t="shared" si="34"/>
        <v>0</v>
      </c>
      <c r="P695" s="374">
        <f t="shared" si="34"/>
        <v>0</v>
      </c>
      <c r="Q695" s="374">
        <f t="shared" si="34"/>
        <v>0</v>
      </c>
      <c r="R695" s="374">
        <f t="shared" si="34"/>
        <v>0</v>
      </c>
      <c r="S695" s="374">
        <f t="shared" si="34"/>
        <v>0</v>
      </c>
      <c r="T695" s="374">
        <f t="shared" si="34"/>
        <v>0</v>
      </c>
      <c r="U695" s="374">
        <f t="shared" si="34"/>
        <v>0</v>
      </c>
      <c r="V695" s="374">
        <f t="shared" si="34"/>
        <v>0</v>
      </c>
      <c r="W695" s="374">
        <f t="shared" si="34"/>
        <v>0</v>
      </c>
      <c r="X695" s="374">
        <f t="shared" si="34"/>
        <v>0</v>
      </c>
      <c r="Y695" s="374">
        <f t="shared" si="34"/>
        <v>0</v>
      </c>
      <c r="Z695" s="374">
        <f t="shared" si="34"/>
        <v>0</v>
      </c>
      <c r="AA695" s="374">
        <f t="shared" si="34"/>
        <v>0</v>
      </c>
      <c r="AB695" s="374">
        <f t="shared" si="34"/>
        <v>0</v>
      </c>
      <c r="AC695" s="374">
        <f t="shared" si="34"/>
        <v>0</v>
      </c>
      <c r="AD695" s="374">
        <f t="shared" si="34"/>
        <v>0</v>
      </c>
      <c r="AE695" s="374">
        <f t="shared" si="34"/>
        <v>0</v>
      </c>
      <c r="AF695" s="374">
        <f t="shared" si="34"/>
        <v>0</v>
      </c>
      <c r="AG695" s="374">
        <f t="shared" si="34"/>
        <v>0</v>
      </c>
      <c r="AH695" s="374">
        <f t="shared" si="34"/>
        <v>0</v>
      </c>
      <c r="AI695" s="374">
        <f t="shared" si="34"/>
        <v>0</v>
      </c>
      <c r="AJ695" s="374">
        <f t="shared" si="34"/>
        <v>0</v>
      </c>
      <c r="AK695" s="374">
        <f t="shared" si="34"/>
        <v>0</v>
      </c>
      <c r="AL695" s="374">
        <f t="shared" si="34"/>
        <v>0</v>
      </c>
      <c r="AM695" s="374">
        <f t="shared" si="34"/>
        <v>0</v>
      </c>
      <c r="AN695" s="374">
        <f t="shared" si="34"/>
        <v>0</v>
      </c>
      <c r="AO695" s="374">
        <f t="shared" si="34"/>
        <v>0</v>
      </c>
    </row>
    <row r="696" spans="1:41" ht="12.75" customHeight="1" x14ac:dyDescent="0.25">
      <c r="C696" s="778"/>
      <c r="D696" s="775"/>
      <c r="E696" s="373" t="s">
        <v>73</v>
      </c>
      <c r="F696" s="374">
        <f>F666</f>
        <v>0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/>
      <c r="D697" s="775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5">
      <c r="C698" s="778"/>
      <c r="D698" s="775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5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5">
      <c r="C700" s="777" t="s">
        <v>119</v>
      </c>
      <c r="D700" s="775" t="s">
        <v>132</v>
      </c>
      <c r="E700" s="101" t="s">
        <v>70</v>
      </c>
      <c r="F700" s="93">
        <f>F647+F673+F612-L612-L647</f>
        <v>0</v>
      </c>
      <c r="G700" s="93">
        <f t="shared" ref="G700:AO700" si="35">G647+G612</f>
        <v>0</v>
      </c>
      <c r="H700" s="93">
        <f t="shared" si="35"/>
        <v>0</v>
      </c>
      <c r="I700" s="93">
        <f t="shared" si="35"/>
        <v>0</v>
      </c>
      <c r="J700" s="93">
        <f t="shared" si="35"/>
        <v>0</v>
      </c>
      <c r="K700" s="93">
        <f t="shared" si="35"/>
        <v>0</v>
      </c>
      <c r="L700" s="93">
        <f t="shared" si="35"/>
        <v>0</v>
      </c>
      <c r="M700" s="93">
        <f t="shared" si="35"/>
        <v>0</v>
      </c>
      <c r="N700" s="93">
        <f t="shared" si="35"/>
        <v>0</v>
      </c>
      <c r="O700" s="93">
        <f t="shared" si="35"/>
        <v>0</v>
      </c>
      <c r="P700" s="93">
        <f t="shared" si="35"/>
        <v>0</v>
      </c>
      <c r="Q700" s="93">
        <f t="shared" si="35"/>
        <v>0</v>
      </c>
      <c r="R700" s="93">
        <f t="shared" si="35"/>
        <v>0</v>
      </c>
      <c r="S700" s="93">
        <f t="shared" si="35"/>
        <v>0</v>
      </c>
      <c r="T700" s="93">
        <f t="shared" si="35"/>
        <v>0</v>
      </c>
      <c r="U700" s="93">
        <f t="shared" si="35"/>
        <v>0</v>
      </c>
      <c r="V700" s="93">
        <f t="shared" si="35"/>
        <v>0</v>
      </c>
      <c r="W700" s="93">
        <f t="shared" si="35"/>
        <v>0</v>
      </c>
      <c r="X700" s="93">
        <f t="shared" si="35"/>
        <v>0</v>
      </c>
      <c r="Y700" s="93">
        <f t="shared" si="35"/>
        <v>0</v>
      </c>
      <c r="Z700" s="93">
        <f t="shared" si="35"/>
        <v>0</v>
      </c>
      <c r="AA700" s="93">
        <f t="shared" si="35"/>
        <v>0</v>
      </c>
      <c r="AB700" s="93">
        <f t="shared" si="35"/>
        <v>0</v>
      </c>
      <c r="AC700" s="93">
        <f t="shared" si="35"/>
        <v>0</v>
      </c>
      <c r="AD700" s="93">
        <f t="shared" si="35"/>
        <v>0</v>
      </c>
      <c r="AE700" s="93">
        <f t="shared" si="35"/>
        <v>0</v>
      </c>
      <c r="AF700" s="93">
        <f t="shared" si="35"/>
        <v>0</v>
      </c>
      <c r="AG700" s="93">
        <f t="shared" si="35"/>
        <v>0</v>
      </c>
      <c r="AH700" s="93">
        <f t="shared" si="35"/>
        <v>0</v>
      </c>
      <c r="AI700" s="93">
        <f t="shared" si="35"/>
        <v>0</v>
      </c>
      <c r="AJ700" s="93">
        <f t="shared" si="35"/>
        <v>0</v>
      </c>
      <c r="AK700" s="93">
        <f t="shared" si="35"/>
        <v>0</v>
      </c>
      <c r="AL700" s="93">
        <f t="shared" si="35"/>
        <v>0</v>
      </c>
      <c r="AM700" s="93">
        <f t="shared" si="35"/>
        <v>0</v>
      </c>
      <c r="AN700" s="93">
        <f t="shared" si="35"/>
        <v>0</v>
      </c>
      <c r="AO700" s="93">
        <f t="shared" si="35"/>
        <v>0</v>
      </c>
    </row>
    <row r="701" spans="1:41" ht="12.75" customHeight="1" x14ac:dyDescent="0.25">
      <c r="C701" s="777"/>
      <c r="D701" s="775"/>
      <c r="E701" s="101" t="s">
        <v>73</v>
      </c>
      <c r="F701" s="93">
        <f>F673</f>
        <v>0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7"/>
      <c r="D702" s="775" t="s">
        <v>133</v>
      </c>
      <c r="E702" s="235" t="s">
        <v>70</v>
      </c>
      <c r="F702" s="236">
        <v>0</v>
      </c>
      <c r="G702" s="236">
        <v>0</v>
      </c>
      <c r="H702" s="236">
        <v>0</v>
      </c>
      <c r="I702" s="236">
        <v>0</v>
      </c>
      <c r="J702" s="236">
        <v>0</v>
      </c>
      <c r="K702" s="236">
        <v>0</v>
      </c>
      <c r="L702" s="236">
        <v>0</v>
      </c>
      <c r="M702" s="236">
        <v>0</v>
      </c>
      <c r="N702" s="236">
        <v>0</v>
      </c>
      <c r="O702" s="236">
        <v>0</v>
      </c>
      <c r="P702" s="236">
        <v>0</v>
      </c>
      <c r="Q702" s="236">
        <v>0</v>
      </c>
      <c r="R702" s="236">
        <v>0</v>
      </c>
      <c r="S702" s="236">
        <v>0</v>
      </c>
      <c r="T702" s="236">
        <v>0</v>
      </c>
      <c r="U702" s="236">
        <v>0</v>
      </c>
      <c r="V702" s="236">
        <v>0</v>
      </c>
      <c r="W702" s="236">
        <v>0</v>
      </c>
      <c r="X702" s="236">
        <v>0</v>
      </c>
      <c r="Y702" s="236">
        <v>0</v>
      </c>
      <c r="Z702" s="236">
        <v>0</v>
      </c>
      <c r="AA702" s="236">
        <v>0</v>
      </c>
      <c r="AB702" s="236">
        <v>0</v>
      </c>
      <c r="AC702" s="236">
        <v>0</v>
      </c>
      <c r="AD702" s="236">
        <v>0</v>
      </c>
      <c r="AE702" s="236">
        <v>0</v>
      </c>
      <c r="AF702" s="236">
        <v>0</v>
      </c>
      <c r="AG702" s="236">
        <v>0</v>
      </c>
      <c r="AH702" s="236">
        <v>0</v>
      </c>
      <c r="AI702" s="236">
        <v>0</v>
      </c>
      <c r="AJ702" s="236">
        <v>0</v>
      </c>
      <c r="AK702" s="236">
        <v>0</v>
      </c>
      <c r="AL702" s="236">
        <v>0</v>
      </c>
      <c r="AM702" s="236">
        <v>0</v>
      </c>
      <c r="AN702" s="236">
        <v>0</v>
      </c>
      <c r="AO702" s="236">
        <v>0</v>
      </c>
    </row>
    <row r="703" spans="1:41" ht="12.75" customHeight="1" x14ac:dyDescent="0.25">
      <c r="C703" s="777"/>
      <c r="D703" s="775"/>
      <c r="E703" s="235" t="s">
        <v>73</v>
      </c>
      <c r="F703" s="236"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5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5">
      <c r="C705" s="776" t="s">
        <v>161</v>
      </c>
      <c r="D705" s="775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5">
      <c r="C706" s="776"/>
      <c r="D706" s="775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5">
      <c r="C707" s="776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5">
      <c r="C708" s="776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5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5">
      <c r="D710" s="458" t="s">
        <v>186</v>
      </c>
      <c r="E710" s="459" t="s">
        <v>70</v>
      </c>
      <c r="F710" s="460">
        <f>F614</f>
        <v>0</v>
      </c>
      <c r="G710" s="460">
        <f t="shared" ref="G710:AA710" si="36">G614</f>
        <v>0</v>
      </c>
      <c r="H710" s="460">
        <f t="shared" si="36"/>
        <v>0</v>
      </c>
      <c r="I710" s="460">
        <f t="shared" si="36"/>
        <v>0</v>
      </c>
      <c r="J710" s="460">
        <f t="shared" si="36"/>
        <v>0</v>
      </c>
      <c r="K710" s="460">
        <f t="shared" si="36"/>
        <v>0</v>
      </c>
      <c r="L710" s="460">
        <f t="shared" si="36"/>
        <v>0</v>
      </c>
      <c r="M710" s="460">
        <f t="shared" si="36"/>
        <v>0</v>
      </c>
      <c r="N710" s="460">
        <f t="shared" si="36"/>
        <v>0</v>
      </c>
      <c r="O710" s="460">
        <f t="shared" si="36"/>
        <v>0</v>
      </c>
      <c r="P710" s="460">
        <f t="shared" si="36"/>
        <v>0</v>
      </c>
      <c r="Q710" s="460">
        <f t="shared" si="36"/>
        <v>0</v>
      </c>
      <c r="R710" s="460">
        <f t="shared" si="36"/>
        <v>0</v>
      </c>
      <c r="S710" s="460">
        <f t="shared" si="36"/>
        <v>0</v>
      </c>
      <c r="T710" s="460">
        <f t="shared" si="36"/>
        <v>0</v>
      </c>
      <c r="U710" s="460">
        <f t="shared" si="36"/>
        <v>0</v>
      </c>
      <c r="V710" s="460">
        <f t="shared" si="36"/>
        <v>0</v>
      </c>
      <c r="W710" s="460">
        <f t="shared" si="36"/>
        <v>0</v>
      </c>
      <c r="X710" s="460">
        <f t="shared" si="36"/>
        <v>0</v>
      </c>
      <c r="Y710" s="460">
        <f t="shared" si="36"/>
        <v>0</v>
      </c>
      <c r="Z710" s="460">
        <f t="shared" si="36"/>
        <v>0</v>
      </c>
      <c r="AA710" s="460">
        <f t="shared" si="36"/>
        <v>0</v>
      </c>
    </row>
    <row r="711" spans="3:41" ht="12.75" customHeight="1" x14ac:dyDescent="0.25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5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</mergeCells>
  <pageMargins left="0.7" right="0.7" top="0.75" bottom="0.75" header="0.3" footer="0.3"/>
  <pageSetup orientation="portrait" r:id="rId1"/>
  <ignoredErrors>
    <ignoredError sqref="D153 D156 D159 D177 D181 D493 D499 D535 D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63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5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5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8" ht="12.75" customHeight="1" x14ac:dyDescent="0.25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ht="12.75" customHeight="1" x14ac:dyDescent="0.25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s="286" customFormat="1" ht="12.75" customHeight="1" x14ac:dyDescent="0.25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8" ht="12.75" customHeight="1" x14ac:dyDescent="0.25">
      <c r="B11" s="142"/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ht="12.75" customHeight="1" x14ac:dyDescent="0.25">
      <c r="B12" s="142"/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8" ht="12.75" customHeight="1" x14ac:dyDescent="0.25">
      <c r="B13" s="142"/>
      <c r="C13" t="s">
        <v>82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8" ht="12.75" customHeight="1" x14ac:dyDescent="0.25">
      <c r="B14" s="142"/>
      <c r="D14" t="s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2:18" ht="12.75" customHeight="1" x14ac:dyDescent="0.25">
      <c r="B15" s="142"/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ht="12.75" customHeight="1" x14ac:dyDescent="0.25">
      <c r="B16" s="142"/>
      <c r="C16" t="s">
        <v>86</v>
      </c>
      <c r="D16" t="s">
        <v>70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5">
      <c r="B17" s="142"/>
      <c r="D17" t="s">
        <v>72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5">
      <c r="B18" s="142"/>
      <c r="D18" t="s">
        <v>81</v>
      </c>
      <c r="E18" s="14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5">
      <c r="B19" s="142"/>
      <c r="C19" s="89" t="s">
        <v>87</v>
      </c>
      <c r="D19" s="89" t="s">
        <v>70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>
        <v>0</v>
      </c>
    </row>
    <row r="20" spans="1:18" s="94" customFormat="1" ht="12.75" customHeight="1" x14ac:dyDescent="0.25">
      <c r="B20" s="101" t="s">
        <v>119</v>
      </c>
      <c r="C20" s="101" t="s">
        <v>70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4">
        <v>0</v>
      </c>
    </row>
    <row r="21" spans="1:18" s="226" customFormat="1" ht="12.75" customHeight="1" x14ac:dyDescent="0.25">
      <c r="A21" s="98" t="s">
        <v>78</v>
      </c>
      <c r="B21" s="98" t="s">
        <v>70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100">
        <v>0</v>
      </c>
      <c r="R21" s="226">
        <v>0</v>
      </c>
    </row>
    <row r="22" spans="1:18" ht="12.75" customHeight="1" x14ac:dyDescent="0.25">
      <c r="D22" s="89" t="s">
        <v>73</v>
      </c>
      <c r="E22" s="371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>
        <v>0</v>
      </c>
    </row>
    <row r="23" spans="1:18" ht="12.75" customHeight="1" x14ac:dyDescent="0.25">
      <c r="C23" s="89" t="s">
        <v>156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286" customFormat="1" ht="12.75" customHeight="1" x14ac:dyDescent="0.25">
      <c r="B24" s="286" t="s">
        <v>155</v>
      </c>
      <c r="C24" s="286" t="s">
        <v>70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</row>
    <row r="25" spans="1:18" ht="12.75" customHeight="1" x14ac:dyDescent="0.25">
      <c r="D25" s="89" t="s">
        <v>73</v>
      </c>
      <c r="E25" s="371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>
        <v>0</v>
      </c>
    </row>
    <row r="26" spans="1:18" ht="12.75" customHeight="1" x14ac:dyDescent="0.25">
      <c r="C26" s="89" t="s">
        <v>82</v>
      </c>
      <c r="D26" s="89" t="s">
        <v>70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D27" s="89" t="s">
        <v>73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ht="12.75" customHeight="1" x14ac:dyDescent="0.25">
      <c r="C28" s="89" t="s">
        <v>86</v>
      </c>
      <c r="D28" s="89" t="s">
        <v>70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>
        <v>0</v>
      </c>
    </row>
    <row r="29" spans="1:18" ht="12.75" customHeight="1" x14ac:dyDescent="0.25">
      <c r="D29" s="89" t="s">
        <v>73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5">
      <c r="C30" s="89" t="s">
        <v>87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94" customFormat="1" ht="12.75" customHeight="1" x14ac:dyDescent="0.25">
      <c r="B31" s="101" t="s">
        <v>119</v>
      </c>
      <c r="C31" s="101" t="s">
        <v>70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4">
        <v>0</v>
      </c>
    </row>
    <row r="32" spans="1:18" s="226" customFormat="1" ht="12.75" customHeight="1" x14ac:dyDescent="0.25">
      <c r="A32" s="98" t="s">
        <v>79</v>
      </c>
      <c r="B32" s="98" t="s">
        <v>70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226">
        <v>0</v>
      </c>
    </row>
    <row r="33" spans="1:19" ht="12.75" customHeight="1" x14ac:dyDescent="0.25">
      <c r="A33" s="89" t="s">
        <v>70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144">
        <v>0</v>
      </c>
    </row>
    <row r="34" spans="1:19" ht="12.75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5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5">
      <c r="B47" s="777" t="s">
        <v>2</v>
      </c>
      <c r="C47" s="775" t="s">
        <v>132</v>
      </c>
      <c r="D47" s="98" t="s">
        <v>70</v>
      </c>
      <c r="E47" s="100">
        <f>E21+E32-K21</f>
        <v>0</v>
      </c>
      <c r="F47" s="100">
        <f>F21</f>
        <v>0</v>
      </c>
      <c r="G47" s="100">
        <f t="shared" ref="G47:S47" si="0">G21</f>
        <v>0</v>
      </c>
      <c r="H47" s="100">
        <f t="shared" si="0"/>
        <v>0</v>
      </c>
      <c r="I47" s="100">
        <f t="shared" si="0"/>
        <v>0</v>
      </c>
      <c r="J47" s="100">
        <f t="shared" si="0"/>
        <v>0</v>
      </c>
      <c r="K47" s="100">
        <f t="shared" si="0"/>
        <v>0</v>
      </c>
      <c r="L47" s="100">
        <f t="shared" si="0"/>
        <v>0</v>
      </c>
      <c r="M47" s="100">
        <f t="shared" si="0"/>
        <v>0</v>
      </c>
      <c r="N47" s="100">
        <f t="shared" si="0"/>
        <v>0</v>
      </c>
      <c r="O47" s="100">
        <f t="shared" si="0"/>
        <v>0</v>
      </c>
      <c r="P47" s="100">
        <f t="shared" si="0"/>
        <v>0</v>
      </c>
      <c r="Q47" s="100">
        <f t="shared" si="0"/>
        <v>0</v>
      </c>
      <c r="R47" s="100">
        <f t="shared" si="0"/>
        <v>0</v>
      </c>
      <c r="S47" s="100">
        <f t="shared" si="0"/>
        <v>0</v>
      </c>
    </row>
    <row r="48" spans="1:19" ht="12.75" customHeight="1" x14ac:dyDescent="0.25">
      <c r="B48" s="777"/>
      <c r="C48" s="775"/>
      <c r="D48" s="98" t="s">
        <v>73</v>
      </c>
      <c r="E48" s="100">
        <f>E32</f>
        <v>0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5">
      <c r="B50" s="777" t="s">
        <v>160</v>
      </c>
      <c r="C50" s="775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5">
      <c r="B51" s="777"/>
      <c r="C51" s="775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5">
      <c r="B53" s="777" t="s">
        <v>155</v>
      </c>
      <c r="C53" s="775" t="s">
        <v>132</v>
      </c>
      <c r="D53" s="221" t="s">
        <v>70</v>
      </c>
      <c r="E53" s="222">
        <f>E24+E10+E6-K6-K10</f>
        <v>0</v>
      </c>
      <c r="F53" s="222">
        <f>F10+F6</f>
        <v>0</v>
      </c>
      <c r="G53" s="222">
        <f t="shared" ref="G53:S53" si="1">G10+G6</f>
        <v>0</v>
      </c>
      <c r="H53" s="222">
        <f t="shared" si="1"/>
        <v>0</v>
      </c>
      <c r="I53" s="222">
        <f t="shared" si="1"/>
        <v>0</v>
      </c>
      <c r="J53" s="222">
        <f t="shared" si="1"/>
        <v>0</v>
      </c>
      <c r="K53" s="222">
        <f t="shared" si="1"/>
        <v>0</v>
      </c>
      <c r="L53" s="222">
        <f t="shared" si="1"/>
        <v>0</v>
      </c>
      <c r="M53" s="222">
        <f t="shared" si="1"/>
        <v>0</v>
      </c>
      <c r="N53" s="222">
        <f t="shared" si="1"/>
        <v>0</v>
      </c>
      <c r="O53" s="222">
        <f t="shared" si="1"/>
        <v>0</v>
      </c>
      <c r="P53" s="222">
        <f t="shared" si="1"/>
        <v>0</v>
      </c>
      <c r="Q53" s="222">
        <f t="shared" si="1"/>
        <v>0</v>
      </c>
      <c r="R53" s="222">
        <f t="shared" si="1"/>
        <v>0</v>
      </c>
      <c r="S53" s="222">
        <f t="shared" si="1"/>
        <v>0</v>
      </c>
    </row>
    <row r="54" spans="1:19" ht="12.75" customHeight="1" x14ac:dyDescent="0.25">
      <c r="B54" s="777"/>
      <c r="C54" s="775"/>
      <c r="D54" s="221" t="s">
        <v>73</v>
      </c>
      <c r="E54" s="222">
        <f>E24</f>
        <v>0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5">
      <c r="B56" s="778" t="s">
        <v>326</v>
      </c>
      <c r="C56" s="775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5">
      <c r="B57" s="778"/>
      <c r="C57" s="775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5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B59" s="777" t="s">
        <v>119</v>
      </c>
      <c r="C59" s="775" t="s">
        <v>132</v>
      </c>
      <c r="D59" s="101" t="s">
        <v>70</v>
      </c>
      <c r="E59" s="93">
        <f>E20+E31-K20</f>
        <v>0</v>
      </c>
      <c r="F59" s="93">
        <f>F20</f>
        <v>0</v>
      </c>
      <c r="G59" s="93">
        <f t="shared" ref="G59:S59" si="2">G20</f>
        <v>0</v>
      </c>
      <c r="H59" s="93">
        <f t="shared" si="2"/>
        <v>0</v>
      </c>
      <c r="I59" s="93">
        <f t="shared" si="2"/>
        <v>0</v>
      </c>
      <c r="J59" s="93">
        <f t="shared" si="2"/>
        <v>0</v>
      </c>
      <c r="K59" s="93">
        <f t="shared" si="2"/>
        <v>0</v>
      </c>
      <c r="L59" s="93">
        <f t="shared" si="2"/>
        <v>0</v>
      </c>
      <c r="M59" s="93">
        <f t="shared" si="2"/>
        <v>0</v>
      </c>
      <c r="N59" s="93">
        <f t="shared" si="2"/>
        <v>0</v>
      </c>
      <c r="O59" s="93">
        <f t="shared" si="2"/>
        <v>0</v>
      </c>
      <c r="P59" s="93">
        <f t="shared" si="2"/>
        <v>0</v>
      </c>
      <c r="Q59" s="93">
        <f t="shared" si="2"/>
        <v>0</v>
      </c>
      <c r="R59" s="93">
        <f t="shared" si="2"/>
        <v>0</v>
      </c>
      <c r="S59" s="93">
        <f t="shared" si="2"/>
        <v>0</v>
      </c>
    </row>
    <row r="60" spans="1:19" ht="12.75" customHeight="1" x14ac:dyDescent="0.25">
      <c r="B60" s="777"/>
      <c r="C60" s="775"/>
      <c r="D60" s="101" t="s">
        <v>73</v>
      </c>
      <c r="E60" s="93">
        <f>E31</f>
        <v>0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5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B62" s="776" t="s">
        <v>161</v>
      </c>
      <c r="C62" s="775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5">
      <c r="B63" s="776"/>
      <c r="C63" s="775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5"/>
    <row r="65" spans="2:18" x14ac:dyDescent="0.25">
      <c r="B65" s="97" t="s">
        <v>75</v>
      </c>
    </row>
    <row r="66" spans="2:18" ht="12.75" customHeight="1" x14ac:dyDescent="0.25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5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5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5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5">
      <c r="B70" s="739" t="s">
        <v>85</v>
      </c>
      <c r="C70" s="739" t="s">
        <v>70</v>
      </c>
      <c r="D70" s="231"/>
      <c r="E70" s="740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5">
      <c r="B71" s="142"/>
      <c r="D71" s="89" t="s">
        <v>72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>
        <v>0</v>
      </c>
    </row>
    <row r="72" spans="2:18" ht="12.75" customHeight="1" x14ac:dyDescent="0.25">
      <c r="B72" s="142"/>
      <c r="D72" s="89" t="s">
        <v>81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>
        <v>0</v>
      </c>
    </row>
    <row r="73" spans="2:18" ht="12.75" customHeight="1" x14ac:dyDescent="0.25">
      <c r="B73" s="142"/>
      <c r="C73" t="s">
        <v>156</v>
      </c>
      <c r="D73" s="89" t="s">
        <v>70</v>
      </c>
      <c r="E73" s="371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>
        <v>0</v>
      </c>
    </row>
    <row r="74" spans="2:18" s="286" customFormat="1" ht="12.75" customHeight="1" x14ac:dyDescent="0.25">
      <c r="B74" s="751" t="s">
        <v>155</v>
      </c>
      <c r="C74" s="286" t="s">
        <v>70</v>
      </c>
      <c r="D74" s="229"/>
      <c r="E74" s="752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86">
        <v>0</v>
      </c>
    </row>
    <row r="75" spans="2:18" ht="12.6" customHeight="1" x14ac:dyDescent="0.25">
      <c r="B75" s="142"/>
      <c r="D75" s="89" t="s">
        <v>72</v>
      </c>
      <c r="E75" s="371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>
        <v>0</v>
      </c>
    </row>
    <row r="76" spans="2:18" ht="12.75" customHeight="1" x14ac:dyDescent="0.25">
      <c r="B76" s="142"/>
      <c r="D76" s="89" t="s">
        <v>81</v>
      </c>
      <c r="E76" s="371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>
        <v>0</v>
      </c>
    </row>
    <row r="77" spans="2:18" ht="12.75" customHeight="1" x14ac:dyDescent="0.25">
      <c r="B77" s="142"/>
      <c r="C77" t="s">
        <v>115</v>
      </c>
      <c r="D77" s="89" t="s">
        <v>70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2:18" ht="12.75" customHeight="1" x14ac:dyDescent="0.25">
      <c r="B78" s="142"/>
      <c r="C78" s="89"/>
      <c r="D78" s="89" t="s">
        <v>72</v>
      </c>
      <c r="E78" s="371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>
        <v>0</v>
      </c>
    </row>
    <row r="79" spans="2:18" ht="12.75" customHeight="1" x14ac:dyDescent="0.25">
      <c r="B79" s="142"/>
      <c r="C79" s="89" t="s">
        <v>116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2:18" ht="12.75" customHeight="1" x14ac:dyDescent="0.25">
      <c r="B80" s="142"/>
      <c r="C80" s="89"/>
      <c r="D80" s="89" t="s">
        <v>72</v>
      </c>
      <c r="E80" s="371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>
        <v>0</v>
      </c>
    </row>
    <row r="81" spans="1:18" ht="12.75" customHeight="1" x14ac:dyDescent="0.25">
      <c r="B81" s="142"/>
      <c r="C81" s="89"/>
      <c r="D81" s="89" t="s">
        <v>81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1:18" ht="12.75" customHeight="1" x14ac:dyDescent="0.25">
      <c r="B82" s="142"/>
      <c r="C82" s="89" t="s">
        <v>118</v>
      </c>
      <c r="D82" s="89" t="s">
        <v>70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1:18" s="224" customFormat="1" ht="12.75" customHeight="1" x14ac:dyDescent="0.25">
      <c r="B83" s="224" t="s">
        <v>120</v>
      </c>
      <c r="C83" s="224" t="s">
        <v>70</v>
      </c>
      <c r="E83" s="224">
        <v>0</v>
      </c>
      <c r="F83" s="224">
        <v>0</v>
      </c>
      <c r="G83" s="224">
        <v>0</v>
      </c>
      <c r="H83" s="224">
        <v>0</v>
      </c>
      <c r="I83" s="224">
        <v>0</v>
      </c>
      <c r="J83" s="224">
        <v>0</v>
      </c>
      <c r="K83" s="224">
        <v>0</v>
      </c>
      <c r="L83" s="224">
        <v>0</v>
      </c>
      <c r="M83" s="224">
        <v>0</v>
      </c>
      <c r="N83" s="224">
        <v>0</v>
      </c>
      <c r="O83" s="224">
        <v>0</v>
      </c>
      <c r="P83" s="224">
        <v>0</v>
      </c>
      <c r="Q83" s="224">
        <v>0</v>
      </c>
      <c r="R83" s="224">
        <v>0</v>
      </c>
    </row>
    <row r="84" spans="1:18" ht="12.75" customHeight="1" x14ac:dyDescent="0.25">
      <c r="D84" t="s">
        <v>72</v>
      </c>
      <c r="E84" s="14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2.75" customHeight="1" x14ac:dyDescent="0.25">
      <c r="D85" t="s">
        <v>81</v>
      </c>
      <c r="E85" s="14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2.75" customHeight="1" x14ac:dyDescent="0.25">
      <c r="C86" t="s">
        <v>82</v>
      </c>
      <c r="D86" t="s">
        <v>70</v>
      </c>
      <c r="E86" s="142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2.75" customHeight="1" x14ac:dyDescent="0.25">
      <c r="D87" t="s">
        <v>72</v>
      </c>
      <c r="E87" s="142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2.75" customHeight="1" x14ac:dyDescent="0.25">
      <c r="D88" t="s">
        <v>81</v>
      </c>
      <c r="E88" s="142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2.75" customHeight="1" x14ac:dyDescent="0.25">
      <c r="C89" t="s">
        <v>86</v>
      </c>
      <c r="D89" t="s">
        <v>70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ht="12.75" customHeight="1" x14ac:dyDescent="0.25">
      <c r="D90" t="s">
        <v>72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2.75" customHeight="1" x14ac:dyDescent="0.25">
      <c r="D91" t="s">
        <v>81</v>
      </c>
      <c r="E91" s="14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ht="12.75" customHeight="1" x14ac:dyDescent="0.25">
      <c r="C92" s="89" t="s">
        <v>87</v>
      </c>
      <c r="D92" s="89" t="s">
        <v>70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1:18" s="94" customFormat="1" ht="12.75" customHeight="1" x14ac:dyDescent="0.25">
      <c r="B93" s="94" t="s">
        <v>119</v>
      </c>
      <c r="C93" s="101" t="s">
        <v>70</v>
      </c>
      <c r="D93" s="101"/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0</v>
      </c>
      <c r="O93" s="93">
        <v>0</v>
      </c>
      <c r="P93" s="93">
        <v>0</v>
      </c>
      <c r="Q93" s="93">
        <v>0</v>
      </c>
      <c r="R93" s="94">
        <v>0</v>
      </c>
    </row>
    <row r="94" spans="1:18" s="226" customFormat="1" ht="12.75" customHeight="1" x14ac:dyDescent="0.25">
      <c r="A94" s="98" t="s">
        <v>78</v>
      </c>
      <c r="B94" s="98" t="s">
        <v>70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226">
        <v>0</v>
      </c>
    </row>
    <row r="95" spans="1:18" ht="12.75" customHeight="1" x14ac:dyDescent="0.25">
      <c r="C95" s="89"/>
      <c r="D95" s="89" t="s">
        <v>73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1:18" ht="12.75" customHeight="1" x14ac:dyDescent="0.25">
      <c r="C96" s="89" t="s">
        <v>156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1:18" s="286" customFormat="1" ht="12.75" customHeight="1" x14ac:dyDescent="0.25">
      <c r="B97" s="286" t="s">
        <v>155</v>
      </c>
      <c r="C97" s="229" t="s">
        <v>70</v>
      </c>
      <c r="D97" s="229"/>
      <c r="E97" s="752">
        <v>0</v>
      </c>
      <c r="F97" s="230">
        <v>0</v>
      </c>
      <c r="G97" s="230">
        <v>0</v>
      </c>
      <c r="H97" s="230">
        <v>0</v>
      </c>
      <c r="I97" s="230">
        <v>0</v>
      </c>
      <c r="J97" s="230">
        <v>0</v>
      </c>
      <c r="K97" s="230">
        <v>0</v>
      </c>
      <c r="L97" s="230">
        <v>0</v>
      </c>
      <c r="M97" s="230">
        <v>0</v>
      </c>
      <c r="N97" s="230">
        <v>0</v>
      </c>
      <c r="O97" s="230">
        <v>0</v>
      </c>
      <c r="P97" s="230">
        <v>0</v>
      </c>
      <c r="Q97" s="230">
        <v>0</v>
      </c>
      <c r="R97" s="286">
        <v>0</v>
      </c>
    </row>
    <row r="98" spans="1:18" ht="12.75" customHeight="1" x14ac:dyDescent="0.25">
      <c r="C98" s="89"/>
      <c r="D98" s="89" t="s">
        <v>73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1:18" ht="12.75" customHeight="1" x14ac:dyDescent="0.25">
      <c r="C99" s="89" t="s">
        <v>115</v>
      </c>
      <c r="D99" s="89" t="s">
        <v>70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1:18" ht="12.75" customHeight="1" x14ac:dyDescent="0.25">
      <c r="C100" s="89"/>
      <c r="D100" s="89" t="s">
        <v>73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1:18" ht="12.75" customHeight="1" x14ac:dyDescent="0.25">
      <c r="C101" s="89" t="s">
        <v>116</v>
      </c>
      <c r="D101" s="89" t="s">
        <v>70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1:18" ht="12.75" customHeight="1" x14ac:dyDescent="0.25">
      <c r="C102" s="89"/>
      <c r="D102" s="89" t="s">
        <v>73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1:18" ht="12.75" customHeight="1" x14ac:dyDescent="0.25">
      <c r="C103" s="89" t="s">
        <v>118</v>
      </c>
      <c r="D103" s="89" t="s">
        <v>70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1:18" s="224" customFormat="1" ht="12.75" customHeight="1" x14ac:dyDescent="0.25">
      <c r="B104" s="223" t="s">
        <v>120</v>
      </c>
      <c r="C104" s="223" t="s">
        <v>70</v>
      </c>
      <c r="E104" s="225">
        <v>0</v>
      </c>
      <c r="F104" s="225">
        <v>0</v>
      </c>
      <c r="G104" s="225">
        <v>0</v>
      </c>
      <c r="H104" s="225">
        <v>0</v>
      </c>
      <c r="I104" s="225">
        <v>0</v>
      </c>
      <c r="J104" s="225">
        <v>0</v>
      </c>
      <c r="K104" s="225">
        <v>0</v>
      </c>
      <c r="L104" s="225">
        <v>0</v>
      </c>
      <c r="M104" s="225">
        <v>0</v>
      </c>
      <c r="N104" s="225">
        <v>0</v>
      </c>
      <c r="O104" s="225">
        <v>0</v>
      </c>
      <c r="P104" s="225">
        <v>0</v>
      </c>
      <c r="Q104" s="225">
        <v>0</v>
      </c>
      <c r="R104" s="224">
        <v>0</v>
      </c>
    </row>
    <row r="105" spans="1:18" ht="12.75" customHeight="1" x14ac:dyDescent="0.25">
      <c r="D105" s="89" t="s">
        <v>73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1:18" ht="12.75" customHeight="1" x14ac:dyDescent="0.25">
      <c r="C106" t="s">
        <v>82</v>
      </c>
      <c r="D106" s="89" t="s">
        <v>70</v>
      </c>
      <c r="E106" s="371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>
        <v>0</v>
      </c>
    </row>
    <row r="107" spans="1:18" ht="12.75" customHeight="1" x14ac:dyDescent="0.25">
      <c r="D107" s="89" t="s">
        <v>73</v>
      </c>
      <c r="E107" s="371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>
        <v>0</v>
      </c>
    </row>
    <row r="108" spans="1:18" ht="12.75" customHeight="1" x14ac:dyDescent="0.25">
      <c r="C108" t="s">
        <v>86</v>
      </c>
      <c r="D108" s="89" t="s">
        <v>70</v>
      </c>
      <c r="E108" s="371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>
        <v>0</v>
      </c>
    </row>
    <row r="109" spans="1:18" ht="12.75" customHeight="1" x14ac:dyDescent="0.25"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5">
      <c r="C110" t="s">
        <v>87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s="94" customFormat="1" ht="12.75" customHeight="1" x14ac:dyDescent="0.25">
      <c r="B111" s="101" t="s">
        <v>119</v>
      </c>
      <c r="C111" s="101" t="s">
        <v>70</v>
      </c>
      <c r="E111" s="93">
        <v>0</v>
      </c>
      <c r="F111" s="93">
        <v>0</v>
      </c>
      <c r="G111" s="93">
        <v>0</v>
      </c>
      <c r="H111" s="93">
        <v>0</v>
      </c>
      <c r="I111" s="93">
        <v>0</v>
      </c>
      <c r="J111" s="93">
        <v>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4">
        <v>0</v>
      </c>
    </row>
    <row r="112" spans="1:18" s="226" customFormat="1" ht="12.75" customHeight="1" x14ac:dyDescent="0.25">
      <c r="A112" s="98" t="s">
        <v>79</v>
      </c>
      <c r="B112" s="98" t="s">
        <v>70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</v>
      </c>
      <c r="Q112" s="100">
        <v>0</v>
      </c>
      <c r="R112" s="226">
        <v>0</v>
      </c>
    </row>
    <row r="113" spans="1:19" ht="12.75" customHeight="1" x14ac:dyDescent="0.25">
      <c r="A113" s="89" t="s">
        <v>70</v>
      </c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5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5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5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customHeight="1" x14ac:dyDescent="0.25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customHeight="1" x14ac:dyDescent="0.25">
      <c r="B144" s="777" t="s">
        <v>2</v>
      </c>
      <c r="C144" s="775" t="s">
        <v>132</v>
      </c>
      <c r="D144" s="98" t="s">
        <v>70</v>
      </c>
      <c r="E144" s="100">
        <f>E94+E112-K94</f>
        <v>0</v>
      </c>
      <c r="F144" s="100">
        <f t="shared" ref="F144:R144" si="3">F94</f>
        <v>0</v>
      </c>
      <c r="G144" s="100">
        <f t="shared" si="3"/>
        <v>0</v>
      </c>
      <c r="H144" s="100">
        <f t="shared" si="3"/>
        <v>0</v>
      </c>
      <c r="I144" s="100">
        <f t="shared" si="3"/>
        <v>0</v>
      </c>
      <c r="J144" s="100">
        <f t="shared" si="3"/>
        <v>0</v>
      </c>
      <c r="K144" s="100">
        <f t="shared" si="3"/>
        <v>0</v>
      </c>
      <c r="L144" s="100">
        <f t="shared" si="3"/>
        <v>0</v>
      </c>
      <c r="M144" s="100">
        <f t="shared" si="3"/>
        <v>0</v>
      </c>
      <c r="N144" s="100">
        <f t="shared" si="3"/>
        <v>0</v>
      </c>
      <c r="O144" s="100">
        <f t="shared" si="3"/>
        <v>0</v>
      </c>
      <c r="P144" s="100">
        <f t="shared" si="3"/>
        <v>0</v>
      </c>
      <c r="Q144" s="100">
        <f t="shared" si="3"/>
        <v>0</v>
      </c>
      <c r="R144" s="100">
        <f t="shared" si="3"/>
        <v>0</v>
      </c>
    </row>
    <row r="145" spans="1:18" ht="12.75" customHeight="1" x14ac:dyDescent="0.25">
      <c r="B145" s="777"/>
      <c r="C145" s="775"/>
      <c r="D145" s="98" t="s">
        <v>73</v>
      </c>
      <c r="E145" s="100">
        <f>E112</f>
        <v>0</v>
      </c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A146" s="89"/>
      <c r="B146" s="97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25">
      <c r="B147" s="777" t="s">
        <v>160</v>
      </c>
      <c r="C147" s="775" t="s">
        <v>132</v>
      </c>
      <c r="D147" s="223" t="s">
        <v>70</v>
      </c>
      <c r="E147" s="225">
        <f>E104+E83+E70-K70-K83</f>
        <v>0</v>
      </c>
      <c r="F147" s="225">
        <f>F83+F70</f>
        <v>0</v>
      </c>
      <c r="G147" s="225">
        <f t="shared" ref="G147:R147" si="4">G83+G70</f>
        <v>0</v>
      </c>
      <c r="H147" s="225">
        <f t="shared" si="4"/>
        <v>0</v>
      </c>
      <c r="I147" s="225">
        <f t="shared" si="4"/>
        <v>0</v>
      </c>
      <c r="J147" s="225">
        <f t="shared" si="4"/>
        <v>0</v>
      </c>
      <c r="K147" s="225">
        <f t="shared" si="4"/>
        <v>0</v>
      </c>
      <c r="L147" s="225">
        <f t="shared" si="4"/>
        <v>0</v>
      </c>
      <c r="M147" s="225">
        <f t="shared" si="4"/>
        <v>0</v>
      </c>
      <c r="N147" s="225">
        <f t="shared" si="4"/>
        <v>0</v>
      </c>
      <c r="O147" s="225">
        <f t="shared" si="4"/>
        <v>0</v>
      </c>
      <c r="P147" s="225">
        <f t="shared" si="4"/>
        <v>0</v>
      </c>
      <c r="Q147" s="225">
        <f t="shared" si="4"/>
        <v>0</v>
      </c>
      <c r="R147" s="225">
        <f t="shared" si="4"/>
        <v>0</v>
      </c>
    </row>
    <row r="148" spans="1:18" ht="12.75" customHeight="1" x14ac:dyDescent="0.25">
      <c r="B148" s="777"/>
      <c r="C148" s="775"/>
      <c r="D148" s="223" t="s">
        <v>73</v>
      </c>
      <c r="E148" s="225">
        <f>E104</f>
        <v>0</v>
      </c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6" customHeight="1" x14ac:dyDescent="0.25">
      <c r="A149" s="89"/>
      <c r="B149" s="9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25">
      <c r="B150" s="777" t="s">
        <v>155</v>
      </c>
      <c r="C150" s="775" t="s">
        <v>132</v>
      </c>
      <c r="D150" s="221" t="s">
        <v>70</v>
      </c>
      <c r="E150" s="222">
        <f>E97+E74-K74</f>
        <v>0</v>
      </c>
      <c r="F150" s="222">
        <f t="shared" ref="F150:R150" si="5">F74</f>
        <v>0</v>
      </c>
      <c r="G150" s="222">
        <f t="shared" si="5"/>
        <v>0</v>
      </c>
      <c r="H150" s="222">
        <f t="shared" si="5"/>
        <v>0</v>
      </c>
      <c r="I150" s="222">
        <f t="shared" si="5"/>
        <v>0</v>
      </c>
      <c r="J150" s="222">
        <f t="shared" si="5"/>
        <v>0</v>
      </c>
      <c r="K150" s="222">
        <f t="shared" si="5"/>
        <v>0</v>
      </c>
      <c r="L150" s="222">
        <f t="shared" si="5"/>
        <v>0</v>
      </c>
      <c r="M150" s="222">
        <f t="shared" si="5"/>
        <v>0</v>
      </c>
      <c r="N150" s="222">
        <f t="shared" si="5"/>
        <v>0</v>
      </c>
      <c r="O150" s="222">
        <f t="shared" si="5"/>
        <v>0</v>
      </c>
      <c r="P150" s="222">
        <f t="shared" si="5"/>
        <v>0</v>
      </c>
      <c r="Q150" s="222">
        <f t="shared" si="5"/>
        <v>0</v>
      </c>
      <c r="R150" s="222">
        <f t="shared" si="5"/>
        <v>0</v>
      </c>
    </row>
    <row r="151" spans="1:18" ht="12.75" customHeight="1" x14ac:dyDescent="0.25">
      <c r="B151" s="777"/>
      <c r="C151" s="775"/>
      <c r="D151" s="221" t="s">
        <v>73</v>
      </c>
      <c r="E151" s="222">
        <f>E97</f>
        <v>0</v>
      </c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ht="12.75" customHeight="1" x14ac:dyDescent="0.25">
      <c r="A152" s="89"/>
      <c r="B152" s="97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spans="1:18" ht="12.75" customHeight="1" x14ac:dyDescent="0.25">
      <c r="B153" s="778" t="s">
        <v>326</v>
      </c>
      <c r="C153" s="775" t="s">
        <v>132</v>
      </c>
      <c r="D153" s="373" t="s">
        <v>70</v>
      </c>
      <c r="E153" s="374">
        <v>0</v>
      </c>
      <c r="F153" s="374">
        <v>0</v>
      </c>
      <c r="G153" s="374">
        <v>0</v>
      </c>
      <c r="H153" s="374">
        <v>0</v>
      </c>
      <c r="I153" s="374">
        <v>0</v>
      </c>
      <c r="J153" s="374">
        <v>0</v>
      </c>
      <c r="K153" s="374">
        <v>0</v>
      </c>
      <c r="L153" s="374">
        <v>0</v>
      </c>
      <c r="M153" s="374">
        <v>0</v>
      </c>
      <c r="N153" s="374">
        <v>0</v>
      </c>
      <c r="O153" s="374">
        <v>0</v>
      </c>
      <c r="P153" s="374">
        <v>0</v>
      </c>
      <c r="Q153" s="374">
        <v>0</v>
      </c>
      <c r="R153" s="374">
        <v>0</v>
      </c>
    </row>
    <row r="154" spans="1:18" ht="12.75" customHeight="1" x14ac:dyDescent="0.25">
      <c r="B154" s="778"/>
      <c r="C154" s="775"/>
      <c r="D154" s="373" t="s">
        <v>73</v>
      </c>
      <c r="E154" s="374">
        <v>0</v>
      </c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8" ht="12.75" customHeight="1" x14ac:dyDescent="0.25">
      <c r="A155" s="89"/>
      <c r="B155" s="97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</row>
    <row r="156" spans="1:18" ht="12.75" customHeight="1" x14ac:dyDescent="0.25">
      <c r="B156" s="777" t="s">
        <v>119</v>
      </c>
      <c r="C156" s="775" t="s">
        <v>132</v>
      </c>
      <c r="D156" s="101" t="s">
        <v>70</v>
      </c>
      <c r="E156" s="93">
        <f>E93+E111-K93</f>
        <v>0</v>
      </c>
      <c r="F156" s="93">
        <f t="shared" ref="F156:R156" si="6">F93</f>
        <v>0</v>
      </c>
      <c r="G156" s="93">
        <f t="shared" si="6"/>
        <v>0</v>
      </c>
      <c r="H156" s="93">
        <f t="shared" si="6"/>
        <v>0</v>
      </c>
      <c r="I156" s="93">
        <f t="shared" si="6"/>
        <v>0</v>
      </c>
      <c r="J156" s="93">
        <f t="shared" si="6"/>
        <v>0</v>
      </c>
      <c r="K156" s="93">
        <f t="shared" si="6"/>
        <v>0</v>
      </c>
      <c r="L156" s="93">
        <f t="shared" si="6"/>
        <v>0</v>
      </c>
      <c r="M156" s="93">
        <f t="shared" si="6"/>
        <v>0</v>
      </c>
      <c r="N156" s="93">
        <f t="shared" si="6"/>
        <v>0</v>
      </c>
      <c r="O156" s="93">
        <f t="shared" si="6"/>
        <v>0</v>
      </c>
      <c r="P156" s="93">
        <f t="shared" si="6"/>
        <v>0</v>
      </c>
      <c r="Q156" s="93">
        <f t="shared" si="6"/>
        <v>0</v>
      </c>
      <c r="R156" s="93">
        <f t="shared" si="6"/>
        <v>0</v>
      </c>
    </row>
    <row r="157" spans="1:18" ht="12.75" customHeight="1" x14ac:dyDescent="0.25">
      <c r="B157" s="777"/>
      <c r="C157" s="775"/>
      <c r="D157" s="101" t="s">
        <v>73</v>
      </c>
      <c r="E157" s="93">
        <f>E111</f>
        <v>0</v>
      </c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8" ht="12.75" customHeight="1" x14ac:dyDescent="0.25">
      <c r="A158" s="89"/>
      <c r="B158" s="97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</row>
    <row r="159" spans="1:18" ht="12.75" customHeight="1" x14ac:dyDescent="0.25">
      <c r="B159" s="776" t="s">
        <v>161</v>
      </c>
      <c r="C159" s="775" t="s">
        <v>132</v>
      </c>
      <c r="D159" s="231" t="s">
        <v>70</v>
      </c>
      <c r="E159" s="232">
        <v>0</v>
      </c>
      <c r="F159" s="232">
        <v>0</v>
      </c>
      <c r="G159" s="232">
        <v>0</v>
      </c>
      <c r="H159" s="232">
        <v>0</v>
      </c>
      <c r="I159" s="232">
        <v>0</v>
      </c>
      <c r="J159" s="232">
        <v>0</v>
      </c>
      <c r="K159" s="232">
        <v>0</v>
      </c>
      <c r="L159" s="232">
        <v>0</v>
      </c>
      <c r="M159" s="232">
        <v>0</v>
      </c>
      <c r="N159" s="232">
        <v>0</v>
      </c>
      <c r="O159" s="232">
        <v>0</v>
      </c>
      <c r="P159" s="232">
        <v>0</v>
      </c>
      <c r="Q159" s="232">
        <v>0</v>
      </c>
      <c r="R159" s="232">
        <v>0</v>
      </c>
    </row>
    <row r="160" spans="1:18" ht="12.75" customHeight="1" x14ac:dyDescent="0.25">
      <c r="B160" s="776"/>
      <c r="C160" s="775"/>
      <c r="D160" s="231" t="s">
        <v>73</v>
      </c>
      <c r="E160" s="232">
        <v>0</v>
      </c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2:18" s="238" customFormat="1" x14ac:dyDescent="0.25"/>
    <row r="162" spans="2:18" x14ac:dyDescent="0.25">
      <c r="B162" s="97" t="s">
        <v>76</v>
      </c>
    </row>
    <row r="163" spans="2:18" ht="12.6" customHeight="1" x14ac:dyDescent="0.25">
      <c r="E163" s="89" t="s">
        <v>70</v>
      </c>
      <c r="F163" s="89" t="s">
        <v>64</v>
      </c>
      <c r="G163" s="89" t="s">
        <v>65</v>
      </c>
      <c r="H163" s="219" t="s">
        <v>164</v>
      </c>
      <c r="I163" s="89" t="s">
        <v>69</v>
      </c>
      <c r="J163" s="89" t="s">
        <v>68</v>
      </c>
      <c r="K163" s="89" t="s">
        <v>83</v>
      </c>
      <c r="L163" s="89" t="s">
        <v>66</v>
      </c>
      <c r="M163" s="89" t="s">
        <v>63</v>
      </c>
      <c r="N163" s="89" t="s">
        <v>61</v>
      </c>
      <c r="O163" s="89" t="s">
        <v>62</v>
      </c>
      <c r="P163" s="89" t="s">
        <v>67</v>
      </c>
      <c r="Q163" s="89" t="s">
        <v>84</v>
      </c>
      <c r="R163" s="384" t="s">
        <v>225</v>
      </c>
    </row>
    <row r="164" spans="2:18" ht="12.75" customHeight="1" x14ac:dyDescent="0.25">
      <c r="D164" s="89" t="s">
        <v>72</v>
      </c>
      <c r="E164" s="371">
        <v>0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>
        <v>0</v>
      </c>
    </row>
    <row r="165" spans="2:18" ht="12.75" customHeight="1" x14ac:dyDescent="0.25">
      <c r="D165" t="s">
        <v>81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 ht="12.75" customHeight="1" x14ac:dyDescent="0.25">
      <c r="C166" t="s">
        <v>332</v>
      </c>
      <c r="D166" s="89" t="s">
        <v>70</v>
      </c>
      <c r="E166" s="371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>
        <v>0</v>
      </c>
    </row>
    <row r="167" spans="2:18" s="739" customFormat="1" ht="12.75" customHeight="1" x14ac:dyDescent="0.25">
      <c r="B167" s="739" t="s">
        <v>85</v>
      </c>
      <c r="C167" s="739" t="s">
        <v>70</v>
      </c>
      <c r="D167" s="231"/>
      <c r="E167" s="740">
        <v>0</v>
      </c>
      <c r="F167" s="232">
        <v>0</v>
      </c>
      <c r="G167" s="232">
        <v>0</v>
      </c>
      <c r="H167" s="232">
        <v>0</v>
      </c>
      <c r="I167" s="232">
        <v>0</v>
      </c>
      <c r="J167" s="232">
        <v>0</v>
      </c>
      <c r="K167" s="232">
        <v>0</v>
      </c>
      <c r="L167" s="232">
        <v>0</v>
      </c>
      <c r="M167" s="232">
        <v>0</v>
      </c>
      <c r="N167" s="232">
        <v>0</v>
      </c>
      <c r="O167" s="232">
        <v>0</v>
      </c>
      <c r="P167" s="232">
        <v>0</v>
      </c>
      <c r="Q167" s="232">
        <v>0</v>
      </c>
      <c r="R167" s="739">
        <v>0</v>
      </c>
    </row>
    <row r="168" spans="2:18" ht="12.6" customHeight="1" x14ac:dyDescent="0.25">
      <c r="D168" t="s">
        <v>72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8" ht="12.75" customHeight="1" x14ac:dyDescent="0.25">
      <c r="D169" t="s">
        <v>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8" ht="12.75" customHeight="1" x14ac:dyDescent="0.25">
      <c r="C170" t="s">
        <v>156</v>
      </c>
      <c r="D170" s="89" t="s">
        <v>70</v>
      </c>
      <c r="E170" s="371">
        <v>0</v>
      </c>
      <c r="F170" s="90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>
        <v>0</v>
      </c>
    </row>
    <row r="171" spans="2:18" s="656" customFormat="1" ht="12.75" customHeight="1" x14ac:dyDescent="0.25">
      <c r="B171" s="656" t="s">
        <v>155</v>
      </c>
      <c r="C171" s="656" t="s">
        <v>70</v>
      </c>
      <c r="E171" s="741">
        <v>0</v>
      </c>
      <c r="F171" s="656">
        <v>0</v>
      </c>
      <c r="G171" s="656">
        <v>0</v>
      </c>
      <c r="H171" s="656">
        <v>0</v>
      </c>
      <c r="I171" s="656">
        <v>0</v>
      </c>
      <c r="J171" s="656">
        <v>0</v>
      </c>
      <c r="K171" s="656">
        <v>0</v>
      </c>
      <c r="L171" s="656">
        <v>0</v>
      </c>
      <c r="M171" s="656">
        <v>0</v>
      </c>
      <c r="N171" s="656">
        <v>0</v>
      </c>
      <c r="O171" s="656">
        <v>0</v>
      </c>
      <c r="P171" s="656">
        <v>0</v>
      </c>
      <c r="Q171" s="656">
        <v>0</v>
      </c>
      <c r="R171" s="656">
        <v>0</v>
      </c>
    </row>
    <row r="172" spans="2:18" ht="12.75" customHeight="1" x14ac:dyDescent="0.25">
      <c r="D172" t="s">
        <v>72</v>
      </c>
      <c r="E172" s="14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 ht="12.75" customHeight="1" x14ac:dyDescent="0.25">
      <c r="D173" t="s">
        <v>81</v>
      </c>
      <c r="E173" s="142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8" ht="12.75" customHeight="1" x14ac:dyDescent="0.25">
      <c r="C174" t="s">
        <v>82</v>
      </c>
      <c r="D174" t="s">
        <v>70</v>
      </c>
      <c r="E174" s="142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8" ht="12.75" customHeight="1" x14ac:dyDescent="0.25">
      <c r="D175" t="s">
        <v>72</v>
      </c>
      <c r="E175" s="142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2:18" ht="12.75" customHeight="1" x14ac:dyDescent="0.25">
      <c r="D176" t="s">
        <v>81</v>
      </c>
      <c r="E176" s="142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5">
      <c r="C177" t="s">
        <v>86</v>
      </c>
      <c r="D177" t="s">
        <v>70</v>
      </c>
      <c r="E177" s="142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2.75" customHeight="1" x14ac:dyDescent="0.25">
      <c r="D178" t="s">
        <v>72</v>
      </c>
      <c r="E178" s="142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2.75" customHeight="1" x14ac:dyDescent="0.25">
      <c r="D179" t="s">
        <v>81</v>
      </c>
      <c r="E179" s="142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2.75" customHeight="1" x14ac:dyDescent="0.25">
      <c r="A180" s="89"/>
      <c r="B180" s="89"/>
      <c r="C180" t="s">
        <v>87</v>
      </c>
      <c r="D180" t="s">
        <v>70</v>
      </c>
      <c r="E180" s="90">
        <v>0</v>
      </c>
      <c r="F180" s="90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>
        <v>0</v>
      </c>
    </row>
    <row r="181" spans="1:18" s="94" customFormat="1" ht="12.75" customHeight="1" x14ac:dyDescent="0.25">
      <c r="A181" s="101"/>
      <c r="B181" s="101" t="s">
        <v>119</v>
      </c>
      <c r="C181" s="94" t="s">
        <v>70</v>
      </c>
      <c r="E181" s="93">
        <v>0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93">
        <v>0</v>
      </c>
      <c r="P181" s="93">
        <v>0</v>
      </c>
      <c r="Q181" s="93">
        <v>0</v>
      </c>
      <c r="R181" s="94">
        <v>0</v>
      </c>
    </row>
    <row r="182" spans="1:18" s="226" customFormat="1" ht="12.75" customHeight="1" x14ac:dyDescent="0.25">
      <c r="A182" s="226" t="s">
        <v>78</v>
      </c>
      <c r="B182" s="226" t="s">
        <v>70</v>
      </c>
      <c r="D182" s="98"/>
      <c r="E182" s="100">
        <v>0</v>
      </c>
      <c r="F182" s="100">
        <v>0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0</v>
      </c>
      <c r="Q182" s="100">
        <v>0</v>
      </c>
      <c r="R182" s="226">
        <v>0</v>
      </c>
    </row>
    <row r="183" spans="1:18" ht="12.75" customHeight="1" x14ac:dyDescent="0.25">
      <c r="C183" s="89"/>
      <c r="D183" s="89" t="s">
        <v>73</v>
      </c>
      <c r="E183" s="371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>
        <v>0</v>
      </c>
    </row>
    <row r="184" spans="1:18" ht="12.75" customHeight="1" x14ac:dyDescent="0.25">
      <c r="C184" s="89" t="s">
        <v>156</v>
      </c>
      <c r="D184" s="89" t="s">
        <v>70</v>
      </c>
      <c r="E184" s="371">
        <v>0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>
        <v>0</v>
      </c>
    </row>
    <row r="185" spans="1:18" s="237" customFormat="1" ht="12.75" customHeight="1" x14ac:dyDescent="0.25">
      <c r="B185" s="237" t="s">
        <v>155</v>
      </c>
      <c r="C185" s="221" t="s">
        <v>70</v>
      </c>
      <c r="D185" s="221"/>
      <c r="E185" s="566">
        <v>0</v>
      </c>
      <c r="F185" s="222">
        <v>0</v>
      </c>
      <c r="G185" s="222">
        <v>0</v>
      </c>
      <c r="H185" s="222">
        <v>0</v>
      </c>
      <c r="I185" s="222">
        <v>0</v>
      </c>
      <c r="J185" s="222">
        <v>0</v>
      </c>
      <c r="K185" s="222">
        <v>0</v>
      </c>
      <c r="L185" s="222">
        <v>0</v>
      </c>
      <c r="M185" s="222">
        <v>0</v>
      </c>
      <c r="N185" s="222">
        <v>0</v>
      </c>
      <c r="O185" s="222">
        <v>0</v>
      </c>
      <c r="P185" s="222">
        <v>0</v>
      </c>
      <c r="Q185" s="222">
        <v>0</v>
      </c>
      <c r="R185" s="237">
        <v>0</v>
      </c>
    </row>
    <row r="186" spans="1:18" ht="12.75" customHeight="1" x14ac:dyDescent="0.25">
      <c r="C186" s="89"/>
      <c r="D186" s="89" t="s">
        <v>73</v>
      </c>
      <c r="E186" s="371">
        <v>0</v>
      </c>
      <c r="F186" s="90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>
        <v>0</v>
      </c>
    </row>
    <row r="187" spans="1:18" ht="12.75" customHeight="1" x14ac:dyDescent="0.25">
      <c r="C187" t="s">
        <v>82</v>
      </c>
      <c r="D187" t="s">
        <v>70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2.75" customHeight="1" x14ac:dyDescent="0.25">
      <c r="D188" t="s">
        <v>73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2.75" customHeight="1" x14ac:dyDescent="0.25">
      <c r="C189" t="s">
        <v>86</v>
      </c>
      <c r="D189" t="s">
        <v>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2.75" customHeight="1" x14ac:dyDescent="0.25">
      <c r="D190" s="89" t="s">
        <v>73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>
        <v>0</v>
      </c>
    </row>
    <row r="191" spans="1:18" ht="12.75" customHeight="1" x14ac:dyDescent="0.25">
      <c r="C191" t="s">
        <v>87</v>
      </c>
      <c r="D191" s="89" t="s">
        <v>70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>
        <v>0</v>
      </c>
    </row>
    <row r="192" spans="1:18" s="94" customFormat="1" ht="12.75" customHeight="1" x14ac:dyDescent="0.25">
      <c r="B192" s="101" t="s">
        <v>119</v>
      </c>
      <c r="C192" s="101" t="s">
        <v>70</v>
      </c>
      <c r="E192" s="93">
        <v>0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4">
        <v>0</v>
      </c>
    </row>
    <row r="193" spans="1:18" s="226" customFormat="1" ht="12.75" customHeight="1" x14ac:dyDescent="0.25">
      <c r="A193" s="98" t="s">
        <v>79</v>
      </c>
      <c r="B193" s="98" t="s">
        <v>70</v>
      </c>
      <c r="E193" s="100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226">
        <v>0</v>
      </c>
    </row>
    <row r="194" spans="1:18" ht="12.75" customHeight="1" x14ac:dyDescent="0.25">
      <c r="A194" s="89" t="s">
        <v>70</v>
      </c>
      <c r="E194" s="90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>
        <v>0</v>
      </c>
    </row>
    <row r="195" spans="1:18" ht="12.75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8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8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8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8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8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8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8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8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8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8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8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customHeight="1" x14ac:dyDescent="0.25">
      <c r="C226" s="89"/>
      <c r="D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D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C228" s="89"/>
      <c r="D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D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18" ht="12.75" hidden="1" customHeight="1" x14ac:dyDescent="0.25">
      <c r="C230" s="89"/>
      <c r="D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</row>
    <row r="231" spans="1:18" ht="12.75" hidden="1" customHeight="1" x14ac:dyDescent="0.25">
      <c r="B231" s="89"/>
      <c r="C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</row>
    <row r="232" spans="1:18" ht="12.75" hidden="1" customHeight="1" x14ac:dyDescent="0.25">
      <c r="A232" s="89"/>
      <c r="B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customHeight="1" x14ac:dyDescent="0.25">
      <c r="B262" s="777" t="s">
        <v>2</v>
      </c>
      <c r="C262" s="775" t="s">
        <v>132</v>
      </c>
      <c r="D262" s="98" t="s">
        <v>70</v>
      </c>
      <c r="E262" s="100">
        <f>E182+E193-K182</f>
        <v>0</v>
      </c>
      <c r="F262" s="100">
        <f>F182</f>
        <v>0</v>
      </c>
      <c r="G262" s="100">
        <f t="shared" ref="G262:R262" si="7">G182</f>
        <v>0</v>
      </c>
      <c r="H262" s="100">
        <f t="shared" si="7"/>
        <v>0</v>
      </c>
      <c r="I262" s="100">
        <f t="shared" si="7"/>
        <v>0</v>
      </c>
      <c r="J262" s="100">
        <f t="shared" si="7"/>
        <v>0</v>
      </c>
      <c r="K262" s="100">
        <f t="shared" si="7"/>
        <v>0</v>
      </c>
      <c r="L262" s="100">
        <f t="shared" si="7"/>
        <v>0</v>
      </c>
      <c r="M262" s="100">
        <f t="shared" si="7"/>
        <v>0</v>
      </c>
      <c r="N262" s="100">
        <f t="shared" si="7"/>
        <v>0</v>
      </c>
      <c r="O262" s="100">
        <f t="shared" si="7"/>
        <v>0</v>
      </c>
      <c r="P262" s="100">
        <f t="shared" si="7"/>
        <v>0</v>
      </c>
      <c r="Q262" s="100">
        <f t="shared" si="7"/>
        <v>0</v>
      </c>
      <c r="R262" s="100">
        <f t="shared" si="7"/>
        <v>0</v>
      </c>
    </row>
    <row r="263" spans="1:18" ht="12.75" customHeight="1" x14ac:dyDescent="0.25">
      <c r="B263" s="777"/>
      <c r="C263" s="775"/>
      <c r="D263" s="98" t="s">
        <v>73</v>
      </c>
      <c r="E263" s="100">
        <f>E193</f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A264" s="89"/>
      <c r="B264" s="97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77" t="s">
        <v>160</v>
      </c>
      <c r="C265" s="775" t="s">
        <v>132</v>
      </c>
      <c r="D265" s="223" t="s">
        <v>70</v>
      </c>
      <c r="E265" s="225">
        <v>0</v>
      </c>
      <c r="F265" s="225">
        <v>0</v>
      </c>
      <c r="G265" s="225">
        <v>0</v>
      </c>
      <c r="H265" s="225">
        <v>0</v>
      </c>
      <c r="I265" s="225">
        <v>0</v>
      </c>
      <c r="J265" s="225">
        <v>0</v>
      </c>
      <c r="K265" s="225">
        <v>0</v>
      </c>
      <c r="L265" s="225">
        <v>0</v>
      </c>
      <c r="M265" s="225">
        <v>0</v>
      </c>
      <c r="N265" s="225">
        <v>0</v>
      </c>
      <c r="O265" s="225">
        <v>0</v>
      </c>
      <c r="P265" s="225">
        <v>0</v>
      </c>
      <c r="Q265" s="225">
        <v>0</v>
      </c>
      <c r="R265" s="225">
        <v>0</v>
      </c>
    </row>
    <row r="266" spans="1:18" ht="12.75" customHeight="1" x14ac:dyDescent="0.25">
      <c r="B266" s="777"/>
      <c r="C266" s="775"/>
      <c r="D266" s="223" t="s">
        <v>73</v>
      </c>
      <c r="E266" s="225">
        <v>0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25">
      <c r="A267" s="89"/>
      <c r="B267" s="97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7" t="s">
        <v>155</v>
      </c>
      <c r="C268" s="775" t="s">
        <v>132</v>
      </c>
      <c r="D268" s="221" t="s">
        <v>70</v>
      </c>
      <c r="E268" s="222">
        <f>E185+E171+E167-K171-K167</f>
        <v>0</v>
      </c>
      <c r="F268" s="222">
        <f>F167+F171</f>
        <v>0</v>
      </c>
      <c r="G268" s="222">
        <f t="shared" ref="G268:R268" si="8">G167+G171</f>
        <v>0</v>
      </c>
      <c r="H268" s="222">
        <f t="shared" si="8"/>
        <v>0</v>
      </c>
      <c r="I268" s="222">
        <f t="shared" si="8"/>
        <v>0</v>
      </c>
      <c r="J268" s="222">
        <f t="shared" si="8"/>
        <v>0</v>
      </c>
      <c r="K268" s="222">
        <f t="shared" si="8"/>
        <v>0</v>
      </c>
      <c r="L268" s="222">
        <f t="shared" si="8"/>
        <v>0</v>
      </c>
      <c r="M268" s="222">
        <f t="shared" si="8"/>
        <v>0</v>
      </c>
      <c r="N268" s="222">
        <f t="shared" si="8"/>
        <v>0</v>
      </c>
      <c r="O268" s="222">
        <f t="shared" si="8"/>
        <v>0</v>
      </c>
      <c r="P268" s="222">
        <f t="shared" si="8"/>
        <v>0</v>
      </c>
      <c r="Q268" s="222">
        <f t="shared" si="8"/>
        <v>0</v>
      </c>
      <c r="R268" s="222">
        <f t="shared" si="8"/>
        <v>0</v>
      </c>
    </row>
    <row r="269" spans="1:18" ht="12.75" customHeight="1" x14ac:dyDescent="0.25">
      <c r="B269" s="777"/>
      <c r="C269" s="775"/>
      <c r="D269" s="221" t="s">
        <v>73</v>
      </c>
      <c r="E269" s="222">
        <f>E185</f>
        <v>0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customHeight="1" x14ac:dyDescent="0.25">
      <c r="B270" s="719"/>
      <c r="C270" s="220"/>
      <c r="D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B271" s="778" t="s">
        <v>326</v>
      </c>
      <c r="C271" s="775" t="s">
        <v>132</v>
      </c>
      <c r="D271" s="373" t="s">
        <v>70</v>
      </c>
      <c r="E271" s="374">
        <v>0</v>
      </c>
      <c r="F271" s="374">
        <v>0</v>
      </c>
      <c r="G271" s="374">
        <v>0</v>
      </c>
      <c r="H271" s="374">
        <v>0</v>
      </c>
      <c r="I271" s="374">
        <v>0</v>
      </c>
      <c r="J271" s="374">
        <v>0</v>
      </c>
      <c r="K271" s="374">
        <v>0</v>
      </c>
      <c r="L271" s="374">
        <v>0</v>
      </c>
      <c r="M271" s="374">
        <v>0</v>
      </c>
      <c r="N271" s="374">
        <v>0</v>
      </c>
      <c r="O271" s="374">
        <v>0</v>
      </c>
      <c r="P271" s="374">
        <v>0</v>
      </c>
      <c r="Q271" s="374">
        <v>0</v>
      </c>
      <c r="R271" s="374">
        <v>0</v>
      </c>
    </row>
    <row r="272" spans="1:18" ht="12.75" customHeight="1" x14ac:dyDescent="0.25">
      <c r="B272" s="778"/>
      <c r="C272" s="775"/>
      <c r="D272" s="373" t="s">
        <v>73</v>
      </c>
      <c r="E272" s="374">
        <v>0</v>
      </c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18" ht="12.75" customHeight="1" x14ac:dyDescent="0.25">
      <c r="B273" s="719"/>
      <c r="C273" s="220"/>
      <c r="D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1:18" ht="12.75" customHeight="1" x14ac:dyDescent="0.25">
      <c r="B274" s="777" t="s">
        <v>119</v>
      </c>
      <c r="C274" s="775" t="s">
        <v>132</v>
      </c>
      <c r="D274" s="101" t="s">
        <v>70</v>
      </c>
      <c r="E274" s="93">
        <f>E181+E192-K181</f>
        <v>0</v>
      </c>
      <c r="F274" s="93">
        <f>F181</f>
        <v>0</v>
      </c>
      <c r="G274" s="93">
        <f t="shared" ref="G274:R274" si="9">G181</f>
        <v>0</v>
      </c>
      <c r="H274" s="93">
        <f t="shared" si="9"/>
        <v>0</v>
      </c>
      <c r="I274" s="93">
        <f t="shared" si="9"/>
        <v>0</v>
      </c>
      <c r="J274" s="93">
        <f t="shared" si="9"/>
        <v>0</v>
      </c>
      <c r="K274" s="93">
        <f t="shared" si="9"/>
        <v>0</v>
      </c>
      <c r="L274" s="93">
        <f t="shared" si="9"/>
        <v>0</v>
      </c>
      <c r="M274" s="93">
        <f t="shared" si="9"/>
        <v>0</v>
      </c>
      <c r="N274" s="93">
        <f t="shared" si="9"/>
        <v>0</v>
      </c>
      <c r="O274" s="93">
        <f t="shared" si="9"/>
        <v>0</v>
      </c>
      <c r="P274" s="93">
        <f t="shared" si="9"/>
        <v>0</v>
      </c>
      <c r="Q274" s="93">
        <f t="shared" si="9"/>
        <v>0</v>
      </c>
      <c r="R274" s="93">
        <f t="shared" si="9"/>
        <v>0</v>
      </c>
    </row>
    <row r="275" spans="1:18" ht="12.75" customHeight="1" x14ac:dyDescent="0.25">
      <c r="B275" s="777"/>
      <c r="C275" s="775"/>
      <c r="D275" s="101" t="s">
        <v>73</v>
      </c>
      <c r="E275" s="93">
        <f>E192</f>
        <v>0</v>
      </c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5">
      <c r="A276" s="89"/>
      <c r="B276" s="97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</row>
    <row r="277" spans="1:18" ht="12.75" customHeight="1" x14ac:dyDescent="0.25">
      <c r="B277" s="776" t="s">
        <v>161</v>
      </c>
      <c r="C277" s="775" t="s">
        <v>132</v>
      </c>
      <c r="D277" s="231" t="s">
        <v>70</v>
      </c>
      <c r="E277" s="232">
        <v>0</v>
      </c>
      <c r="F277" s="232">
        <v>0</v>
      </c>
      <c r="G277" s="232">
        <v>0</v>
      </c>
      <c r="H277" s="232">
        <v>0</v>
      </c>
      <c r="I277" s="232">
        <v>0</v>
      </c>
      <c r="J277" s="232">
        <v>0</v>
      </c>
      <c r="K277" s="232">
        <v>0</v>
      </c>
      <c r="L277" s="232">
        <v>0</v>
      </c>
      <c r="M277" s="232">
        <v>0</v>
      </c>
      <c r="N277" s="232">
        <v>0</v>
      </c>
      <c r="O277" s="232">
        <v>0</v>
      </c>
      <c r="P277" s="232">
        <v>0</v>
      </c>
      <c r="Q277" s="232">
        <v>0</v>
      </c>
      <c r="R277" s="232">
        <v>0</v>
      </c>
    </row>
    <row r="278" spans="1:18" ht="12.75" customHeight="1" x14ac:dyDescent="0.25">
      <c r="B278" s="776"/>
      <c r="C278" s="775"/>
      <c r="D278" s="231" t="s">
        <v>73</v>
      </c>
      <c r="E278" s="232">
        <v>0</v>
      </c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s="238" customFormat="1" x14ac:dyDescent="0.25"/>
    <row r="280" spans="1:18" ht="15" customHeight="1" x14ac:dyDescent="0.25">
      <c r="B280" s="97" t="s">
        <v>88</v>
      </c>
    </row>
    <row r="281" spans="1:18" ht="11.4" customHeight="1" x14ac:dyDescent="0.25">
      <c r="E281" s="89" t="s">
        <v>70</v>
      </c>
      <c r="F281" s="89" t="s">
        <v>64</v>
      </c>
      <c r="G281" s="89" t="s">
        <v>65</v>
      </c>
      <c r="H281" s="219" t="s">
        <v>164</v>
      </c>
      <c r="I281" s="89" t="s">
        <v>69</v>
      </c>
      <c r="J281" s="89" t="s">
        <v>68</v>
      </c>
      <c r="K281" s="89" t="s">
        <v>83</v>
      </c>
      <c r="L281" s="89" t="s">
        <v>66</v>
      </c>
      <c r="M281" s="89" t="s">
        <v>63</v>
      </c>
      <c r="N281" s="89" t="s">
        <v>61</v>
      </c>
      <c r="O281" s="89" t="s">
        <v>62</v>
      </c>
      <c r="P281" s="89" t="s">
        <v>67</v>
      </c>
      <c r="Q281" s="89" t="s">
        <v>84</v>
      </c>
      <c r="R281" s="384" t="s">
        <v>225</v>
      </c>
    </row>
    <row r="282" spans="1:18" ht="11.4" customHeight="1" x14ac:dyDescent="0.25">
      <c r="D282" t="s">
        <v>72</v>
      </c>
      <c r="E282" s="89">
        <v>0</v>
      </c>
      <c r="F282" s="89">
        <v>0</v>
      </c>
      <c r="G282" s="89">
        <v>0</v>
      </c>
      <c r="H282" s="384">
        <v>0</v>
      </c>
      <c r="I282" s="89">
        <v>0</v>
      </c>
      <c r="J282" s="89">
        <v>0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89">
        <v>0</v>
      </c>
      <c r="R282" s="384">
        <v>0</v>
      </c>
    </row>
    <row r="283" spans="1:18" ht="12.75" customHeight="1" x14ac:dyDescent="0.25">
      <c r="D283" t="s">
        <v>81</v>
      </c>
      <c r="E283" s="384">
        <v>0</v>
      </c>
      <c r="F283" s="89">
        <v>0</v>
      </c>
      <c r="G283" s="89">
        <v>0</v>
      </c>
      <c r="H283" s="384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0</v>
      </c>
      <c r="R283" s="384">
        <v>0</v>
      </c>
    </row>
    <row r="284" spans="1:18" ht="11.4" customHeight="1" x14ac:dyDescent="0.25">
      <c r="C284" t="s">
        <v>332</v>
      </c>
      <c r="D284" t="s">
        <v>70</v>
      </c>
      <c r="E284" s="384">
        <v>0</v>
      </c>
      <c r="F284" s="89">
        <v>0</v>
      </c>
      <c r="G284" s="89">
        <v>0</v>
      </c>
      <c r="H284" s="384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384">
        <v>0</v>
      </c>
    </row>
    <row r="285" spans="1:18" s="739" customFormat="1" ht="11.4" customHeight="1" x14ac:dyDescent="0.25">
      <c r="B285" s="739" t="s">
        <v>85</v>
      </c>
      <c r="C285" s="739" t="s">
        <v>70</v>
      </c>
      <c r="E285" s="769">
        <v>0</v>
      </c>
      <c r="F285" s="231">
        <v>0</v>
      </c>
      <c r="G285" s="231">
        <v>0</v>
      </c>
      <c r="H285" s="769">
        <v>0</v>
      </c>
      <c r="I285" s="231">
        <v>0</v>
      </c>
      <c r="J285" s="231">
        <v>0</v>
      </c>
      <c r="K285" s="231">
        <v>0</v>
      </c>
      <c r="L285" s="231">
        <v>0</v>
      </c>
      <c r="M285" s="231">
        <v>0</v>
      </c>
      <c r="N285" s="231">
        <v>0</v>
      </c>
      <c r="O285" s="231">
        <v>0</v>
      </c>
      <c r="P285" s="231">
        <v>0</v>
      </c>
      <c r="Q285" s="231">
        <v>0</v>
      </c>
      <c r="R285" s="769">
        <v>0</v>
      </c>
    </row>
    <row r="286" spans="1:18" ht="11.4" customHeight="1" x14ac:dyDescent="0.25">
      <c r="D286" t="s">
        <v>72</v>
      </c>
      <c r="E286" s="384">
        <v>0</v>
      </c>
      <c r="F286" s="89">
        <v>0</v>
      </c>
      <c r="G286" s="89">
        <v>0</v>
      </c>
      <c r="H286" s="384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384">
        <v>0</v>
      </c>
    </row>
    <row r="287" spans="1:18" ht="12.75" customHeight="1" x14ac:dyDescent="0.25">
      <c r="D287" t="s">
        <v>81</v>
      </c>
      <c r="E287" s="384">
        <v>0</v>
      </c>
      <c r="F287" s="89">
        <v>0</v>
      </c>
      <c r="G287" s="89">
        <v>0</v>
      </c>
      <c r="H287" s="384">
        <v>0</v>
      </c>
      <c r="I287" s="89">
        <v>0</v>
      </c>
      <c r="J287" s="89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384">
        <v>0</v>
      </c>
    </row>
    <row r="288" spans="1:18" ht="12.75" customHeight="1" x14ac:dyDescent="0.25">
      <c r="C288" t="s">
        <v>156</v>
      </c>
      <c r="D288" t="s">
        <v>70</v>
      </c>
      <c r="E288" s="384">
        <v>0</v>
      </c>
      <c r="F288" s="89">
        <v>0</v>
      </c>
      <c r="G288" s="89">
        <v>0</v>
      </c>
      <c r="H288" s="384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v>0</v>
      </c>
      <c r="P288" s="89">
        <v>0</v>
      </c>
      <c r="Q288" s="89">
        <v>0</v>
      </c>
      <c r="R288">
        <v>0</v>
      </c>
    </row>
    <row r="289" spans="2:18" s="286" customFormat="1" ht="12.75" customHeight="1" x14ac:dyDescent="0.25">
      <c r="B289" s="286" t="s">
        <v>155</v>
      </c>
      <c r="C289" s="286" t="s">
        <v>70</v>
      </c>
      <c r="E289" s="753">
        <v>0</v>
      </c>
      <c r="F289" s="229">
        <v>0</v>
      </c>
      <c r="G289" s="229">
        <v>0</v>
      </c>
      <c r="H289" s="753">
        <v>0</v>
      </c>
      <c r="I289" s="229">
        <v>0</v>
      </c>
      <c r="J289" s="229">
        <v>0</v>
      </c>
      <c r="K289" s="229">
        <v>0</v>
      </c>
      <c r="L289" s="229">
        <v>0</v>
      </c>
      <c r="M289" s="229">
        <v>0</v>
      </c>
      <c r="N289" s="229">
        <v>0</v>
      </c>
      <c r="O289" s="229">
        <v>0</v>
      </c>
      <c r="P289" s="229">
        <v>0</v>
      </c>
      <c r="Q289" s="229">
        <v>0</v>
      </c>
      <c r="R289" s="286">
        <v>0</v>
      </c>
    </row>
    <row r="290" spans="2:18" ht="12.75" customHeight="1" x14ac:dyDescent="0.25">
      <c r="D290" t="s">
        <v>72</v>
      </c>
      <c r="E290" s="384">
        <v>0</v>
      </c>
      <c r="F290" s="89">
        <v>0</v>
      </c>
      <c r="G290" s="89">
        <v>0</v>
      </c>
      <c r="H290" s="384">
        <v>0</v>
      </c>
      <c r="I290" s="89">
        <v>0</v>
      </c>
      <c r="J290" s="89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>
        <v>0</v>
      </c>
    </row>
    <row r="291" spans="2:18" ht="12.75" customHeight="1" x14ac:dyDescent="0.25">
      <c r="D291" t="s">
        <v>81</v>
      </c>
      <c r="E291" s="384">
        <v>0</v>
      </c>
      <c r="F291" s="89">
        <v>0</v>
      </c>
      <c r="G291" s="89">
        <v>0</v>
      </c>
      <c r="H291" s="384">
        <v>0</v>
      </c>
      <c r="I291" s="89">
        <v>0</v>
      </c>
      <c r="J291" s="89">
        <v>0</v>
      </c>
      <c r="K291" s="89">
        <v>0</v>
      </c>
      <c r="L291" s="89">
        <v>0</v>
      </c>
      <c r="M291" s="89">
        <v>0</v>
      </c>
      <c r="N291" s="89">
        <v>0</v>
      </c>
      <c r="O291" s="89">
        <v>0</v>
      </c>
      <c r="P291" s="89">
        <v>0</v>
      </c>
      <c r="Q291" s="89">
        <v>0</v>
      </c>
      <c r="R291">
        <v>0</v>
      </c>
    </row>
    <row r="292" spans="2:18" ht="12.75" customHeight="1" x14ac:dyDescent="0.25">
      <c r="C292" t="s">
        <v>115</v>
      </c>
      <c r="D292" t="s">
        <v>70</v>
      </c>
      <c r="E292" s="384">
        <v>0</v>
      </c>
      <c r="F292" s="89">
        <v>0</v>
      </c>
      <c r="G292" s="89">
        <v>0</v>
      </c>
      <c r="H292" s="384">
        <v>0</v>
      </c>
      <c r="I292" s="89">
        <v>0</v>
      </c>
      <c r="J292" s="89">
        <v>0</v>
      </c>
      <c r="K292" s="89">
        <v>0</v>
      </c>
      <c r="L292" s="89">
        <v>0</v>
      </c>
      <c r="M292" s="89">
        <v>0</v>
      </c>
      <c r="N292" s="89">
        <v>0</v>
      </c>
      <c r="O292" s="89">
        <v>0</v>
      </c>
      <c r="P292" s="89">
        <v>0</v>
      </c>
      <c r="Q292" s="89">
        <v>0</v>
      </c>
      <c r="R292">
        <v>0</v>
      </c>
    </row>
    <row r="293" spans="2:18" ht="12.75" customHeight="1" x14ac:dyDescent="0.25">
      <c r="D293" t="s">
        <v>72</v>
      </c>
      <c r="E293" s="384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>
        <v>0</v>
      </c>
    </row>
    <row r="294" spans="2:18" ht="12.75" customHeight="1" x14ac:dyDescent="0.25">
      <c r="C294" t="s">
        <v>116</v>
      </c>
      <c r="D294" t="s">
        <v>70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>
        <v>0</v>
      </c>
    </row>
    <row r="295" spans="2:18" ht="12.75" customHeight="1" x14ac:dyDescent="0.25">
      <c r="B295" s="89"/>
      <c r="C295" s="89"/>
      <c r="D295" t="s">
        <v>72</v>
      </c>
      <c r="E295" s="371">
        <v>0</v>
      </c>
      <c r="F295" s="90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>
        <v>0</v>
      </c>
    </row>
    <row r="296" spans="2:18" ht="12.75" customHeight="1" x14ac:dyDescent="0.25">
      <c r="B296" s="89"/>
      <c r="C296" s="89"/>
      <c r="D296" t="s">
        <v>81</v>
      </c>
      <c r="E296" s="371">
        <v>0</v>
      </c>
      <c r="F296" s="90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>
        <v>0</v>
      </c>
    </row>
    <row r="297" spans="2:18" ht="12.75" customHeight="1" x14ac:dyDescent="0.25">
      <c r="B297" s="89"/>
      <c r="C297" s="89" t="s">
        <v>118</v>
      </c>
      <c r="D297" t="s">
        <v>70</v>
      </c>
      <c r="E297" s="371">
        <v>0</v>
      </c>
      <c r="F297" s="90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>
        <v>0</v>
      </c>
    </row>
    <row r="298" spans="2:18" s="224" customFormat="1" ht="12.75" customHeight="1" x14ac:dyDescent="0.25">
      <c r="B298" s="224" t="s">
        <v>120</v>
      </c>
      <c r="C298" s="223" t="s">
        <v>70</v>
      </c>
      <c r="D298" s="223"/>
      <c r="E298" s="225">
        <v>0</v>
      </c>
      <c r="F298" s="225">
        <v>0</v>
      </c>
      <c r="G298" s="225">
        <v>0</v>
      </c>
      <c r="H298" s="225">
        <v>0</v>
      </c>
      <c r="I298" s="225">
        <v>0</v>
      </c>
      <c r="J298" s="225">
        <v>0</v>
      </c>
      <c r="K298" s="225">
        <v>0</v>
      </c>
      <c r="L298" s="225">
        <v>0</v>
      </c>
      <c r="M298" s="225">
        <v>0</v>
      </c>
      <c r="N298" s="225">
        <v>0</v>
      </c>
      <c r="O298" s="225">
        <v>0</v>
      </c>
      <c r="P298" s="225">
        <v>0</v>
      </c>
      <c r="Q298" s="225">
        <v>0</v>
      </c>
      <c r="R298" s="224">
        <v>0</v>
      </c>
    </row>
    <row r="299" spans="2:18" ht="12.75" customHeight="1" x14ac:dyDescent="0.25">
      <c r="C299" s="89"/>
      <c r="D299" s="89" t="s">
        <v>72</v>
      </c>
      <c r="E299" s="371">
        <v>0</v>
      </c>
      <c r="F299" s="90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>
        <v>0</v>
      </c>
    </row>
    <row r="300" spans="2:18" ht="12.75" customHeight="1" x14ac:dyDescent="0.25">
      <c r="C300" s="89"/>
      <c r="D300" s="89" t="s">
        <v>81</v>
      </c>
      <c r="E300" s="371">
        <v>0</v>
      </c>
      <c r="F300" s="90">
        <v>0</v>
      </c>
      <c r="G300" s="90">
        <v>0</v>
      </c>
      <c r="H300" s="90">
        <v>0</v>
      </c>
      <c r="I300" s="90">
        <v>0</v>
      </c>
      <c r="J300" s="90">
        <v>0</v>
      </c>
      <c r="K300" s="90">
        <v>0</v>
      </c>
      <c r="L300" s="90">
        <v>0</v>
      </c>
      <c r="M300" s="90">
        <v>0</v>
      </c>
      <c r="N300" s="90">
        <v>0</v>
      </c>
      <c r="O300" s="90">
        <v>0</v>
      </c>
      <c r="P300" s="90">
        <v>0</v>
      </c>
      <c r="Q300" s="90">
        <v>0</v>
      </c>
      <c r="R300">
        <v>0</v>
      </c>
    </row>
    <row r="301" spans="2:18" ht="12.75" customHeight="1" x14ac:dyDescent="0.25">
      <c r="C301" s="89" t="s">
        <v>82</v>
      </c>
      <c r="D301" s="89" t="s">
        <v>70</v>
      </c>
      <c r="E301" s="371">
        <v>0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>
        <v>0</v>
      </c>
    </row>
    <row r="302" spans="2:18" ht="12.75" customHeight="1" x14ac:dyDescent="0.25">
      <c r="C302" s="89"/>
      <c r="D302" s="89" t="s">
        <v>72</v>
      </c>
      <c r="E302" s="371">
        <v>0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>
        <v>0</v>
      </c>
    </row>
    <row r="303" spans="2:18" ht="12.75" customHeight="1" x14ac:dyDescent="0.25">
      <c r="C303" s="89"/>
      <c r="D303" s="89" t="s">
        <v>81</v>
      </c>
      <c r="E303" s="371">
        <v>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>
        <v>0</v>
      </c>
    </row>
    <row r="304" spans="2:18" ht="12.75" customHeight="1" x14ac:dyDescent="0.25">
      <c r="C304" s="89" t="s">
        <v>86</v>
      </c>
      <c r="D304" s="89" t="s">
        <v>70</v>
      </c>
      <c r="E304" s="371">
        <v>0</v>
      </c>
      <c r="F304" s="90">
        <v>0</v>
      </c>
      <c r="G304" s="90">
        <v>0</v>
      </c>
      <c r="H304" s="90">
        <v>0</v>
      </c>
      <c r="I304" s="90">
        <v>0</v>
      </c>
      <c r="J304" s="90">
        <v>0</v>
      </c>
      <c r="K304" s="90">
        <v>0</v>
      </c>
      <c r="L304" s="90">
        <v>0</v>
      </c>
      <c r="M304" s="90">
        <v>0</v>
      </c>
      <c r="N304" s="90">
        <v>0</v>
      </c>
      <c r="O304" s="90">
        <v>0</v>
      </c>
      <c r="P304" s="90">
        <v>0</v>
      </c>
      <c r="Q304" s="90">
        <v>0</v>
      </c>
      <c r="R304">
        <v>0</v>
      </c>
    </row>
    <row r="305" spans="1:18" ht="12.75" customHeight="1" x14ac:dyDescent="0.25">
      <c r="C305" s="89"/>
      <c r="D305" s="89" t="s">
        <v>72</v>
      </c>
      <c r="E305" s="371">
        <v>0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0</v>
      </c>
      <c r="R305">
        <v>0</v>
      </c>
    </row>
    <row r="306" spans="1:18" ht="12.75" customHeight="1" x14ac:dyDescent="0.25">
      <c r="C306" s="89"/>
      <c r="D306" s="89" t="s">
        <v>81</v>
      </c>
      <c r="E306" s="371">
        <v>0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0</v>
      </c>
      <c r="R306">
        <v>0</v>
      </c>
    </row>
    <row r="307" spans="1:18" ht="12.75" customHeight="1" x14ac:dyDescent="0.25">
      <c r="A307" s="89"/>
      <c r="B307" s="89"/>
      <c r="C307" t="s">
        <v>87</v>
      </c>
      <c r="D307" t="s">
        <v>70</v>
      </c>
      <c r="E307" s="90">
        <v>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0</v>
      </c>
      <c r="R307">
        <v>0</v>
      </c>
    </row>
    <row r="308" spans="1:18" s="94" customFormat="1" ht="12.75" customHeight="1" x14ac:dyDescent="0.25">
      <c r="B308" s="101" t="s">
        <v>119</v>
      </c>
      <c r="C308" s="101" t="s">
        <v>70</v>
      </c>
      <c r="E308" s="93">
        <v>0</v>
      </c>
      <c r="F308" s="93">
        <v>0</v>
      </c>
      <c r="G308" s="93">
        <v>0</v>
      </c>
      <c r="H308" s="93">
        <v>0</v>
      </c>
      <c r="I308" s="93">
        <v>0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4">
        <v>0</v>
      </c>
    </row>
    <row r="309" spans="1:18" s="226" customFormat="1" ht="12.75" customHeight="1" x14ac:dyDescent="0.25">
      <c r="A309" s="98" t="s">
        <v>78</v>
      </c>
      <c r="B309" s="98" t="s">
        <v>70</v>
      </c>
      <c r="E309" s="100">
        <v>0</v>
      </c>
      <c r="F309" s="100">
        <v>0</v>
      </c>
      <c r="G309" s="100">
        <v>0</v>
      </c>
      <c r="H309" s="100">
        <v>0</v>
      </c>
      <c r="I309" s="100">
        <v>0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</v>
      </c>
      <c r="P309" s="100">
        <v>0</v>
      </c>
      <c r="Q309" s="100">
        <v>0</v>
      </c>
      <c r="R309" s="226">
        <v>0</v>
      </c>
    </row>
    <row r="310" spans="1:18" ht="12.75" customHeight="1" x14ac:dyDescent="0.25">
      <c r="B310" s="89"/>
      <c r="C310" s="89"/>
      <c r="D310" t="s">
        <v>73</v>
      </c>
      <c r="E310" s="371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>
        <v>0</v>
      </c>
    </row>
    <row r="311" spans="1:18" ht="12.75" customHeight="1" x14ac:dyDescent="0.25">
      <c r="B311" s="89"/>
      <c r="C311" s="89" t="s">
        <v>156</v>
      </c>
      <c r="D311" t="s">
        <v>70</v>
      </c>
      <c r="E311" s="371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>
        <v>0</v>
      </c>
    </row>
    <row r="312" spans="1:18" s="286" customFormat="1" ht="12.75" customHeight="1" x14ac:dyDescent="0.25">
      <c r="B312" s="229" t="s">
        <v>155</v>
      </c>
      <c r="C312" s="229" t="s">
        <v>70</v>
      </c>
      <c r="E312" s="752">
        <v>0</v>
      </c>
      <c r="F312" s="230">
        <v>0</v>
      </c>
      <c r="G312" s="230">
        <v>0</v>
      </c>
      <c r="H312" s="230">
        <v>0</v>
      </c>
      <c r="I312" s="230">
        <v>0</v>
      </c>
      <c r="J312" s="230">
        <v>0</v>
      </c>
      <c r="K312" s="230">
        <v>0</v>
      </c>
      <c r="L312" s="230">
        <v>0</v>
      </c>
      <c r="M312" s="230">
        <v>0</v>
      </c>
      <c r="N312" s="230">
        <v>0</v>
      </c>
      <c r="O312" s="230">
        <v>0</v>
      </c>
      <c r="P312" s="230">
        <v>0</v>
      </c>
      <c r="Q312" s="230">
        <v>0</v>
      </c>
      <c r="R312" s="286">
        <v>0</v>
      </c>
    </row>
    <row r="313" spans="1:18" ht="12.75" customHeight="1" x14ac:dyDescent="0.25">
      <c r="B313" s="89"/>
      <c r="C313" s="89"/>
      <c r="D313" t="s">
        <v>73</v>
      </c>
      <c r="E313" s="371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>
        <v>0</v>
      </c>
    </row>
    <row r="314" spans="1:18" ht="12.75" customHeight="1" x14ac:dyDescent="0.25">
      <c r="B314" s="89"/>
      <c r="C314" s="89" t="s">
        <v>115</v>
      </c>
      <c r="D314" t="s">
        <v>70</v>
      </c>
      <c r="E314" s="371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>
        <v>0</v>
      </c>
    </row>
    <row r="315" spans="1:18" ht="12.75" customHeight="1" x14ac:dyDescent="0.25">
      <c r="B315" s="89"/>
      <c r="C315" s="89"/>
      <c r="D315" t="s">
        <v>73</v>
      </c>
      <c r="E315" s="371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>
        <v>0</v>
      </c>
    </row>
    <row r="316" spans="1:18" ht="12.75" customHeight="1" x14ac:dyDescent="0.25">
      <c r="B316" s="89"/>
      <c r="C316" s="89" t="s">
        <v>116</v>
      </c>
      <c r="D316" t="s">
        <v>70</v>
      </c>
      <c r="E316" s="371">
        <v>0</v>
      </c>
      <c r="F316" s="90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>
        <v>0</v>
      </c>
    </row>
    <row r="317" spans="1:18" ht="12.75" customHeight="1" x14ac:dyDescent="0.25">
      <c r="B317" s="89"/>
      <c r="C317" s="89"/>
      <c r="D317" t="s">
        <v>73</v>
      </c>
      <c r="E317" s="371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>
        <v>0</v>
      </c>
    </row>
    <row r="318" spans="1:18" ht="12.75" customHeight="1" x14ac:dyDescent="0.25">
      <c r="B318" s="89"/>
      <c r="C318" s="89" t="s">
        <v>118</v>
      </c>
      <c r="D318" t="s">
        <v>70</v>
      </c>
      <c r="E318" s="371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>
        <v>0</v>
      </c>
    </row>
    <row r="319" spans="1:18" s="224" customFormat="1" ht="12.75" customHeight="1" x14ac:dyDescent="0.25">
      <c r="B319" s="224" t="s">
        <v>120</v>
      </c>
      <c r="C319" s="224" t="s">
        <v>70</v>
      </c>
      <c r="D319" s="223"/>
      <c r="E319" s="225">
        <v>0</v>
      </c>
      <c r="F319" s="225">
        <v>0</v>
      </c>
      <c r="G319" s="225">
        <v>0</v>
      </c>
      <c r="H319" s="225">
        <v>0</v>
      </c>
      <c r="I319" s="225">
        <v>0</v>
      </c>
      <c r="J319" s="225">
        <v>0</v>
      </c>
      <c r="K319" s="225">
        <v>0</v>
      </c>
      <c r="L319" s="225">
        <v>0</v>
      </c>
      <c r="M319" s="225">
        <v>0</v>
      </c>
      <c r="N319" s="225">
        <v>0</v>
      </c>
      <c r="O319" s="225">
        <v>0</v>
      </c>
      <c r="P319" s="225">
        <v>0</v>
      </c>
      <c r="Q319" s="225">
        <v>0</v>
      </c>
      <c r="R319" s="224">
        <v>0</v>
      </c>
    </row>
    <row r="320" spans="1:18" ht="12.75" customHeight="1" x14ac:dyDescent="0.25">
      <c r="D320" s="89" t="s">
        <v>73</v>
      </c>
      <c r="E320" s="371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>
        <v>0</v>
      </c>
    </row>
    <row r="321" spans="1:18" ht="12.75" customHeight="1" x14ac:dyDescent="0.25">
      <c r="C321" t="s">
        <v>82</v>
      </c>
      <c r="D321" s="89" t="s">
        <v>70</v>
      </c>
      <c r="E321" s="371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>
        <v>0</v>
      </c>
    </row>
    <row r="322" spans="1:18" ht="12.75" customHeight="1" x14ac:dyDescent="0.25">
      <c r="D322" s="89" t="s">
        <v>73</v>
      </c>
      <c r="E322" s="371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>
        <v>0</v>
      </c>
    </row>
    <row r="323" spans="1:18" ht="12.75" customHeight="1" x14ac:dyDescent="0.25">
      <c r="C323" t="s">
        <v>86</v>
      </c>
      <c r="D323" s="89" t="s">
        <v>70</v>
      </c>
      <c r="E323" s="371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>
        <v>0</v>
      </c>
    </row>
    <row r="324" spans="1:18" ht="12.75" customHeight="1" x14ac:dyDescent="0.25">
      <c r="C324" s="89"/>
      <c r="D324" s="89" t="s">
        <v>73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>
        <v>0</v>
      </c>
    </row>
    <row r="325" spans="1:18" ht="12.75" customHeight="1" x14ac:dyDescent="0.25">
      <c r="B325" s="89"/>
      <c r="C325" s="89" t="s">
        <v>87</v>
      </c>
      <c r="D325" t="s">
        <v>70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>
        <v>0</v>
      </c>
    </row>
    <row r="326" spans="1:18" s="94" customFormat="1" ht="12.75" customHeight="1" x14ac:dyDescent="0.25">
      <c r="B326" s="101" t="s">
        <v>119</v>
      </c>
      <c r="C326" s="101" t="s">
        <v>70</v>
      </c>
      <c r="E326" s="93">
        <v>0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4">
        <v>0</v>
      </c>
    </row>
    <row r="327" spans="1:18" s="226" customFormat="1" ht="12.75" customHeight="1" x14ac:dyDescent="0.25">
      <c r="A327" s="98" t="s">
        <v>79</v>
      </c>
      <c r="B327" s="98" t="s">
        <v>70</v>
      </c>
      <c r="E327" s="100">
        <v>0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226">
        <v>0</v>
      </c>
    </row>
    <row r="328" spans="1:18" ht="12.75" customHeight="1" x14ac:dyDescent="0.25">
      <c r="A328" s="89" t="s">
        <v>70</v>
      </c>
      <c r="E328" s="90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1:18" ht="12.75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18" ht="12.75" hidden="1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1:18" ht="12.75" hidden="1" customHeight="1" x14ac:dyDescent="0.25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1:18" ht="12.75" customHeight="1" x14ac:dyDescent="0.25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1:18" ht="12.75" customHeight="1" x14ac:dyDescent="0.25">
      <c r="B362" s="777" t="s">
        <v>2</v>
      </c>
      <c r="C362" s="775" t="s">
        <v>132</v>
      </c>
      <c r="D362" s="98" t="s">
        <v>70</v>
      </c>
      <c r="E362" s="100">
        <f>E309+E327-K309</f>
        <v>0</v>
      </c>
      <c r="F362" s="100">
        <f t="shared" ref="F362:R362" si="10">F309</f>
        <v>0</v>
      </c>
      <c r="G362" s="100">
        <f t="shared" si="10"/>
        <v>0</v>
      </c>
      <c r="H362" s="100">
        <f t="shared" si="10"/>
        <v>0</v>
      </c>
      <c r="I362" s="100">
        <f t="shared" si="10"/>
        <v>0</v>
      </c>
      <c r="J362" s="100">
        <f t="shared" si="10"/>
        <v>0</v>
      </c>
      <c r="K362" s="100">
        <f t="shared" si="10"/>
        <v>0</v>
      </c>
      <c r="L362" s="100">
        <f t="shared" si="10"/>
        <v>0</v>
      </c>
      <c r="M362" s="100">
        <f t="shared" si="10"/>
        <v>0</v>
      </c>
      <c r="N362" s="100">
        <f t="shared" si="10"/>
        <v>0</v>
      </c>
      <c r="O362" s="100">
        <f t="shared" si="10"/>
        <v>0</v>
      </c>
      <c r="P362" s="100">
        <f t="shared" si="10"/>
        <v>0</v>
      </c>
      <c r="Q362" s="100">
        <f t="shared" si="10"/>
        <v>0</v>
      </c>
      <c r="R362" s="100">
        <f t="shared" si="10"/>
        <v>0</v>
      </c>
    </row>
    <row r="363" spans="1:18" ht="12.75" customHeight="1" x14ac:dyDescent="0.25">
      <c r="B363" s="777"/>
      <c r="C363" s="775"/>
      <c r="D363" s="98" t="s">
        <v>73</v>
      </c>
      <c r="E363" s="100">
        <f>E327</f>
        <v>0</v>
      </c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spans="1:18" ht="12.75" customHeight="1" x14ac:dyDescent="0.25">
      <c r="A364" s="89"/>
      <c r="B364" s="97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25">
      <c r="B365" s="777" t="s">
        <v>160</v>
      </c>
      <c r="C365" s="775" t="s">
        <v>132</v>
      </c>
      <c r="D365" s="223" t="s">
        <v>70</v>
      </c>
      <c r="E365" s="225">
        <f>E319+E298+E285-K285-K298</f>
        <v>0</v>
      </c>
      <c r="F365" s="225">
        <f t="shared" ref="F365:R365" si="11">F298+F285</f>
        <v>0</v>
      </c>
      <c r="G365" s="225">
        <f t="shared" si="11"/>
        <v>0</v>
      </c>
      <c r="H365" s="225">
        <f t="shared" si="11"/>
        <v>0</v>
      </c>
      <c r="I365" s="225">
        <f t="shared" si="11"/>
        <v>0</v>
      </c>
      <c r="J365" s="225">
        <f t="shared" si="11"/>
        <v>0</v>
      </c>
      <c r="K365" s="225">
        <f t="shared" si="11"/>
        <v>0</v>
      </c>
      <c r="L365" s="225">
        <f t="shared" si="11"/>
        <v>0</v>
      </c>
      <c r="M365" s="225">
        <f t="shared" si="11"/>
        <v>0</v>
      </c>
      <c r="N365" s="225">
        <f t="shared" si="11"/>
        <v>0</v>
      </c>
      <c r="O365" s="225">
        <f t="shared" si="11"/>
        <v>0</v>
      </c>
      <c r="P365" s="225">
        <f t="shared" si="11"/>
        <v>0</v>
      </c>
      <c r="Q365" s="225">
        <f t="shared" si="11"/>
        <v>0</v>
      </c>
      <c r="R365" s="225">
        <f t="shared" si="11"/>
        <v>0</v>
      </c>
    </row>
    <row r="366" spans="1:18" ht="12.75" customHeight="1" x14ac:dyDescent="0.25">
      <c r="B366" s="777"/>
      <c r="C366" s="775"/>
      <c r="D366" s="223" t="s">
        <v>73</v>
      </c>
      <c r="E366" s="225">
        <f>E319</f>
        <v>0</v>
      </c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18" ht="12.75" customHeight="1" x14ac:dyDescent="0.25">
      <c r="A367" s="89"/>
      <c r="B367" s="97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25">
      <c r="B368" s="777" t="s">
        <v>155</v>
      </c>
      <c r="C368" s="775" t="s">
        <v>132</v>
      </c>
      <c r="D368" s="221" t="s">
        <v>70</v>
      </c>
      <c r="E368" s="222">
        <f>E312+E289-K289</f>
        <v>0</v>
      </c>
      <c r="F368" s="222">
        <f t="shared" ref="F368:R368" si="12">F289</f>
        <v>0</v>
      </c>
      <c r="G368" s="222">
        <f t="shared" si="12"/>
        <v>0</v>
      </c>
      <c r="H368" s="222">
        <f t="shared" si="12"/>
        <v>0</v>
      </c>
      <c r="I368" s="222">
        <f t="shared" si="12"/>
        <v>0</v>
      </c>
      <c r="J368" s="222">
        <f t="shared" si="12"/>
        <v>0</v>
      </c>
      <c r="K368" s="222">
        <f t="shared" si="12"/>
        <v>0</v>
      </c>
      <c r="L368" s="222">
        <f t="shared" si="12"/>
        <v>0</v>
      </c>
      <c r="M368" s="222">
        <f t="shared" si="12"/>
        <v>0</v>
      </c>
      <c r="N368" s="222">
        <f t="shared" si="12"/>
        <v>0</v>
      </c>
      <c r="O368" s="222">
        <f t="shared" si="12"/>
        <v>0</v>
      </c>
      <c r="P368" s="222">
        <f t="shared" si="12"/>
        <v>0</v>
      </c>
      <c r="Q368" s="222">
        <f t="shared" si="12"/>
        <v>0</v>
      </c>
      <c r="R368" s="222">
        <f t="shared" si="12"/>
        <v>0</v>
      </c>
    </row>
    <row r="369" spans="1:18" ht="12.75" customHeight="1" x14ac:dyDescent="0.25">
      <c r="B369" s="777"/>
      <c r="C369" s="775"/>
      <c r="D369" s="221" t="s">
        <v>73</v>
      </c>
      <c r="E369" s="222">
        <f>E312</f>
        <v>0</v>
      </c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</row>
    <row r="370" spans="1:18" ht="12.75" customHeight="1" x14ac:dyDescent="0.25">
      <c r="A370" s="89"/>
      <c r="B370" s="97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18" ht="12.75" customHeight="1" x14ac:dyDescent="0.25">
      <c r="B371" s="778" t="s">
        <v>326</v>
      </c>
      <c r="C371" s="775" t="s">
        <v>132</v>
      </c>
      <c r="D371" s="373" t="s">
        <v>70</v>
      </c>
      <c r="E371" s="374">
        <v>0</v>
      </c>
      <c r="F371" s="374">
        <v>0</v>
      </c>
      <c r="G371" s="374">
        <v>0</v>
      </c>
      <c r="H371" s="374">
        <v>0</v>
      </c>
      <c r="I371" s="374">
        <v>0</v>
      </c>
      <c r="J371" s="374">
        <v>0</v>
      </c>
      <c r="K371" s="374">
        <v>0</v>
      </c>
      <c r="L371" s="374">
        <v>0</v>
      </c>
      <c r="M371" s="374">
        <v>0</v>
      </c>
      <c r="N371" s="374">
        <v>0</v>
      </c>
      <c r="O371" s="374">
        <v>0</v>
      </c>
      <c r="P371" s="374">
        <v>0</v>
      </c>
      <c r="Q371" s="374">
        <v>0</v>
      </c>
      <c r="R371" s="374">
        <v>0</v>
      </c>
    </row>
    <row r="372" spans="1:18" ht="12.75" customHeight="1" x14ac:dyDescent="0.25">
      <c r="B372" s="778"/>
      <c r="C372" s="775"/>
      <c r="D372" s="373" t="s">
        <v>73</v>
      </c>
      <c r="E372" s="374">
        <v>0</v>
      </c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spans="1:18" ht="12.75" customHeight="1" x14ac:dyDescent="0.25">
      <c r="A373" s="89"/>
      <c r="B373" s="97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spans="1:18" ht="12.75" customHeight="1" x14ac:dyDescent="0.25">
      <c r="A374" s="142" t="s">
        <v>226</v>
      </c>
      <c r="B374" s="777" t="s">
        <v>119</v>
      </c>
      <c r="C374" s="775" t="s">
        <v>132</v>
      </c>
      <c r="D374" s="101" t="s">
        <v>70</v>
      </c>
      <c r="E374" s="93">
        <f>E308+E326-K308</f>
        <v>0</v>
      </c>
      <c r="F374" s="93">
        <f t="shared" ref="F374:R374" si="13">F308</f>
        <v>0</v>
      </c>
      <c r="G374" s="93">
        <f t="shared" si="13"/>
        <v>0</v>
      </c>
      <c r="H374" s="93">
        <f t="shared" si="13"/>
        <v>0</v>
      </c>
      <c r="I374" s="93">
        <f t="shared" si="13"/>
        <v>0</v>
      </c>
      <c r="J374" s="93">
        <f t="shared" si="13"/>
        <v>0</v>
      </c>
      <c r="K374" s="93">
        <f t="shared" si="13"/>
        <v>0</v>
      </c>
      <c r="L374" s="93">
        <f t="shared" si="13"/>
        <v>0</v>
      </c>
      <c r="M374" s="93">
        <f t="shared" si="13"/>
        <v>0</v>
      </c>
      <c r="N374" s="93">
        <f t="shared" si="13"/>
        <v>0</v>
      </c>
      <c r="O374" s="93">
        <f t="shared" si="13"/>
        <v>0</v>
      </c>
      <c r="P374" s="93">
        <f t="shared" si="13"/>
        <v>0</v>
      </c>
      <c r="Q374" s="93">
        <f t="shared" si="13"/>
        <v>0</v>
      </c>
      <c r="R374" s="93">
        <f t="shared" si="13"/>
        <v>0</v>
      </c>
    </row>
    <row r="375" spans="1:18" ht="12.75" customHeight="1" x14ac:dyDescent="0.25">
      <c r="B375" s="777"/>
      <c r="C375" s="775"/>
      <c r="D375" s="101" t="s">
        <v>73</v>
      </c>
      <c r="E375" s="93">
        <f>E326</f>
        <v>0</v>
      </c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</row>
    <row r="376" spans="1:18" ht="12.75" customHeight="1" x14ac:dyDescent="0.25">
      <c r="A376" s="89"/>
      <c r="B376" s="97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spans="1:18" ht="12.75" customHeight="1" x14ac:dyDescent="0.25">
      <c r="B377" s="776" t="s">
        <v>161</v>
      </c>
      <c r="C377" s="775" t="s">
        <v>132</v>
      </c>
      <c r="D377" s="231" t="s">
        <v>70</v>
      </c>
      <c r="E377" s="232">
        <v>0</v>
      </c>
      <c r="F377" s="232">
        <v>0</v>
      </c>
      <c r="G377" s="232">
        <v>0</v>
      </c>
      <c r="H377" s="232">
        <v>0</v>
      </c>
      <c r="I377" s="232">
        <v>0</v>
      </c>
      <c r="J377" s="232">
        <v>0</v>
      </c>
      <c r="K377" s="232">
        <v>0</v>
      </c>
      <c r="L377" s="232">
        <v>0</v>
      </c>
      <c r="M377" s="232">
        <v>0</v>
      </c>
      <c r="N377" s="232">
        <v>0</v>
      </c>
      <c r="O377" s="232">
        <v>0</v>
      </c>
      <c r="P377" s="232">
        <v>0</v>
      </c>
      <c r="Q377" s="232">
        <v>0</v>
      </c>
      <c r="R377" s="232">
        <v>0</v>
      </c>
    </row>
    <row r="378" spans="1:18" ht="12.75" customHeight="1" x14ac:dyDescent="0.25">
      <c r="B378" s="776"/>
      <c r="C378" s="775"/>
      <c r="D378" s="231" t="s">
        <v>73</v>
      </c>
      <c r="E378" s="232">
        <v>0</v>
      </c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</row>
    <row r="379" spans="1:18" s="238" customFormat="1" x14ac:dyDescent="0.25"/>
    <row r="380" spans="1:18" x14ac:dyDescent="0.25">
      <c r="B380" s="97" t="s">
        <v>93</v>
      </c>
    </row>
    <row r="381" spans="1:18" x14ac:dyDescent="0.25">
      <c r="E381" s="89" t="s">
        <v>70</v>
      </c>
      <c r="F381" s="89" t="s">
        <v>64</v>
      </c>
      <c r="G381" s="89" t="s">
        <v>65</v>
      </c>
      <c r="H381" s="219" t="s">
        <v>164</v>
      </c>
      <c r="I381" s="89" t="s">
        <v>69</v>
      </c>
      <c r="J381" s="89" t="s">
        <v>68</v>
      </c>
      <c r="K381" s="89" t="s">
        <v>83</v>
      </c>
      <c r="L381" s="89" t="s">
        <v>66</v>
      </c>
      <c r="M381" s="89" t="s">
        <v>63</v>
      </c>
      <c r="N381" s="89" t="s">
        <v>61</v>
      </c>
      <c r="O381" s="89" t="s">
        <v>62</v>
      </c>
      <c r="P381" s="89" t="s">
        <v>67</v>
      </c>
      <c r="Q381" s="89" t="s">
        <v>84</v>
      </c>
      <c r="R381" s="384" t="s">
        <v>225</v>
      </c>
    </row>
    <row r="382" spans="1:18" ht="11.4" customHeight="1" x14ac:dyDescent="0.25">
      <c r="D382" t="s">
        <v>72</v>
      </c>
      <c r="E382" s="89">
        <v>0</v>
      </c>
      <c r="F382" s="89">
        <v>0</v>
      </c>
      <c r="G382" s="89">
        <v>0</v>
      </c>
      <c r="H382" s="384">
        <v>0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89">
        <v>0</v>
      </c>
      <c r="R382" s="384">
        <v>0</v>
      </c>
    </row>
    <row r="383" spans="1:18" ht="12.75" customHeight="1" x14ac:dyDescent="0.25">
      <c r="D383" t="s">
        <v>81</v>
      </c>
      <c r="E383" s="384">
        <v>0</v>
      </c>
      <c r="F383" s="89">
        <v>0</v>
      </c>
      <c r="G383" s="89">
        <v>0</v>
      </c>
      <c r="H383" s="384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384">
        <v>0</v>
      </c>
    </row>
    <row r="384" spans="1:18" ht="11.4" customHeight="1" x14ac:dyDescent="0.25">
      <c r="C384" t="s">
        <v>332</v>
      </c>
      <c r="D384" t="s">
        <v>70</v>
      </c>
      <c r="E384" s="384">
        <v>0</v>
      </c>
      <c r="F384" s="89">
        <v>0</v>
      </c>
      <c r="G384" s="89">
        <v>0</v>
      </c>
      <c r="H384" s="384">
        <v>0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89">
        <v>0</v>
      </c>
      <c r="R384" s="384">
        <v>0</v>
      </c>
    </row>
    <row r="385" spans="2:19" s="739" customFormat="1" ht="11.4" customHeight="1" x14ac:dyDescent="0.25">
      <c r="B385" s="739" t="s">
        <v>85</v>
      </c>
      <c r="C385" s="739" t="s">
        <v>70</v>
      </c>
      <c r="E385" s="769">
        <v>0</v>
      </c>
      <c r="F385" s="231">
        <v>0</v>
      </c>
      <c r="G385" s="231">
        <v>0</v>
      </c>
      <c r="H385" s="769">
        <v>0</v>
      </c>
      <c r="I385" s="231">
        <v>0</v>
      </c>
      <c r="J385" s="231">
        <v>0</v>
      </c>
      <c r="K385" s="231">
        <v>0</v>
      </c>
      <c r="L385" s="231">
        <v>0</v>
      </c>
      <c r="M385" s="231">
        <v>0</v>
      </c>
      <c r="N385" s="231">
        <v>0</v>
      </c>
      <c r="O385" s="231">
        <v>0</v>
      </c>
      <c r="P385" s="231">
        <v>0</v>
      </c>
      <c r="Q385" s="231">
        <v>0</v>
      </c>
      <c r="R385" s="769">
        <v>0</v>
      </c>
    </row>
    <row r="386" spans="2:19" ht="12.75" customHeight="1" x14ac:dyDescent="0.25">
      <c r="D386" s="89" t="s">
        <v>72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2:19" ht="12.75" customHeight="1" x14ac:dyDescent="0.25">
      <c r="D387" s="89" t="s">
        <v>81</v>
      </c>
      <c r="E387" s="90">
        <v>0</v>
      </c>
      <c r="F387" s="90">
        <v>0</v>
      </c>
      <c r="G387" s="90">
        <v>0</v>
      </c>
      <c r="H387" s="90">
        <v>0</v>
      </c>
      <c r="I387" s="90">
        <v>0</v>
      </c>
      <c r="J387" s="90">
        <v>0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0</v>
      </c>
      <c r="Q387" s="90">
        <v>0</v>
      </c>
      <c r="R387">
        <v>0</v>
      </c>
    </row>
    <row r="388" spans="2:19" ht="12.75" customHeight="1" x14ac:dyDescent="0.25">
      <c r="B388" s="89"/>
      <c r="C388" s="89" t="s">
        <v>156</v>
      </c>
      <c r="D388" t="s">
        <v>70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  <c r="P388" s="90">
        <v>0</v>
      </c>
      <c r="Q388" s="90">
        <v>0</v>
      </c>
      <c r="R388">
        <v>0</v>
      </c>
    </row>
    <row r="389" spans="2:19" s="237" customFormat="1" ht="12.75" customHeight="1" x14ac:dyDescent="0.25">
      <c r="B389" s="221" t="s">
        <v>155</v>
      </c>
      <c r="C389" s="221" t="s">
        <v>70</v>
      </c>
      <c r="E389" s="222">
        <v>0</v>
      </c>
      <c r="F389" s="222">
        <v>0</v>
      </c>
      <c r="G389" s="222">
        <v>0</v>
      </c>
      <c r="H389" s="222">
        <v>0</v>
      </c>
      <c r="I389" s="222">
        <v>0</v>
      </c>
      <c r="J389" s="222">
        <v>0</v>
      </c>
      <c r="K389" s="222">
        <v>0</v>
      </c>
      <c r="L389" s="222">
        <v>0</v>
      </c>
      <c r="M389" s="222">
        <v>0</v>
      </c>
      <c r="N389" s="222">
        <v>0</v>
      </c>
      <c r="O389" s="222">
        <v>0</v>
      </c>
      <c r="P389" s="222">
        <v>0</v>
      </c>
      <c r="Q389" s="222">
        <v>0</v>
      </c>
      <c r="R389" s="237">
        <v>0</v>
      </c>
    </row>
    <row r="390" spans="2:19" ht="12.75" customHeight="1" x14ac:dyDescent="0.25">
      <c r="D390" t="s">
        <v>72</v>
      </c>
      <c r="E390" s="142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9" ht="12.75" customHeight="1" x14ac:dyDescent="0.25">
      <c r="D391" t="s">
        <v>81</v>
      </c>
      <c r="E391" s="142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9" ht="12.75" customHeight="1" x14ac:dyDescent="0.25">
      <c r="C392" t="s">
        <v>156</v>
      </c>
      <c r="D392" t="s">
        <v>70</v>
      </c>
      <c r="E392" s="14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9" s="739" customFormat="1" ht="12.75" customHeight="1" x14ac:dyDescent="0.25">
      <c r="B393" s="739" t="s">
        <v>326</v>
      </c>
      <c r="C393" s="739" t="s">
        <v>70</v>
      </c>
      <c r="E393" s="231">
        <v>0</v>
      </c>
      <c r="F393" s="740">
        <v>0</v>
      </c>
      <c r="G393" s="232">
        <v>0</v>
      </c>
      <c r="H393" s="232">
        <v>0</v>
      </c>
      <c r="I393" s="232">
        <v>0</v>
      </c>
      <c r="J393" s="232">
        <v>0</v>
      </c>
      <c r="K393" s="232">
        <v>0</v>
      </c>
      <c r="L393" s="232">
        <v>0</v>
      </c>
      <c r="M393" s="232">
        <v>0</v>
      </c>
      <c r="N393" s="232">
        <v>0</v>
      </c>
      <c r="O393" s="232">
        <v>0</v>
      </c>
      <c r="P393" s="232">
        <v>0</v>
      </c>
      <c r="Q393" s="232">
        <v>0</v>
      </c>
      <c r="R393" s="232">
        <v>0</v>
      </c>
      <c r="S393" s="232"/>
    </row>
    <row r="394" spans="2:19" ht="12.75" customHeight="1" x14ac:dyDescent="0.25">
      <c r="D394" t="s">
        <v>72</v>
      </c>
      <c r="E394" s="142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9" ht="12.75" customHeight="1" x14ac:dyDescent="0.25">
      <c r="D395" t="s">
        <v>81</v>
      </c>
      <c r="E395" s="142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9" ht="12.75" customHeight="1" x14ac:dyDescent="0.25">
      <c r="C396" t="s">
        <v>82</v>
      </c>
      <c r="D396" t="s">
        <v>70</v>
      </c>
      <c r="E396" s="142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9" ht="12.75" customHeight="1" x14ac:dyDescent="0.25">
      <c r="D397" t="s">
        <v>72</v>
      </c>
      <c r="E397" s="142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9" ht="12.75" customHeight="1" x14ac:dyDescent="0.25">
      <c r="D398" t="s">
        <v>81</v>
      </c>
      <c r="E398" s="142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9" ht="12.75" customHeight="1" x14ac:dyDescent="0.25">
      <c r="C399" t="s">
        <v>86</v>
      </c>
      <c r="D399" t="s">
        <v>70</v>
      </c>
      <c r="E399" s="142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9" ht="12.75" customHeight="1" x14ac:dyDescent="0.25">
      <c r="D400" t="s">
        <v>72</v>
      </c>
      <c r="E400" s="142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9" ht="12.75" customHeight="1" x14ac:dyDescent="0.25">
      <c r="B401" s="142"/>
      <c r="D401" t="s">
        <v>81</v>
      </c>
      <c r="E401" s="142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9" ht="12.75" customHeight="1" x14ac:dyDescent="0.25">
      <c r="B402" s="142"/>
      <c r="C402" t="s">
        <v>87</v>
      </c>
      <c r="D402" t="s">
        <v>70</v>
      </c>
      <c r="E402" s="14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9" s="94" customFormat="1" ht="12.75" customHeight="1" x14ac:dyDescent="0.25">
      <c r="B403" s="101" t="s">
        <v>119</v>
      </c>
      <c r="C403" s="101" t="s">
        <v>70</v>
      </c>
      <c r="E403" s="93">
        <v>0</v>
      </c>
      <c r="F403" s="93">
        <v>0</v>
      </c>
      <c r="G403" s="93">
        <v>0</v>
      </c>
      <c r="H403" s="93">
        <v>0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4">
        <v>0</v>
      </c>
    </row>
    <row r="404" spans="1:19" s="226" customFormat="1" ht="12.75" customHeight="1" x14ac:dyDescent="0.25">
      <c r="A404" s="98" t="s">
        <v>78</v>
      </c>
      <c r="B404" s="98" t="s">
        <v>70</v>
      </c>
      <c r="E404" s="100">
        <v>0</v>
      </c>
      <c r="F404" s="100">
        <v>0</v>
      </c>
      <c r="G404" s="100">
        <v>0</v>
      </c>
      <c r="H404" s="100">
        <v>0</v>
      </c>
      <c r="I404" s="100">
        <v>0</v>
      </c>
      <c r="J404" s="100">
        <v>0</v>
      </c>
      <c r="K404" s="100">
        <v>0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226">
        <v>0</v>
      </c>
    </row>
    <row r="405" spans="1:19" ht="12.75" customHeight="1" x14ac:dyDescent="0.25">
      <c r="C405" s="89"/>
      <c r="D405" s="89" t="s">
        <v>73</v>
      </c>
      <c r="E405" s="90">
        <v>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>
        <v>0</v>
      </c>
    </row>
    <row r="406" spans="1:19" ht="12.75" customHeight="1" x14ac:dyDescent="0.25">
      <c r="B406" s="89"/>
      <c r="C406" s="89" t="s">
        <v>156</v>
      </c>
      <c r="D406" t="s">
        <v>70</v>
      </c>
      <c r="E406" s="90">
        <v>0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>
        <v>0</v>
      </c>
    </row>
    <row r="407" spans="1:19" s="237" customFormat="1" ht="12.75" customHeight="1" x14ac:dyDescent="0.25">
      <c r="B407" s="221" t="s">
        <v>155</v>
      </c>
      <c r="C407" s="221" t="s">
        <v>70</v>
      </c>
      <c r="E407" s="222">
        <v>0</v>
      </c>
      <c r="F407" s="222">
        <v>0</v>
      </c>
      <c r="G407" s="222">
        <v>0</v>
      </c>
      <c r="H407" s="222">
        <v>0</v>
      </c>
      <c r="I407" s="222">
        <v>0</v>
      </c>
      <c r="J407" s="222">
        <v>0</v>
      </c>
      <c r="K407" s="222">
        <v>0</v>
      </c>
      <c r="L407" s="222">
        <v>0</v>
      </c>
      <c r="M407" s="222">
        <v>0</v>
      </c>
      <c r="N407" s="222">
        <v>0</v>
      </c>
      <c r="O407" s="222">
        <v>0</v>
      </c>
      <c r="P407" s="222">
        <v>0</v>
      </c>
      <c r="Q407" s="222">
        <v>0</v>
      </c>
      <c r="R407" s="237">
        <v>0</v>
      </c>
    </row>
    <row r="408" spans="1:19" ht="12.75" customHeight="1" x14ac:dyDescent="0.25">
      <c r="B408" s="142"/>
      <c r="C408" s="89"/>
      <c r="D408" s="89" t="s">
        <v>73</v>
      </c>
      <c r="E408" s="371">
        <v>0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>
        <v>0</v>
      </c>
    </row>
    <row r="409" spans="1:19" ht="12.75" customHeight="1" x14ac:dyDescent="0.25">
      <c r="B409" s="142"/>
      <c r="C409" s="89" t="s">
        <v>156</v>
      </c>
      <c r="D409" s="89" t="s">
        <v>70</v>
      </c>
      <c r="E409" s="371">
        <v>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>
        <v>0</v>
      </c>
    </row>
    <row r="410" spans="1:19" s="739" customFormat="1" ht="12.75" customHeight="1" x14ac:dyDescent="0.25">
      <c r="B410" s="739" t="s">
        <v>326</v>
      </c>
      <c r="C410" s="739" t="s">
        <v>70</v>
      </c>
      <c r="E410" s="231">
        <v>0</v>
      </c>
      <c r="F410" s="740">
        <v>0</v>
      </c>
      <c r="G410" s="232">
        <v>0</v>
      </c>
      <c r="H410" s="232">
        <v>0</v>
      </c>
      <c r="I410" s="232">
        <v>0</v>
      </c>
      <c r="J410" s="232">
        <v>0</v>
      </c>
      <c r="K410" s="232">
        <v>0</v>
      </c>
      <c r="L410" s="232">
        <v>0</v>
      </c>
      <c r="M410" s="232">
        <v>0</v>
      </c>
      <c r="N410" s="232">
        <v>0</v>
      </c>
      <c r="O410" s="232">
        <v>0</v>
      </c>
      <c r="P410" s="232">
        <v>0</v>
      </c>
      <c r="Q410" s="232">
        <v>0</v>
      </c>
      <c r="R410" s="232">
        <v>0</v>
      </c>
      <c r="S410" s="232"/>
    </row>
    <row r="411" spans="1:19" ht="12.75" customHeight="1" x14ac:dyDescent="0.25">
      <c r="B411" s="142"/>
      <c r="C411" s="89"/>
      <c r="D411" s="89" t="s">
        <v>73</v>
      </c>
      <c r="E411" s="371">
        <v>0</v>
      </c>
      <c r="F411" s="90">
        <v>0</v>
      </c>
      <c r="G411" s="90">
        <v>0</v>
      </c>
      <c r="H411" s="90">
        <v>0</v>
      </c>
      <c r="I411" s="90">
        <v>0</v>
      </c>
      <c r="J411" s="90">
        <v>0</v>
      </c>
      <c r="K411" s="90">
        <v>0</v>
      </c>
      <c r="L411" s="90">
        <v>0</v>
      </c>
      <c r="M411" s="90">
        <v>0</v>
      </c>
      <c r="N411" s="90">
        <v>0</v>
      </c>
      <c r="O411" s="90">
        <v>0</v>
      </c>
      <c r="P411" s="90">
        <v>0</v>
      </c>
      <c r="Q411" s="90">
        <v>0</v>
      </c>
      <c r="R411">
        <v>0</v>
      </c>
    </row>
    <row r="412" spans="1:19" ht="12.75" customHeight="1" x14ac:dyDescent="0.25">
      <c r="B412" s="142"/>
      <c r="C412" s="89" t="s">
        <v>82</v>
      </c>
      <c r="D412" s="89" t="s">
        <v>70</v>
      </c>
      <c r="E412" s="371">
        <v>0</v>
      </c>
      <c r="F412" s="90">
        <v>0</v>
      </c>
      <c r="G412" s="90">
        <v>0</v>
      </c>
      <c r="H412" s="90">
        <v>0</v>
      </c>
      <c r="I412" s="90">
        <v>0</v>
      </c>
      <c r="J412" s="90">
        <v>0</v>
      </c>
      <c r="K412" s="90">
        <v>0</v>
      </c>
      <c r="L412" s="90">
        <v>0</v>
      </c>
      <c r="M412" s="90">
        <v>0</v>
      </c>
      <c r="N412" s="90">
        <v>0</v>
      </c>
      <c r="O412" s="90">
        <v>0</v>
      </c>
      <c r="P412" s="90">
        <v>0</v>
      </c>
      <c r="Q412" s="90">
        <v>0</v>
      </c>
      <c r="R412">
        <v>0</v>
      </c>
    </row>
    <row r="413" spans="1:19" ht="12.75" customHeight="1" x14ac:dyDescent="0.25">
      <c r="B413" s="142"/>
      <c r="C413" s="89"/>
      <c r="D413" s="89" t="s">
        <v>73</v>
      </c>
      <c r="E413" s="371">
        <v>0</v>
      </c>
      <c r="F413" s="90">
        <v>0</v>
      </c>
      <c r="G413" s="90">
        <v>0</v>
      </c>
      <c r="H413" s="90">
        <v>0</v>
      </c>
      <c r="I413" s="90">
        <v>0</v>
      </c>
      <c r="J413" s="90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>
        <v>0</v>
      </c>
    </row>
    <row r="414" spans="1:19" ht="12.75" customHeight="1" x14ac:dyDescent="0.25">
      <c r="B414" s="142"/>
      <c r="C414" s="89" t="s">
        <v>86</v>
      </c>
      <c r="D414" s="89" t="s">
        <v>70</v>
      </c>
      <c r="E414" s="371">
        <v>0</v>
      </c>
      <c r="F414" s="90">
        <v>0</v>
      </c>
      <c r="G414" s="90">
        <v>0</v>
      </c>
      <c r="H414" s="90">
        <v>0</v>
      </c>
      <c r="I414" s="90">
        <v>0</v>
      </c>
      <c r="J414" s="90">
        <v>0</v>
      </c>
      <c r="K414" s="90">
        <v>0</v>
      </c>
      <c r="L414" s="90">
        <v>0</v>
      </c>
      <c r="M414" s="90">
        <v>0</v>
      </c>
      <c r="N414" s="90">
        <v>0</v>
      </c>
      <c r="O414" s="90">
        <v>0</v>
      </c>
      <c r="P414" s="90">
        <v>0</v>
      </c>
      <c r="Q414" s="90">
        <v>0</v>
      </c>
      <c r="R414">
        <v>0</v>
      </c>
    </row>
    <row r="415" spans="1:19" ht="12.75" customHeight="1" x14ac:dyDescent="0.25">
      <c r="B415" s="142"/>
      <c r="C415" s="89"/>
      <c r="D415" s="89" t="s">
        <v>73</v>
      </c>
      <c r="E415" s="371">
        <v>0</v>
      </c>
      <c r="F415" s="90">
        <v>0</v>
      </c>
      <c r="G415" s="90">
        <v>0</v>
      </c>
      <c r="H415" s="90">
        <v>0</v>
      </c>
      <c r="I415" s="90">
        <v>0</v>
      </c>
      <c r="J415" s="90">
        <v>0</v>
      </c>
      <c r="K415" s="90">
        <v>0</v>
      </c>
      <c r="L415" s="90">
        <v>0</v>
      </c>
      <c r="M415" s="90">
        <v>0</v>
      </c>
      <c r="N415" s="90">
        <v>0</v>
      </c>
      <c r="O415" s="90">
        <v>0</v>
      </c>
      <c r="P415" s="90">
        <v>0</v>
      </c>
      <c r="Q415" s="90">
        <v>0</v>
      </c>
      <c r="R415">
        <v>0</v>
      </c>
    </row>
    <row r="416" spans="1:19" ht="12.75" customHeight="1" x14ac:dyDescent="0.25">
      <c r="B416" s="142"/>
      <c r="C416" s="89" t="s">
        <v>87</v>
      </c>
      <c r="D416" s="89" t="s">
        <v>70</v>
      </c>
      <c r="E416" s="371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>
        <v>0</v>
      </c>
    </row>
    <row r="417" spans="1:18" s="94" customFormat="1" ht="12.75" customHeight="1" x14ac:dyDescent="0.25">
      <c r="B417" s="101" t="s">
        <v>119</v>
      </c>
      <c r="C417" s="101" t="s">
        <v>70</v>
      </c>
      <c r="E417" s="93">
        <v>0</v>
      </c>
      <c r="F417" s="93">
        <v>0</v>
      </c>
      <c r="G417" s="93">
        <v>0</v>
      </c>
      <c r="H417" s="93">
        <v>0</v>
      </c>
      <c r="I417" s="93">
        <v>0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4">
        <v>0</v>
      </c>
    </row>
    <row r="418" spans="1:18" s="226" customFormat="1" ht="12.75" customHeight="1" x14ac:dyDescent="0.25">
      <c r="A418" s="98" t="s">
        <v>79</v>
      </c>
      <c r="B418" s="98" t="s">
        <v>70</v>
      </c>
      <c r="E418" s="100">
        <v>0</v>
      </c>
      <c r="F418" s="100">
        <v>0</v>
      </c>
      <c r="G418" s="100">
        <v>0</v>
      </c>
      <c r="H418" s="100">
        <v>0</v>
      </c>
      <c r="I418" s="100">
        <v>0</v>
      </c>
      <c r="J418" s="100">
        <v>0</v>
      </c>
      <c r="K418" s="100">
        <v>0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</v>
      </c>
      <c r="R418" s="226">
        <v>0</v>
      </c>
    </row>
    <row r="419" spans="1:18" ht="12.75" customHeight="1" x14ac:dyDescent="0.25">
      <c r="A419" s="89" t="s">
        <v>70</v>
      </c>
      <c r="E419" s="90">
        <v>0</v>
      </c>
      <c r="F419" s="90">
        <v>0</v>
      </c>
      <c r="G419" s="90">
        <v>0</v>
      </c>
      <c r="H419" s="90">
        <v>0</v>
      </c>
      <c r="I419" s="90">
        <v>0</v>
      </c>
      <c r="J419" s="90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0</v>
      </c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hidden="1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hidden="1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hidden="1" customHeight="1" x14ac:dyDescent="0.25">
      <c r="A438" s="89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18" ht="12.75" hidden="1" customHeight="1" x14ac:dyDescent="0.25">
      <c r="A439" s="89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hidden="1" customHeight="1" x14ac:dyDescent="0.25">
      <c r="A440" s="89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hidden="1" customHeight="1" x14ac:dyDescent="0.25">
      <c r="A441" s="89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spans="1:18" ht="12.75" hidden="1" customHeight="1" x14ac:dyDescent="0.25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5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customHeight="1" x14ac:dyDescent="0.25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customHeight="1" x14ac:dyDescent="0.25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25">
      <c r="B446" s="777" t="s">
        <v>2</v>
      </c>
      <c r="C446" s="775" t="s">
        <v>132</v>
      </c>
      <c r="D446" s="98" t="s">
        <v>70</v>
      </c>
      <c r="E446" s="100">
        <f>E418+E404-K404</f>
        <v>0</v>
      </c>
      <c r="F446" s="100">
        <f>F404</f>
        <v>0</v>
      </c>
      <c r="G446" s="100">
        <f t="shared" ref="G446:R446" si="14">G404</f>
        <v>0</v>
      </c>
      <c r="H446" s="100">
        <f t="shared" si="14"/>
        <v>0</v>
      </c>
      <c r="I446" s="100">
        <f t="shared" si="14"/>
        <v>0</v>
      </c>
      <c r="J446" s="100">
        <f t="shared" si="14"/>
        <v>0</v>
      </c>
      <c r="K446" s="100">
        <f t="shared" si="14"/>
        <v>0</v>
      </c>
      <c r="L446" s="100">
        <f t="shared" si="14"/>
        <v>0</v>
      </c>
      <c r="M446" s="100">
        <f t="shared" si="14"/>
        <v>0</v>
      </c>
      <c r="N446" s="100">
        <f t="shared" si="14"/>
        <v>0</v>
      </c>
      <c r="O446" s="100">
        <f t="shared" si="14"/>
        <v>0</v>
      </c>
      <c r="P446" s="100">
        <f>P404</f>
        <v>0</v>
      </c>
      <c r="Q446" s="100">
        <f t="shared" si="14"/>
        <v>0</v>
      </c>
      <c r="R446" s="100">
        <f t="shared" si="14"/>
        <v>0</v>
      </c>
    </row>
    <row r="447" spans="1:18" ht="12.75" customHeight="1" x14ac:dyDescent="0.25">
      <c r="B447" s="777"/>
      <c r="C447" s="775"/>
      <c r="D447" s="98" t="s">
        <v>73</v>
      </c>
      <c r="E447" s="100">
        <f>E418</f>
        <v>0</v>
      </c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customHeight="1" x14ac:dyDescent="0.25">
      <c r="A448" s="89"/>
      <c r="B448" s="97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77" t="s">
        <v>160</v>
      </c>
      <c r="C449" s="775" t="s">
        <v>132</v>
      </c>
      <c r="D449" s="223" t="s">
        <v>70</v>
      </c>
      <c r="E449" s="225">
        <v>0</v>
      </c>
      <c r="F449" s="225">
        <v>0</v>
      </c>
      <c r="G449" s="225">
        <v>0</v>
      </c>
      <c r="H449" s="225">
        <v>0</v>
      </c>
      <c r="I449" s="225">
        <v>0</v>
      </c>
      <c r="J449" s="225">
        <v>0</v>
      </c>
      <c r="K449" s="225">
        <v>0</v>
      </c>
      <c r="L449" s="225">
        <v>0</v>
      </c>
      <c r="M449" s="225">
        <v>0</v>
      </c>
      <c r="N449" s="225">
        <v>0</v>
      </c>
      <c r="O449" s="225">
        <v>0</v>
      </c>
      <c r="P449" s="225">
        <v>0</v>
      </c>
      <c r="Q449" s="225">
        <v>0</v>
      </c>
      <c r="R449" s="225">
        <v>0</v>
      </c>
    </row>
    <row r="450" spans="1:18" ht="12.75" customHeight="1" x14ac:dyDescent="0.25">
      <c r="B450" s="777"/>
      <c r="C450" s="775"/>
      <c r="D450" s="223" t="s">
        <v>73</v>
      </c>
      <c r="E450" s="225">
        <v>0</v>
      </c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customHeight="1" x14ac:dyDescent="0.25">
      <c r="A451" s="89"/>
      <c r="B451" s="97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25">
      <c r="B452" s="777" t="s">
        <v>155</v>
      </c>
      <c r="C452" s="775" t="s">
        <v>132</v>
      </c>
      <c r="D452" s="221" t="s">
        <v>70</v>
      </c>
      <c r="E452" s="222">
        <f>E407+E389+E385-K385-K389</f>
        <v>0</v>
      </c>
      <c r="F452" s="222">
        <f>F389+F385</f>
        <v>0</v>
      </c>
      <c r="G452" s="222">
        <f t="shared" ref="G452:R452" si="15">G389+G385</f>
        <v>0</v>
      </c>
      <c r="H452" s="222">
        <f t="shared" si="15"/>
        <v>0</v>
      </c>
      <c r="I452" s="222">
        <f t="shared" si="15"/>
        <v>0</v>
      </c>
      <c r="J452" s="222">
        <f t="shared" si="15"/>
        <v>0</v>
      </c>
      <c r="K452" s="222">
        <f t="shared" si="15"/>
        <v>0</v>
      </c>
      <c r="L452" s="222">
        <f t="shared" si="15"/>
        <v>0</v>
      </c>
      <c r="M452" s="222">
        <f t="shared" si="15"/>
        <v>0</v>
      </c>
      <c r="N452" s="222">
        <f t="shared" si="15"/>
        <v>0</v>
      </c>
      <c r="O452" s="222">
        <f t="shared" si="15"/>
        <v>0</v>
      </c>
      <c r="P452" s="222">
        <f t="shared" si="15"/>
        <v>0</v>
      </c>
      <c r="Q452" s="222">
        <f t="shared" si="15"/>
        <v>0</v>
      </c>
      <c r="R452" s="222">
        <f t="shared" si="15"/>
        <v>0</v>
      </c>
    </row>
    <row r="453" spans="1:18" ht="12.75" customHeight="1" x14ac:dyDescent="0.25">
      <c r="B453" s="777"/>
      <c r="C453" s="775"/>
      <c r="D453" s="221" t="s">
        <v>73</v>
      </c>
      <c r="E453" s="222">
        <f>E407</f>
        <v>0</v>
      </c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customHeight="1" x14ac:dyDescent="0.25">
      <c r="A454" s="89"/>
      <c r="B454" s="97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customHeight="1" x14ac:dyDescent="0.25">
      <c r="B455" s="778" t="s">
        <v>326</v>
      </c>
      <c r="C455" s="775" t="s">
        <v>132</v>
      </c>
      <c r="D455" s="373" t="s">
        <v>70</v>
      </c>
      <c r="E455" s="374">
        <f>E410+E393-K393</f>
        <v>0</v>
      </c>
      <c r="F455" s="374">
        <f>F393</f>
        <v>0</v>
      </c>
      <c r="G455" s="374">
        <f t="shared" ref="G455:R455" si="16">G393</f>
        <v>0</v>
      </c>
      <c r="H455" s="374">
        <f t="shared" si="16"/>
        <v>0</v>
      </c>
      <c r="I455" s="374">
        <f t="shared" si="16"/>
        <v>0</v>
      </c>
      <c r="J455" s="374">
        <f t="shared" si="16"/>
        <v>0</v>
      </c>
      <c r="K455" s="374">
        <f t="shared" si="16"/>
        <v>0</v>
      </c>
      <c r="L455" s="374">
        <f t="shared" si="16"/>
        <v>0</v>
      </c>
      <c r="M455" s="374">
        <f t="shared" si="16"/>
        <v>0</v>
      </c>
      <c r="N455" s="374">
        <f t="shared" si="16"/>
        <v>0</v>
      </c>
      <c r="O455" s="374">
        <f t="shared" si="16"/>
        <v>0</v>
      </c>
      <c r="P455" s="374">
        <f t="shared" si="16"/>
        <v>0</v>
      </c>
      <c r="Q455" s="374">
        <f t="shared" si="16"/>
        <v>0</v>
      </c>
      <c r="R455" s="374">
        <f t="shared" si="16"/>
        <v>0</v>
      </c>
    </row>
    <row r="456" spans="1:18" ht="12.75" customHeight="1" x14ac:dyDescent="0.25">
      <c r="B456" s="778"/>
      <c r="C456" s="775"/>
      <c r="D456" s="373" t="s">
        <v>73</v>
      </c>
      <c r="E456" s="374">
        <f>E410</f>
        <v>0</v>
      </c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customHeight="1" x14ac:dyDescent="0.25">
      <c r="B457" s="719"/>
      <c r="C457" s="220"/>
      <c r="D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customHeight="1" x14ac:dyDescent="0.25">
      <c r="B458" s="777" t="s">
        <v>119</v>
      </c>
      <c r="C458" s="775" t="s">
        <v>132</v>
      </c>
      <c r="D458" s="101" t="s">
        <v>70</v>
      </c>
      <c r="E458" s="93">
        <f>E403+E417-K403</f>
        <v>0</v>
      </c>
      <c r="F458" s="93">
        <f>F403</f>
        <v>0</v>
      </c>
      <c r="G458" s="93">
        <f t="shared" ref="G458:R458" si="17">G403</f>
        <v>0</v>
      </c>
      <c r="H458" s="93">
        <f t="shared" si="17"/>
        <v>0</v>
      </c>
      <c r="I458" s="93">
        <f t="shared" si="17"/>
        <v>0</v>
      </c>
      <c r="J458" s="93">
        <f t="shared" si="17"/>
        <v>0</v>
      </c>
      <c r="K458" s="93">
        <f t="shared" si="17"/>
        <v>0</v>
      </c>
      <c r="L458" s="93">
        <f t="shared" si="17"/>
        <v>0</v>
      </c>
      <c r="M458" s="93">
        <f t="shared" si="17"/>
        <v>0</v>
      </c>
      <c r="N458" s="93">
        <f t="shared" si="17"/>
        <v>0</v>
      </c>
      <c r="O458" s="93">
        <f t="shared" si="17"/>
        <v>0</v>
      </c>
      <c r="P458" s="93">
        <f t="shared" si="17"/>
        <v>0</v>
      </c>
      <c r="Q458" s="93">
        <f t="shared" si="17"/>
        <v>0</v>
      </c>
      <c r="R458" s="93">
        <f t="shared" si="17"/>
        <v>0</v>
      </c>
    </row>
    <row r="459" spans="1:18" ht="12.75" customHeight="1" x14ac:dyDescent="0.25">
      <c r="B459" s="777"/>
      <c r="C459" s="775"/>
      <c r="D459" s="101" t="s">
        <v>73</v>
      </c>
      <c r="E459" s="93">
        <f>E417</f>
        <v>0</v>
      </c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customHeight="1" x14ac:dyDescent="0.25">
      <c r="A460" s="89"/>
      <c r="B460" s="97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customHeight="1" x14ac:dyDescent="0.25">
      <c r="B461" s="776" t="s">
        <v>161</v>
      </c>
      <c r="C461" s="775" t="s">
        <v>132</v>
      </c>
      <c r="D461" s="231" t="s">
        <v>70</v>
      </c>
      <c r="E461" s="232">
        <v>0</v>
      </c>
      <c r="F461" s="232">
        <v>0</v>
      </c>
      <c r="G461" s="232">
        <v>0</v>
      </c>
      <c r="H461" s="232">
        <v>0</v>
      </c>
      <c r="I461" s="232">
        <v>0</v>
      </c>
      <c r="J461" s="232">
        <v>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232">
        <v>0</v>
      </c>
      <c r="Q461" s="232">
        <v>0</v>
      </c>
      <c r="R461" s="232">
        <v>0</v>
      </c>
    </row>
    <row r="462" spans="1:18" ht="12.75" customHeight="1" x14ac:dyDescent="0.25">
      <c r="B462" s="776"/>
      <c r="C462" s="775"/>
      <c r="D462" s="231" t="s">
        <v>73</v>
      </c>
      <c r="E462" s="232">
        <v>0</v>
      </c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s="238" customFormat="1" x14ac:dyDescent="0.25"/>
  </sheetData>
  <mergeCells count="60">
    <mergeCell ref="B458:B459"/>
    <mergeCell ref="C458:C459"/>
    <mergeCell ref="B461:B462"/>
    <mergeCell ref="C461:C462"/>
    <mergeCell ref="B455:B456"/>
    <mergeCell ref="C455:C456"/>
    <mergeCell ref="B446:B447"/>
    <mergeCell ref="C446:C447"/>
    <mergeCell ref="B449:B450"/>
    <mergeCell ref="C449:C450"/>
    <mergeCell ref="B452:B453"/>
    <mergeCell ref="C452:C453"/>
    <mergeCell ref="B374:B375"/>
    <mergeCell ref="C374:C375"/>
    <mergeCell ref="B377:B378"/>
    <mergeCell ref="C377:C378"/>
    <mergeCell ref="B371:B372"/>
    <mergeCell ref="C371:C372"/>
    <mergeCell ref="B362:B363"/>
    <mergeCell ref="C362:C363"/>
    <mergeCell ref="B365:B366"/>
    <mergeCell ref="C365:C366"/>
    <mergeCell ref="B368:B369"/>
    <mergeCell ref="C368:C369"/>
    <mergeCell ref="B274:B275"/>
    <mergeCell ref="C274:C275"/>
    <mergeCell ref="B271:B272"/>
    <mergeCell ref="C271:C272"/>
    <mergeCell ref="B277:B278"/>
    <mergeCell ref="C277:C278"/>
    <mergeCell ref="B262:B263"/>
    <mergeCell ref="C262:C263"/>
    <mergeCell ref="B265:B266"/>
    <mergeCell ref="C265:C266"/>
    <mergeCell ref="B268:B269"/>
    <mergeCell ref="C268:C269"/>
    <mergeCell ref="B47:B48"/>
    <mergeCell ref="C47:C48"/>
    <mergeCell ref="B50:B51"/>
    <mergeCell ref="C50:C51"/>
    <mergeCell ref="B56:B57"/>
    <mergeCell ref="C56:C57"/>
    <mergeCell ref="B53:B54"/>
    <mergeCell ref="C53:C54"/>
    <mergeCell ref="B59:B60"/>
    <mergeCell ref="C59:C60"/>
    <mergeCell ref="B159:B160"/>
    <mergeCell ref="C159:C160"/>
    <mergeCell ref="B62:B63"/>
    <mergeCell ref="C62:C63"/>
    <mergeCell ref="B144:B145"/>
    <mergeCell ref="C144:C145"/>
    <mergeCell ref="B147:B148"/>
    <mergeCell ref="C147:C148"/>
    <mergeCell ref="B150:B151"/>
    <mergeCell ref="C150:C151"/>
    <mergeCell ref="B156:B157"/>
    <mergeCell ref="C156:C157"/>
    <mergeCell ref="B153:B154"/>
    <mergeCell ref="C153:C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5">
      <c r="A14" s="628" t="s">
        <v>119</v>
      </c>
      <c r="B14" s="628" t="s">
        <v>70</v>
      </c>
      <c r="D14" s="628">
        <v>0</v>
      </c>
      <c r="E14" s="628">
        <v>0</v>
      </c>
      <c r="F14" s="628">
        <v>0</v>
      </c>
      <c r="G14" s="628">
        <v>0</v>
      </c>
      <c r="H14" s="628">
        <v>0</v>
      </c>
      <c r="I14" s="628">
        <v>0</v>
      </c>
      <c r="J14" s="628">
        <v>0</v>
      </c>
      <c r="K14" s="628">
        <v>0</v>
      </c>
      <c r="L14" s="628">
        <v>0</v>
      </c>
      <c r="M14" s="628">
        <v>0</v>
      </c>
      <c r="N14" s="628">
        <v>0</v>
      </c>
      <c r="O14" s="628">
        <v>0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5">
      <c r="A15" s="630" t="s">
        <v>70</v>
      </c>
      <c r="D15" s="630">
        <v>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1">
        <v>0</v>
      </c>
      <c r="Q15" s="630">
        <v>0</v>
      </c>
      <c r="R15" s="630">
        <v>0</v>
      </c>
    </row>
    <row r="16" spans="1:18" ht="12.75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5">
      <c r="A73" s="781" t="s">
        <v>2</v>
      </c>
      <c r="B73" s="780" t="s">
        <v>132</v>
      </c>
      <c r="C73" s="766" t="s">
        <v>70</v>
      </c>
      <c r="D73" s="766">
        <f>D15-P15</f>
        <v>0</v>
      </c>
      <c r="E73" s="766">
        <f>E5+E11</f>
        <v>0</v>
      </c>
      <c r="F73" s="766">
        <f t="shared" ref="F73:R73" si="0">F5+F11</f>
        <v>0</v>
      </c>
      <c r="G73" s="766">
        <f t="shared" si="0"/>
        <v>0</v>
      </c>
      <c r="H73" s="766">
        <f t="shared" si="0"/>
        <v>0</v>
      </c>
      <c r="I73" s="766">
        <f t="shared" si="0"/>
        <v>0</v>
      </c>
      <c r="J73" s="766">
        <f t="shared" si="0"/>
        <v>0</v>
      </c>
      <c r="K73" s="766">
        <f t="shared" si="0"/>
        <v>0</v>
      </c>
      <c r="L73" s="766">
        <f t="shared" si="0"/>
        <v>0</v>
      </c>
      <c r="M73" s="766">
        <f t="shared" si="0"/>
        <v>0</v>
      </c>
      <c r="N73" s="766">
        <f t="shared" si="0"/>
        <v>0</v>
      </c>
      <c r="O73" s="766">
        <f t="shared" si="0"/>
        <v>0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5">
      <c r="A74" s="781"/>
      <c r="B74" s="780"/>
      <c r="C74" s="766" t="s">
        <v>73</v>
      </c>
      <c r="D74" s="766">
        <f>D7+D13</f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5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5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5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5">
      <c r="A79" s="781" t="s">
        <v>155</v>
      </c>
      <c r="B79" s="780" t="s">
        <v>132</v>
      </c>
      <c r="C79" s="633" t="s">
        <v>70</v>
      </c>
      <c r="D79" s="633">
        <f>D8-P8</f>
        <v>0</v>
      </c>
      <c r="E79" s="633">
        <f>E5</f>
        <v>0</v>
      </c>
      <c r="F79" s="633">
        <f t="shared" ref="F79:R79" si="1">F5</f>
        <v>0</v>
      </c>
      <c r="G79" s="633">
        <f t="shared" si="1"/>
        <v>0</v>
      </c>
      <c r="H79" s="633">
        <f t="shared" si="1"/>
        <v>0</v>
      </c>
      <c r="I79" s="633">
        <f t="shared" si="1"/>
        <v>0</v>
      </c>
      <c r="J79" s="633">
        <f t="shared" si="1"/>
        <v>0</v>
      </c>
      <c r="K79" s="633">
        <f t="shared" si="1"/>
        <v>0</v>
      </c>
      <c r="L79" s="633">
        <f t="shared" si="1"/>
        <v>0</v>
      </c>
      <c r="M79" s="633">
        <f t="shared" si="1"/>
        <v>0</v>
      </c>
      <c r="N79" s="633">
        <f t="shared" si="1"/>
        <v>0</v>
      </c>
      <c r="O79" s="633">
        <f t="shared" si="1"/>
        <v>0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5">
      <c r="A80" s="781"/>
      <c r="B80" s="780"/>
      <c r="C80" s="633" t="s">
        <v>73</v>
      </c>
      <c r="D80" s="633">
        <f>D7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5">
      <c r="A82" s="782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5">
      <c r="A83" s="782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1" t="s">
        <v>119</v>
      </c>
      <c r="B85" s="780" t="s">
        <v>132</v>
      </c>
      <c r="C85" s="628" t="s">
        <v>70</v>
      </c>
      <c r="D85" s="628">
        <f>D14-P14</f>
        <v>0</v>
      </c>
      <c r="E85" s="628">
        <f>E11</f>
        <v>0</v>
      </c>
      <c r="F85" s="628">
        <f t="shared" ref="F85:R85" si="2">F11</f>
        <v>0</v>
      </c>
      <c r="G85" s="628">
        <f t="shared" si="2"/>
        <v>0</v>
      </c>
      <c r="H85" s="628">
        <f t="shared" si="2"/>
        <v>0</v>
      </c>
      <c r="I85" s="628">
        <f t="shared" si="2"/>
        <v>0</v>
      </c>
      <c r="J85" s="628">
        <f t="shared" si="2"/>
        <v>0</v>
      </c>
      <c r="K85" s="628">
        <f t="shared" si="2"/>
        <v>0</v>
      </c>
      <c r="L85" s="628">
        <f t="shared" si="2"/>
        <v>0</v>
      </c>
      <c r="M85" s="628">
        <f t="shared" si="2"/>
        <v>0</v>
      </c>
      <c r="N85" s="628">
        <f t="shared" si="2"/>
        <v>0</v>
      </c>
      <c r="O85" s="628">
        <f t="shared" si="2"/>
        <v>0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5">
      <c r="A86" s="781"/>
      <c r="B86" s="780"/>
      <c r="C86" s="628" t="s">
        <v>73</v>
      </c>
      <c r="D86" s="628">
        <f>D13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5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79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5">
      <c r="A89" s="779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5"/>
    <row r="91" spans="1:18" x14ac:dyDescent="0.25">
      <c r="B91" s="617" t="s">
        <v>75</v>
      </c>
    </row>
    <row r="92" spans="1:18" ht="12.6" customHeight="1" x14ac:dyDescent="0.25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5">
      <c r="C93" s="616" t="s">
        <v>72</v>
      </c>
      <c r="D93" s="618">
        <v>0</v>
      </c>
      <c r="E93" s="618">
        <v>0</v>
      </c>
      <c r="F93" s="618">
        <v>0</v>
      </c>
      <c r="G93" s="620">
        <v>0</v>
      </c>
      <c r="H93" s="618">
        <v>0</v>
      </c>
      <c r="I93" s="618">
        <v>0</v>
      </c>
      <c r="J93" s="618">
        <v>0</v>
      </c>
      <c r="K93" s="618">
        <v>0</v>
      </c>
      <c r="L93" s="618">
        <v>0</v>
      </c>
      <c r="M93" s="618">
        <v>0</v>
      </c>
      <c r="N93" s="618">
        <v>0</v>
      </c>
      <c r="O93" s="618">
        <v>0</v>
      </c>
      <c r="P93" s="616">
        <v>0</v>
      </c>
      <c r="Q93" s="618">
        <v>0</v>
      </c>
      <c r="R93" s="616">
        <v>0</v>
      </c>
    </row>
    <row r="94" spans="1:18" ht="12.75" customHeight="1" x14ac:dyDescent="0.25">
      <c r="C94" s="616" t="s">
        <v>81</v>
      </c>
      <c r="D94" s="618">
        <v>0</v>
      </c>
      <c r="E94" s="618">
        <v>0</v>
      </c>
      <c r="F94" s="618">
        <v>0</v>
      </c>
      <c r="G94" s="620">
        <v>0</v>
      </c>
      <c r="H94" s="618">
        <v>0</v>
      </c>
      <c r="I94" s="618">
        <v>0</v>
      </c>
      <c r="J94" s="618">
        <v>0</v>
      </c>
      <c r="K94" s="618">
        <v>0</v>
      </c>
      <c r="L94" s="618">
        <v>0</v>
      </c>
      <c r="M94" s="618">
        <v>0</v>
      </c>
      <c r="N94" s="618">
        <v>0</v>
      </c>
      <c r="O94" s="618">
        <v>0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5">
      <c r="B95" s="622" t="s">
        <v>78</v>
      </c>
      <c r="C95" s="622" t="s">
        <v>70</v>
      </c>
      <c r="D95" s="622">
        <v>0</v>
      </c>
      <c r="E95" s="622">
        <v>0</v>
      </c>
      <c r="F95" s="622">
        <v>0</v>
      </c>
      <c r="G95" s="622">
        <v>0</v>
      </c>
      <c r="H95" s="622">
        <v>0</v>
      </c>
      <c r="I95" s="622">
        <v>0</v>
      </c>
      <c r="J95" s="622">
        <v>0</v>
      </c>
      <c r="K95" s="622">
        <v>0</v>
      </c>
      <c r="L95" s="622">
        <v>0</v>
      </c>
      <c r="M95" s="622">
        <v>0</v>
      </c>
      <c r="N95" s="622">
        <v>0</v>
      </c>
      <c r="O95" s="622">
        <v>0</v>
      </c>
      <c r="P95" s="621">
        <v>0</v>
      </c>
      <c r="Q95" s="622">
        <v>0</v>
      </c>
      <c r="R95" s="622">
        <v>0</v>
      </c>
    </row>
    <row r="96" spans="1:18" ht="12.75" customHeight="1" x14ac:dyDescent="0.25">
      <c r="C96" s="616" t="s">
        <v>73</v>
      </c>
      <c r="D96" s="618">
        <v>0</v>
      </c>
      <c r="E96" s="618">
        <v>0</v>
      </c>
      <c r="F96" s="618">
        <v>0</v>
      </c>
      <c r="G96" s="620">
        <v>0</v>
      </c>
      <c r="H96" s="618">
        <v>0</v>
      </c>
      <c r="I96" s="618">
        <v>0</v>
      </c>
      <c r="J96" s="618">
        <v>0</v>
      </c>
      <c r="K96" s="618">
        <v>0</v>
      </c>
      <c r="L96" s="618">
        <v>0</v>
      </c>
      <c r="M96" s="618">
        <v>0</v>
      </c>
      <c r="N96" s="618">
        <v>0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5">
      <c r="B97" s="623" t="s">
        <v>79</v>
      </c>
      <c r="C97" s="623" t="s">
        <v>70</v>
      </c>
      <c r="D97" s="636">
        <v>0</v>
      </c>
      <c r="E97" s="624">
        <v>0</v>
      </c>
      <c r="F97" s="624">
        <v>0</v>
      </c>
      <c r="G97" s="636">
        <v>0</v>
      </c>
      <c r="H97" s="624">
        <v>0</v>
      </c>
      <c r="I97" s="624">
        <v>0</v>
      </c>
      <c r="J97" s="624">
        <v>0</v>
      </c>
      <c r="K97" s="624">
        <v>0</v>
      </c>
      <c r="L97" s="624">
        <v>0</v>
      </c>
      <c r="M97" s="624">
        <v>0</v>
      </c>
      <c r="N97" s="624">
        <v>0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5">
      <c r="A98" s="625" t="s">
        <v>155</v>
      </c>
      <c r="B98" s="625" t="s">
        <v>70</v>
      </c>
      <c r="D98" s="626">
        <v>0</v>
      </c>
      <c r="E98" s="626">
        <v>0</v>
      </c>
      <c r="F98" s="626">
        <v>0</v>
      </c>
      <c r="G98" s="627">
        <v>0</v>
      </c>
      <c r="H98" s="626">
        <v>0</v>
      </c>
      <c r="I98" s="626">
        <v>0</v>
      </c>
      <c r="J98" s="626">
        <v>0</v>
      </c>
      <c r="K98" s="626">
        <v>0</v>
      </c>
      <c r="L98" s="626">
        <v>0</v>
      </c>
      <c r="M98" s="626">
        <v>0</v>
      </c>
      <c r="N98" s="626">
        <v>0</v>
      </c>
      <c r="O98" s="626">
        <v>0</v>
      </c>
      <c r="P98" s="625">
        <v>0</v>
      </c>
      <c r="Q98" s="626">
        <v>0</v>
      </c>
      <c r="R98" s="625">
        <v>0</v>
      </c>
    </row>
    <row r="99" spans="1:18" ht="12.75" customHeight="1" x14ac:dyDescent="0.25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5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5">
      <c r="C105" s="616" t="s">
        <v>72</v>
      </c>
      <c r="D105" s="618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5">
      <c r="A110" s="628" t="s">
        <v>119</v>
      </c>
      <c r="B110" s="628" t="s">
        <v>70</v>
      </c>
      <c r="D110" s="628">
        <v>0</v>
      </c>
      <c r="E110" s="628">
        <v>0</v>
      </c>
      <c r="F110" s="628">
        <v>0</v>
      </c>
      <c r="G110" s="628">
        <v>0</v>
      </c>
      <c r="H110" s="628">
        <v>0</v>
      </c>
      <c r="I110" s="628">
        <v>0</v>
      </c>
      <c r="J110" s="628">
        <v>0</v>
      </c>
      <c r="K110" s="628">
        <v>0</v>
      </c>
      <c r="L110" s="628">
        <v>0</v>
      </c>
      <c r="M110" s="628">
        <v>0</v>
      </c>
      <c r="N110" s="628">
        <v>0</v>
      </c>
      <c r="O110" s="628">
        <v>0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5">
      <c r="A111" s="630" t="s">
        <v>70</v>
      </c>
      <c r="D111" s="630">
        <v>0</v>
      </c>
      <c r="E111" s="630">
        <v>0</v>
      </c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1">
        <v>0</v>
      </c>
      <c r="Q111" s="630">
        <v>0</v>
      </c>
      <c r="R111" s="630">
        <v>0</v>
      </c>
    </row>
    <row r="112" spans="1:18" ht="12.75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5">
      <c r="A174" s="781" t="s">
        <v>2</v>
      </c>
      <c r="B174" s="780" t="s">
        <v>132</v>
      </c>
      <c r="C174" s="766" t="s">
        <v>70</v>
      </c>
      <c r="D174" s="766">
        <f>D111-P111</f>
        <v>0</v>
      </c>
      <c r="E174" s="766">
        <f>E95+E101+E107</f>
        <v>0</v>
      </c>
      <c r="F174" s="766">
        <f t="shared" ref="F174:R174" si="3">F95+F101+F107</f>
        <v>0</v>
      </c>
      <c r="G174" s="766">
        <f t="shared" si="3"/>
        <v>0</v>
      </c>
      <c r="H174" s="766">
        <f t="shared" si="3"/>
        <v>0</v>
      </c>
      <c r="I174" s="766">
        <f t="shared" si="3"/>
        <v>0</v>
      </c>
      <c r="J174" s="766">
        <f t="shared" si="3"/>
        <v>0</v>
      </c>
      <c r="K174" s="766">
        <f t="shared" si="3"/>
        <v>0</v>
      </c>
      <c r="L174" s="766">
        <f t="shared" si="3"/>
        <v>0</v>
      </c>
      <c r="M174" s="766">
        <f t="shared" si="3"/>
        <v>0</v>
      </c>
      <c r="N174" s="766">
        <f t="shared" si="3"/>
        <v>0</v>
      </c>
      <c r="O174" s="766">
        <f t="shared" si="3"/>
        <v>0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5">
      <c r="A175" s="781"/>
      <c r="B175" s="780"/>
      <c r="C175" s="766" t="s">
        <v>73</v>
      </c>
      <c r="D175" s="766">
        <f>D97+D103+D109</f>
        <v>0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5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5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5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5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5">
      <c r="A180" s="781" t="s">
        <v>155</v>
      </c>
      <c r="B180" s="780" t="s">
        <v>132</v>
      </c>
      <c r="C180" s="633" t="s">
        <v>70</v>
      </c>
      <c r="D180" s="633">
        <f>D98-P98</f>
        <v>0</v>
      </c>
      <c r="E180" s="633">
        <f>E95</f>
        <v>0</v>
      </c>
      <c r="F180" s="633">
        <f t="shared" ref="F180:R180" si="5">F95</f>
        <v>0</v>
      </c>
      <c r="G180" s="633">
        <f t="shared" si="5"/>
        <v>0</v>
      </c>
      <c r="H180" s="633">
        <f t="shared" si="5"/>
        <v>0</v>
      </c>
      <c r="I180" s="633">
        <f t="shared" si="5"/>
        <v>0</v>
      </c>
      <c r="J180" s="633">
        <f t="shared" si="5"/>
        <v>0</v>
      </c>
      <c r="K180" s="633">
        <f t="shared" si="5"/>
        <v>0</v>
      </c>
      <c r="L180" s="633">
        <f t="shared" si="5"/>
        <v>0</v>
      </c>
      <c r="M180" s="633">
        <f t="shared" si="5"/>
        <v>0</v>
      </c>
      <c r="N180" s="633">
        <f t="shared" si="5"/>
        <v>0</v>
      </c>
      <c r="O180" s="633">
        <f t="shared" si="5"/>
        <v>0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5">
      <c r="A181" s="781"/>
      <c r="B181" s="780"/>
      <c r="C181" s="633" t="s">
        <v>73</v>
      </c>
      <c r="D181" s="633">
        <f>D97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5">
      <c r="A184" s="782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1" t="s">
        <v>119</v>
      </c>
      <c r="B186" s="780" t="s">
        <v>132</v>
      </c>
      <c r="C186" s="628" t="s">
        <v>70</v>
      </c>
      <c r="D186" s="628">
        <f>D110-P110</f>
        <v>0</v>
      </c>
      <c r="E186" s="628">
        <f>E107</f>
        <v>0</v>
      </c>
      <c r="F186" s="628">
        <f t="shared" ref="F186:R186" si="6">F107</f>
        <v>0</v>
      </c>
      <c r="G186" s="628">
        <f t="shared" si="6"/>
        <v>0</v>
      </c>
      <c r="H186" s="628">
        <f t="shared" si="6"/>
        <v>0</v>
      </c>
      <c r="I186" s="628">
        <f t="shared" si="6"/>
        <v>0</v>
      </c>
      <c r="J186" s="628">
        <f t="shared" si="6"/>
        <v>0</v>
      </c>
      <c r="K186" s="628">
        <f t="shared" si="6"/>
        <v>0</v>
      </c>
      <c r="L186" s="628">
        <f t="shared" si="6"/>
        <v>0</v>
      </c>
      <c r="M186" s="628">
        <f t="shared" si="6"/>
        <v>0</v>
      </c>
      <c r="N186" s="628">
        <f t="shared" si="6"/>
        <v>0</v>
      </c>
      <c r="O186" s="628">
        <f t="shared" si="6"/>
        <v>0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5">
      <c r="A187" s="781"/>
      <c r="B187" s="780"/>
      <c r="C187" s="628" t="s">
        <v>73</v>
      </c>
      <c r="D187" s="628">
        <f>D109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5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5">
      <c r="A189" s="779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5">
      <c r="A190" s="779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5"/>
    <row r="192" spans="1:18" x14ac:dyDescent="0.25">
      <c r="B192" s="617" t="s">
        <v>76</v>
      </c>
    </row>
    <row r="193" spans="1:18" x14ac:dyDescent="0.25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5">
      <c r="B194" s="618"/>
      <c r="C194" s="618" t="s">
        <v>72</v>
      </c>
      <c r="D194" s="618">
        <v>0</v>
      </c>
      <c r="E194" s="618">
        <v>0</v>
      </c>
      <c r="F194" s="618">
        <v>0</v>
      </c>
      <c r="G194" s="618">
        <v>0</v>
      </c>
      <c r="H194" s="618">
        <v>0</v>
      </c>
      <c r="I194" s="618">
        <v>0</v>
      </c>
      <c r="J194" s="618">
        <v>0</v>
      </c>
      <c r="K194" s="618">
        <v>0</v>
      </c>
      <c r="L194" s="618">
        <v>0</v>
      </c>
      <c r="M194" s="618">
        <v>0</v>
      </c>
      <c r="N194" s="618">
        <v>0</v>
      </c>
      <c r="O194" s="618">
        <v>0</v>
      </c>
      <c r="P194" s="616">
        <v>0</v>
      </c>
      <c r="Q194" s="618">
        <v>0</v>
      </c>
      <c r="R194" s="618">
        <v>0</v>
      </c>
    </row>
    <row r="195" spans="1:18" ht="12.75" customHeight="1" x14ac:dyDescent="0.25">
      <c r="B195" s="618"/>
      <c r="C195" s="618" t="s">
        <v>81</v>
      </c>
      <c r="D195" s="618">
        <v>0</v>
      </c>
      <c r="E195" s="618">
        <v>0</v>
      </c>
      <c r="F195" s="618">
        <v>0</v>
      </c>
      <c r="G195" s="618">
        <v>0</v>
      </c>
      <c r="H195" s="618">
        <v>0</v>
      </c>
      <c r="I195" s="618">
        <v>0</v>
      </c>
      <c r="J195" s="618">
        <v>0</v>
      </c>
      <c r="K195" s="618">
        <v>0</v>
      </c>
      <c r="L195" s="618">
        <v>0</v>
      </c>
      <c r="M195" s="618">
        <v>0</v>
      </c>
      <c r="N195" s="618">
        <v>0</v>
      </c>
      <c r="O195" s="618">
        <v>0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5">
      <c r="B196" s="622" t="s">
        <v>78</v>
      </c>
      <c r="C196" s="622" t="s">
        <v>70</v>
      </c>
      <c r="D196" s="622">
        <v>0</v>
      </c>
      <c r="E196" s="622">
        <v>0</v>
      </c>
      <c r="F196" s="622">
        <v>0</v>
      </c>
      <c r="G196" s="622">
        <v>0</v>
      </c>
      <c r="H196" s="622">
        <v>0</v>
      </c>
      <c r="I196" s="622">
        <v>0</v>
      </c>
      <c r="J196" s="622">
        <v>0</v>
      </c>
      <c r="K196" s="622">
        <v>0</v>
      </c>
      <c r="L196" s="622">
        <v>0</v>
      </c>
      <c r="M196" s="622">
        <v>0</v>
      </c>
      <c r="N196" s="622">
        <v>0</v>
      </c>
      <c r="O196" s="622">
        <v>0</v>
      </c>
      <c r="P196" s="621">
        <v>0</v>
      </c>
      <c r="Q196" s="622">
        <v>0</v>
      </c>
      <c r="R196" s="622">
        <v>0</v>
      </c>
    </row>
    <row r="197" spans="1:18" ht="12.75" customHeight="1" x14ac:dyDescent="0.25">
      <c r="B197" s="618"/>
      <c r="C197" s="618" t="s">
        <v>73</v>
      </c>
      <c r="D197" s="618">
        <v>0</v>
      </c>
      <c r="E197" s="618">
        <v>0</v>
      </c>
      <c r="F197" s="618">
        <v>0</v>
      </c>
      <c r="G197" s="618">
        <v>0</v>
      </c>
      <c r="H197" s="618">
        <v>0</v>
      </c>
      <c r="I197" s="618">
        <v>0</v>
      </c>
      <c r="J197" s="618">
        <v>0</v>
      </c>
      <c r="K197" s="618">
        <v>0</v>
      </c>
      <c r="L197" s="618">
        <v>0</v>
      </c>
      <c r="M197" s="618">
        <v>0</v>
      </c>
      <c r="N197" s="618">
        <v>0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5">
      <c r="B198" s="623" t="s">
        <v>79</v>
      </c>
      <c r="C198" s="623" t="s">
        <v>70</v>
      </c>
      <c r="D198" s="624">
        <v>0</v>
      </c>
      <c r="E198" s="624">
        <v>0</v>
      </c>
      <c r="F198" s="624">
        <v>0</v>
      </c>
      <c r="G198" s="636">
        <v>0</v>
      </c>
      <c r="H198" s="624">
        <v>0</v>
      </c>
      <c r="I198" s="624">
        <v>0</v>
      </c>
      <c r="J198" s="624">
        <v>0</v>
      </c>
      <c r="K198" s="624">
        <v>0</v>
      </c>
      <c r="L198" s="624">
        <v>0</v>
      </c>
      <c r="M198" s="624">
        <v>0</v>
      </c>
      <c r="N198" s="624">
        <v>0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5">
      <c r="A199" s="637" t="s">
        <v>155</v>
      </c>
      <c r="B199" s="633" t="s">
        <v>70</v>
      </c>
      <c r="C199" s="633"/>
      <c r="D199" s="633">
        <v>0</v>
      </c>
      <c r="E199" s="633">
        <v>0</v>
      </c>
      <c r="F199" s="633">
        <v>0</v>
      </c>
      <c r="G199" s="633">
        <v>0</v>
      </c>
      <c r="H199" s="633">
        <v>0</v>
      </c>
      <c r="I199" s="633">
        <v>0</v>
      </c>
      <c r="J199" s="633">
        <v>0</v>
      </c>
      <c r="K199" s="633">
        <v>0</v>
      </c>
      <c r="L199" s="633">
        <v>0</v>
      </c>
      <c r="M199" s="633">
        <v>0</v>
      </c>
      <c r="N199" s="633">
        <v>0</v>
      </c>
      <c r="O199" s="633">
        <v>0</v>
      </c>
      <c r="P199" s="637">
        <v>0</v>
      </c>
      <c r="Q199" s="633">
        <v>0</v>
      </c>
      <c r="R199" s="633">
        <v>0</v>
      </c>
    </row>
    <row r="200" spans="1:18" ht="12.75" customHeight="1" x14ac:dyDescent="0.25">
      <c r="C200" s="616" t="s">
        <v>72</v>
      </c>
      <c r="D200" s="618">
        <v>0</v>
      </c>
      <c r="E200" s="618">
        <v>0</v>
      </c>
      <c r="F200" s="618">
        <v>0</v>
      </c>
      <c r="G200" s="620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8">
        <v>0</v>
      </c>
      <c r="Q200" s="618">
        <v>0</v>
      </c>
      <c r="R200" s="616">
        <v>0</v>
      </c>
    </row>
    <row r="201" spans="1:18" ht="12.6" customHeight="1" x14ac:dyDescent="0.25">
      <c r="C201" s="616" t="s">
        <v>81</v>
      </c>
      <c r="D201" s="618">
        <v>0</v>
      </c>
      <c r="E201" s="618">
        <v>0</v>
      </c>
      <c r="F201" s="618">
        <v>0</v>
      </c>
      <c r="G201" s="620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C203" s="616" t="s">
        <v>73</v>
      </c>
      <c r="D203" s="618">
        <v>0</v>
      </c>
      <c r="E203" s="618">
        <v>0</v>
      </c>
      <c r="F203" s="618">
        <v>0</v>
      </c>
      <c r="G203" s="620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5">
      <c r="B204" s="624" t="s">
        <v>79</v>
      </c>
      <c r="C204" s="624" t="s">
        <v>70</v>
      </c>
      <c r="D204" s="624">
        <v>0</v>
      </c>
      <c r="E204" s="624">
        <v>0</v>
      </c>
      <c r="F204" s="624">
        <v>0</v>
      </c>
      <c r="G204" s="624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5">
      <c r="A205" s="628" t="s">
        <v>119</v>
      </c>
      <c r="B205" s="628" t="s">
        <v>70</v>
      </c>
      <c r="D205" s="628">
        <v>0</v>
      </c>
      <c r="E205" s="628">
        <v>0</v>
      </c>
      <c r="F205" s="628">
        <v>0</v>
      </c>
      <c r="G205" s="628">
        <v>0</v>
      </c>
      <c r="H205" s="628">
        <v>0</v>
      </c>
      <c r="I205" s="628">
        <v>0</v>
      </c>
      <c r="J205" s="628">
        <v>0</v>
      </c>
      <c r="K205" s="628">
        <v>0</v>
      </c>
      <c r="L205" s="628">
        <v>0</v>
      </c>
      <c r="M205" s="628">
        <v>0</v>
      </c>
      <c r="N205" s="628">
        <v>0</v>
      </c>
      <c r="O205" s="628">
        <v>0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5">
      <c r="A206" s="630" t="s">
        <v>70</v>
      </c>
      <c r="D206" s="630">
        <v>0</v>
      </c>
      <c r="E206" s="630">
        <v>0</v>
      </c>
      <c r="F206" s="630">
        <v>0</v>
      </c>
      <c r="G206" s="630">
        <v>0</v>
      </c>
      <c r="H206" s="630">
        <v>0</v>
      </c>
      <c r="I206" s="630">
        <v>0</v>
      </c>
      <c r="J206" s="630">
        <v>0</v>
      </c>
      <c r="K206" s="630">
        <v>0</v>
      </c>
      <c r="L206" s="630">
        <v>0</v>
      </c>
      <c r="M206" s="630">
        <v>0</v>
      </c>
      <c r="N206" s="630">
        <v>0</v>
      </c>
      <c r="O206" s="630">
        <v>0</v>
      </c>
      <c r="P206" s="631">
        <v>0</v>
      </c>
      <c r="Q206" s="631">
        <v>0</v>
      </c>
      <c r="R206" s="631">
        <v>0</v>
      </c>
    </row>
    <row r="207" spans="1:18" ht="12.75" customHeight="1" x14ac:dyDescent="0.25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5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5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5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5">
      <c r="A211" s="781" t="s">
        <v>2</v>
      </c>
      <c r="B211" s="780" t="s">
        <v>132</v>
      </c>
      <c r="C211" s="766" t="s">
        <v>70</v>
      </c>
      <c r="D211" s="766">
        <f>D206-P206</f>
        <v>0</v>
      </c>
      <c r="E211" s="766">
        <f>E196+E202</f>
        <v>0</v>
      </c>
      <c r="F211" s="766">
        <f t="shared" ref="F211:R211" si="7">F196+F202</f>
        <v>0</v>
      </c>
      <c r="G211" s="766">
        <f t="shared" si="7"/>
        <v>0</v>
      </c>
      <c r="H211" s="766">
        <f t="shared" si="7"/>
        <v>0</v>
      </c>
      <c r="I211" s="766">
        <f t="shared" si="7"/>
        <v>0</v>
      </c>
      <c r="J211" s="766">
        <f t="shared" si="7"/>
        <v>0</v>
      </c>
      <c r="K211" s="766">
        <f t="shared" si="7"/>
        <v>0</v>
      </c>
      <c r="L211" s="766">
        <f t="shared" si="7"/>
        <v>0</v>
      </c>
      <c r="M211" s="766">
        <f t="shared" si="7"/>
        <v>0</v>
      </c>
      <c r="N211" s="766">
        <f t="shared" si="7"/>
        <v>0</v>
      </c>
      <c r="O211" s="766">
        <f t="shared" si="7"/>
        <v>0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5">
      <c r="A212" s="781"/>
      <c r="B212" s="780"/>
      <c r="C212" s="766" t="s">
        <v>73</v>
      </c>
      <c r="D212" s="766">
        <f>D198+D204</f>
        <v>0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5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5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5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5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5">
      <c r="A217" s="781" t="s">
        <v>155</v>
      </c>
      <c r="B217" s="780" t="s">
        <v>132</v>
      </c>
      <c r="C217" s="633" t="s">
        <v>70</v>
      </c>
      <c r="D217" s="633">
        <f>D199-P199</f>
        <v>0</v>
      </c>
      <c r="E217" s="633">
        <f>E196</f>
        <v>0</v>
      </c>
      <c r="F217" s="633">
        <f t="shared" ref="F217:R217" si="8">F196</f>
        <v>0</v>
      </c>
      <c r="G217" s="633">
        <f t="shared" si="8"/>
        <v>0</v>
      </c>
      <c r="H217" s="633">
        <f t="shared" si="8"/>
        <v>0</v>
      </c>
      <c r="I217" s="633">
        <f t="shared" si="8"/>
        <v>0</v>
      </c>
      <c r="J217" s="633">
        <f t="shared" si="8"/>
        <v>0</v>
      </c>
      <c r="K217" s="633">
        <f t="shared" si="8"/>
        <v>0</v>
      </c>
      <c r="L217" s="633">
        <f t="shared" si="8"/>
        <v>0</v>
      </c>
      <c r="M217" s="633">
        <f t="shared" si="8"/>
        <v>0</v>
      </c>
      <c r="N217" s="633">
        <f t="shared" si="8"/>
        <v>0</v>
      </c>
      <c r="O217" s="633">
        <f t="shared" si="8"/>
        <v>0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5">
      <c r="A218" s="781"/>
      <c r="B218" s="780"/>
      <c r="C218" s="633" t="s">
        <v>73</v>
      </c>
      <c r="D218" s="633">
        <f>D198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5">
      <c r="A221" s="782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1" t="s">
        <v>119</v>
      </c>
      <c r="B223" s="780" t="s">
        <v>132</v>
      </c>
      <c r="C223" s="628" t="s">
        <v>70</v>
      </c>
      <c r="D223" s="628">
        <f>D205-P205</f>
        <v>0</v>
      </c>
      <c r="E223" s="628">
        <f>E202</f>
        <v>0</v>
      </c>
      <c r="F223" s="628">
        <f t="shared" ref="F223:R223" si="9">F202</f>
        <v>0</v>
      </c>
      <c r="G223" s="628">
        <f t="shared" si="9"/>
        <v>0</v>
      </c>
      <c r="H223" s="628">
        <f t="shared" si="9"/>
        <v>0</v>
      </c>
      <c r="I223" s="628">
        <f t="shared" si="9"/>
        <v>0</v>
      </c>
      <c r="J223" s="628">
        <f t="shared" si="9"/>
        <v>0</v>
      </c>
      <c r="K223" s="628">
        <f t="shared" si="9"/>
        <v>0</v>
      </c>
      <c r="L223" s="628">
        <f t="shared" si="9"/>
        <v>0</v>
      </c>
      <c r="M223" s="628">
        <f t="shared" si="9"/>
        <v>0</v>
      </c>
      <c r="N223" s="628">
        <f t="shared" si="9"/>
        <v>0</v>
      </c>
      <c r="O223" s="628">
        <f t="shared" si="9"/>
        <v>0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5">
      <c r="A224" s="781"/>
      <c r="B224" s="780"/>
      <c r="C224" s="628" t="s">
        <v>73</v>
      </c>
      <c r="D224" s="628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79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5">
      <c r="A227" s="779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5"/>
    <row r="229" spans="1:18" x14ac:dyDescent="0.25">
      <c r="B229" s="617" t="s">
        <v>88</v>
      </c>
    </row>
    <row r="230" spans="1:18" ht="12.75" customHeight="1" x14ac:dyDescent="0.25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5">
      <c r="C231" s="616" t="s">
        <v>72</v>
      </c>
      <c r="D231" s="620">
        <v>0</v>
      </c>
      <c r="E231" s="618">
        <v>0</v>
      </c>
      <c r="F231" s="618">
        <v>0</v>
      </c>
      <c r="G231" s="620">
        <v>0</v>
      </c>
      <c r="H231" s="618">
        <v>0</v>
      </c>
      <c r="I231" s="618">
        <v>0</v>
      </c>
      <c r="J231" s="618">
        <v>0</v>
      </c>
      <c r="K231" s="618">
        <v>0</v>
      </c>
      <c r="L231" s="618">
        <v>0</v>
      </c>
      <c r="M231" s="618">
        <v>0</v>
      </c>
      <c r="N231" s="618">
        <v>0</v>
      </c>
      <c r="O231" s="618">
        <v>0</v>
      </c>
      <c r="P231" s="618">
        <v>0</v>
      </c>
      <c r="Q231" s="618">
        <v>0</v>
      </c>
      <c r="R231" s="616">
        <v>0</v>
      </c>
    </row>
    <row r="232" spans="1:18" ht="12.75" customHeight="1" x14ac:dyDescent="0.25">
      <c r="C232" s="616" t="s">
        <v>81</v>
      </c>
      <c r="D232" s="620">
        <v>0</v>
      </c>
      <c r="E232" s="618">
        <v>0</v>
      </c>
      <c r="F232" s="618">
        <v>0</v>
      </c>
      <c r="G232" s="620">
        <v>0</v>
      </c>
      <c r="H232" s="618">
        <v>0</v>
      </c>
      <c r="I232" s="618">
        <v>0</v>
      </c>
      <c r="J232" s="618">
        <v>0</v>
      </c>
      <c r="K232" s="618">
        <v>0</v>
      </c>
      <c r="L232" s="618">
        <v>0</v>
      </c>
      <c r="M232" s="618">
        <v>0</v>
      </c>
      <c r="N232" s="618">
        <v>0</v>
      </c>
      <c r="O232" s="618">
        <v>0</v>
      </c>
      <c r="P232" s="618">
        <v>0</v>
      </c>
      <c r="Q232" s="618">
        <v>0</v>
      </c>
      <c r="R232" s="616">
        <v>0</v>
      </c>
    </row>
    <row r="233" spans="1:18" s="621" customFormat="1" ht="12.75" customHeight="1" x14ac:dyDescent="0.25">
      <c r="B233" s="622" t="s">
        <v>78</v>
      </c>
      <c r="C233" s="622" t="s">
        <v>70</v>
      </c>
      <c r="D233" s="622">
        <v>0</v>
      </c>
      <c r="E233" s="622">
        <v>0</v>
      </c>
      <c r="F233" s="622">
        <v>0</v>
      </c>
      <c r="G233" s="622">
        <v>0</v>
      </c>
      <c r="H233" s="622">
        <v>0</v>
      </c>
      <c r="I233" s="622">
        <v>0</v>
      </c>
      <c r="J233" s="622">
        <v>0</v>
      </c>
      <c r="K233" s="622">
        <v>0</v>
      </c>
      <c r="L233" s="622">
        <v>0</v>
      </c>
      <c r="M233" s="622">
        <v>0</v>
      </c>
      <c r="N233" s="622">
        <v>0</v>
      </c>
      <c r="O233" s="622">
        <v>0</v>
      </c>
      <c r="P233" s="621">
        <v>0</v>
      </c>
      <c r="Q233" s="622">
        <v>0</v>
      </c>
      <c r="R233" s="622">
        <v>0</v>
      </c>
    </row>
    <row r="234" spans="1:18" ht="12.75" customHeight="1" x14ac:dyDescent="0.25">
      <c r="C234" s="616" t="s">
        <v>73</v>
      </c>
      <c r="D234" s="620">
        <v>0</v>
      </c>
      <c r="E234" s="618">
        <v>0</v>
      </c>
      <c r="F234" s="618">
        <v>0</v>
      </c>
      <c r="G234" s="620">
        <v>0</v>
      </c>
      <c r="H234" s="618">
        <v>0</v>
      </c>
      <c r="I234" s="618">
        <v>0</v>
      </c>
      <c r="J234" s="618">
        <v>0</v>
      </c>
      <c r="K234" s="618">
        <v>0</v>
      </c>
      <c r="L234" s="618">
        <v>0</v>
      </c>
      <c r="M234" s="618">
        <v>0</v>
      </c>
      <c r="N234" s="618">
        <v>0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5">
      <c r="B235" s="624" t="s">
        <v>79</v>
      </c>
      <c r="C235" s="624" t="s">
        <v>70</v>
      </c>
      <c r="D235" s="624">
        <v>0</v>
      </c>
      <c r="E235" s="624">
        <v>0</v>
      </c>
      <c r="F235" s="624">
        <v>0</v>
      </c>
      <c r="G235" s="624">
        <v>0</v>
      </c>
      <c r="H235" s="624">
        <v>0</v>
      </c>
      <c r="I235" s="624">
        <v>0</v>
      </c>
      <c r="J235" s="624">
        <v>0</v>
      </c>
      <c r="K235" s="624">
        <v>0</v>
      </c>
      <c r="L235" s="624">
        <v>0</v>
      </c>
      <c r="M235" s="624">
        <v>0</v>
      </c>
      <c r="N235" s="624">
        <v>0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5">
      <c r="A236" s="755" t="s">
        <v>155</v>
      </c>
      <c r="B236" s="755" t="s">
        <v>70</v>
      </c>
      <c r="D236" s="756">
        <v>0</v>
      </c>
      <c r="E236" s="757">
        <v>0</v>
      </c>
      <c r="F236" s="757">
        <v>0</v>
      </c>
      <c r="G236" s="756">
        <v>0</v>
      </c>
      <c r="H236" s="757">
        <v>0</v>
      </c>
      <c r="I236" s="757">
        <v>0</v>
      </c>
      <c r="J236" s="757">
        <v>0</v>
      </c>
      <c r="K236" s="757">
        <v>0</v>
      </c>
      <c r="L236" s="757">
        <v>0</v>
      </c>
      <c r="M236" s="757">
        <v>0</v>
      </c>
      <c r="N236" s="757">
        <v>0</v>
      </c>
      <c r="O236" s="757">
        <v>0</v>
      </c>
      <c r="P236" s="757">
        <v>0</v>
      </c>
      <c r="Q236" s="757">
        <v>0</v>
      </c>
      <c r="R236" s="755">
        <v>0</v>
      </c>
    </row>
    <row r="237" spans="1:18" ht="12.75" customHeight="1" x14ac:dyDescent="0.25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5">
      <c r="A242" s="763" t="s">
        <v>120</v>
      </c>
      <c r="B242" s="763" t="s">
        <v>70</v>
      </c>
      <c r="D242" s="765">
        <v>0</v>
      </c>
      <c r="E242" s="764">
        <v>0</v>
      </c>
      <c r="F242" s="764">
        <v>0</v>
      </c>
      <c r="G242" s="765">
        <v>0</v>
      </c>
      <c r="H242" s="764">
        <v>0</v>
      </c>
      <c r="I242" s="764">
        <v>0</v>
      </c>
      <c r="J242" s="764">
        <v>0</v>
      </c>
      <c r="K242" s="764">
        <v>0</v>
      </c>
      <c r="L242" s="764">
        <v>0</v>
      </c>
      <c r="M242" s="764">
        <v>0</v>
      </c>
      <c r="N242" s="764">
        <v>0</v>
      </c>
      <c r="O242" s="764">
        <v>0</v>
      </c>
      <c r="P242" s="764">
        <v>0</v>
      </c>
      <c r="Q242" s="764">
        <v>0</v>
      </c>
      <c r="R242" s="763">
        <v>0</v>
      </c>
    </row>
    <row r="243" spans="1:18" ht="12.75" customHeight="1" x14ac:dyDescent="0.25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18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5">
      <c r="A248" s="754" t="s">
        <v>119</v>
      </c>
      <c r="B248" s="628" t="s">
        <v>70</v>
      </c>
      <c r="C248" s="628"/>
      <c r="D248" s="628">
        <v>0</v>
      </c>
      <c r="E248" s="628">
        <v>0</v>
      </c>
      <c r="F248" s="628">
        <v>0</v>
      </c>
      <c r="G248" s="628">
        <v>0</v>
      </c>
      <c r="H248" s="628">
        <v>0</v>
      </c>
      <c r="I248" s="628">
        <v>0</v>
      </c>
      <c r="J248" s="628">
        <v>0</v>
      </c>
      <c r="K248" s="628">
        <v>0</v>
      </c>
      <c r="L248" s="628">
        <v>0</v>
      </c>
      <c r="M248" s="628">
        <v>0</v>
      </c>
      <c r="N248" s="628">
        <v>0</v>
      </c>
      <c r="O248" s="628">
        <v>0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5">
      <c r="A249" s="630" t="s">
        <v>70</v>
      </c>
      <c r="D249" s="630">
        <v>0</v>
      </c>
      <c r="E249" s="630">
        <v>0</v>
      </c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1">
        <v>0</v>
      </c>
      <c r="Q249" s="631">
        <v>0</v>
      </c>
      <c r="R249" s="631">
        <v>0</v>
      </c>
    </row>
    <row r="250" spans="1:18" ht="12.75" customHeight="1" x14ac:dyDescent="0.25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5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5">
      <c r="A326" s="781" t="s">
        <v>2</v>
      </c>
      <c r="B326" s="780" t="s">
        <v>132</v>
      </c>
      <c r="C326" s="766" t="s">
        <v>70</v>
      </c>
      <c r="D326" s="766">
        <f>D249-P249</f>
        <v>0</v>
      </c>
      <c r="E326" s="766">
        <f>E245+E239+E233</f>
        <v>0</v>
      </c>
      <c r="F326" s="766">
        <f t="shared" ref="F326:R326" si="10">F245+F239+F233</f>
        <v>0</v>
      </c>
      <c r="G326" s="766">
        <f t="shared" si="10"/>
        <v>0</v>
      </c>
      <c r="H326" s="766">
        <f t="shared" si="10"/>
        <v>0</v>
      </c>
      <c r="I326" s="766">
        <f t="shared" si="10"/>
        <v>0</v>
      </c>
      <c r="J326" s="766">
        <f t="shared" si="10"/>
        <v>0</v>
      </c>
      <c r="K326" s="766">
        <f t="shared" si="10"/>
        <v>0</v>
      </c>
      <c r="L326" s="766">
        <f t="shared" si="10"/>
        <v>0</v>
      </c>
      <c r="M326" s="766">
        <f t="shared" si="10"/>
        <v>0</v>
      </c>
      <c r="N326" s="766">
        <f t="shared" si="10"/>
        <v>0</v>
      </c>
      <c r="O326" s="766">
        <f t="shared" si="10"/>
        <v>0</v>
      </c>
      <c r="P326" s="766">
        <f t="shared" si="10"/>
        <v>0</v>
      </c>
      <c r="Q326" s="766">
        <f t="shared" si="10"/>
        <v>0</v>
      </c>
      <c r="R326" s="766">
        <f t="shared" si="10"/>
        <v>0</v>
      </c>
    </row>
    <row r="327" spans="1:18" ht="12.75" customHeight="1" x14ac:dyDescent="0.25">
      <c r="A327" s="781"/>
      <c r="B327" s="780"/>
      <c r="C327" s="766" t="s">
        <v>73</v>
      </c>
      <c r="D327" s="766">
        <f>D247+D241+D235</f>
        <v>0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5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5">
      <c r="A329" s="781" t="s">
        <v>160</v>
      </c>
      <c r="B329" s="780" t="s">
        <v>132</v>
      </c>
      <c r="C329" s="632" t="s">
        <v>70</v>
      </c>
      <c r="D329" s="632">
        <f>D242-P242</f>
        <v>0</v>
      </c>
      <c r="E329" s="632">
        <f>E239</f>
        <v>0</v>
      </c>
      <c r="F329" s="632">
        <f t="shared" ref="F329:R329" si="11">F239</f>
        <v>0</v>
      </c>
      <c r="G329" s="632">
        <f t="shared" si="11"/>
        <v>0</v>
      </c>
      <c r="H329" s="632">
        <f t="shared" si="11"/>
        <v>0</v>
      </c>
      <c r="I329" s="632">
        <f t="shared" si="11"/>
        <v>0</v>
      </c>
      <c r="J329" s="632">
        <f t="shared" si="11"/>
        <v>0</v>
      </c>
      <c r="K329" s="632">
        <f t="shared" si="11"/>
        <v>0</v>
      </c>
      <c r="L329" s="632">
        <f t="shared" si="11"/>
        <v>0</v>
      </c>
      <c r="M329" s="632">
        <f t="shared" si="11"/>
        <v>0</v>
      </c>
      <c r="N329" s="632">
        <f t="shared" si="11"/>
        <v>0</v>
      </c>
      <c r="O329" s="632">
        <f t="shared" si="11"/>
        <v>0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5">
      <c r="A330" s="781"/>
      <c r="B330" s="780"/>
      <c r="C330" s="632" t="s">
        <v>73</v>
      </c>
      <c r="D330" s="714">
        <f>D241</f>
        <v>0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5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5">
      <c r="A332" s="781" t="s">
        <v>155</v>
      </c>
      <c r="B332" s="780" t="s">
        <v>132</v>
      </c>
      <c r="C332" s="633" t="s">
        <v>70</v>
      </c>
      <c r="D332" s="633">
        <f>D236-P236</f>
        <v>0</v>
      </c>
      <c r="E332" s="633">
        <f>E233</f>
        <v>0</v>
      </c>
      <c r="F332" s="633">
        <f t="shared" ref="F332:R332" si="12">F233</f>
        <v>0</v>
      </c>
      <c r="G332" s="633">
        <f t="shared" si="12"/>
        <v>0</v>
      </c>
      <c r="H332" s="633">
        <f t="shared" si="12"/>
        <v>0</v>
      </c>
      <c r="I332" s="633">
        <f t="shared" si="12"/>
        <v>0</v>
      </c>
      <c r="J332" s="633">
        <f t="shared" si="12"/>
        <v>0</v>
      </c>
      <c r="K332" s="633">
        <f t="shared" si="12"/>
        <v>0</v>
      </c>
      <c r="L332" s="633">
        <f t="shared" si="12"/>
        <v>0</v>
      </c>
      <c r="M332" s="633">
        <f t="shared" si="12"/>
        <v>0</v>
      </c>
      <c r="N332" s="633">
        <f t="shared" si="12"/>
        <v>0</v>
      </c>
      <c r="O332" s="633">
        <f t="shared" si="12"/>
        <v>0</v>
      </c>
      <c r="P332" s="633">
        <f t="shared" si="12"/>
        <v>0</v>
      </c>
      <c r="Q332" s="633">
        <f t="shared" si="12"/>
        <v>0</v>
      </c>
      <c r="R332" s="633">
        <f t="shared" si="12"/>
        <v>0</v>
      </c>
    </row>
    <row r="333" spans="1:18" ht="12.75" customHeight="1" x14ac:dyDescent="0.25">
      <c r="A333" s="781"/>
      <c r="B333" s="780"/>
      <c r="C333" s="633" t="s">
        <v>73</v>
      </c>
      <c r="D333" s="633">
        <f>D235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5">
      <c r="A336" s="782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1" t="s">
        <v>119</v>
      </c>
      <c r="B338" s="780" t="s">
        <v>132</v>
      </c>
      <c r="C338" s="628" t="s">
        <v>70</v>
      </c>
      <c r="D338" s="628">
        <f>D248-P248</f>
        <v>0</v>
      </c>
      <c r="E338" s="628">
        <f>E245</f>
        <v>0</v>
      </c>
      <c r="F338" s="628">
        <f t="shared" ref="F338:R338" si="13">F245</f>
        <v>0</v>
      </c>
      <c r="G338" s="628">
        <f t="shared" si="13"/>
        <v>0</v>
      </c>
      <c r="H338" s="628">
        <f t="shared" si="13"/>
        <v>0</v>
      </c>
      <c r="I338" s="628">
        <f t="shared" si="13"/>
        <v>0</v>
      </c>
      <c r="J338" s="628">
        <f t="shared" si="13"/>
        <v>0</v>
      </c>
      <c r="K338" s="628">
        <f t="shared" si="13"/>
        <v>0</v>
      </c>
      <c r="L338" s="628">
        <f t="shared" si="13"/>
        <v>0</v>
      </c>
      <c r="M338" s="628">
        <f t="shared" si="13"/>
        <v>0</v>
      </c>
      <c r="N338" s="628">
        <f t="shared" si="13"/>
        <v>0</v>
      </c>
      <c r="O338" s="628">
        <f t="shared" si="13"/>
        <v>0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5">
      <c r="A339" s="781"/>
      <c r="B339" s="780"/>
      <c r="C339" s="628" t="s">
        <v>73</v>
      </c>
      <c r="D339" s="628">
        <f>D247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79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5">
      <c r="A342" s="779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5"/>
    <row r="344" spans="1:18" x14ac:dyDescent="0.25">
      <c r="B344" s="617" t="s">
        <v>93</v>
      </c>
    </row>
    <row r="345" spans="1:18" ht="12.75" customHeight="1" x14ac:dyDescent="0.25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5">
      <c r="C346" s="618" t="s">
        <v>72</v>
      </c>
      <c r="D346" s="618">
        <v>0</v>
      </c>
      <c r="E346" s="618">
        <v>0</v>
      </c>
      <c r="F346" s="618">
        <v>0</v>
      </c>
      <c r="G346" s="618">
        <v>0</v>
      </c>
      <c r="H346" s="618">
        <v>0</v>
      </c>
      <c r="I346" s="618">
        <v>0</v>
      </c>
      <c r="J346" s="618">
        <v>0</v>
      </c>
      <c r="K346" s="618">
        <v>0</v>
      </c>
      <c r="L346" s="618">
        <v>0</v>
      </c>
      <c r="M346" s="618">
        <v>0</v>
      </c>
      <c r="N346" s="618">
        <v>0</v>
      </c>
      <c r="O346" s="618">
        <v>0</v>
      </c>
      <c r="P346" s="616">
        <v>0</v>
      </c>
      <c r="Q346" s="618">
        <v>0</v>
      </c>
      <c r="R346" s="616">
        <v>0</v>
      </c>
    </row>
    <row r="347" spans="1:18" ht="12" customHeight="1" x14ac:dyDescent="0.25">
      <c r="C347" s="618" t="s">
        <v>81</v>
      </c>
      <c r="D347" s="618">
        <v>0</v>
      </c>
      <c r="E347" s="618">
        <v>0</v>
      </c>
      <c r="F347" s="618">
        <v>0</v>
      </c>
      <c r="G347" s="618">
        <v>0</v>
      </c>
      <c r="H347" s="618">
        <v>0</v>
      </c>
      <c r="I347" s="618">
        <v>0</v>
      </c>
      <c r="J347" s="618">
        <v>0</v>
      </c>
      <c r="K347" s="618">
        <v>0</v>
      </c>
      <c r="L347" s="618">
        <v>0</v>
      </c>
      <c r="M347" s="618">
        <v>0</v>
      </c>
      <c r="N347" s="618">
        <v>0</v>
      </c>
      <c r="O347" s="618">
        <v>0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5">
      <c r="A348" s="622"/>
      <c r="B348" s="621" t="s">
        <v>78</v>
      </c>
      <c r="C348" s="621" t="s">
        <v>70</v>
      </c>
      <c r="D348" s="622">
        <v>0</v>
      </c>
      <c r="E348" s="622">
        <v>0</v>
      </c>
      <c r="F348" s="622">
        <v>0</v>
      </c>
      <c r="G348" s="622">
        <v>0</v>
      </c>
      <c r="H348" s="622">
        <v>0</v>
      </c>
      <c r="I348" s="622">
        <v>0</v>
      </c>
      <c r="J348" s="622">
        <v>0</v>
      </c>
      <c r="K348" s="622">
        <v>0</v>
      </c>
      <c r="L348" s="622">
        <v>0</v>
      </c>
      <c r="M348" s="622">
        <v>0</v>
      </c>
      <c r="N348" s="622">
        <v>0</v>
      </c>
      <c r="O348" s="622">
        <v>0</v>
      </c>
      <c r="P348" s="621">
        <v>0</v>
      </c>
      <c r="Q348" s="621">
        <v>0</v>
      </c>
      <c r="R348" s="621">
        <v>0</v>
      </c>
    </row>
    <row r="349" spans="1:18" ht="12" customHeight="1" x14ac:dyDescent="0.25">
      <c r="C349" s="618" t="s">
        <v>73</v>
      </c>
      <c r="D349" s="618">
        <v>0</v>
      </c>
      <c r="E349" s="618">
        <v>0</v>
      </c>
      <c r="F349" s="618">
        <v>0</v>
      </c>
      <c r="G349" s="618">
        <v>0</v>
      </c>
      <c r="H349" s="618">
        <v>0</v>
      </c>
      <c r="I349" s="618">
        <v>0</v>
      </c>
      <c r="J349" s="618">
        <v>0</v>
      </c>
      <c r="K349" s="618">
        <v>0</v>
      </c>
      <c r="L349" s="618">
        <v>0</v>
      </c>
      <c r="M349" s="618">
        <v>0</v>
      </c>
      <c r="N349" s="618">
        <v>0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5">
      <c r="A350" s="624"/>
      <c r="B350" s="624" t="s">
        <v>79</v>
      </c>
      <c r="C350" s="623" t="s">
        <v>70</v>
      </c>
      <c r="D350" s="624">
        <v>0</v>
      </c>
      <c r="E350" s="624">
        <v>0</v>
      </c>
      <c r="F350" s="624">
        <v>0</v>
      </c>
      <c r="G350" s="624">
        <v>0</v>
      </c>
      <c r="H350" s="624">
        <v>0</v>
      </c>
      <c r="I350" s="624">
        <v>0</v>
      </c>
      <c r="J350" s="624">
        <v>0</v>
      </c>
      <c r="K350" s="624">
        <v>0</v>
      </c>
      <c r="L350" s="624">
        <v>0</v>
      </c>
      <c r="M350" s="624">
        <v>0</v>
      </c>
      <c r="N350" s="624">
        <v>0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5">
      <c r="A351" s="625" t="s">
        <v>155</v>
      </c>
      <c r="B351" s="625" t="s">
        <v>70</v>
      </c>
      <c r="D351" s="626">
        <v>0</v>
      </c>
      <c r="E351" s="626">
        <v>0</v>
      </c>
      <c r="F351" s="626">
        <v>0</v>
      </c>
      <c r="G351" s="627">
        <v>0</v>
      </c>
      <c r="H351" s="626">
        <v>0</v>
      </c>
      <c r="I351" s="626">
        <v>0</v>
      </c>
      <c r="J351" s="626">
        <v>0</v>
      </c>
      <c r="K351" s="626">
        <v>0</v>
      </c>
      <c r="L351" s="626">
        <v>0</v>
      </c>
      <c r="M351" s="626">
        <v>0</v>
      </c>
      <c r="N351" s="626">
        <v>0</v>
      </c>
      <c r="O351" s="626">
        <v>0</v>
      </c>
      <c r="P351" s="626">
        <v>0</v>
      </c>
      <c r="Q351" s="626">
        <v>0</v>
      </c>
      <c r="R351" s="625">
        <v>0</v>
      </c>
    </row>
    <row r="352" spans="1:18" ht="12.75" customHeight="1" x14ac:dyDescent="0.25">
      <c r="C352" s="616" t="s">
        <v>72</v>
      </c>
      <c r="D352" s="618">
        <v>0</v>
      </c>
      <c r="E352" s="618">
        <v>0</v>
      </c>
      <c r="F352" s="618">
        <v>0</v>
      </c>
      <c r="G352" s="620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8">
        <v>0</v>
      </c>
      <c r="Q352" s="618">
        <v>0</v>
      </c>
      <c r="R352" s="616">
        <v>0</v>
      </c>
    </row>
    <row r="353" spans="1:18" ht="12.6" customHeight="1" x14ac:dyDescent="0.25">
      <c r="C353" s="616" t="s">
        <v>81</v>
      </c>
      <c r="D353" s="618">
        <v>0</v>
      </c>
      <c r="E353" s="618">
        <v>0</v>
      </c>
      <c r="F353" s="618">
        <v>0</v>
      </c>
      <c r="G353" s="620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5">
      <c r="B354" s="622" t="s">
        <v>78</v>
      </c>
      <c r="C354" s="622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2">
        <v>0</v>
      </c>
      <c r="R354" s="622">
        <v>0</v>
      </c>
    </row>
    <row r="355" spans="1:18" ht="12.75" customHeight="1" x14ac:dyDescent="0.25">
      <c r="C355" s="616" t="s">
        <v>73</v>
      </c>
      <c r="D355" s="618">
        <v>0</v>
      </c>
      <c r="E355" s="618">
        <v>0</v>
      </c>
      <c r="F355" s="618">
        <v>0</v>
      </c>
      <c r="G355" s="620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5">
      <c r="B356" s="624" t="s">
        <v>79</v>
      </c>
      <c r="C356" s="624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5">
      <c r="A357" s="628" t="s">
        <v>119</v>
      </c>
      <c r="B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5">
      <c r="A358" s="630" t="s">
        <v>70</v>
      </c>
      <c r="D358" s="630">
        <v>0</v>
      </c>
      <c r="E358" s="630">
        <v>0</v>
      </c>
      <c r="F358" s="630">
        <v>0</v>
      </c>
      <c r="G358" s="630">
        <v>0</v>
      </c>
      <c r="H358" s="630">
        <v>0</v>
      </c>
      <c r="I358" s="630">
        <v>0</v>
      </c>
      <c r="J358" s="630">
        <v>0</v>
      </c>
      <c r="K358" s="630">
        <v>0</v>
      </c>
      <c r="L358" s="630">
        <v>0</v>
      </c>
      <c r="M358" s="630">
        <v>0</v>
      </c>
      <c r="N358" s="630">
        <v>0</v>
      </c>
      <c r="O358" s="630">
        <v>0</v>
      </c>
      <c r="P358" s="631">
        <v>0</v>
      </c>
      <c r="Q358" s="631">
        <v>0</v>
      </c>
      <c r="R358" s="631">
        <v>0</v>
      </c>
    </row>
    <row r="359" spans="1:18" ht="12.75" customHeight="1" x14ac:dyDescent="0.25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5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5">
      <c r="A361" s="781" t="s">
        <v>2</v>
      </c>
      <c r="B361" s="780" t="s">
        <v>132</v>
      </c>
      <c r="C361" s="766" t="s">
        <v>70</v>
      </c>
      <c r="D361" s="766">
        <f>D358-P358</f>
        <v>0</v>
      </c>
      <c r="E361" s="766">
        <f>E348+E354</f>
        <v>0</v>
      </c>
      <c r="F361" s="766">
        <f t="shared" ref="F361:R361" si="14">F348+F354</f>
        <v>0</v>
      </c>
      <c r="G361" s="766">
        <f t="shared" si="14"/>
        <v>0</v>
      </c>
      <c r="H361" s="766">
        <f t="shared" si="14"/>
        <v>0</v>
      </c>
      <c r="I361" s="766">
        <f t="shared" si="14"/>
        <v>0</v>
      </c>
      <c r="J361" s="766">
        <f t="shared" si="14"/>
        <v>0</v>
      </c>
      <c r="K361" s="766">
        <f t="shared" si="14"/>
        <v>0</v>
      </c>
      <c r="L361" s="766">
        <f t="shared" si="14"/>
        <v>0</v>
      </c>
      <c r="M361" s="766">
        <f t="shared" si="14"/>
        <v>0</v>
      </c>
      <c r="N361" s="766">
        <f t="shared" si="14"/>
        <v>0</v>
      </c>
      <c r="O361" s="766">
        <f t="shared" si="14"/>
        <v>0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5">
      <c r="A362" s="781"/>
      <c r="B362" s="780"/>
      <c r="C362" s="766" t="s">
        <v>73</v>
      </c>
      <c r="D362" s="767">
        <f>D350+D356</f>
        <v>0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5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5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5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5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5">
      <c r="A367" s="781" t="s">
        <v>155</v>
      </c>
      <c r="B367" s="780" t="s">
        <v>132</v>
      </c>
      <c r="C367" s="633" t="s">
        <v>70</v>
      </c>
      <c r="D367" s="633">
        <f>D351-P351</f>
        <v>0</v>
      </c>
      <c r="E367" s="633">
        <f>E348</f>
        <v>0</v>
      </c>
      <c r="F367" s="633">
        <f t="shared" ref="F367:R367" si="15">F348</f>
        <v>0</v>
      </c>
      <c r="G367" s="633">
        <f t="shared" si="15"/>
        <v>0</v>
      </c>
      <c r="H367" s="633">
        <f t="shared" si="15"/>
        <v>0</v>
      </c>
      <c r="I367" s="633">
        <f t="shared" si="15"/>
        <v>0</v>
      </c>
      <c r="J367" s="633">
        <f t="shared" si="15"/>
        <v>0</v>
      </c>
      <c r="K367" s="633">
        <f t="shared" si="15"/>
        <v>0</v>
      </c>
      <c r="L367" s="633">
        <f t="shared" si="15"/>
        <v>0</v>
      </c>
      <c r="M367" s="633">
        <f t="shared" si="15"/>
        <v>0</v>
      </c>
      <c r="N367" s="633">
        <f t="shared" si="15"/>
        <v>0</v>
      </c>
      <c r="O367" s="633">
        <f t="shared" si="15"/>
        <v>0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5">
      <c r="A368" s="781"/>
      <c r="B368" s="780"/>
      <c r="C368" s="633" t="s">
        <v>73</v>
      </c>
      <c r="D368" s="633">
        <f>D350</f>
        <v>0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5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5">
      <c r="A370" s="782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5">
      <c r="A371" s="782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5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5">
      <c r="A373" s="781" t="s">
        <v>119</v>
      </c>
      <c r="B373" s="780" t="s">
        <v>132</v>
      </c>
      <c r="C373" s="628" t="s">
        <v>70</v>
      </c>
      <c r="D373" s="628">
        <f>D357-P357</f>
        <v>0</v>
      </c>
      <c r="E373" s="628">
        <f>E354</f>
        <v>0</v>
      </c>
      <c r="F373" s="628">
        <f t="shared" ref="F373:R373" si="16">F354</f>
        <v>0</v>
      </c>
      <c r="G373" s="628">
        <f t="shared" si="16"/>
        <v>0</v>
      </c>
      <c r="H373" s="628">
        <f t="shared" si="16"/>
        <v>0</v>
      </c>
      <c r="I373" s="628">
        <f t="shared" si="16"/>
        <v>0</v>
      </c>
      <c r="J373" s="628">
        <f t="shared" si="16"/>
        <v>0</v>
      </c>
      <c r="K373" s="628">
        <f t="shared" si="16"/>
        <v>0</v>
      </c>
      <c r="L373" s="628">
        <f t="shared" si="16"/>
        <v>0</v>
      </c>
      <c r="M373" s="628">
        <f t="shared" si="16"/>
        <v>0</v>
      </c>
      <c r="N373" s="628">
        <f t="shared" si="16"/>
        <v>0</v>
      </c>
      <c r="O373" s="628">
        <f t="shared" si="16"/>
        <v>0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5">
      <c r="A374" s="781"/>
      <c r="B374" s="780"/>
      <c r="C374" s="628" t="s">
        <v>73</v>
      </c>
      <c r="D374" s="629">
        <f>D356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5">
      <c r="A376" s="779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5">
      <c r="A377" s="779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5"/>
    <row r="381" spans="1:18" x14ac:dyDescent="0.25">
      <c r="D381" s="616">
        <f t="shared" ref="D381:R381" si="17">D73+D174+D211+D326+D361</f>
        <v>0</v>
      </c>
      <c r="E381" s="616">
        <f t="shared" si="17"/>
        <v>0</v>
      </c>
      <c r="F381" s="616">
        <f t="shared" si="17"/>
        <v>0</v>
      </c>
      <c r="G381" s="616">
        <f t="shared" si="17"/>
        <v>0</v>
      </c>
      <c r="H381" s="616">
        <f t="shared" si="17"/>
        <v>0</v>
      </c>
      <c r="I381" s="616">
        <f t="shared" si="17"/>
        <v>0</v>
      </c>
      <c r="J381" s="616">
        <f t="shared" si="17"/>
        <v>0</v>
      </c>
      <c r="K381" s="616">
        <f t="shared" si="17"/>
        <v>0</v>
      </c>
      <c r="L381" s="616">
        <f t="shared" si="17"/>
        <v>0</v>
      </c>
      <c r="M381" s="616">
        <f t="shared" si="17"/>
        <v>0</v>
      </c>
      <c r="N381" s="616">
        <f t="shared" si="17"/>
        <v>0</v>
      </c>
      <c r="O381" s="616">
        <f t="shared" si="17"/>
        <v>0</v>
      </c>
      <c r="P381" s="616">
        <f t="shared" si="17"/>
        <v>0</v>
      </c>
      <c r="Q381" s="616">
        <f t="shared" si="17"/>
        <v>0</v>
      </c>
      <c r="R381" s="616">
        <f t="shared" si="17"/>
        <v>0</v>
      </c>
    </row>
    <row r="382" spans="1:18" x14ac:dyDescent="0.25">
      <c r="D382" s="616">
        <f>D74+D175+D212+D327+D362</f>
        <v>0</v>
      </c>
    </row>
  </sheetData>
  <mergeCells count="60"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  <mergeCell ref="A73:A74"/>
    <mergeCell ref="B73:B74"/>
    <mergeCell ref="A76:A77"/>
    <mergeCell ref="B76:B77"/>
    <mergeCell ref="A79:A80"/>
    <mergeCell ref="B79:B80"/>
    <mergeCell ref="A186:A187"/>
    <mergeCell ref="B186:B187"/>
    <mergeCell ref="A189:A190"/>
    <mergeCell ref="B189:B190"/>
    <mergeCell ref="A211:A212"/>
    <mergeCell ref="B211:B212"/>
    <mergeCell ref="A214:A215"/>
    <mergeCell ref="B214:B215"/>
    <mergeCell ref="A217:A218"/>
    <mergeCell ref="B217:B218"/>
    <mergeCell ref="A223:A224"/>
    <mergeCell ref="B223:B224"/>
    <mergeCell ref="A226:A227"/>
    <mergeCell ref="B226:B227"/>
    <mergeCell ref="A326:A327"/>
    <mergeCell ref="B326:B327"/>
    <mergeCell ref="A329:A330"/>
    <mergeCell ref="B329:B330"/>
    <mergeCell ref="A332:A333"/>
    <mergeCell ref="B332:B333"/>
    <mergeCell ref="A338:A339"/>
    <mergeCell ref="B338:B339"/>
    <mergeCell ref="A335:A336"/>
    <mergeCell ref="B335:B336"/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2026082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2026082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2026082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R1'!F105*$D$24</f>
        <v>0</v>
      </c>
      <c r="E12" s="424">
        <f>'Reporte Componentes R1'!G105*$D$24</f>
        <v>0</v>
      </c>
      <c r="F12" s="425">
        <f>'Reporte Componentes R1'!H105*$D$24</f>
        <v>0</v>
      </c>
      <c r="G12" s="425">
        <f>'Reporte Componentes R1'!I105*$D$24</f>
        <v>0</v>
      </c>
      <c r="H12" s="425">
        <f>'Reporte Componentes R1'!J105*$D$24</f>
        <v>0</v>
      </c>
      <c r="I12" s="425">
        <f>'Reporte Componentes R1'!K105*$D$24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R1'!M105*$P$24</f>
        <v>0</v>
      </c>
      <c r="Q12" s="430">
        <f>'Reporte Componentes R1'!N105*$P$24</f>
        <v>0</v>
      </c>
      <c r="R12" s="430">
        <f>'Reporte Componentes R1'!O105*$P$24</f>
        <v>0</v>
      </c>
      <c r="S12" s="430">
        <f>'Reporte Componentes R1'!P105*$P$24</f>
        <v>0</v>
      </c>
      <c r="T12" s="430">
        <f>'Reporte Componentes R1'!Q105*$P$24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R1'!F284*$D$24</f>
        <v>0</v>
      </c>
      <c r="E13" s="425">
        <f>'Reporte Componentes R1'!G284*$D$24</f>
        <v>0</v>
      </c>
      <c r="F13" s="425">
        <f>'Reporte Componentes R1'!H284*$D$24</f>
        <v>0</v>
      </c>
      <c r="G13" s="425">
        <f>'Reporte Componentes R1'!I284*$D$24</f>
        <v>0</v>
      </c>
      <c r="H13" s="425">
        <f>'Reporte Componentes R1'!J284*$D$24</f>
        <v>0</v>
      </c>
      <c r="I13" s="425">
        <f>'Reporte Componentes R1'!K284*$D$24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R1'!M284*$P$24</f>
        <v>0</v>
      </c>
      <c r="Q13" s="435">
        <f>'Reporte Componentes R1'!N284*$P$24</f>
        <v>0</v>
      </c>
      <c r="R13" s="435">
        <f>'Reporte Componentes R1'!O284*$P$24</f>
        <v>0</v>
      </c>
      <c r="S13" s="435">
        <f>'Reporte Componentes R1'!P284*$P$24</f>
        <v>0</v>
      </c>
      <c r="T13" s="435">
        <f>'Reporte Componentes R1'!Q284*$P$24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R1'!F445*$D$24</f>
        <v>0</v>
      </c>
      <c r="E14" s="424">
        <f>'Reporte Componentes R1'!G445*$D$24</f>
        <v>0</v>
      </c>
      <c r="F14" s="424">
        <f>'Reporte Componentes R1'!H445*$D$24</f>
        <v>0</v>
      </c>
      <c r="G14" s="424">
        <f>'Reporte Componentes R1'!I445*$D$24</f>
        <v>0</v>
      </c>
      <c r="H14" s="424">
        <f>'Reporte Componentes R1'!J445*$D$24</f>
        <v>0</v>
      </c>
      <c r="I14" s="424">
        <f>'Reporte Componentes R1'!K445*$D$24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R1'!M445*$P$24</f>
        <v>0</v>
      </c>
      <c r="Q14" s="435">
        <f>'Reporte Componentes R1'!N445*$P$24</f>
        <v>0</v>
      </c>
      <c r="R14" s="435">
        <f>'Reporte Componentes R1'!O445*$P$24</f>
        <v>0</v>
      </c>
      <c r="S14" s="435">
        <f>'Reporte Componentes R1'!P445*$P$24</f>
        <v>0</v>
      </c>
      <c r="T14" s="435">
        <f>'Reporte Componentes R1'!Q445*$P$24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R1'!F598*$D$24</f>
        <v>0</v>
      </c>
      <c r="E15" s="425">
        <f>'Reporte Componentes R1'!G598*$D$24</f>
        <v>0</v>
      </c>
      <c r="F15" s="425">
        <f>'Reporte Componentes R1'!H598*$D$24</f>
        <v>0</v>
      </c>
      <c r="G15" s="425">
        <f>'Reporte Componentes R1'!I598*$D$24</f>
        <v>0</v>
      </c>
      <c r="H15" s="425">
        <f>'Reporte Componentes R1'!J598*$D$24</f>
        <v>0</v>
      </c>
      <c r="I15" s="425">
        <f>'Reporte Componentes R1'!K598*$D$24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R1'!M598*$P$24</f>
        <v>0</v>
      </c>
      <c r="Q15" s="435">
        <f>'Reporte Componentes R1'!N598*$P$24</f>
        <v>0</v>
      </c>
      <c r="R15" s="435">
        <f>'Reporte Componentes R1'!O598*$P$24</f>
        <v>0</v>
      </c>
      <c r="S15" s="435">
        <f>'Reporte Componentes R1'!P598*$P$24</f>
        <v>0</v>
      </c>
      <c r="T15" s="435">
        <f>'Reporte Componentes R1'!Q598*$P$24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B1" zoomScaleNormal="100" workbookViewId="0">
      <selection activeCell="L15" sqref="L1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R1'!L75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-189185988</v>
      </c>
      <c r="AA9" s="311">
        <f>'Reporte Componentes R1'!R75+'Reporte Componentes R1'!U75+'Reporte Componentes R1'!V75</f>
        <v>0</v>
      </c>
      <c r="AB9" s="312">
        <f>N9</f>
        <v>0</v>
      </c>
      <c r="AC9" s="320">
        <f>'Reporte Componentes R1'!T75+'Reporte Componentes R1'!W75+'Reporte Componentes R1'!X75+'Reporte Componentes R1'!Y75+'Reporte Componentes R1'!Z75+'Reporte Componentes R1'!S75</f>
        <v>0</v>
      </c>
      <c r="AD9" s="291">
        <f>-J9+AE9</f>
        <v>0</v>
      </c>
      <c r="AE9" s="291">
        <f>'Reporte Componentes R1'!F76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R1'!F254</f>
        <v>0</v>
      </c>
      <c r="E10" s="292">
        <f>'Reporte Componentes R1'!G254</f>
        <v>0</v>
      </c>
      <c r="F10" s="292">
        <f>'Reporte Componentes R1'!H254</f>
        <v>0</v>
      </c>
      <c r="G10" s="292">
        <f>'Reporte Componentes R1'!I254</f>
        <v>0</v>
      </c>
      <c r="H10" s="292">
        <f>'Reporte Componentes R1'!J254</f>
        <v>0</v>
      </c>
      <c r="I10" s="292">
        <f>'Reporte Componentes R1'!K254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R1'!L254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R1'!M254</f>
        <v>0</v>
      </c>
      <c r="V10" s="317">
        <f>'Reporte Componentes R1'!N254</f>
        <v>0</v>
      </c>
      <c r="W10" s="317">
        <f>'Reporte Componentes R1'!O254</f>
        <v>0</v>
      </c>
      <c r="X10" s="317">
        <f>'Reporte Componentes R1'!P254</f>
        <v>0</v>
      </c>
      <c r="Y10" s="318">
        <f>'Reporte Componentes R1'!Q254</f>
        <v>0</v>
      </c>
      <c r="Z10" s="319">
        <f>L10*-1</f>
        <v>-266580256</v>
      </c>
      <c r="AA10" s="320">
        <f>'Reporte Componentes R1'!R254+'Reporte Componentes R1'!U254+'Reporte Componentes R1'!V254</f>
        <v>0</v>
      </c>
      <c r="AB10" s="321">
        <f>N10</f>
        <v>0</v>
      </c>
      <c r="AC10" s="320">
        <f>'Reporte Componentes R1'!T254+'Reporte Componentes R1'!W254+'Reporte Componentes R1'!X254+'Reporte Componentes R1'!Y254+'Reporte Componentes R1'!Z254+'Reporte Componentes R1'!S254</f>
        <v>0</v>
      </c>
      <c r="AD10" s="291">
        <f t="shared" ref="AD10:AD13" si="0">-J10+AE10</f>
        <v>0</v>
      </c>
      <c r="AE10" s="291">
        <f>'Reporte Componentes R1'!F255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R1'!F415</f>
        <v>0</v>
      </c>
      <c r="E11" s="292">
        <f>'Reporte Componentes R1'!G415</f>
        <v>0</v>
      </c>
      <c r="F11" s="292">
        <f>'Reporte Componentes R1'!H415</f>
        <v>0</v>
      </c>
      <c r="G11" s="292">
        <f>'Reporte Componentes R1'!I415</f>
        <v>0</v>
      </c>
      <c r="H11" s="292">
        <f>'Reporte Componentes R1'!J415</f>
        <v>0</v>
      </c>
      <c r="I11" s="292">
        <f>'Reporte Componentes R1'!K415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R1'!L415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R1'!M415</f>
        <v>0</v>
      </c>
      <c r="V11" s="317">
        <f>'Reporte Componentes R1'!N415</f>
        <v>0</v>
      </c>
      <c r="W11" s="317">
        <f>'Reporte Componentes R1'!O415</f>
        <v>0</v>
      </c>
      <c r="X11" s="317">
        <f>'Reporte Componentes R1'!P415</f>
        <v>0</v>
      </c>
      <c r="Y11" s="318">
        <f>'Reporte Componentes R1'!Q415</f>
        <v>0</v>
      </c>
      <c r="Z11" s="319">
        <f>L11*-1</f>
        <v>-154788536</v>
      </c>
      <c r="AA11" s="320">
        <f>'Reporte Componentes R1'!R415+'Reporte Componentes R1'!U415+'Reporte Componentes R1'!V415</f>
        <v>0</v>
      </c>
      <c r="AB11" s="321">
        <f>N11</f>
        <v>0</v>
      </c>
      <c r="AC11" s="320">
        <f>'Reporte Componentes R1'!T415+'Reporte Componentes R1'!W415+'Reporte Componentes R1'!X415+'Reporte Componentes R1'!Y415+'Reporte Componentes R1'!Z415+'Reporte Componentes R1'!S415</f>
        <v>0</v>
      </c>
      <c r="AD11" s="291">
        <f t="shared" si="0"/>
        <v>0</v>
      </c>
      <c r="AE11" s="291">
        <f>'Reporte Componentes R1'!F416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R1'!F568</f>
        <v>0</v>
      </c>
      <c r="E12" s="292">
        <f>'Reporte Componentes R1'!G568</f>
        <v>0</v>
      </c>
      <c r="F12" s="292">
        <f>'Reporte Componentes R1'!H568</f>
        <v>0</v>
      </c>
      <c r="G12" s="292">
        <f>'Reporte Componentes R1'!I568</f>
        <v>0</v>
      </c>
      <c r="H12" s="292">
        <f>'Reporte Componentes R1'!J568</f>
        <v>0</v>
      </c>
      <c r="I12" s="292">
        <f>'Reporte Componentes R1'!K568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R1'!L568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R1'!M568</f>
        <v>0</v>
      </c>
      <c r="V12" s="317">
        <f>'Reporte Componentes R1'!N568</f>
        <v>0</v>
      </c>
      <c r="W12" s="317">
        <f>'Reporte Componentes R1'!O568</f>
        <v>0</v>
      </c>
      <c r="X12" s="317">
        <f>'Reporte Componentes R1'!P568</f>
        <v>0</v>
      </c>
      <c r="Y12" s="318">
        <f>'Reporte Componentes R1'!Q568</f>
        <v>0</v>
      </c>
      <c r="Z12" s="319">
        <f>L12*-1</f>
        <v>-120391083</v>
      </c>
      <c r="AA12" s="320">
        <f>'Reporte Componentes R1'!R568+'Reporte Componentes R1'!U568+'Reporte Componentes R1'!V568</f>
        <v>0</v>
      </c>
      <c r="AB12" s="321">
        <f>N12</f>
        <v>0</v>
      </c>
      <c r="AC12" s="320">
        <f>'Reporte Componentes R1'!T568+'Reporte Componentes R1'!W568+'Reporte Componentes R1'!X568+'Reporte Componentes R1'!Y568+'Reporte Componentes R1'!Z568+'Reporte Componentes R1'!S568</f>
        <v>0</v>
      </c>
      <c r="AD12" s="291">
        <f t="shared" si="0"/>
        <v>0</v>
      </c>
      <c r="AE12" s="291">
        <f>'Reporte Componentes R1'!F569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R1'!F680</f>
        <v>0</v>
      </c>
      <c r="E13" s="297">
        <f>'Reporte Componentes R1'!G680</f>
        <v>0</v>
      </c>
      <c r="F13" s="297">
        <f>'Reporte Componentes R1'!H680</f>
        <v>0</v>
      </c>
      <c r="G13" s="297">
        <f>'Reporte Componentes R1'!I680</f>
        <v>0</v>
      </c>
      <c r="H13" s="297">
        <f>'Reporte Componentes R1'!J680</f>
        <v>0</v>
      </c>
      <c r="I13" s="297">
        <f>'Reporte Componentes R1'!K680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R1'!L680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R1'!M680</f>
        <v>0</v>
      </c>
      <c r="V13" s="297">
        <f>'Reporte Componentes R1'!N680</f>
        <v>0</v>
      </c>
      <c r="W13" s="297">
        <f>'Reporte Componentes R1'!O680</f>
        <v>0</v>
      </c>
      <c r="X13" s="297">
        <f>'Reporte Componentes R1'!P680</f>
        <v>0</v>
      </c>
      <c r="Y13" s="289">
        <f>'Reporte Componentes R1'!Q680</f>
        <v>0</v>
      </c>
      <c r="Z13" s="319">
        <f>L13*-1</f>
        <v>-128990446</v>
      </c>
      <c r="AA13" s="320">
        <f>'Reporte Componentes R1'!R680+'Reporte Componentes R1'!U680+'Reporte Componentes R1'!V680</f>
        <v>0</v>
      </c>
      <c r="AB13" s="321">
        <f>N13</f>
        <v>0</v>
      </c>
      <c r="AC13" s="320">
        <f>'Reporte Componentes R1'!T680+'Reporte Componentes R1'!W680+'Reporte Componentes R1'!X680+'Reporte Componentes R1'!Y680+'Reporte Componentes R1'!Z680+'Reporte Componentes R1'!S680</f>
        <v>0</v>
      </c>
      <c r="AD13" s="291">
        <f t="shared" si="0"/>
        <v>0</v>
      </c>
      <c r="AE13" s="291">
        <f>'Reporte Componentes R1'!F681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R2'!E47</f>
        <v>0</v>
      </c>
      <c r="E28" s="292">
        <f>'Rem. Anticipos R2'!F47</f>
        <v>0</v>
      </c>
      <c r="F28" s="292">
        <f>'Rem. Anticipos R2'!G47</f>
        <v>0</v>
      </c>
      <c r="G28" s="292">
        <f>'Rem. Anticipos R2'!H47</f>
        <v>0</v>
      </c>
      <c r="H28" s="292">
        <f>'Rem. Anticipos R2'!I47</f>
        <v>0</v>
      </c>
      <c r="I28" s="292">
        <f>'Rem. Anticipos R2'!J47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R2'!L47</f>
        <v>0</v>
      </c>
      <c r="V28" s="308">
        <f>'Rem. Anticipos R2'!M47</f>
        <v>0</v>
      </c>
      <c r="W28" s="308">
        <f>'Rem. Anticipos R2'!N47</f>
        <v>0</v>
      </c>
      <c r="X28" s="308">
        <f>'Rem. Anticipos R2'!O47</f>
        <v>0</v>
      </c>
      <c r="Y28" s="308">
        <f>'Rem. Anticipos R2'!P47</f>
        <v>0</v>
      </c>
      <c r="Z28" s="310">
        <f>L28*-1</f>
        <v>0</v>
      </c>
      <c r="AA28" s="311">
        <f>'Rem. Anticipos R2'!Q47</f>
        <v>0</v>
      </c>
      <c r="AB28" s="294">
        <f>N28</f>
        <v>0</v>
      </c>
      <c r="AC28" s="311">
        <f>'Rem. Anticipos R2'!R47</f>
        <v>0</v>
      </c>
      <c r="AD28" s="291">
        <f>-J28+AE28</f>
        <v>0</v>
      </c>
      <c r="AE28" s="291">
        <f>'Rem. Anticipos R2'!E48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R2'!E144</f>
        <v>0</v>
      </c>
      <c r="E29" s="292">
        <f>'Rem. Anticipos R2'!F144</f>
        <v>0</v>
      </c>
      <c r="F29" s="292">
        <f>'Rem. Anticipos R2'!G144</f>
        <v>0</v>
      </c>
      <c r="G29" s="292">
        <f>'Rem. Anticipos R2'!H144</f>
        <v>0</v>
      </c>
      <c r="H29" s="292">
        <f>'Rem. Anticipos R2'!I144</f>
        <v>0</v>
      </c>
      <c r="I29" s="292">
        <f>'Rem. Anticipos R2'!J144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R2'!K144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R2'!L144</f>
        <v>0</v>
      </c>
      <c r="V29" s="317">
        <f>'Rem. Anticipos R2'!M144</f>
        <v>0</v>
      </c>
      <c r="W29" s="317">
        <f>'Rem. Anticipos R2'!N144</f>
        <v>0</v>
      </c>
      <c r="X29" s="317">
        <f>'Rem. Anticipos R2'!O144</f>
        <v>0</v>
      </c>
      <c r="Y29" s="318">
        <f>'Rem. Anticipos R2'!P144</f>
        <v>0</v>
      </c>
      <c r="Z29" s="319">
        <f>L29*-1</f>
        <v>0</v>
      </c>
      <c r="AA29" s="320">
        <f>'Rem. Anticipos R2'!Q144</f>
        <v>0</v>
      </c>
      <c r="AB29" s="294">
        <f>N29</f>
        <v>0</v>
      </c>
      <c r="AC29" s="320">
        <f>'Rem. Anticipos R2'!R144</f>
        <v>0</v>
      </c>
      <c r="AD29" s="291">
        <f>-J29+AE29</f>
        <v>0</v>
      </c>
      <c r="AE29" s="291">
        <f>'Rem. Anticipos R2'!E145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R2'!E262</f>
        <v>0</v>
      </c>
      <c r="E30" s="292">
        <f>'Rem. Anticipos R2'!F262</f>
        <v>0</v>
      </c>
      <c r="F30" s="292">
        <f>'Rem. Anticipos R2'!G262</f>
        <v>0</v>
      </c>
      <c r="G30" s="292">
        <f>'Rem. Anticipos R2'!H262</f>
        <v>0</v>
      </c>
      <c r="H30" s="292">
        <f>'Rem. Anticipos R2'!I262</f>
        <v>0</v>
      </c>
      <c r="I30" s="292">
        <f>'Rem. Anticipos R2'!J262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R2'!K262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R2'!L262</f>
        <v>0</v>
      </c>
      <c r="V30" s="317">
        <f>'Rem. Anticipos R2'!M262</f>
        <v>0</v>
      </c>
      <c r="W30" s="317">
        <f>'Rem. Anticipos R2'!N262</f>
        <v>0</v>
      </c>
      <c r="X30" s="317">
        <f>'Rem. Anticipos R2'!O262</f>
        <v>0</v>
      </c>
      <c r="Y30" s="318">
        <f>'Rem. Anticipos R2'!P262</f>
        <v>0</v>
      </c>
      <c r="Z30" s="319">
        <f>L30*-1</f>
        <v>0</v>
      </c>
      <c r="AA30" s="320">
        <f>'Rem. Anticipos R2'!Q262</f>
        <v>0</v>
      </c>
      <c r="AB30" s="294">
        <f>N30</f>
        <v>0</v>
      </c>
      <c r="AC30" s="320">
        <f>'Rem. Anticipos R2'!R262</f>
        <v>0</v>
      </c>
      <c r="AD30" s="291">
        <f t="shared" ref="AD30:AD32" si="9">-J30+AE30</f>
        <v>0</v>
      </c>
      <c r="AE30" s="291">
        <f>'Rem. Anticipos R2'!E263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R2'!E362</f>
        <v>0</v>
      </c>
      <c r="E31" s="292">
        <f>'Rem. Anticipos R2'!F362</f>
        <v>0</v>
      </c>
      <c r="F31" s="292">
        <f>'Rem. Anticipos R2'!G362</f>
        <v>0</v>
      </c>
      <c r="G31" s="292">
        <f>'Rem. Anticipos R2'!H362</f>
        <v>0</v>
      </c>
      <c r="H31" s="292">
        <f>'Rem. Anticipos R2'!I362</f>
        <v>0</v>
      </c>
      <c r="I31" s="292">
        <f>'Rem. Anticipos R2'!J362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R2'!K362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R2'!L362</f>
        <v>0</v>
      </c>
      <c r="V31" s="317">
        <f>'Rem. Anticipos R2'!M362</f>
        <v>0</v>
      </c>
      <c r="W31" s="317">
        <f>'Rem. Anticipos R2'!N362</f>
        <v>0</v>
      </c>
      <c r="X31" s="317">
        <f>'Rem. Anticipos R2'!O362</f>
        <v>0</v>
      </c>
      <c r="Y31" s="318">
        <f>'Rem. Anticipos R2'!P362</f>
        <v>0</v>
      </c>
      <c r="Z31" s="319">
        <f>L31*-1</f>
        <v>0</v>
      </c>
      <c r="AA31" s="320">
        <f>'Rem. Anticipos R2'!Q362</f>
        <v>0</v>
      </c>
      <c r="AB31" s="294">
        <f>N31</f>
        <v>0</v>
      </c>
      <c r="AC31" s="320">
        <f>'Rem. Anticipos R2'!R362</f>
        <v>0</v>
      </c>
      <c r="AD31" s="291">
        <f t="shared" si="9"/>
        <v>0</v>
      </c>
      <c r="AE31" s="291">
        <f>'Rem. Anticipos R2'!E363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R2'!E446</f>
        <v>0</v>
      </c>
      <c r="E32" s="297">
        <f>'Rem. Anticipos R2'!F446</f>
        <v>0</v>
      </c>
      <c r="F32" s="297">
        <f>'Rem. Anticipos R2'!G446</f>
        <v>0</v>
      </c>
      <c r="G32" s="297">
        <f>'Rem. Anticipos R2'!H446</f>
        <v>0</v>
      </c>
      <c r="H32" s="297">
        <f>'Rem. Anticipos R2'!I446</f>
        <v>0</v>
      </c>
      <c r="I32" s="297">
        <f>'Rem. Anticipos R2'!J446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R2'!K446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R2'!L446</f>
        <v>0</v>
      </c>
      <c r="V32" s="297">
        <f>'Rem. Anticipos R2'!M446</f>
        <v>0</v>
      </c>
      <c r="W32" s="297">
        <f>'Rem. Anticipos R2'!N446</f>
        <v>0</v>
      </c>
      <c r="X32" s="297">
        <f>'Rem. Anticipos R2'!O446</f>
        <v>0</v>
      </c>
      <c r="Y32" s="289">
        <f>'Rem. Anticipos R2'!P446</f>
        <v>0</v>
      </c>
      <c r="Z32" s="319">
        <f>L32*-1</f>
        <v>0</v>
      </c>
      <c r="AA32" s="320">
        <f>'Rem. Anticipos R2'!Q446</f>
        <v>0</v>
      </c>
      <c r="AB32" s="294">
        <f>N32</f>
        <v>0</v>
      </c>
      <c r="AC32" s="320">
        <f>'Rem. Anticipos R2'!R446</f>
        <v>0</v>
      </c>
      <c r="AD32" s="291">
        <f t="shared" si="9"/>
        <v>0</v>
      </c>
      <c r="AE32" s="291">
        <f>'Rem. Anticipos R2'!E447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20">
        <f>'Reporte Componentes R1'!R77+'Reporte Componentes R1'!V77+'Reporte Componentes R1'!U77</f>
        <v>0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R1'!F256</f>
        <v>0</v>
      </c>
      <c r="E48" s="292">
        <f>'Reporte Componentes R1'!G256</f>
        <v>0</v>
      </c>
      <c r="F48" s="292">
        <f>'Reporte Componentes R1'!H256</f>
        <v>0</v>
      </c>
      <c r="G48" s="292">
        <f>'Reporte Componentes R1'!I256</f>
        <v>0</v>
      </c>
      <c r="H48" s="292">
        <f>'Reporte Componentes R1'!J256</f>
        <v>0</v>
      </c>
      <c r="I48" s="292">
        <f>'Reporte Componentes R1'!K256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R1'!L256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R1'!M256</f>
        <v>0</v>
      </c>
      <c r="V48" s="317">
        <f>'Reporte Componentes R1'!N256</f>
        <v>0</v>
      </c>
      <c r="W48" s="317">
        <f>'Reporte Componentes R1'!O256</f>
        <v>0</v>
      </c>
      <c r="X48" s="317">
        <f>'Reporte Componentes R1'!P256</f>
        <v>0</v>
      </c>
      <c r="Y48" s="318">
        <f>'Reporte Componentes R1'!Q256</f>
        <v>0</v>
      </c>
      <c r="Z48" s="319">
        <f>-L48</f>
        <v>0</v>
      </c>
      <c r="AA48" s="320">
        <f>'Reporte Componentes R1'!R256+'Reporte Componentes R1'!V256+'Reporte Componentes R1'!U256</f>
        <v>0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</v>
      </c>
      <c r="AD48" s="291">
        <f t="shared" ref="AD48:AD51" si="18">-J48+AE48</f>
        <v>0</v>
      </c>
      <c r="AE48" s="291">
        <f>'Reporte Componentes R1'!F257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R1'!F417</f>
        <v>0</v>
      </c>
      <c r="E49" s="292">
        <f>'Reporte Componentes R1'!G417</f>
        <v>0</v>
      </c>
      <c r="F49" s="292">
        <f>'Reporte Componentes R1'!H417</f>
        <v>0</v>
      </c>
      <c r="G49" s="292">
        <f>'Reporte Componentes R1'!I417</f>
        <v>0</v>
      </c>
      <c r="H49" s="292">
        <f>'Reporte Componentes R1'!J417</f>
        <v>0</v>
      </c>
      <c r="I49" s="292">
        <f>'Reporte Componentes R1'!K417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R1'!L417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R1'!M417</f>
        <v>0</v>
      </c>
      <c r="V49" s="317">
        <f>'Reporte Componentes R1'!N417</f>
        <v>0</v>
      </c>
      <c r="W49" s="317">
        <f>'Reporte Componentes R1'!O417</f>
        <v>0</v>
      </c>
      <c r="X49" s="317">
        <f>'Reporte Componentes R1'!P417</f>
        <v>0</v>
      </c>
      <c r="Y49" s="318">
        <f>'Reporte Componentes R1'!Q417</f>
        <v>0</v>
      </c>
      <c r="Z49" s="319">
        <f>-L49</f>
        <v>0</v>
      </c>
      <c r="AA49" s="320">
        <f>'Reporte Componentes R1'!R417+'Reporte Componentes R1'!V417+'Reporte Componentes R1'!U417</f>
        <v>0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</v>
      </c>
      <c r="AD49" s="291">
        <f t="shared" si="18"/>
        <v>0</v>
      </c>
      <c r="AE49" s="291">
        <f>'Reporte Componentes R1'!F418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R1'!F570</f>
        <v>0</v>
      </c>
      <c r="E50" s="292">
        <f>'Reporte Componentes R1'!G570</f>
        <v>0</v>
      </c>
      <c r="F50" s="292">
        <f>'Reporte Componentes R1'!H570</f>
        <v>0</v>
      </c>
      <c r="G50" s="292">
        <f>'Reporte Componentes R1'!I570</f>
        <v>0</v>
      </c>
      <c r="H50" s="292">
        <f>'Reporte Componentes R1'!J570</f>
        <v>0</v>
      </c>
      <c r="I50" s="292">
        <f>'Reporte Componentes R1'!K570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R1'!L570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R1'!M570</f>
        <v>0</v>
      </c>
      <c r="V50" s="317">
        <f>'Reporte Componentes R1'!N570</f>
        <v>0</v>
      </c>
      <c r="W50" s="317">
        <f>'Reporte Componentes R1'!O570</f>
        <v>0</v>
      </c>
      <c r="X50" s="317">
        <f>'Reporte Componentes R1'!P570</f>
        <v>0</v>
      </c>
      <c r="Y50" s="318">
        <f>'Reporte Componentes R1'!Q570</f>
        <v>0</v>
      </c>
      <c r="Z50" s="319">
        <f>-L50</f>
        <v>0</v>
      </c>
      <c r="AA50" s="320">
        <f>'Reporte Componentes R1'!R570+'Reporte Componentes R1'!V570+'Reporte Componentes R1'!U570</f>
        <v>0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0</v>
      </c>
      <c r="AD50" s="291">
        <f t="shared" si="18"/>
        <v>0</v>
      </c>
      <c r="AE50" s="291">
        <f>'Reporte Componentes R1'!F571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R1'!F682</f>
        <v>0</v>
      </c>
      <c r="E51" s="297">
        <f>'Reporte Componentes R1'!G682</f>
        <v>0</v>
      </c>
      <c r="F51" s="297">
        <f>'Reporte Componentes R1'!H682</f>
        <v>0</v>
      </c>
      <c r="G51" s="297">
        <f>'Reporte Componentes R1'!I682</f>
        <v>0</v>
      </c>
      <c r="H51" s="297">
        <f>'Reporte Componentes R1'!J682</f>
        <v>0</v>
      </c>
      <c r="I51" s="297">
        <f>'Reporte Componentes R1'!K682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R1'!L682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R1'!M682</f>
        <v>0</v>
      </c>
      <c r="V51" s="297">
        <f>'Reporte Componentes R1'!N682</f>
        <v>0</v>
      </c>
      <c r="W51" s="297">
        <f>'Reporte Componentes R1'!O682</f>
        <v>0</v>
      </c>
      <c r="X51" s="297">
        <f>'Reporte Componentes R1'!P682</f>
        <v>0</v>
      </c>
      <c r="Y51" s="289">
        <f>'Reporte Componentes R1'!Q682</f>
        <v>0</v>
      </c>
      <c r="Z51" s="319">
        <f>-L51</f>
        <v>0</v>
      </c>
      <c r="AA51" s="320">
        <f>'Reporte Componentes R1'!R682+'Reporte Componentes R1'!V682+'Reporte Componentes R1'!U682</f>
        <v>0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0</v>
      </c>
      <c r="AE51" s="291">
        <f>'Reporte Componentes R1'!F683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R4'!D73</f>
        <v>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R4'!P73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8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R4'!D174</f>
        <v>0</v>
      </c>
      <c r="E67" s="292">
        <f>'Reversion Pagos R4'!E174</f>
        <v>0</v>
      </c>
      <c r="F67" s="292">
        <f>'Reversion Pagos R4'!F174</f>
        <v>0</v>
      </c>
      <c r="G67" s="292">
        <f>'Reversion Pagos R4'!G174</f>
        <v>0</v>
      </c>
      <c r="H67" s="292">
        <f>'Reversion Pagos R4'!H174</f>
        <v>0</v>
      </c>
      <c r="I67" s="292">
        <f>'Reversion Pagos R4'!I174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R4'!J174</f>
        <v>0</v>
      </c>
      <c r="V67" s="317">
        <f>'Reversion Pagos R4'!K174</f>
        <v>0</v>
      </c>
      <c r="W67" s="317">
        <f>'Reversion Pagos R4'!L174</f>
        <v>0</v>
      </c>
      <c r="X67" s="317">
        <f>'Reversion Pagos R4'!M174</f>
        <v>0</v>
      </c>
      <c r="Y67" s="318">
        <f>'Reversion Pagos R4'!N174</f>
        <v>0</v>
      </c>
      <c r="Z67" s="319">
        <f t="shared" ref="Z67:Z70" si="27">-L67</f>
        <v>0</v>
      </c>
      <c r="AA67" s="320">
        <f>'Reversion Pagos R4'!O174</f>
        <v>0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0</v>
      </c>
      <c r="AE67" s="291">
        <f>'Reversion Pagos R4'!D175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R4'!D211</f>
        <v>0</v>
      </c>
      <c r="E68" s="292">
        <f>'Reversion Pagos R4'!E211</f>
        <v>0</v>
      </c>
      <c r="F68" s="292">
        <f>'Reversion Pagos R4'!F211</f>
        <v>0</v>
      </c>
      <c r="G68" s="292">
        <f>'Reversion Pagos R4'!G211</f>
        <v>0</v>
      </c>
      <c r="H68" s="292">
        <f>'Reversion Pagos R4'!H211</f>
        <v>0</v>
      </c>
      <c r="I68" s="292">
        <f>'Reversion Pagos R4'!I211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R4'!P211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R4'!J211</f>
        <v>0</v>
      </c>
      <c r="V68" s="317">
        <f>'Reversion Pagos R4'!K211</f>
        <v>0</v>
      </c>
      <c r="W68" s="317">
        <f>'Reversion Pagos R4'!L211</f>
        <v>0</v>
      </c>
      <c r="X68" s="317">
        <f>'Reversion Pagos R4'!M211</f>
        <v>0</v>
      </c>
      <c r="Y68" s="318">
        <f>'Reversion Pagos R4'!N211</f>
        <v>0</v>
      </c>
      <c r="Z68" s="319">
        <f t="shared" si="27"/>
        <v>0</v>
      </c>
      <c r="AA68" s="320">
        <f>'Reversion Pagos R4'!O211</f>
        <v>0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0</v>
      </c>
      <c r="AE68" s="291">
        <f>'Reversion Pagos R4'!D212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R4'!D326</f>
        <v>0</v>
      </c>
      <c r="E69" s="292">
        <f>'Reversion Pagos R4'!E326</f>
        <v>0</v>
      </c>
      <c r="F69" s="292">
        <f>'Reversion Pagos R4'!F326</f>
        <v>0</v>
      </c>
      <c r="G69" s="292">
        <f>'Reversion Pagos R4'!G326</f>
        <v>0</v>
      </c>
      <c r="H69" s="292">
        <f>'Reversion Pagos R4'!H326</f>
        <v>0</v>
      </c>
      <c r="I69" s="292">
        <f>'Reversion Pagos R4'!I326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R4'!P326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R4'!J326</f>
        <v>0</v>
      </c>
      <c r="V69" s="317">
        <f>'Reversion Pagos R4'!K326</f>
        <v>0</v>
      </c>
      <c r="W69" s="317">
        <f>'Reversion Pagos R4'!L326</f>
        <v>0</v>
      </c>
      <c r="X69" s="317">
        <f>'Reversion Pagos R4'!M326</f>
        <v>0</v>
      </c>
      <c r="Y69" s="318">
        <f>'Reversion Pagos R4'!N326</f>
        <v>0</v>
      </c>
      <c r="Z69" s="319">
        <f t="shared" si="27"/>
        <v>0</v>
      </c>
      <c r="AA69" s="320">
        <f>'Reversion Pagos R4'!O326</f>
        <v>0</v>
      </c>
      <c r="AB69" s="294">
        <f t="shared" si="28"/>
        <v>0</v>
      </c>
      <c r="AC69" s="320">
        <f>+'Reversion Pagos R4'!Q326+'Reversion Pagos R4'!R326</f>
        <v>0</v>
      </c>
      <c r="AD69" s="291">
        <f t="shared" si="30"/>
        <v>0</v>
      </c>
      <c r="AE69" s="291">
        <f>'Reversion Pagos R4'!D327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R4'!D361</f>
        <v>0</v>
      </c>
      <c r="E70" s="297">
        <f>'Reversion Pagos R4'!E361</f>
        <v>0</v>
      </c>
      <c r="F70" s="297">
        <f>'Reversion Pagos R4'!F361</f>
        <v>0</v>
      </c>
      <c r="G70" s="297">
        <f>'Reversion Pagos R4'!G361</f>
        <v>0</v>
      </c>
      <c r="H70" s="297">
        <f>'Reversion Pagos R4'!H361</f>
        <v>0</v>
      </c>
      <c r="I70" s="297">
        <f>'Reversion Pagos R4'!I361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R4'!P361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R4'!J361</f>
        <v>0</v>
      </c>
      <c r="V70" s="297">
        <f>'Reversion Pagos R4'!K361</f>
        <v>0</v>
      </c>
      <c r="W70" s="297">
        <f>'Reversion Pagos R4'!L361</f>
        <v>0</v>
      </c>
      <c r="X70" s="297">
        <f>'Reversion Pagos R4'!M361</f>
        <v>0</v>
      </c>
      <c r="Y70" s="289">
        <f>'Reversion Pagos R4'!N361</f>
        <v>0</v>
      </c>
      <c r="Z70" s="319">
        <f t="shared" si="27"/>
        <v>0</v>
      </c>
      <c r="AA70" s="320">
        <f>'Reversion Pagos R4'!O361</f>
        <v>0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0</v>
      </c>
      <c r="AE70" s="291">
        <f>'Reversion Pagos R4'!D362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>
        <f>D109+N109</f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73981716599</v>
      </c>
    </row>
    <row r="15" spans="2:16" x14ac:dyDescent="0.25">
      <c r="C15" s="249" t="b">
        <f>C14=C9</f>
        <v>0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5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5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5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5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5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0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R1'!F259</f>
        <v>0</v>
      </c>
      <c r="E10" s="292">
        <f>'Reporte Componentes R1'!G259</f>
        <v>0</v>
      </c>
      <c r="F10" s="292">
        <f>'Reporte Componentes R1'!H259</f>
        <v>0</v>
      </c>
      <c r="G10" s="292">
        <f>'Reporte Componentes R1'!I259</f>
        <v>0</v>
      </c>
      <c r="H10" s="292">
        <f>'Reporte Componentes R1'!J259</f>
        <v>0</v>
      </c>
      <c r="I10" s="292">
        <f>'Reporte Componentes R1'!K259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R1'!L259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R1'!M259</f>
        <v>0</v>
      </c>
      <c r="V10" s="317">
        <f>'Reporte Componentes R1'!N259</f>
        <v>0</v>
      </c>
      <c r="W10" s="317">
        <f>'Reporte Componentes R1'!O259</f>
        <v>0</v>
      </c>
      <c r="X10" s="317">
        <f>'Reporte Componentes R1'!P259</f>
        <v>0</v>
      </c>
      <c r="Y10" s="318">
        <f>'Reporte Componentes R1'!Q259</f>
        <v>0</v>
      </c>
      <c r="Z10" s="319">
        <f>L10*-1</f>
        <v>0</v>
      </c>
      <c r="AA10" s="320">
        <f>'Reporte Componentes R1'!R259+'Reporte Componentes R1'!V259+'Reporte Componentes R1'!U259</f>
        <v>0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0</v>
      </c>
      <c r="AD10" s="291">
        <f t="shared" ref="AD10:AD13" si="2">-J10+AE10</f>
        <v>0</v>
      </c>
      <c r="AE10" s="291">
        <f>'Reporte Componentes R1'!F260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R1'!F573</f>
        <v>0</v>
      </c>
      <c r="E12" s="292">
        <f>'Reporte Componentes R1'!G573</f>
        <v>0</v>
      </c>
      <c r="F12" s="292">
        <f>'Reporte Componentes R1'!H573</f>
        <v>0</v>
      </c>
      <c r="G12" s="292">
        <f>'Reporte Componentes R1'!I573</f>
        <v>0</v>
      </c>
      <c r="H12" s="292">
        <f>'Reporte Componentes R1'!J573</f>
        <v>0</v>
      </c>
      <c r="I12" s="292">
        <f>'Reporte Componentes R1'!K573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R1'!L573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R1'!M573</f>
        <v>0</v>
      </c>
      <c r="V12" s="317">
        <f>'Reporte Componentes R1'!N573</f>
        <v>0</v>
      </c>
      <c r="W12" s="317">
        <f>'Reporte Componentes R1'!O573</f>
        <v>0</v>
      </c>
      <c r="X12" s="317">
        <f>'Reporte Componentes R1'!P573</f>
        <v>0</v>
      </c>
      <c r="Y12" s="318">
        <f>'Reporte Componentes R1'!Q573</f>
        <v>0</v>
      </c>
      <c r="Z12" s="319">
        <f>L12*-1</f>
        <v>0</v>
      </c>
      <c r="AA12" s="320">
        <f>'Reporte Componentes R1'!R573+'Reporte Componentes R1'!V573+'Reporte Componentes R1'!U573</f>
        <v>0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0</v>
      </c>
      <c r="AE12" s="291">
        <f>'Reporte Componentes R1'!F574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R2'!E147</f>
        <v>0</v>
      </c>
      <c r="E29" s="292">
        <f>'Rem. Anticipos R2'!F147</f>
        <v>0</v>
      </c>
      <c r="F29" s="292">
        <f>'Rem. Anticipos R2'!G147</f>
        <v>0</v>
      </c>
      <c r="G29" s="292">
        <f>'Rem. Anticipos R2'!H147</f>
        <v>0</v>
      </c>
      <c r="H29" s="292">
        <f>'Rem. Anticipos R2'!I147</f>
        <v>0</v>
      </c>
      <c r="I29" s="292">
        <f>'Rem. Anticipos R2'!J147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R2'!K147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R2'!L147</f>
        <v>0</v>
      </c>
      <c r="V29" s="317">
        <f>'Rem. Anticipos R2'!M147</f>
        <v>0</v>
      </c>
      <c r="W29" s="317">
        <f>'Rem. Anticipos R2'!N147</f>
        <v>0</v>
      </c>
      <c r="X29" s="317">
        <f>'Rem. Anticipos R2'!O147</f>
        <v>0</v>
      </c>
      <c r="Y29" s="318">
        <f>'Rem. Anticipos R2'!P147</f>
        <v>0</v>
      </c>
      <c r="Z29" s="319">
        <f>L29*-1</f>
        <v>0</v>
      </c>
      <c r="AA29" s="320">
        <f>'Rem. Anticipos R2'!Q147</f>
        <v>0</v>
      </c>
      <c r="AB29" s="294">
        <f>N29</f>
        <v>0</v>
      </c>
      <c r="AC29" s="320">
        <f>'Rem. Anticipos R2'!R147</f>
        <v>0</v>
      </c>
      <c r="AD29" s="291">
        <f>-J29+AE29</f>
        <v>0</v>
      </c>
      <c r="AE29" s="291">
        <f>'Rem. Anticipos R2'!E148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R2'!E265</f>
        <v>0</v>
      </c>
      <c r="E30" s="292">
        <f>'Rem. Anticipos R2'!F265</f>
        <v>0</v>
      </c>
      <c r="F30" s="292">
        <f>'Rem. Anticipos R2'!G265</f>
        <v>0</v>
      </c>
      <c r="G30" s="292">
        <f>'Rem. Anticipos R2'!H265</f>
        <v>0</v>
      </c>
      <c r="H30" s="292">
        <f>'Rem. Anticipos R2'!I265</f>
        <v>0</v>
      </c>
      <c r="I30" s="292">
        <f>'Rem. Anticipos R2'!J265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R2'!L265</f>
        <v>0</v>
      </c>
      <c r="V30" s="317">
        <f>'Rem. Anticipos R2'!M265</f>
        <v>0</v>
      </c>
      <c r="W30" s="317">
        <f>'Rem. Anticipos R2'!N265</f>
        <v>0</v>
      </c>
      <c r="X30" s="317">
        <f>'Rem. Anticipos R2'!O265</f>
        <v>0</v>
      </c>
      <c r="Y30" s="318">
        <f>'Rem. Anticipos R2'!P265</f>
        <v>0</v>
      </c>
      <c r="Z30" s="319">
        <f>L30*-1</f>
        <v>0</v>
      </c>
      <c r="AA30" s="320">
        <f>'Rem. Anticipos R2'!Q265</f>
        <v>0</v>
      </c>
      <c r="AB30" s="294">
        <f>N30</f>
        <v>0</v>
      </c>
      <c r="AC30" s="320">
        <f>'Rem. Anticipos R2'!R265</f>
        <v>0</v>
      </c>
      <c r="AD30" s="291">
        <f t="shared" ref="AD30:AD32" si="10">-J30+AE30</f>
        <v>0</v>
      </c>
      <c r="AE30" s="291">
        <f>'Rem. Anticipos R2'!E266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R2'!E365</f>
        <v>0</v>
      </c>
      <c r="E31" s="292">
        <f>'Rem. Anticipos R2'!F365</f>
        <v>0</v>
      </c>
      <c r="F31" s="292">
        <f>'Rem. Anticipos R2'!G365</f>
        <v>0</v>
      </c>
      <c r="G31" s="292">
        <f>'Rem. Anticipos R2'!H365</f>
        <v>0</v>
      </c>
      <c r="H31" s="292">
        <f>'Rem. Anticipos R2'!I365</f>
        <v>0</v>
      </c>
      <c r="I31" s="292">
        <f>'Rem. Anticipos R2'!J365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R2'!L365</f>
        <v>0</v>
      </c>
      <c r="V31" s="317">
        <f>'Rem. Anticipos R2'!M365</f>
        <v>0</v>
      </c>
      <c r="W31" s="317">
        <f>'Rem. Anticipos R2'!N365</f>
        <v>0</v>
      </c>
      <c r="X31" s="317">
        <f>'Rem. Anticipos R2'!O365</f>
        <v>0</v>
      </c>
      <c r="Y31" s="318">
        <f>'Rem. Anticipos R2'!P365</f>
        <v>0</v>
      </c>
      <c r="Z31" s="319">
        <f>L31*-1</f>
        <v>0</v>
      </c>
      <c r="AA31" s="320">
        <f>'Rem. Anticipos R2'!Q365</f>
        <v>0</v>
      </c>
      <c r="AB31" s="294">
        <f>N31</f>
        <v>0</v>
      </c>
      <c r="AC31" s="320">
        <f>'Rem. Anticipos R2'!R365</f>
        <v>0</v>
      </c>
      <c r="AD31" s="291">
        <f t="shared" si="10"/>
        <v>0</v>
      </c>
      <c r="AE31" s="291">
        <f>'Rem. Anticipos R2'!E366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R2'!E449</f>
        <v>0</v>
      </c>
      <c r="E32" s="297">
        <f>'Rem. Anticipos R2'!F449</f>
        <v>0</v>
      </c>
      <c r="F32" s="297">
        <f>'Rem. Anticipos R2'!G449</f>
        <v>0</v>
      </c>
      <c r="G32" s="297">
        <f>'Rem. Anticipos R2'!H449</f>
        <v>0</v>
      </c>
      <c r="H32" s="297">
        <f>'Rem. Anticipos R2'!I449</f>
        <v>0</v>
      </c>
      <c r="I32" s="297">
        <f>'Rem. Anticipos R2'!J449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R2'!K449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R2'!L449</f>
        <v>0</v>
      </c>
      <c r="V32" s="297">
        <f>'Rem. Anticipos R2'!M449</f>
        <v>0</v>
      </c>
      <c r="W32" s="297">
        <f>'Rem. Anticipos R2'!N449</f>
        <v>0</v>
      </c>
      <c r="X32" s="297">
        <f>'Rem. Anticipos R2'!O449</f>
        <v>0</v>
      </c>
      <c r="Y32" s="289">
        <f>'Rem. Anticipos R2'!P449</f>
        <v>0</v>
      </c>
      <c r="Z32" s="319">
        <f>L32*-1</f>
        <v>0</v>
      </c>
      <c r="AA32" s="320">
        <f>'Rem. Anticipos R2'!Q449</f>
        <v>0</v>
      </c>
      <c r="AB32" s="294">
        <f>N32</f>
        <v>0</v>
      </c>
      <c r="AC32" s="320">
        <f>'Rem. Anticipos R2'!R449</f>
        <v>0</v>
      </c>
      <c r="AD32" s="291">
        <f t="shared" si="10"/>
        <v>0</v>
      </c>
      <c r="AE32" s="291">
        <f>'Rem. Anticipos R2'!E450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R1'!F575</f>
        <v>0</v>
      </c>
      <c r="E50" s="292">
        <f>'Reporte Componentes R1'!G575</f>
        <v>0</v>
      </c>
      <c r="F50" s="292">
        <f>'Reporte Componentes R1'!H575</f>
        <v>0</v>
      </c>
      <c r="G50" s="292">
        <f>'Reporte Componentes R1'!I575</f>
        <v>0</v>
      </c>
      <c r="H50" s="292">
        <f>'Reporte Componentes R1'!J575</f>
        <v>0</v>
      </c>
      <c r="I50" s="292">
        <f>'Reporte Componentes R1'!K575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R1'!L575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R1'!M575</f>
        <v>0</v>
      </c>
      <c r="V50" s="317">
        <f>'Reporte Componentes R1'!N575</f>
        <v>0</v>
      </c>
      <c r="W50" s="317">
        <f>'Reporte Componentes R1'!O575</f>
        <v>0</v>
      </c>
      <c r="X50" s="317">
        <f>'Reporte Componentes R1'!P575</f>
        <v>0</v>
      </c>
      <c r="Y50" s="318">
        <f>'Reporte Componentes R1'!Q575</f>
        <v>0</v>
      </c>
      <c r="Z50" s="319">
        <f>-L50</f>
        <v>0</v>
      </c>
      <c r="AA50" s="320">
        <f>'Reporte Componentes R1'!R575+'Reporte Componentes R1'!V575+'Reporte Componentes R1'!U575</f>
        <v>0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0</v>
      </c>
      <c r="AE50" s="291">
        <f>'Reporte Componentes R1'!F576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R4'!D329</f>
        <v>0</v>
      </c>
      <c r="E69" s="292">
        <f>'Reversion Pagos R4'!E329</f>
        <v>0</v>
      </c>
      <c r="F69" s="292">
        <f>'Reversion Pagos R4'!F329</f>
        <v>0</v>
      </c>
      <c r="G69" s="292">
        <f>'Reversion Pagos R4'!G329</f>
        <v>0</v>
      </c>
      <c r="H69" s="292">
        <f>'Reversion Pagos R4'!H329</f>
        <v>0</v>
      </c>
      <c r="I69" s="292">
        <f>'Reversion Pagos R4'!I329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R4'!P329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R4'!J329</f>
        <v>0</v>
      </c>
      <c r="V69" s="317">
        <f>'Reversion Pagos R4'!K329</f>
        <v>0</v>
      </c>
      <c r="W69" s="317">
        <f>'Reversion Pagos R4'!L329</f>
        <v>0</v>
      </c>
      <c r="X69" s="317">
        <f>'Reversion Pagos R4'!M329</f>
        <v>0</v>
      </c>
      <c r="Y69" s="318">
        <f>'Reversion Pagos R4'!N329</f>
        <v>0</v>
      </c>
      <c r="Z69" s="319">
        <f t="shared" si="27"/>
        <v>0</v>
      </c>
      <c r="AA69" s="320">
        <f>'Reversion Pagos R4'!O329</f>
        <v>0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0</v>
      </c>
      <c r="AE69" s="291">
        <f>'Reversion Pagos R4'!D330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6204091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R1'!F85</f>
        <v>0</v>
      </c>
      <c r="E9" s="292">
        <f>'Reporte Componentes R1'!G85</f>
        <v>0</v>
      </c>
      <c r="F9" s="292">
        <f>'Reporte Componentes R1'!H85</f>
        <v>0</v>
      </c>
      <c r="G9" s="292">
        <f>'Reporte Componentes R1'!I85</f>
        <v>0</v>
      </c>
      <c r="H9" s="292">
        <f>'Reporte Componentes R1'!J85</f>
        <v>0</v>
      </c>
      <c r="I9" s="292">
        <f>'Reporte Componentes R1'!K85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R1'!L85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R1'!M85</f>
        <v>0</v>
      </c>
      <c r="V9" s="308">
        <f>'Reporte Componentes R1'!N85</f>
        <v>0</v>
      </c>
      <c r="W9" s="308">
        <f>'Reporte Componentes R1'!O85</f>
        <v>0</v>
      </c>
      <c r="X9" s="308">
        <f>'Reporte Componentes R1'!P85</f>
        <v>0</v>
      </c>
      <c r="Y9" s="309">
        <f>'Reporte Componentes R1'!Q85</f>
        <v>0</v>
      </c>
      <c r="Z9" s="310">
        <f>L9*-1</f>
        <v>-189185988</v>
      </c>
      <c r="AA9" s="311">
        <f>'Reporte Componentes R1'!R85+'Reporte Componentes R1'!V85+'Reporte Componentes R1'!U85</f>
        <v>0</v>
      </c>
      <c r="AB9" s="294">
        <f>N9</f>
        <v>0</v>
      </c>
      <c r="AC9" s="311">
        <f>'Reporte Componentes R1'!T85+'Reporte Componentes R1'!W85+'Reporte Componentes R1'!X85+'Reporte Componentes R1'!Y85+'Reporte Componentes R1'!Z85+'Reporte Componentes R1'!S85</f>
        <v>0</v>
      </c>
      <c r="AD9" s="291">
        <f>-J9+AE9</f>
        <v>0</v>
      </c>
      <c r="AE9" s="291">
        <f>'Reporte Componentes R1'!F86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R1'!F264</f>
        <v>0</v>
      </c>
      <c r="E10" s="292">
        <f>'Reporte Componentes R1'!G264</f>
        <v>0</v>
      </c>
      <c r="F10" s="292">
        <f>'Reporte Componentes R1'!H264</f>
        <v>0</v>
      </c>
      <c r="G10" s="292">
        <f>'Reporte Componentes R1'!I264</f>
        <v>0</v>
      </c>
      <c r="H10" s="292">
        <f>'Reporte Componentes R1'!J264</f>
        <v>0</v>
      </c>
      <c r="I10" s="292">
        <f>'Reporte Componentes R1'!K264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R1'!L264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R1'!M264</f>
        <v>0</v>
      </c>
      <c r="V10" s="317">
        <f>'Reporte Componentes R1'!N264</f>
        <v>0</v>
      </c>
      <c r="W10" s="317">
        <f>'Reporte Componentes R1'!O264</f>
        <v>0</v>
      </c>
      <c r="X10" s="317">
        <f>'Reporte Componentes R1'!P264</f>
        <v>0</v>
      </c>
      <c r="Y10" s="318">
        <f>'Reporte Componentes R1'!Q264</f>
        <v>0</v>
      </c>
      <c r="Z10" s="319">
        <f>L10*-1</f>
        <v>-266580256</v>
      </c>
      <c r="AA10" s="320">
        <f>'Reporte Componentes R1'!R264+'Reporte Componentes R1'!V264+'Reporte Componentes R1'!U264</f>
        <v>0</v>
      </c>
      <c r="AB10" s="294">
        <f>N10</f>
        <v>0</v>
      </c>
      <c r="AC10" s="320">
        <f>'Reporte Componentes R1'!T264+'Reporte Componentes R1'!W264+'Reporte Componentes R1'!X264+'Reporte Componentes R1'!Y264+'Reporte Componentes R1'!Z264+'Reporte Componentes R1'!S264</f>
        <v>0</v>
      </c>
      <c r="AD10" s="291">
        <f t="shared" ref="AD10:AD13" si="1">-J10+AE10</f>
        <v>0</v>
      </c>
      <c r="AE10" s="291">
        <f>'Reporte Componentes R1'!F265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R1'!F425</f>
        <v>0</v>
      </c>
      <c r="E11" s="292">
        <f>'Reporte Componentes R1'!G425</f>
        <v>0</v>
      </c>
      <c r="F11" s="292">
        <f>'Reporte Componentes R1'!H425</f>
        <v>0</v>
      </c>
      <c r="G11" s="292">
        <f>'Reporte Componentes R1'!I425</f>
        <v>0</v>
      </c>
      <c r="H11" s="292">
        <f>'Reporte Componentes R1'!J425</f>
        <v>0</v>
      </c>
      <c r="I11" s="292">
        <f>'Reporte Componentes R1'!K425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R1'!L425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R1'!M425</f>
        <v>0</v>
      </c>
      <c r="V11" s="317">
        <f>'Reporte Componentes R1'!N425</f>
        <v>0</v>
      </c>
      <c r="W11" s="317">
        <f>'Reporte Componentes R1'!O425</f>
        <v>0</v>
      </c>
      <c r="X11" s="317">
        <f>'Reporte Componentes R1'!P425</f>
        <v>0</v>
      </c>
      <c r="Y11" s="318">
        <f>'Reporte Componentes R1'!Q425</f>
        <v>0</v>
      </c>
      <c r="Z11" s="319">
        <f>L11*-1</f>
        <v>-154788536</v>
      </c>
      <c r="AA11" s="320">
        <f>'Reporte Componentes R1'!R425+'Reporte Componentes R1'!V425+'Reporte Componentes R1'!U425</f>
        <v>0</v>
      </c>
      <c r="AB11" s="294">
        <f>N11</f>
        <v>0</v>
      </c>
      <c r="AC11" s="320">
        <f>'Reporte Componentes R1'!T425+'Reporte Componentes R1'!W425+'Reporte Componentes R1'!X425+'Reporte Componentes R1'!Y425+'Reporte Componentes R1'!Z425+'Reporte Componentes R1'!S425</f>
        <v>0</v>
      </c>
      <c r="AD11" s="291">
        <f t="shared" si="1"/>
        <v>0</v>
      </c>
      <c r="AE11" s="291">
        <f>'Reporte Componentes R1'!F426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R1'!F578</f>
        <v>0</v>
      </c>
      <c r="E12" s="292">
        <f>'Reporte Componentes R1'!G578</f>
        <v>0</v>
      </c>
      <c r="F12" s="292">
        <f>'Reporte Componentes R1'!H578</f>
        <v>0</v>
      </c>
      <c r="G12" s="292">
        <f>'Reporte Componentes R1'!I578</f>
        <v>0</v>
      </c>
      <c r="H12" s="292">
        <f>'Reporte Componentes R1'!J578</f>
        <v>0</v>
      </c>
      <c r="I12" s="292">
        <f>'Reporte Componentes R1'!K578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R1'!L578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R1'!M578</f>
        <v>0</v>
      </c>
      <c r="V12" s="317">
        <f>'Reporte Componentes R1'!N578</f>
        <v>0</v>
      </c>
      <c r="W12" s="317">
        <f>'Reporte Componentes R1'!O578</f>
        <v>0</v>
      </c>
      <c r="X12" s="317">
        <f>'Reporte Componentes R1'!P578</f>
        <v>0</v>
      </c>
      <c r="Y12" s="318">
        <f>'Reporte Componentes R1'!Q578</f>
        <v>0</v>
      </c>
      <c r="Z12" s="319">
        <f>L12*-1</f>
        <v>-120391083</v>
      </c>
      <c r="AA12" s="320">
        <f>'Reporte Componentes R1'!R578+'Reporte Componentes R1'!V578+'Reporte Componentes R1'!U578</f>
        <v>0</v>
      </c>
      <c r="AB12" s="294">
        <f>N12</f>
        <v>0</v>
      </c>
      <c r="AC12" s="320">
        <f>'Reporte Componentes R1'!T578+'Reporte Componentes R1'!W578+'Reporte Componentes R1'!X578+'Reporte Componentes R1'!Y578+'Reporte Componentes R1'!Z578+'Reporte Componentes R1'!S578</f>
        <v>0</v>
      </c>
      <c r="AD12" s="291">
        <f t="shared" si="1"/>
        <v>0</v>
      </c>
      <c r="AE12" s="291">
        <f>'Reporte Componentes R1'!F579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R1'!F690</f>
        <v>0</v>
      </c>
      <c r="E13" s="297">
        <f>'Reporte Componentes R1'!G690</f>
        <v>0</v>
      </c>
      <c r="F13" s="297">
        <f>'Reporte Componentes R1'!H690</f>
        <v>0</v>
      </c>
      <c r="G13" s="297">
        <f>'Reporte Componentes R1'!I690</f>
        <v>0</v>
      </c>
      <c r="H13" s="297">
        <f>'Reporte Componentes R1'!J690</f>
        <v>0</v>
      </c>
      <c r="I13" s="297">
        <f>'Reporte Componentes R1'!K690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R1'!L690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R1'!M690</f>
        <v>0</v>
      </c>
      <c r="V13" s="297">
        <f>'Reporte Componentes R1'!N690</f>
        <v>0</v>
      </c>
      <c r="W13" s="297">
        <f>'Reporte Componentes R1'!O690</f>
        <v>0</v>
      </c>
      <c r="X13" s="297">
        <f>'Reporte Componentes R1'!P690</f>
        <v>0</v>
      </c>
      <c r="Y13" s="289">
        <f>'Reporte Componentes R1'!Q690</f>
        <v>0</v>
      </c>
      <c r="Z13" s="319">
        <f>L13*-1</f>
        <v>-128990446</v>
      </c>
      <c r="AA13" s="320">
        <f>'Reporte Componentes R1'!R690+'Reporte Componentes R1'!V690+'Reporte Componentes R1'!U690</f>
        <v>0</v>
      </c>
      <c r="AB13" s="294">
        <f>N13</f>
        <v>0</v>
      </c>
      <c r="AC13" s="320">
        <f>'Reporte Componentes R1'!T690+'Reporte Componentes R1'!W690+'Reporte Componentes R1'!X690+'Reporte Componentes R1'!Y690+'Reporte Componentes R1'!Z690+'Reporte Componentes R1'!S690</f>
        <v>0</v>
      </c>
      <c r="AD13" s="291">
        <f t="shared" si="1"/>
        <v>0</v>
      </c>
      <c r="AE13" s="291">
        <f>'Reporte Componentes R1'!F691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R2'!E53</f>
        <v>0</v>
      </c>
      <c r="E28" s="292">
        <f>'Rem. Anticipos R2'!F53</f>
        <v>0</v>
      </c>
      <c r="F28" s="292">
        <f>'Rem. Anticipos R2'!G53</f>
        <v>0</v>
      </c>
      <c r="G28" s="292">
        <f>'Rem. Anticipos R2'!H53</f>
        <v>0</v>
      </c>
      <c r="H28" s="292">
        <f>'Rem. Anticipos R2'!I53</f>
        <v>0</v>
      </c>
      <c r="I28" s="292">
        <f>'Rem. Anticipos R2'!J53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R2'!L53</f>
        <v>0</v>
      </c>
      <c r="V28" s="308">
        <f>'Rem. Anticipos R2'!M53</f>
        <v>0</v>
      </c>
      <c r="W28" s="308">
        <f>'Rem. Anticipos R2'!N53</f>
        <v>0</v>
      </c>
      <c r="X28" s="308">
        <f>'Rem. Anticipos R2'!O53</f>
        <v>0</v>
      </c>
      <c r="Y28" s="309">
        <f>'Rem. Anticipos R2'!P53</f>
        <v>0</v>
      </c>
      <c r="Z28" s="310">
        <f>L28*-1</f>
        <v>0</v>
      </c>
      <c r="AA28" s="311">
        <f>'Rem. Anticipos R2'!Q53</f>
        <v>0</v>
      </c>
      <c r="AB28" s="294">
        <f>N28</f>
        <v>0</v>
      </c>
      <c r="AC28" s="311">
        <f>'Rem. Anticipos R2'!R53</f>
        <v>0</v>
      </c>
      <c r="AD28" s="291">
        <f>-J28+AE28</f>
        <v>0</v>
      </c>
      <c r="AE28" s="291">
        <f>'Rem. Anticipos R2'!E54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R2'!E150</f>
        <v>0</v>
      </c>
      <c r="E29" s="292">
        <f>'Rem. Anticipos R2'!F150</f>
        <v>0</v>
      </c>
      <c r="F29" s="292">
        <f>'Rem. Anticipos R2'!G150</f>
        <v>0</v>
      </c>
      <c r="G29" s="292">
        <f>'Rem. Anticipos R2'!H150</f>
        <v>0</v>
      </c>
      <c r="H29" s="292">
        <f>'Rem. Anticipos R2'!I150</f>
        <v>0</v>
      </c>
      <c r="I29" s="292">
        <f>'Rem. Anticipos R2'!J150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R2'!L150</f>
        <v>0</v>
      </c>
      <c r="V29" s="317">
        <f>'Rem. Anticipos R2'!M150</f>
        <v>0</v>
      </c>
      <c r="W29" s="317">
        <f>'Rem. Anticipos R2'!N150</f>
        <v>0</v>
      </c>
      <c r="X29" s="317">
        <f>'Rem. Anticipos R2'!O150</f>
        <v>0</v>
      </c>
      <c r="Y29" s="318">
        <f>'Rem. Anticipos R2'!P150</f>
        <v>0</v>
      </c>
      <c r="Z29" s="319">
        <f>L29*-1</f>
        <v>0</v>
      </c>
      <c r="AA29" s="320">
        <f>'Rem. Anticipos R2'!Q150</f>
        <v>0</v>
      </c>
      <c r="AB29" s="294">
        <f>N29</f>
        <v>0</v>
      </c>
      <c r="AC29" s="320">
        <f>'Rem. Anticipos R2'!R150</f>
        <v>0</v>
      </c>
      <c r="AD29" s="291">
        <f>-J29+AE29</f>
        <v>0</v>
      </c>
      <c r="AE29" s="291">
        <f>'Rem. Anticipos R2'!E151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R2'!E268</f>
        <v>0</v>
      </c>
      <c r="E30" s="292">
        <f>'Rem. Anticipos R2'!F268</f>
        <v>0</v>
      </c>
      <c r="F30" s="292">
        <f>'Rem. Anticipos R2'!G268</f>
        <v>0</v>
      </c>
      <c r="G30" s="292">
        <f>'Rem. Anticipos R2'!H268</f>
        <v>0</v>
      </c>
      <c r="H30" s="292">
        <f>'Rem. Anticipos R2'!I268</f>
        <v>0</v>
      </c>
      <c r="I30" s="292">
        <f>'Rem. Anticipos R2'!J268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R2'!L268</f>
        <v>0</v>
      </c>
      <c r="V30" s="317">
        <f>'Rem. Anticipos R2'!M268</f>
        <v>0</v>
      </c>
      <c r="W30" s="317">
        <f>'Rem. Anticipos R2'!N268</f>
        <v>0</v>
      </c>
      <c r="X30" s="317">
        <f>'Rem. Anticipos R2'!O268</f>
        <v>0</v>
      </c>
      <c r="Y30" s="318">
        <f>'Rem. Anticipos R2'!P268</f>
        <v>0</v>
      </c>
      <c r="Z30" s="319">
        <f>L30*-1</f>
        <v>0</v>
      </c>
      <c r="AA30" s="320">
        <f>'Rem. Anticipos R2'!Q268</f>
        <v>0</v>
      </c>
      <c r="AB30" s="294">
        <f>N30</f>
        <v>0</v>
      </c>
      <c r="AC30" s="320">
        <f>'Rem. Anticipos R2'!R268</f>
        <v>0</v>
      </c>
      <c r="AD30" s="291">
        <f t="shared" ref="AD30:AD32" si="10">-J30+AE30</f>
        <v>0</v>
      </c>
      <c r="AE30" s="291">
        <f>'Rem. Anticipos R2'!E269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R2'!E368</f>
        <v>0</v>
      </c>
      <c r="E31" s="292">
        <f>'Rem. Anticipos R2'!F368</f>
        <v>0</v>
      </c>
      <c r="F31" s="292">
        <f>'Rem. Anticipos R2'!G368</f>
        <v>0</v>
      </c>
      <c r="G31" s="292">
        <f>'Rem. Anticipos R2'!H368</f>
        <v>0</v>
      </c>
      <c r="H31" s="292">
        <f>'Rem. Anticipos R2'!I368</f>
        <v>0</v>
      </c>
      <c r="I31" s="292">
        <f>'Rem. Anticipos R2'!J368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R2'!L368</f>
        <v>0</v>
      </c>
      <c r="V31" s="317">
        <f>'Rem. Anticipos R2'!M368</f>
        <v>0</v>
      </c>
      <c r="W31" s="317">
        <f>'Rem. Anticipos R2'!N368</f>
        <v>0</v>
      </c>
      <c r="X31" s="317">
        <f>'Rem. Anticipos R2'!O368</f>
        <v>0</v>
      </c>
      <c r="Y31" s="318">
        <f>'Rem. Anticipos R2'!P368</f>
        <v>0</v>
      </c>
      <c r="Z31" s="319">
        <f>L31*-1</f>
        <v>0</v>
      </c>
      <c r="AA31" s="320">
        <f>'Rem. Anticipos R2'!Q368</f>
        <v>0</v>
      </c>
      <c r="AB31" s="294">
        <f>N31</f>
        <v>0</v>
      </c>
      <c r="AC31" s="320">
        <f>'Rem. Anticipos R2'!R368</f>
        <v>0</v>
      </c>
      <c r="AD31" s="291">
        <f t="shared" si="10"/>
        <v>0</v>
      </c>
      <c r="AE31" s="291">
        <f>'Rem. Anticipos R2'!E369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R2'!E452</f>
        <v>0</v>
      </c>
      <c r="E32" s="297">
        <f>'Rem. Anticipos R2'!F452</f>
        <v>0</v>
      </c>
      <c r="F32" s="297">
        <f>'Rem. Anticipos R2'!G452</f>
        <v>0</v>
      </c>
      <c r="G32" s="297">
        <f>'Rem. Anticipos R2'!H452</f>
        <v>0</v>
      </c>
      <c r="H32" s="297">
        <f>'Rem. Anticipos R2'!I452</f>
        <v>0</v>
      </c>
      <c r="I32" s="297">
        <f>'Rem. Anticipos R2'!J452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R2'!K452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R2'!L452</f>
        <v>0</v>
      </c>
      <c r="V32" s="297">
        <f>'Rem. Anticipos R2'!M452</f>
        <v>0</v>
      </c>
      <c r="W32" s="297">
        <f>'Rem. Anticipos R2'!N452</f>
        <v>0</v>
      </c>
      <c r="X32" s="297">
        <f>'Rem. Anticipos R2'!O452</f>
        <v>0</v>
      </c>
      <c r="Y32" s="289">
        <f>'Rem. Anticipos R2'!P452</f>
        <v>0</v>
      </c>
      <c r="Z32" s="319">
        <f>L32*-1</f>
        <v>0</v>
      </c>
      <c r="AA32" s="320">
        <f>'Rem. Anticipos R2'!Q452</f>
        <v>0</v>
      </c>
      <c r="AB32" s="294">
        <f>N32</f>
        <v>0</v>
      </c>
      <c r="AC32" s="320">
        <f>'Rem. Anticipos R2'!R452</f>
        <v>0</v>
      </c>
      <c r="AD32" s="291">
        <f t="shared" si="10"/>
        <v>0</v>
      </c>
      <c r="AE32" s="291">
        <f>'Rem. Anticipos R2'!E453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R1'!F87</f>
        <v>0</v>
      </c>
      <c r="E47" s="292">
        <f>'Reporte Componentes R1'!G87</f>
        <v>0</v>
      </c>
      <c r="F47" s="292">
        <f>'Reporte Componentes R1'!H87</f>
        <v>0</v>
      </c>
      <c r="G47" s="292">
        <f>'Reporte Componentes R1'!I87</f>
        <v>0</v>
      </c>
      <c r="H47" s="292">
        <f>'Reporte Componentes R1'!J87</f>
        <v>0</v>
      </c>
      <c r="I47" s="292">
        <f>'Reporte Componentes R1'!K87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R1'!M87</f>
        <v>0</v>
      </c>
      <c r="V47" s="308">
        <f>'Reporte Componentes R1'!N87</f>
        <v>0</v>
      </c>
      <c r="W47" s="308">
        <f>'Reporte Componentes R1'!O87</f>
        <v>0</v>
      </c>
      <c r="X47" s="308">
        <f>'Reporte Componentes R1'!P87</f>
        <v>0</v>
      </c>
      <c r="Y47" s="309">
        <f>'Reporte Componentes R1'!Q87</f>
        <v>0</v>
      </c>
      <c r="Z47" s="310">
        <f>-L47</f>
        <v>0</v>
      </c>
      <c r="AA47" s="320">
        <f>'Reporte Componentes R1'!R87+'Reporte Componentes R1'!V87+'Reporte Componentes R1'!U87</f>
        <v>0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0</v>
      </c>
      <c r="AE47" s="291">
        <f>'Reporte Componentes R1'!F88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R1'!F266</f>
        <v>0</v>
      </c>
      <c r="E48" s="292">
        <f>'Reporte Componentes R1'!G266</f>
        <v>0</v>
      </c>
      <c r="F48" s="292">
        <f>'Reporte Componentes R1'!H266</f>
        <v>0</v>
      </c>
      <c r="G48" s="292">
        <f>'Reporte Componentes R1'!I266</f>
        <v>0</v>
      </c>
      <c r="H48" s="292">
        <f>'Reporte Componentes R1'!J266</f>
        <v>0</v>
      </c>
      <c r="I48" s="292">
        <f>'Reporte Componentes R1'!K266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R1'!L266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R1'!M266</f>
        <v>0</v>
      </c>
      <c r="V48" s="317">
        <f>'Reporte Componentes R1'!N266</f>
        <v>0</v>
      </c>
      <c r="W48" s="317">
        <f>'Reporte Componentes R1'!O266</f>
        <v>0</v>
      </c>
      <c r="X48" s="317">
        <f>'Reporte Componentes R1'!P266</f>
        <v>0</v>
      </c>
      <c r="Y48" s="318">
        <f>'Reporte Componentes R1'!Q266</f>
        <v>0</v>
      </c>
      <c r="Z48" s="319">
        <f>-L48</f>
        <v>0</v>
      </c>
      <c r="AA48" s="320">
        <f>'Reporte Componentes R1'!R266+'Reporte Componentes R1'!V266+'Reporte Componentes R1'!U266</f>
        <v>0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</v>
      </c>
      <c r="AD48" s="291">
        <f t="shared" ref="AD48:AD51" si="17">-J48+AE48</f>
        <v>0</v>
      </c>
      <c r="AE48" s="291">
        <f>'Reporte Componentes R1'!F267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R1'!F427</f>
        <v>0</v>
      </c>
      <c r="E49" s="292">
        <f>'Reporte Componentes R1'!G427</f>
        <v>0</v>
      </c>
      <c r="F49" s="292">
        <f>'Reporte Componentes R1'!H427</f>
        <v>0</v>
      </c>
      <c r="G49" s="292">
        <f>'Reporte Componentes R1'!I427</f>
        <v>0</v>
      </c>
      <c r="H49" s="292">
        <f>'Reporte Componentes R1'!J427</f>
        <v>0</v>
      </c>
      <c r="I49" s="292">
        <f>'Reporte Componentes R1'!K427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R1'!L427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R1'!M427</f>
        <v>0</v>
      </c>
      <c r="V49" s="317">
        <f>'Reporte Componentes R1'!N427</f>
        <v>0</v>
      </c>
      <c r="W49" s="317">
        <f>'Reporte Componentes R1'!O427</f>
        <v>0</v>
      </c>
      <c r="X49" s="317">
        <f>'Reporte Componentes R1'!P427</f>
        <v>0</v>
      </c>
      <c r="Y49" s="318">
        <f>'Reporte Componentes R1'!Q427</f>
        <v>0</v>
      </c>
      <c r="Z49" s="319">
        <f>-L49</f>
        <v>0</v>
      </c>
      <c r="AA49" s="320">
        <f>'Reporte Componentes R1'!R427+'Reporte Componentes R1'!V427+'Reporte Componentes R1'!U427</f>
        <v>0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</v>
      </c>
      <c r="AD49" s="291">
        <f t="shared" si="17"/>
        <v>0</v>
      </c>
      <c r="AE49" s="291">
        <f>'Reporte Componentes R1'!F428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R1'!F580</f>
        <v>0</v>
      </c>
      <c r="E50" s="292">
        <f>'Reporte Componentes R1'!G580</f>
        <v>0</v>
      </c>
      <c r="F50" s="292">
        <f>'Reporte Componentes R1'!H580</f>
        <v>0</v>
      </c>
      <c r="G50" s="292">
        <f>'Reporte Componentes R1'!I580</f>
        <v>0</v>
      </c>
      <c r="H50" s="292">
        <f>'Reporte Componentes R1'!J580</f>
        <v>0</v>
      </c>
      <c r="I50" s="292">
        <f>'Reporte Componentes R1'!K580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R1'!L580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R1'!M580</f>
        <v>0</v>
      </c>
      <c r="V50" s="317">
        <f>'Reporte Componentes R1'!N580</f>
        <v>0</v>
      </c>
      <c r="W50" s="317">
        <f>'Reporte Componentes R1'!O580</f>
        <v>0</v>
      </c>
      <c r="X50" s="317">
        <f>'Reporte Componentes R1'!P580</f>
        <v>0</v>
      </c>
      <c r="Y50" s="318">
        <f>'Reporte Componentes R1'!Q580</f>
        <v>0</v>
      </c>
      <c r="Z50" s="319">
        <f>-L50</f>
        <v>0</v>
      </c>
      <c r="AA50" s="320">
        <f>'Reporte Componentes R1'!R580+'Reporte Componentes R1'!V580+'Reporte Componentes R1'!U580</f>
        <v>0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0</v>
      </c>
      <c r="AD50" s="291">
        <f t="shared" si="17"/>
        <v>0</v>
      </c>
      <c r="AE50" s="291">
        <f>'Reporte Componentes R1'!F581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9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6">-L67</f>
        <v>0</v>
      </c>
      <c r="AA67" s="320">
        <f>'Reversion Pagos R4'!O180</f>
        <v>0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0</v>
      </c>
      <c r="AE67" s="291">
        <f>'Reversion Pagos R4'!D181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6"/>
        <v>0</v>
      </c>
      <c r="AA68" s="320">
        <f>'Reversion Pagos R4'!O217</f>
        <v>0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0</v>
      </c>
      <c r="AE68" s="291">
        <f>'Reversion Pagos R4'!D218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6"/>
        <v>0</v>
      </c>
      <c r="AA69" s="320">
        <f>'Reversion Pagos R4'!O332</f>
        <v>0</v>
      </c>
      <c r="AB69" s="294">
        <f t="shared" si="27"/>
        <v>0</v>
      </c>
      <c r="AC69" s="320">
        <f>'Reversion Pagos R4'!Q332+'Reversion Pagos R4'!R332</f>
        <v>0</v>
      </c>
      <c r="AD69" s="291">
        <f t="shared" si="28"/>
        <v>0</v>
      </c>
      <c r="AE69" s="291">
        <f>'Reversion Pagos R4'!D333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R4'!D367</f>
        <v>0</v>
      </c>
      <c r="E70" s="297">
        <f>'Reversion Pagos R4'!E367</f>
        <v>0</v>
      </c>
      <c r="F70" s="297">
        <f>'Reversion Pagos R4'!F367</f>
        <v>0</v>
      </c>
      <c r="G70" s="297">
        <f>'Reversion Pagos R4'!G367</f>
        <v>0</v>
      </c>
      <c r="H70" s="297">
        <f>'Reversion Pagos R4'!H367</f>
        <v>0</v>
      </c>
      <c r="I70" s="297">
        <f>'Reversion Pagos R4'!I367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R4'!P367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R4'!J367</f>
        <v>0</v>
      </c>
      <c r="V70" s="297">
        <f>'Reversion Pagos R4'!K367</f>
        <v>0</v>
      </c>
      <c r="W70" s="297">
        <f>'Reversion Pagos R4'!L367</f>
        <v>0</v>
      </c>
      <c r="X70" s="297">
        <f>'Reversion Pagos R4'!M367</f>
        <v>0</v>
      </c>
      <c r="Y70" s="289">
        <f>'Reversion Pagos R4'!N367</f>
        <v>0</v>
      </c>
      <c r="Z70" s="319">
        <f t="shared" si="26"/>
        <v>0</v>
      </c>
      <c r="AA70" s="320">
        <f>'Reversion Pagos R4'!O367</f>
        <v>0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0</v>
      </c>
      <c r="AE70" s="291">
        <f>'Reversion Pagos R4'!D368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68200068115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R1'!F695</f>
        <v>0</v>
      </c>
      <c r="E13" s="296">
        <f>'Reporte Componentes R1'!G695</f>
        <v>0</v>
      </c>
      <c r="F13" s="296">
        <f>'Reporte Componentes R1'!H695</f>
        <v>0</v>
      </c>
      <c r="G13" s="296">
        <f>'Reporte Componentes R1'!I695</f>
        <v>0</v>
      </c>
      <c r="H13" s="296">
        <f>'Reporte Componentes R1'!J695</f>
        <v>0</v>
      </c>
      <c r="I13" s="296">
        <f>'Reporte Componentes R1'!K695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R1'!L695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R1'!M695</f>
        <v>0</v>
      </c>
      <c r="V13" s="296">
        <f>'Reporte Componentes R1'!N695</f>
        <v>0</v>
      </c>
      <c r="W13" s="296">
        <f>'Reporte Componentes R1'!O695</f>
        <v>0</v>
      </c>
      <c r="X13" s="296">
        <f>'Reporte Componentes R1'!P695</f>
        <v>0</v>
      </c>
      <c r="Y13" s="296">
        <f>'Reporte Componentes R1'!Q695</f>
        <v>0</v>
      </c>
      <c r="Z13" s="319">
        <f>L13*-1</f>
        <v>0</v>
      </c>
      <c r="AA13" s="320">
        <f>'Reporte Componentes R1'!R695+'Reporte Componentes R1'!V695+'Reporte Componentes R1'!U695</f>
        <v>0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0</v>
      </c>
      <c r="AD13" s="291">
        <f t="shared" si="2"/>
        <v>0</v>
      </c>
      <c r="AE13" s="291">
        <f>'Reporte Componentes R1'!F696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R2'!E153</f>
        <v>0</v>
      </c>
      <c r="E29" s="292">
        <f>'Rem. Anticipos R2'!F153</f>
        <v>0</v>
      </c>
      <c r="F29" s="292">
        <f>'Rem. Anticipos R2'!G153</f>
        <v>0</v>
      </c>
      <c r="G29" s="292">
        <f>'Rem. Anticipos R2'!H153</f>
        <v>0</v>
      </c>
      <c r="H29" s="292">
        <f>'Rem. Anticipos R2'!I153</f>
        <v>0</v>
      </c>
      <c r="I29" s="292">
        <f>'Rem. Anticipos R2'!J153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R2'!K153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R2'!L153</f>
        <v>0</v>
      </c>
      <c r="V29" s="317">
        <f>'Rem. Anticipos R2'!M153</f>
        <v>0</v>
      </c>
      <c r="W29" s="317">
        <f>'Rem. Anticipos R2'!N153</f>
        <v>0</v>
      </c>
      <c r="X29" s="317">
        <f>'Rem. Anticipos R2'!O153</f>
        <v>0</v>
      </c>
      <c r="Y29" s="318">
        <f>'Rem. Anticipos R2'!P153</f>
        <v>0</v>
      </c>
      <c r="Z29" s="319">
        <f>L29*-1</f>
        <v>0</v>
      </c>
      <c r="AA29" s="320">
        <f>'Rem. Anticipos R2'!Q153</f>
        <v>0</v>
      </c>
      <c r="AB29" s="294">
        <f>N29</f>
        <v>0</v>
      </c>
      <c r="AC29" s="320">
        <f>'Rem. Anticipos R2'!R153</f>
        <v>0</v>
      </c>
      <c r="AD29" s="291">
        <f>-J29+AE29</f>
        <v>0</v>
      </c>
      <c r="AE29" s="291">
        <f>'Rem. Anticipos R2'!E154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R2'!E271</f>
        <v>0</v>
      </c>
      <c r="E30" s="291">
        <f>'Rem. Anticipos R2'!F271</f>
        <v>0</v>
      </c>
      <c r="F30" s="291">
        <f>'Rem. Anticipos R2'!G271</f>
        <v>0</v>
      </c>
      <c r="G30" s="291">
        <f>'Rem. Anticipos R2'!H271</f>
        <v>0</v>
      </c>
      <c r="H30" s="291">
        <f>'Rem. Anticipos R2'!I271</f>
        <v>0</v>
      </c>
      <c r="I30" s="291">
        <f>'Rem. Anticipos R2'!J271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R2'!K271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R2'!L271</f>
        <v>0</v>
      </c>
      <c r="V30" s="316">
        <f>'Rem. Anticipos R2'!M271</f>
        <v>0</v>
      </c>
      <c r="W30" s="316">
        <f>'Rem. Anticipos R2'!N271</f>
        <v>0</v>
      </c>
      <c r="X30" s="316">
        <f>'Rem. Anticipos R2'!O271</f>
        <v>0</v>
      </c>
      <c r="Y30" s="316">
        <f>'Rem. Anticipos R2'!P271</f>
        <v>0</v>
      </c>
      <c r="Z30" s="319">
        <f>L30*-1</f>
        <v>0</v>
      </c>
      <c r="AA30" s="320">
        <f>'Rem. Anticipos R2'!Q271</f>
        <v>0</v>
      </c>
      <c r="AB30" s="294">
        <f>N30</f>
        <v>0</v>
      </c>
      <c r="AC30" s="320">
        <f>'Rem. Anticipos R2'!R271</f>
        <v>0</v>
      </c>
      <c r="AD30" s="291">
        <f t="shared" ref="AD30:AD32" si="10">-J30+AE30</f>
        <v>0</v>
      </c>
      <c r="AE30" s="291">
        <f>'Rem. Anticipos R2'!E272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R2'!E371</f>
        <v>0</v>
      </c>
      <c r="E31" s="291">
        <f>'Rem. Anticipos R2'!F371</f>
        <v>0</v>
      </c>
      <c r="F31" s="291">
        <f>'Rem. Anticipos R2'!G371</f>
        <v>0</v>
      </c>
      <c r="G31" s="291">
        <f>'Rem. Anticipos R2'!H371</f>
        <v>0</v>
      </c>
      <c r="H31" s="291">
        <f>'Rem. Anticipos R2'!I371</f>
        <v>0</v>
      </c>
      <c r="I31" s="291">
        <f>'Rem. Anticipos R2'!J371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R2'!K371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R2'!L371</f>
        <v>0</v>
      </c>
      <c r="V31" s="316">
        <f>'Rem. Anticipos R2'!M371</f>
        <v>0</v>
      </c>
      <c r="W31" s="316">
        <f>'Rem. Anticipos R2'!N371</f>
        <v>0</v>
      </c>
      <c r="X31" s="316">
        <f>'Rem. Anticipos R2'!O371</f>
        <v>0</v>
      </c>
      <c r="Y31" s="316">
        <f>'Rem. Anticipos R2'!P371</f>
        <v>0</v>
      </c>
      <c r="Z31" s="319">
        <f>L31*-1</f>
        <v>0</v>
      </c>
      <c r="AA31" s="320">
        <f>'Rem. Anticipos R2'!Q371</f>
        <v>0</v>
      </c>
      <c r="AB31" s="294">
        <f>N31</f>
        <v>0</v>
      </c>
      <c r="AC31" s="320">
        <f>'Rem. Anticipos R2'!R371</f>
        <v>0</v>
      </c>
      <c r="AD31" s="291">
        <f t="shared" si="10"/>
        <v>0</v>
      </c>
      <c r="AE31" s="291">
        <f>'Rem. Anticipos R2'!E372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R2'!E455</f>
        <v>0</v>
      </c>
      <c r="E32" s="296">
        <f>'Rem. Anticipos R2'!F455</f>
        <v>0</v>
      </c>
      <c r="F32" s="296">
        <f>'Rem. Anticipos R2'!G455</f>
        <v>0</v>
      </c>
      <c r="G32" s="296">
        <f>'Rem. Anticipos R2'!H455</f>
        <v>0</v>
      </c>
      <c r="H32" s="296">
        <f>'Rem. Anticipos R2'!I455</f>
        <v>0</v>
      </c>
      <c r="I32" s="296">
        <f>'Rem. Anticipos R2'!J455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R2'!K455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R2'!L455</f>
        <v>0</v>
      </c>
      <c r="V32" s="297">
        <f>'Rem. Anticipos R2'!M455</f>
        <v>0</v>
      </c>
      <c r="W32" s="297">
        <f>'Rem. Anticipos R2'!N455</f>
        <v>0</v>
      </c>
      <c r="X32" s="297">
        <f>'Rem. Anticipos R2'!O455</f>
        <v>0</v>
      </c>
      <c r="Y32" s="289">
        <f>'Rem. Anticipos R2'!P455</f>
        <v>0</v>
      </c>
      <c r="Z32" s="319">
        <f>L32*-1</f>
        <v>0</v>
      </c>
      <c r="AA32" s="320">
        <f>'Rem. Anticipos R2'!Q455</f>
        <v>0</v>
      </c>
      <c r="AB32" s="294">
        <f>N32</f>
        <v>0</v>
      </c>
      <c r="AC32" s="320">
        <f>'Rem. Anticipos R2'!R455</f>
        <v>0</v>
      </c>
      <c r="AD32" s="291">
        <f t="shared" si="10"/>
        <v>0</v>
      </c>
      <c r="AE32" s="291">
        <f>'Rem. Anticipos R2'!E456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38870386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R1'!F95</f>
        <v>0</v>
      </c>
      <c r="E9" s="292">
        <f>'Reporte Componentes R1'!G95</f>
        <v>0</v>
      </c>
      <c r="F9" s="292">
        <f>'Reporte Componentes R1'!H95</f>
        <v>0</v>
      </c>
      <c r="G9" s="292">
        <f>'Reporte Componentes R1'!I95</f>
        <v>0</v>
      </c>
      <c r="H9" s="292">
        <f>'Reporte Componentes R1'!J95</f>
        <v>0</v>
      </c>
      <c r="I9" s="292">
        <f>'Reporte Componentes R1'!K95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R1'!M95</f>
        <v>0</v>
      </c>
      <c r="V9" s="308">
        <f>'Reporte Componentes R1'!N95</f>
        <v>0</v>
      </c>
      <c r="W9" s="308">
        <f>'Reporte Componentes R1'!O95</f>
        <v>0</v>
      </c>
      <c r="X9" s="308">
        <f>'Reporte Componentes R1'!P95</f>
        <v>0</v>
      </c>
      <c r="Y9" s="309">
        <f>'Reporte Componentes R1'!Q95</f>
        <v>0</v>
      </c>
      <c r="Z9" s="310">
        <f>L9*-1</f>
        <v>0</v>
      </c>
      <c r="AA9" s="311">
        <f>'Reporte Componentes R1'!R95+'Reporte Componentes R1'!V95+'Reporte Componentes R1'!U95</f>
        <v>0</v>
      </c>
      <c r="AB9" s="294">
        <f>N9</f>
        <v>0</v>
      </c>
      <c r="AC9" s="311">
        <f>'Reporte Componentes R1'!T95+'Reporte Componentes R1'!W95+'Reporte Componentes R1'!X95+'Reporte Componentes R1'!Y95+'Reporte Componentes R1'!Z95+'Reporte Componentes R1'!S95</f>
        <v>0</v>
      </c>
      <c r="AD9" s="291">
        <f>-J9+AE9</f>
        <v>0</v>
      </c>
      <c r="AE9" s="291">
        <f>'Reporte Componentes R1'!F96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R1'!F274</f>
        <v>0</v>
      </c>
      <c r="E10" s="292">
        <f>'Reporte Componentes R1'!G274</f>
        <v>0</v>
      </c>
      <c r="F10" s="292">
        <f>'Reporte Componentes R1'!H274</f>
        <v>0</v>
      </c>
      <c r="G10" s="292">
        <f>'Reporte Componentes R1'!I274</f>
        <v>0</v>
      </c>
      <c r="H10" s="292">
        <f>'Reporte Componentes R1'!J274</f>
        <v>0</v>
      </c>
      <c r="I10" s="292">
        <f>'Reporte Componentes R1'!K274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R1'!L274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R1'!M274</f>
        <v>0</v>
      </c>
      <c r="V10" s="317">
        <f>'Reporte Componentes R1'!N274</f>
        <v>0</v>
      </c>
      <c r="W10" s="317">
        <f>'Reporte Componentes R1'!O274</f>
        <v>0</v>
      </c>
      <c r="X10" s="317">
        <f>'Reporte Componentes R1'!P274</f>
        <v>0</v>
      </c>
      <c r="Y10" s="318">
        <f>'Reporte Componentes R1'!Q274</f>
        <v>0</v>
      </c>
      <c r="Z10" s="319">
        <f>L10*-1</f>
        <v>0</v>
      </c>
      <c r="AA10" s="320">
        <f>'Reporte Componentes R1'!R274+'Reporte Componentes R1'!V274+'Reporte Componentes R1'!U274</f>
        <v>0</v>
      </c>
      <c r="AB10" s="294">
        <f>N10</f>
        <v>0</v>
      </c>
      <c r="AC10" s="320">
        <f>'Reporte Componentes R1'!T274+'Reporte Componentes R1'!W274+'Reporte Componentes R1'!X274+'Reporte Componentes R1'!Y274+'Reporte Componentes R1'!Z274+'Reporte Componentes R1'!S274</f>
        <v>0</v>
      </c>
      <c r="AD10" s="291">
        <f t="shared" ref="AD10:AD13" si="2">-J10+AE10</f>
        <v>0</v>
      </c>
      <c r="AE10" s="291">
        <f>'Reporte Componentes R1'!F275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R1'!F435</f>
        <v>0</v>
      </c>
      <c r="E11" s="292">
        <f>'Reporte Componentes R1'!G435</f>
        <v>0</v>
      </c>
      <c r="F11" s="292">
        <f>'Reporte Componentes R1'!H435</f>
        <v>0</v>
      </c>
      <c r="G11" s="292">
        <f>'Reporte Componentes R1'!I435</f>
        <v>0</v>
      </c>
      <c r="H11" s="292">
        <f>'Reporte Componentes R1'!J435</f>
        <v>0</v>
      </c>
      <c r="I11" s="292">
        <f>'Reporte Componentes R1'!K435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R1'!L435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R1'!M435</f>
        <v>0</v>
      </c>
      <c r="V11" s="317">
        <f>'Reporte Componentes R1'!N435</f>
        <v>0</v>
      </c>
      <c r="W11" s="317">
        <f>'Reporte Componentes R1'!O435</f>
        <v>0</v>
      </c>
      <c r="X11" s="317">
        <f>'Reporte Componentes R1'!P435</f>
        <v>0</v>
      </c>
      <c r="Y11" s="318">
        <f>'Reporte Componentes R1'!Q435</f>
        <v>0</v>
      </c>
      <c r="Z11" s="319">
        <f>L11*-1</f>
        <v>0</v>
      </c>
      <c r="AA11" s="320">
        <f>'Reporte Componentes R1'!R435+'Reporte Componentes R1'!V435+'Reporte Componentes R1'!U435</f>
        <v>0</v>
      </c>
      <c r="AB11" s="294">
        <f>N11</f>
        <v>0</v>
      </c>
      <c r="AC11" s="320">
        <f>'Reporte Componentes R1'!T435+'Reporte Componentes R1'!W435+'Reporte Componentes R1'!X435+'Reporte Componentes R1'!Y435+'Reporte Componentes R1'!Z435+'Reporte Componentes R1'!S435</f>
        <v>0</v>
      </c>
      <c r="AD11" s="291">
        <f t="shared" si="2"/>
        <v>0</v>
      </c>
      <c r="AE11" s="291">
        <f>'Reporte Componentes R1'!F436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R1'!F588</f>
        <v>0</v>
      </c>
      <c r="E12" s="292">
        <f>'Reporte Componentes R1'!G588</f>
        <v>0</v>
      </c>
      <c r="F12" s="292">
        <f>'Reporte Componentes R1'!H588</f>
        <v>0</v>
      </c>
      <c r="G12" s="292">
        <f>'Reporte Componentes R1'!I588</f>
        <v>0</v>
      </c>
      <c r="H12" s="292">
        <f>'Reporte Componentes R1'!J588</f>
        <v>0</v>
      </c>
      <c r="I12" s="292">
        <f>'Reporte Componentes R1'!K588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R1'!L588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R1'!M588</f>
        <v>0</v>
      </c>
      <c r="V12" s="317">
        <f>'Reporte Componentes R1'!N588</f>
        <v>0</v>
      </c>
      <c r="W12" s="317">
        <f>'Reporte Componentes R1'!O588</f>
        <v>0</v>
      </c>
      <c r="X12" s="317">
        <f>'Reporte Componentes R1'!P588</f>
        <v>0</v>
      </c>
      <c r="Y12" s="318">
        <f>'Reporte Componentes R1'!Q588</f>
        <v>0</v>
      </c>
      <c r="Z12" s="319">
        <f>L12*-1</f>
        <v>0</v>
      </c>
      <c r="AA12" s="320">
        <f>'Reporte Componentes R1'!R588+'Reporte Componentes R1'!V588+'Reporte Componentes R1'!U588</f>
        <v>0</v>
      </c>
      <c r="AB12" s="294">
        <f>N12</f>
        <v>0</v>
      </c>
      <c r="AC12" s="320">
        <f>'Reporte Componentes R1'!T588+'Reporte Componentes R1'!W588+'Reporte Componentes R1'!X588+'Reporte Componentes R1'!Y588+'Reporte Componentes R1'!Z588+'Reporte Componentes R1'!S588</f>
        <v>0</v>
      </c>
      <c r="AD12" s="291">
        <f t="shared" si="2"/>
        <v>0</v>
      </c>
      <c r="AE12" s="291">
        <f>'Reporte Componentes R1'!F589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R1'!F700</f>
        <v>0</v>
      </c>
      <c r="E13" s="297">
        <f>'Reporte Componentes R1'!G700</f>
        <v>0</v>
      </c>
      <c r="F13" s="297">
        <f>'Reporte Componentes R1'!H700</f>
        <v>0</v>
      </c>
      <c r="G13" s="297">
        <f>'Reporte Componentes R1'!I700</f>
        <v>0</v>
      </c>
      <c r="H13" s="297">
        <f>'Reporte Componentes R1'!J700</f>
        <v>0</v>
      </c>
      <c r="I13" s="297">
        <f>'Reporte Componentes R1'!K700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R1'!L700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R1'!M700</f>
        <v>0</v>
      </c>
      <c r="V13" s="297">
        <f>'Reporte Componentes R1'!N700</f>
        <v>0</v>
      </c>
      <c r="W13" s="297">
        <f>'Reporte Componentes R1'!O700</f>
        <v>0</v>
      </c>
      <c r="X13" s="297">
        <f>'Reporte Componentes R1'!P700</f>
        <v>0</v>
      </c>
      <c r="Y13" s="289">
        <f>'Reporte Componentes R1'!Q700</f>
        <v>0</v>
      </c>
      <c r="Z13" s="319">
        <f>L13*-1</f>
        <v>0</v>
      </c>
      <c r="AA13" s="320">
        <f>'Reporte Componentes R1'!R700+'Reporte Componentes R1'!V700+'Reporte Componentes R1'!U700</f>
        <v>0</v>
      </c>
      <c r="AB13" s="294">
        <f>N13</f>
        <v>0</v>
      </c>
      <c r="AC13" s="320">
        <f>'Reporte Componentes R1'!T700+'Reporte Componentes R1'!W700+'Reporte Componentes R1'!X700+'Reporte Componentes R1'!Y700+'Reporte Componentes R1'!Z700+'Reporte Componentes R1'!S700</f>
        <v>0</v>
      </c>
      <c r="AD13" s="291">
        <f t="shared" si="2"/>
        <v>0</v>
      </c>
      <c r="AE13" s="291">
        <f>'Reporte Componentes R1'!F701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R2'!E59</f>
        <v>0</v>
      </c>
      <c r="E28" s="292">
        <f>'Rem. Anticipos R2'!F59</f>
        <v>0</v>
      </c>
      <c r="F28" s="292">
        <f>'Rem. Anticipos R2'!G59</f>
        <v>0</v>
      </c>
      <c r="G28" s="292">
        <f>'Rem. Anticipos R2'!H59</f>
        <v>0</v>
      </c>
      <c r="H28" s="292">
        <f>'Rem. Anticipos R2'!I59</f>
        <v>0</v>
      </c>
      <c r="I28" s="292">
        <f>'Rem. Anticipos R2'!J59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R2'!L59</f>
        <v>0</v>
      </c>
      <c r="V28" s="308">
        <f>'Rem. Anticipos R2'!M59</f>
        <v>0</v>
      </c>
      <c r="W28" s="308">
        <f>'Rem. Anticipos R2'!N59</f>
        <v>0</v>
      </c>
      <c r="X28" s="308">
        <f>'Rem. Anticipos R2'!O59</f>
        <v>0</v>
      </c>
      <c r="Y28" s="308">
        <f>'Rem. Anticipos R2'!P59</f>
        <v>0</v>
      </c>
      <c r="Z28" s="310">
        <f>L28*-1</f>
        <v>0</v>
      </c>
      <c r="AA28" s="311">
        <f>'Rem. Anticipos R2'!Q59</f>
        <v>0</v>
      </c>
      <c r="AB28" s="294">
        <f>N28</f>
        <v>0</v>
      </c>
      <c r="AC28" s="311">
        <f>'Rem. Anticipos R2'!R59</f>
        <v>0</v>
      </c>
      <c r="AD28" s="291">
        <f>-J28+AE28</f>
        <v>0</v>
      </c>
      <c r="AE28" s="291">
        <f>'Rem. Anticipos R2'!E60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R2'!E156</f>
        <v>0</v>
      </c>
      <c r="E29" s="292">
        <f>'Rem. Anticipos R2'!F156</f>
        <v>0</v>
      </c>
      <c r="F29" s="292">
        <f>'Rem. Anticipos R2'!G156</f>
        <v>0</v>
      </c>
      <c r="G29" s="292">
        <f>'Rem. Anticipos R2'!H156</f>
        <v>0</v>
      </c>
      <c r="H29" s="292">
        <f>'Rem. Anticipos R2'!I156</f>
        <v>0</v>
      </c>
      <c r="I29" s="292">
        <f>'Rem. Anticipos R2'!J156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R2'!K156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R2'!L156</f>
        <v>0</v>
      </c>
      <c r="V29" s="317">
        <f>'Rem. Anticipos R2'!M156</f>
        <v>0</v>
      </c>
      <c r="W29" s="317">
        <f>'Rem. Anticipos R2'!N156</f>
        <v>0</v>
      </c>
      <c r="X29" s="317">
        <f>'Rem. Anticipos R2'!O156</f>
        <v>0</v>
      </c>
      <c r="Y29" s="318">
        <f>'Rem. Anticipos R2'!P156</f>
        <v>0</v>
      </c>
      <c r="Z29" s="319">
        <f>L29*-1</f>
        <v>0</v>
      </c>
      <c r="AA29" s="320">
        <f>'Rem. Anticipos R2'!Q156</f>
        <v>0</v>
      </c>
      <c r="AB29" s="294">
        <f>N29</f>
        <v>0</v>
      </c>
      <c r="AC29" s="320">
        <f>'Rem. Anticipos R2'!R156</f>
        <v>0</v>
      </c>
      <c r="AD29" s="291">
        <f>-J29+AE29</f>
        <v>0</v>
      </c>
      <c r="AE29" s="291">
        <f>'Rem. Anticipos R2'!E157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R2'!E274</f>
        <v>0</v>
      </c>
      <c r="E30" s="292">
        <f>'Rem. Anticipos R2'!F274</f>
        <v>0</v>
      </c>
      <c r="F30" s="292">
        <f>'Rem. Anticipos R2'!G274</f>
        <v>0</v>
      </c>
      <c r="G30" s="292">
        <f>'Rem. Anticipos R2'!H274</f>
        <v>0</v>
      </c>
      <c r="H30" s="292">
        <f>'Rem. Anticipos R2'!I274</f>
        <v>0</v>
      </c>
      <c r="I30" s="292">
        <f>'Rem. Anticipos R2'!J274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R2'!L274</f>
        <v>0</v>
      </c>
      <c r="V30" s="317">
        <f>'Rem. Anticipos R2'!M274</f>
        <v>0</v>
      </c>
      <c r="W30" s="317">
        <f>'Rem. Anticipos R2'!N274</f>
        <v>0</v>
      </c>
      <c r="X30" s="317">
        <f>'Rem. Anticipos R2'!O274</f>
        <v>0</v>
      </c>
      <c r="Y30" s="318">
        <f>'Rem. Anticipos R2'!P274</f>
        <v>0</v>
      </c>
      <c r="Z30" s="319">
        <f>L30*-1</f>
        <v>0</v>
      </c>
      <c r="AA30" s="320">
        <f>'Rem. Anticipos R2'!Q274</f>
        <v>0</v>
      </c>
      <c r="AB30" s="294">
        <f>N30</f>
        <v>0</v>
      </c>
      <c r="AC30" s="320">
        <f>'Rem. Anticipos R2'!R274</f>
        <v>0</v>
      </c>
      <c r="AD30" s="291">
        <f t="shared" ref="AD30:AD32" si="10">-J30+AE30</f>
        <v>0</v>
      </c>
      <c r="AE30" s="291">
        <f>'Rem. Anticipos R2'!E275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R2'!E374</f>
        <v>0</v>
      </c>
      <c r="E31" s="292">
        <f>'Rem. Anticipos R2'!F374</f>
        <v>0</v>
      </c>
      <c r="F31" s="292">
        <f>'Rem. Anticipos R2'!G374</f>
        <v>0</v>
      </c>
      <c r="G31" s="292">
        <f>'Rem. Anticipos R2'!H374</f>
        <v>0</v>
      </c>
      <c r="H31" s="292">
        <f>'Rem. Anticipos R2'!I374</f>
        <v>0</v>
      </c>
      <c r="I31" s="292">
        <f>'Rem. Anticipos R2'!J374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R2'!K374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R2'!L374</f>
        <v>0</v>
      </c>
      <c r="V31" s="317">
        <f>'Rem. Anticipos R2'!M374</f>
        <v>0</v>
      </c>
      <c r="W31" s="317">
        <f>'Rem. Anticipos R2'!N374</f>
        <v>0</v>
      </c>
      <c r="X31" s="317">
        <f>'Rem. Anticipos R2'!O374</f>
        <v>0</v>
      </c>
      <c r="Y31" s="318">
        <f>'Rem. Anticipos R2'!P374</f>
        <v>0</v>
      </c>
      <c r="Z31" s="319">
        <f>L31*-1</f>
        <v>0</v>
      </c>
      <c r="AA31" s="320">
        <f>'Rem. Anticipos R2'!Q374</f>
        <v>0</v>
      </c>
      <c r="AB31" s="294">
        <f>N31</f>
        <v>0</v>
      </c>
      <c r="AC31" s="320">
        <f>'Rem. Anticipos R2'!R374</f>
        <v>0</v>
      </c>
      <c r="AD31" s="291">
        <f t="shared" si="10"/>
        <v>0</v>
      </c>
      <c r="AE31" s="291">
        <f>'Rem. Anticipos R2'!E375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R2'!E458</f>
        <v>0</v>
      </c>
      <c r="E32" s="297">
        <f>'Rem. Anticipos R2'!F458</f>
        <v>0</v>
      </c>
      <c r="F32" s="297">
        <f>'Rem. Anticipos R2'!G458</f>
        <v>0</v>
      </c>
      <c r="G32" s="297">
        <f>'Rem. Anticipos R2'!H458</f>
        <v>0</v>
      </c>
      <c r="H32" s="297">
        <f>'Rem. Anticipos R2'!I458</f>
        <v>0</v>
      </c>
      <c r="I32" s="297">
        <f>'Rem. Anticipos R2'!J458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R2'!K458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R2'!L458</f>
        <v>0</v>
      </c>
      <c r="V32" s="297">
        <f>'Rem. Anticipos R2'!M458</f>
        <v>0</v>
      </c>
      <c r="W32" s="297">
        <f>'Rem. Anticipos R2'!N458</f>
        <v>0</v>
      </c>
      <c r="X32" s="297">
        <f>'Rem. Anticipos R2'!O458</f>
        <v>0</v>
      </c>
      <c r="Y32" s="289">
        <f>'Rem. Anticipos R2'!P458</f>
        <v>0</v>
      </c>
      <c r="Z32" s="319">
        <f>L32*-1</f>
        <v>0</v>
      </c>
      <c r="AA32" s="320">
        <f>'Rem. Anticipos R2'!Q458</f>
        <v>0</v>
      </c>
      <c r="AB32" s="294">
        <f>N32</f>
        <v>0</v>
      </c>
      <c r="AC32" s="320">
        <f>'Rem. Anticipos R2'!R458</f>
        <v>0</v>
      </c>
      <c r="AD32" s="291">
        <f t="shared" si="10"/>
        <v>0</v>
      </c>
      <c r="AE32" s="291">
        <f>'Rem. Anticipos R2'!E459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R1'!F97</f>
        <v>0</v>
      </c>
      <c r="E47" s="292">
        <f>'Reporte Componentes R1'!G97</f>
        <v>0</v>
      </c>
      <c r="F47" s="292">
        <f>'Reporte Componentes R1'!H97</f>
        <v>0</v>
      </c>
      <c r="G47" s="292">
        <f>'Reporte Componentes R1'!I97</f>
        <v>0</v>
      </c>
      <c r="H47" s="292">
        <f>'Reporte Componentes R1'!J97</f>
        <v>0</v>
      </c>
      <c r="I47" s="292">
        <f>'Reporte Componentes R1'!K97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R1'!M97</f>
        <v>0</v>
      </c>
      <c r="V47" s="308">
        <f>'Reporte Componentes R1'!N97</f>
        <v>0</v>
      </c>
      <c r="W47" s="308">
        <f>'Reporte Componentes R1'!O97</f>
        <v>0</v>
      </c>
      <c r="X47" s="308">
        <f>'Reporte Componentes R1'!P97</f>
        <v>0</v>
      </c>
      <c r="Y47" s="309">
        <f>'Reporte Componentes R1'!Q97</f>
        <v>0</v>
      </c>
      <c r="Z47" s="310">
        <f>-L47</f>
        <v>0</v>
      </c>
      <c r="AA47" s="311">
        <f>'Reporte Componentes R1'!R97+'Reporte Componentes R1'!V97+'Reporte Componentes R1'!U97</f>
        <v>0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0</v>
      </c>
      <c r="AE47" s="291">
        <f>'Reporte Componentes R1'!F98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R1'!F276</f>
        <v>0</v>
      </c>
      <c r="E48" s="292">
        <f>'Reporte Componentes R1'!G276</f>
        <v>0</v>
      </c>
      <c r="F48" s="292">
        <f>'Reporte Componentes R1'!H276</f>
        <v>0</v>
      </c>
      <c r="G48" s="292">
        <f>'Reporte Componentes R1'!I276</f>
        <v>0</v>
      </c>
      <c r="H48" s="292">
        <f>'Reporte Componentes R1'!J276</f>
        <v>0</v>
      </c>
      <c r="I48" s="292">
        <f>'Reporte Componentes R1'!K276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R1'!L276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R1'!M276</f>
        <v>0</v>
      </c>
      <c r="V48" s="317">
        <f>'Reporte Componentes R1'!N276</f>
        <v>0</v>
      </c>
      <c r="W48" s="317">
        <f>'Reporte Componentes R1'!O276</f>
        <v>0</v>
      </c>
      <c r="X48" s="317">
        <f>'Reporte Componentes R1'!P276</f>
        <v>0</v>
      </c>
      <c r="Y48" s="318">
        <f>'Reporte Componentes R1'!Q276</f>
        <v>0</v>
      </c>
      <c r="Z48" s="319">
        <f>-L48</f>
        <v>0</v>
      </c>
      <c r="AA48" s="320">
        <f>'Reporte Componentes R1'!R276+'Reporte Componentes R1'!V276+'Reporte Componentes R1'!U276</f>
        <v>0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0</v>
      </c>
      <c r="AE48" s="291">
        <f>'Reporte Componentes R1'!F277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R1'!F590</f>
        <v>0</v>
      </c>
      <c r="E50" s="292">
        <f>'Reporte Componentes R1'!G590</f>
        <v>0</v>
      </c>
      <c r="F50" s="292">
        <f>'Reporte Componentes R1'!H590</f>
        <v>0</v>
      </c>
      <c r="G50" s="292">
        <f>'Reporte Componentes R1'!I590</f>
        <v>0</v>
      </c>
      <c r="H50" s="292">
        <f>'Reporte Componentes R1'!J590</f>
        <v>0</v>
      </c>
      <c r="I50" s="292">
        <f>'Reporte Componentes R1'!K590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R1'!L590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R1'!M590</f>
        <v>0</v>
      </c>
      <c r="V50" s="317">
        <f>'Reporte Componentes R1'!N590</f>
        <v>0</v>
      </c>
      <c r="W50" s="317">
        <f>'Reporte Componentes R1'!O590</f>
        <v>0</v>
      </c>
      <c r="X50" s="317">
        <f>'Reporte Componentes R1'!P590</f>
        <v>0</v>
      </c>
      <c r="Y50" s="318">
        <f>'Reporte Componentes R1'!Q590</f>
        <v>0</v>
      </c>
      <c r="Z50" s="319">
        <f>-L50</f>
        <v>0</v>
      </c>
      <c r="AA50" s="320">
        <f>'Reporte Componentes R1'!R590+'Reporte Componentes R1'!V590+'Reporte Componentes R1'!U590</f>
        <v>0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0</v>
      </c>
      <c r="AE50" s="291">
        <f>'Reporte Componentes R1'!F591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R1'!F702</f>
        <v>0</v>
      </c>
      <c r="E51" s="297">
        <f>'Reporte Componentes R1'!G702</f>
        <v>0</v>
      </c>
      <c r="F51" s="297">
        <f>'Reporte Componentes R1'!H702</f>
        <v>0</v>
      </c>
      <c r="G51" s="297">
        <f>'Reporte Componentes R1'!I702</f>
        <v>0</v>
      </c>
      <c r="H51" s="297">
        <f>'Reporte Componentes R1'!J702</f>
        <v>0</v>
      </c>
      <c r="I51" s="297">
        <f>'Reporte Componentes R1'!K702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R1'!L702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R1'!M702</f>
        <v>0</v>
      </c>
      <c r="V51" s="297">
        <f>'Reporte Componentes R1'!N702</f>
        <v>0</v>
      </c>
      <c r="W51" s="297">
        <f>'Reporte Componentes R1'!O702</f>
        <v>0</v>
      </c>
      <c r="X51" s="297">
        <f>'Reporte Componentes R1'!P702</f>
        <v>0</v>
      </c>
      <c r="Y51" s="289">
        <f>'Reporte Componentes R1'!Q702</f>
        <v>0</v>
      </c>
      <c r="Z51" s="319">
        <f>-L51</f>
        <v>0</v>
      </c>
      <c r="AA51" s="320">
        <f>'Reporte Componentes R1'!R702+'Reporte Componentes R1'!V702+'Reporte Componentes R1'!U702</f>
        <v>0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0</v>
      </c>
      <c r="AE51" s="291">
        <f>'Reporte Componentes R1'!F703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20">
        <f>'Reversion Pagos R4'!O85</f>
        <v>0</v>
      </c>
      <c r="AB66" s="294">
        <f>N66</f>
        <v>0</v>
      </c>
      <c r="AC66" s="320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6"/>
        <v>0</v>
      </c>
      <c r="AA70" s="320">
        <f>'Reversion Pagos R4'!O373</f>
        <v>0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0</v>
      </c>
      <c r="AE70" s="291">
        <f>'Reversion Pagos R4'!D374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5736574007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2026082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2026082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R2'!E159</f>
        <v>0</v>
      </c>
      <c r="E29" s="292">
        <f>'Rem. Anticipos R2'!F159</f>
        <v>0</v>
      </c>
      <c r="F29" s="292">
        <f>'Rem. Anticipos R2'!G159</f>
        <v>0</v>
      </c>
      <c r="G29" s="292">
        <f>'Rem. Anticipos R2'!H159</f>
        <v>0</v>
      </c>
      <c r="H29" s="292">
        <f>'Rem. Anticipos R2'!I159</f>
        <v>0</v>
      </c>
      <c r="I29" s="292">
        <f>'Rem. Anticipos R2'!J159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R2'!K159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R2'!L159</f>
        <v>0</v>
      </c>
      <c r="V29" s="317">
        <f>'Rem. Anticipos R2'!M159</f>
        <v>0</v>
      </c>
      <c r="W29" s="317">
        <f>'Rem. Anticipos R2'!N159</f>
        <v>0</v>
      </c>
      <c r="X29" s="317">
        <f>'Rem. Anticipos R2'!O159</f>
        <v>0</v>
      </c>
      <c r="Y29" s="318">
        <f>'Rem. Anticipos R2'!P159</f>
        <v>0</v>
      </c>
      <c r="Z29" s="319">
        <f>L29*-1</f>
        <v>0</v>
      </c>
      <c r="AA29" s="320">
        <f>'Rem. Anticipos R2'!Q159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R2'!E160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R2'!E277</f>
        <v>0</v>
      </c>
      <c r="E30" s="292">
        <f>'Rem. Anticipos R2'!F277</f>
        <v>0</v>
      </c>
      <c r="F30" s="292">
        <f>'Rem. Anticipos R2'!G277</f>
        <v>0</v>
      </c>
      <c r="G30" s="292">
        <f>'Rem. Anticipos R2'!H277</f>
        <v>0</v>
      </c>
      <c r="H30" s="292">
        <f>'Rem. Anticipos R2'!I277</f>
        <v>0</v>
      </c>
      <c r="I30" s="292">
        <f>'Rem. Anticipos R2'!J277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R2'!K277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R2'!L277</f>
        <v>0</v>
      </c>
      <c r="V30" s="317">
        <f>'Rem. Anticipos R2'!M277</f>
        <v>0</v>
      </c>
      <c r="W30" s="317">
        <f>'Rem. Anticipos R2'!N277</f>
        <v>0</v>
      </c>
      <c r="X30" s="317">
        <f>'Rem. Anticipos R2'!O277</f>
        <v>0</v>
      </c>
      <c r="Y30" s="318">
        <f>'Rem. Anticipos R2'!P277</f>
        <v>0</v>
      </c>
      <c r="Z30" s="319">
        <f>L30*-1</f>
        <v>0</v>
      </c>
      <c r="AA30" s="320">
        <f>'Rem. Anticipos R2'!Q277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R2'!E278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R2'!E377</f>
        <v>0</v>
      </c>
      <c r="E31" s="292">
        <f>'Rem. Anticipos R2'!F377</f>
        <v>0</v>
      </c>
      <c r="F31" s="292">
        <f>'Rem. Anticipos R2'!G377</f>
        <v>0</v>
      </c>
      <c r="G31" s="292">
        <f>'Rem. Anticipos R2'!H377</f>
        <v>0</v>
      </c>
      <c r="H31" s="292">
        <f>'Rem. Anticipos R2'!I377</f>
        <v>0</v>
      </c>
      <c r="I31" s="292">
        <f>'Rem. Anticipos R2'!J377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R2'!K377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R2'!L377</f>
        <v>0</v>
      </c>
      <c r="V31" s="317">
        <f>'Rem. Anticipos R2'!M377</f>
        <v>0</v>
      </c>
      <c r="W31" s="317">
        <f>'Rem. Anticipos R2'!N377</f>
        <v>0</v>
      </c>
      <c r="X31" s="317">
        <f>'Rem. Anticipos R2'!O377</f>
        <v>0</v>
      </c>
      <c r="Y31" s="318">
        <f>'Rem. Anticipos R2'!P377</f>
        <v>0</v>
      </c>
      <c r="Z31" s="319">
        <f>L31*-1</f>
        <v>0</v>
      </c>
      <c r="AA31" s="320">
        <f>'Rem. Anticipos R2'!Q377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R2'!E378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R2'!E461</f>
        <v>0</v>
      </c>
      <c r="E32" s="297">
        <f>'Rem. Anticipos R2'!F461</f>
        <v>0</v>
      </c>
      <c r="F32" s="297">
        <f>'Rem. Anticipos R2'!G461</f>
        <v>0</v>
      </c>
      <c r="G32" s="297">
        <f>'Rem. Anticipos R2'!H461</f>
        <v>0</v>
      </c>
      <c r="H32" s="297">
        <f>'Rem. Anticipos R2'!I461</f>
        <v>0</v>
      </c>
      <c r="I32" s="297">
        <f>'Rem. Anticipos R2'!J461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R2'!K461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R2'!L461</f>
        <v>0</v>
      </c>
      <c r="V32" s="297">
        <f>'Rem. Anticipos R2'!M461</f>
        <v>0</v>
      </c>
      <c r="W32" s="297">
        <f>'Rem. Anticipos R2'!N461</f>
        <v>0</v>
      </c>
      <c r="X32" s="297">
        <f>'Rem. Anticipos R2'!O461</f>
        <v>0</v>
      </c>
      <c r="Y32" s="289">
        <f>'Rem. Anticipos R2'!P461</f>
        <v>0</v>
      </c>
      <c r="Z32" s="319">
        <f>L32*-1</f>
        <v>0</v>
      </c>
      <c r="AA32" s="320">
        <f>'Rem. Anticipos R2'!Q461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R2'!E462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2026082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2026082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2026082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2026082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2026082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2026082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2026082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2026082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2026082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2026082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2026082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2026082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341</v>
      </c>
      <c r="F6" s="660" t="s">
        <v>230</v>
      </c>
    </row>
    <row r="7" spans="2:20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1</v>
      </c>
      <c r="E32" s="651" t="b">
        <f>+E23+'Reporte Componentes R1'!G75+'Rem. Anticipos R2'!F47+'Reversion Pagos R4'!E73+'Reporte Componentes R1'!G77+'AJUSTES - SF-T'!E47=E9</f>
        <v>1</v>
      </c>
      <c r="F32" s="651" t="b">
        <f>+F23+'Reporte Componentes R1'!H75+'Rem. Anticipos R2'!G47+'Reversion Pagos R4'!F73+'Reporte Componentes R1'!H77+'AJUSTES - SF-T'!F47=F9</f>
        <v>1</v>
      </c>
      <c r="G32" s="651" t="b">
        <f>+G23+'Reporte Componentes R1'!I75+'Rem. Anticipos R2'!H47+'Reversion Pagos R4'!G73+'Reporte Componentes R1'!I77+'AJUSTES - SF-T'!G47=G9</f>
        <v>1</v>
      </c>
      <c r="H32" s="651" t="b">
        <f>+H23+'Reporte Componentes R1'!J75+'Rem. Anticipos R2'!I47+'Reversion Pagos R4'!H73+'Reporte Componentes R1'!J77+'AJUSTES - SF-T'!H47=H9</f>
        <v>1</v>
      </c>
      <c r="I32" s="651" t="b">
        <f>+I23+'Reporte Componentes R1'!K75+'Rem. Anticipos R2'!J47+'Reversion Pagos R4'!I73+'Reporte Componentes R1'!K77+'AJUSTES - SF-T'!I47=I9</f>
        <v>1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INTERVENTORIA!M26+L23=L9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1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R1'!F254+'Rem. Anticipos R2'!E144+'Reversion Pagos R4'!D174+'Reporte Componentes R1'!F256+'AJUSTES - SF-T'!D48=D10</f>
        <v>1</v>
      </c>
      <c r="E33" s="651" t="b">
        <f>+E24+'Reporte Componentes R1'!G254+'Rem. Anticipos R2'!F144+'Reversion Pagos R4'!E174+'Reporte Componentes R1'!G256+'AJUSTES - SF-T'!E48=E10</f>
        <v>1</v>
      </c>
      <c r="F33" s="651" t="b">
        <f>+F24+'Reporte Componentes R1'!H254+'Rem. Anticipos R2'!G144+'Reversion Pagos R4'!F174+'Reporte Componentes R1'!H256+'AJUSTES - SF-T'!F48=F10</f>
        <v>1</v>
      </c>
      <c r="G33" s="651" t="b">
        <f>+G24+'Reporte Componentes R1'!I254+'Rem. Anticipos R2'!H144+'Reversion Pagos R4'!G174+'Reporte Componentes R1'!I256+'AJUSTES - SF-T'!G48=G10</f>
        <v>1</v>
      </c>
      <c r="H33" s="651" t="b">
        <f>+H24+'Reporte Componentes R1'!J254+'Rem. Anticipos R2'!I144+'Reversion Pagos R4'!H174+'Reporte Componentes R1'!J256+'AJUSTES - SF-T'!H48=H10</f>
        <v>1</v>
      </c>
      <c r="I33" s="651" t="b">
        <f>+I24+'Reporte Componentes R1'!K254+'Rem. Anticipos R2'!J144+'Reversion Pagos R4'!I174+'Reporte Componentes R1'!K256+'AJUSTES - SF-T'!I48=I10</f>
        <v>1</v>
      </c>
      <c r="J33" s="651" t="b">
        <f>+'BCE SC POR FACT.'!F4+J24=J10</f>
        <v>1</v>
      </c>
      <c r="K33" s="648" t="b">
        <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f>
        <v>1</v>
      </c>
      <c r="L33" s="698" t="b">
        <f>INTERVENTORIA!M27+L24=L10</f>
        <v>1</v>
      </c>
      <c r="M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f>
        <v>1</v>
      </c>
      <c r="N33" s="648" t="b">
        <f>+'Reporte Componentes R1'!L254+'Rem. Anticipos R2'!K144+'Reversion Pagos R4'!P174+'Reporte Componentes R1'!L256+N24=N10</f>
        <v>1</v>
      </c>
      <c r="O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R1'!F415+'Reporte Componentes R1'!F417+'Rem. Anticipos R2'!E262+'Reversion Pagos R4'!D211+D25+'AJUSTES - SF-T'!D49=D11</f>
        <v>1</v>
      </c>
      <c r="E34" s="651" t="b">
        <f>+'Reporte Componentes R1'!G415+'Reporte Componentes R1'!G417+'Rem. Anticipos R2'!F262+'Reversion Pagos R4'!E211+E25+'AJUSTES - SF-T'!E49=E11</f>
        <v>1</v>
      </c>
      <c r="F34" s="651" t="b">
        <f>+'Reporte Componentes R1'!H415+'Reporte Componentes R1'!H417+'Rem. Anticipos R2'!G262+'Reversion Pagos R4'!F211+F25+'AJUSTES - SF-T'!F49=F11</f>
        <v>1</v>
      </c>
      <c r="G34" s="651" t="b">
        <f>+'Reporte Componentes R1'!I415+'Reporte Componentes R1'!I417+'Rem. Anticipos R2'!H262+'Reversion Pagos R4'!G211+G25+'AJUSTES - SF-T'!G49=G11</f>
        <v>1</v>
      </c>
      <c r="H34" s="651" t="b">
        <f>+'Reporte Componentes R1'!J415+'Reporte Componentes R1'!J417+'Rem. Anticipos R2'!I262+'Reversion Pagos R4'!H211+H25+'AJUSTES - SF-T'!H49=H11</f>
        <v>1</v>
      </c>
      <c r="I34" s="651" t="b">
        <f>+'Reporte Componentes R1'!K415+'Reporte Componentes R1'!K417+'Rem. Anticipos R2'!J262+'Reversion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f>
        <v>1</v>
      </c>
      <c r="L34" s="698" t="b">
        <f>INTERVENTORIA!M28+L25=L11</f>
        <v>1</v>
      </c>
      <c r="M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f>
        <v>1</v>
      </c>
      <c r="N34" s="648" t="b">
        <f>+'Reporte Componentes R1'!L415+'Reporte Componentes R1'!L417+'Rem. Anticipos R2'!K262+'Reversion Pagos R4'!P211+N25=N11</f>
        <v>1</v>
      </c>
      <c r="O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R1'!F568+'Reporte Componentes R1'!F570+'Rem. Anticipos R2'!E362+'Reversion Pagos R4'!D326+D26+'AJUSTES - SF-T'!D50=D12</f>
        <v>1</v>
      </c>
      <c r="E35" s="651" t="b">
        <f>+'Reporte Componentes R1'!G568+'Reporte Componentes R1'!G570+'Rem. Anticipos R2'!F362+'Reversion Pagos R4'!E326+E26+'AJUSTES - SF-T'!E50=E12</f>
        <v>1</v>
      </c>
      <c r="F35" s="651" t="b">
        <f>+'Reporte Componentes R1'!H568+'Reporte Componentes R1'!H570+'Rem. Anticipos R2'!G362+'Reversion Pagos R4'!F326+F26+'AJUSTES - SF-T'!F50=F12</f>
        <v>1</v>
      </c>
      <c r="G35" s="651" t="b">
        <f>+'Reporte Componentes R1'!I568+'Reporte Componentes R1'!I570+'Rem. Anticipos R2'!H362+'Reversion Pagos R4'!G326+G26+'AJUSTES - SF-T'!G50=G12</f>
        <v>1</v>
      </c>
      <c r="H35" s="651" t="b">
        <f>+'Reporte Componentes R1'!J568+'Reporte Componentes R1'!J570+'Rem. Anticipos R2'!I362+'Reversion Pagos R4'!H326+H26+'AJUSTES - SF-T'!H50=H12</f>
        <v>1</v>
      </c>
      <c r="I35" s="651" t="b">
        <f>+'Reporte Componentes R1'!K568+'Reporte Componentes R1'!K570+'Rem. Anticipos R2'!J362+'Reversion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f>
        <v>1</v>
      </c>
      <c r="L35" s="698" t="b">
        <f>INTERVENTORIA!M29+L26=L12</f>
        <v>1</v>
      </c>
      <c r="M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f>
        <v>1</v>
      </c>
      <c r="N35" s="648" t="b">
        <f>+'Reporte Componentes R1'!L568+'Reporte Componentes R1'!L570+'Rem. Anticipos R2'!K362+'Reversion Pagos R4'!P326+N26=N12</f>
        <v>1</v>
      </c>
      <c r="O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R1'!F680+'Reporte Componentes R1'!F682+'Rem. Anticipos R2'!E446+'Reversion Pagos R4'!D361+'AJUSTES - SF-T'!D51=D13</f>
        <v>1</v>
      </c>
      <c r="E36" s="651" t="b">
        <f>+E27+'Reporte Componentes R1'!G680+'Reporte Componentes R1'!G682+'Rem. Anticipos R2'!F446+'Reversion Pagos R4'!E361+'AJUSTES - SF-T'!E51=E13</f>
        <v>1</v>
      </c>
      <c r="F36" s="651" t="b">
        <f>+F27+'Reporte Componentes R1'!H680+'Reporte Componentes R1'!H682+'Rem. Anticipos R2'!G446+'Reversion Pagos R4'!F361+'AJUSTES - SF-T'!F51=F13</f>
        <v>1</v>
      </c>
      <c r="G36" s="651" t="b">
        <f>+G27+'Reporte Componentes R1'!I680+'Reporte Componentes R1'!I682+'Rem. Anticipos R2'!H446+'Reversion Pagos R4'!G361+'AJUSTES - SF-T'!G51=G13</f>
        <v>1</v>
      </c>
      <c r="H36" s="651" t="b">
        <f>+H27+'Reporte Componentes R1'!J680+'Reporte Componentes R1'!J682+'Rem. Anticipos R2'!I446+'Reversion Pagos R4'!H361+'AJUSTES - SF-T'!H51=H13</f>
        <v>1</v>
      </c>
      <c r="I36" s="651" t="b">
        <f>+I27+'Reporte Componentes R1'!K680+'Reporte Componentes R1'!K682+'Rem. Anticipos R2'!J446+'Reversion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f>
        <v>1</v>
      </c>
      <c r="L36" s="698" t="b">
        <f>INTERVENTORIA!M30+L27=L13</f>
        <v>1</v>
      </c>
      <c r="M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f>
        <v>1</v>
      </c>
      <c r="N36" s="648" t="b">
        <f>+'Reporte Componentes R1'!L680+'Reporte Componentes R1'!L682+'Rem. Anticipos R2'!K446+'Reversion Pagos R4'!P361+N27=N13</f>
        <v>1</v>
      </c>
      <c r="O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K13" workbookViewId="0">
      <selection activeCell="R28" sqref="R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341</v>
      </c>
      <c r="F6" s="660" t="s">
        <v>230</v>
      </c>
    </row>
    <row r="7" spans="2:15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-INTERVENTORIA!M26+I16=I9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+DetRetri2026082!N32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1</v>
      </c>
    </row>
    <row r="25" spans="2:16" x14ac:dyDescent="0.3">
      <c r="B25" s="610" t="s">
        <v>116</v>
      </c>
      <c r="C25" s="338" t="s">
        <v>11</v>
      </c>
      <c r="D25" s="654" t="b">
        <f>+'Reporte Componentes R1'!M254+'Rem. Anticipos R2'!L144+'Reversion Pagos R4'!J174+'Reporte Componentes R1'!M256+D17+'AJUSTES - SF-T'!U48=D10</f>
        <v>1</v>
      </c>
      <c r="E25" s="654" t="b">
        <f>+'Reporte Componentes R1'!N254+'Rem. Anticipos R2'!M144+'Reversion Pagos R4'!K174+'Reporte Componentes R1'!N256+E17+'AJUSTES - SF-T'!V48=E10</f>
        <v>1</v>
      </c>
      <c r="F25" s="654" t="b">
        <f>+'Reporte Componentes R1'!O254+'Rem. Anticipos R2'!N144+'Reversion Pagos R4'!L174+'Reporte Componentes R1'!O256+F17+'AJUSTES - SF-T'!W48=F10</f>
        <v>1</v>
      </c>
      <c r="G25" s="654" t="b">
        <f>+'Reporte Componentes R1'!P254+'Rem. Anticipos R2'!O144+'Reversion Pagos R4'!M174+'Reporte Componentes R1'!P256+G17+'AJUSTES - SF-T'!X48=G10</f>
        <v>1</v>
      </c>
      <c r="H25" s="654" t="b">
        <f>+'Reporte Componentes R1'!Q254+'Rem. Anticipos R2'!P144+'Reversion Pagos R4'!N174+'Reporte Componentes R1'!Q256+H17+'AJUSTES - SF-T'!Y48=H10</f>
        <v>1</v>
      </c>
      <c r="I25" s="698" t="b">
        <f>-INTERVENTORIA!M27+I17=I10</f>
        <v>1</v>
      </c>
      <c r="J25" s="654" t="b">
        <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1</v>
      </c>
      <c r="K25" s="654" t="b">
        <f>+DetRetri2026082!N33</f>
        <v>1</v>
      </c>
      <c r="L25" s="648" t="b">
        <f>+'Reporte Componentes R1'!F255+'Rem. Anticipos R2'!E145+'Reporte Componentes R1'!F257+'Reversion Pagos R4'!D175+'AJUSTES - SF-T'!AD48+L17=L10</f>
        <v>1</v>
      </c>
      <c r="M25" s="715">
        <f>-'BCE SC POR FACT.'!F4+'Reporte Componentes R1'!F255+'Rem. Anticipos R2'!E145+'Reporte Componentes R1'!F257+'Reversion Pagos R4'!D175+'AJUSTES - SF-T'!AD48+M17-M10</f>
        <v>0</v>
      </c>
      <c r="N25" s="648" t="b">
        <f>'Reporte Componentes R1'!F255+'Rem. Anticipos R2'!E145+'Reporte Componentes R1'!F257+'Reversion Pagos R4'!D175+'AJUSTES - SF-T'!AD48+L17=L10</f>
        <v>1</v>
      </c>
      <c r="O25" s="648" t="b">
        <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R1'!M415+'Reporte Componentes R1'!M417+'Rem. Anticipos R2'!L262+'Reversion Pagos R4'!J211+D18+'AJUSTES - SF-T'!U49=D11</f>
        <v>1</v>
      </c>
      <c r="E26" s="648" t="b">
        <f>+'Reporte Componentes R1'!N415+'Reporte Componentes R1'!N417+'Rem. Anticipos R2'!M262+'Reversion Pagos R4'!K211+E18+'AJUSTES - SF-T'!V49=E11</f>
        <v>1</v>
      </c>
      <c r="F26" s="648" t="b">
        <f>+'Reporte Componentes R1'!O415+'Reporte Componentes R1'!O417+'Rem. Anticipos R2'!N262+'Reversion Pagos R4'!L211+F18+'AJUSTES - SF-T'!W49=F11</f>
        <v>1</v>
      </c>
      <c r="G26" s="648" t="b">
        <f>+'Reporte Componentes R1'!P415+'Reporte Componentes R1'!P417+'Rem. Anticipos R2'!O262+'Reversion Pagos R4'!M211+G18+'AJUSTES - SF-T'!X49=G11</f>
        <v>1</v>
      </c>
      <c r="H26" s="648" t="b">
        <f>+'Reporte Componentes R1'!Q415+'Reporte Componentes R1'!Q417+'Rem. Anticipos R2'!P262+'Reversion Pagos R4'!N211+H18+'AJUSTES - SF-T'!Y49=H11</f>
        <v>1</v>
      </c>
      <c r="I26" s="698" t="b">
        <f>-INTERVENTORIA!M28+I18=I11</f>
        <v>1</v>
      </c>
      <c r="J26" s="648" t="b">
        <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+DetRetri2026082!N34</f>
        <v>1</v>
      </c>
      <c r="L26" s="648" t="b">
        <f>+'Reporte Componentes R1'!F416+'Rem. Anticipos R2'!E263+'Reporte Componentes R1'!F418+'Reversion Pagos R4'!D212+'AJUSTES - SF-T'!AD49+L18=L11</f>
        <v>1</v>
      </c>
      <c r="M26" s="715">
        <f>-'BCE SC POR FACT.'!F5+'Reporte Componentes R1'!F416+'Rem. Anticipos R2'!E263+'Reporte Componentes R1'!F418+'Reversion Pagos R4'!D212+'AJUSTES - SF-T'!AD49+M18-M11</f>
        <v>0</v>
      </c>
      <c r="N26" s="648" t="b">
        <f>'Reporte Componentes R1'!F416+'Rem. Anticipos R2'!E263+'Reporte Componentes R1'!F418+'Reversion Pagos R4'!D212+'AJUSTES - SF-T'!AD49+L18=L11</f>
        <v>1</v>
      </c>
      <c r="O26" s="712" t="b">
        <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R1'!M568+'Reporte Componentes R1'!M570+'Rem. Anticipos R2'!L362+'Reversion Pagos R4'!J326+D19+'AJUSTES - SF-T'!U50=D12</f>
        <v>1</v>
      </c>
      <c r="E27" s="648" t="b">
        <f>+'Reporte Componentes R1'!N568+'Reporte Componentes R1'!N570+'Rem. Anticipos R2'!M362+'Reversion Pagos R4'!K326+E19+'AJUSTES - SF-T'!V50=E12</f>
        <v>1</v>
      </c>
      <c r="F27" s="648" t="b">
        <f>+'Reporte Componentes R1'!O568+'Reporte Componentes R1'!O570+'Rem. Anticipos R2'!N362+'Reversion Pagos R4'!L326+F19+'AJUSTES - SF-T'!W50=F12</f>
        <v>1</v>
      </c>
      <c r="G27" s="648" t="b">
        <f>+'Reporte Componentes R1'!P568+'Reporte Componentes R1'!P570+'Rem. Anticipos R2'!O362+'Reversion Pagos R4'!M326+G19+'AJUSTES - SF-T'!X50=G12</f>
        <v>1</v>
      </c>
      <c r="H27" s="648" t="b">
        <f>+'Reporte Componentes R1'!Q568+'Reporte Componentes R1'!Q570+'Rem. Anticipos R2'!P362+'Reversion Pagos R4'!N326+H19+'AJUSTES - SF-T'!Y50=H12</f>
        <v>1</v>
      </c>
      <c r="I27" s="698" t="b">
        <f>-INTERVENTORIA!M29+I19=I12</f>
        <v>1</v>
      </c>
      <c r="J27" s="648" t="b">
        <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+DetRetri2026082!N35</f>
        <v>1</v>
      </c>
      <c r="L27" s="648" t="b">
        <f>+'Reporte Componentes R1'!F569+'Rem. Anticipos R2'!E363+'Reporte Componentes R1'!F571+'Reversion Pagos R4'!D327+'AJUSTES - SF-T'!AD50+L19=L12</f>
        <v>1</v>
      </c>
      <c r="M27" s="715">
        <f>-'BCE SC POR FACT.'!F6+'Reporte Componentes R1'!F569+'Rem. Anticipos R2'!E363+'Reporte Componentes R1'!F571+'Reversion Pagos R4'!D327+'AJUSTES - SF-T'!AD50+M19-M12</f>
        <v>0</v>
      </c>
      <c r="N27" s="648" t="b">
        <f>'Reporte Componentes R1'!F569+'Rem. Anticipos R2'!E363+'Reporte Componentes R1'!F571+'Reversion Pagos R4'!D327+'AJUSTES - SF-T'!AD50+L19=L12</f>
        <v>1</v>
      </c>
      <c r="O27" s="712" t="b">
        <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R1'!M680+'Reporte Componentes R1'!M682+'Rem. Anticipos R2'!L446+'Reversion Pagos R4'!J361+D20+'AJUSTES - SF-T'!U51=D13</f>
        <v>1</v>
      </c>
      <c r="E28" s="648" t="b">
        <f>+'Reporte Componentes R1'!N680+'Reporte Componentes R1'!N682+'Rem. Anticipos R2'!M446+'Reversion Pagos R4'!K361+E20+'AJUSTES - SF-T'!V51=E13</f>
        <v>1</v>
      </c>
      <c r="F28" s="648" t="b">
        <f>+'Reporte Componentes R1'!O680+'Reporte Componentes R1'!O682+'Rem. Anticipos R2'!N446+'Reversion Pagos R4'!L361+F20+'AJUSTES - SF-T'!W51=F13</f>
        <v>1</v>
      </c>
      <c r="G28" s="648" t="b">
        <f>+'Reporte Componentes R1'!P680+'Reporte Componentes R1'!P682+'Rem. Anticipos R2'!O446+'Reversion Pagos R4'!M361+G20+'AJUSTES - SF-T'!X51=G13</f>
        <v>1</v>
      </c>
      <c r="H28" s="648" t="b">
        <f>+'Reporte Componentes R1'!Q680+'Reporte Componentes R1'!Q682+'Rem. Anticipos R2'!P446+'Reversion Pagos R4'!N361+H20+'AJUSTES - SF-T'!Y51=H13</f>
        <v>1</v>
      </c>
      <c r="I28" s="698" t="b">
        <f>-INTERVENTORIA!M30+I20=I13</f>
        <v>1</v>
      </c>
      <c r="J28" s="650" t="b">
        <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+DetRetri2026082!N36</f>
        <v>1</v>
      </c>
      <c r="L28" s="648" t="b">
        <f>+'Reporte Componentes R1'!F681+'Rem. Anticipos R2'!E447+'Reporte Componentes R1'!F683+'Reversion Pagos R4'!D362+'AJUSTES - SF-T'!AD51+L20=L13</f>
        <v>1</v>
      </c>
      <c r="M28" s="648" t="b">
        <f>-'BCE SC POR FACT.'!F7+'Reporte Componentes R1'!F681+'Rem. Anticipos R2'!E447+'Reporte Componentes R1'!F683+'Reversion Pagos R4'!D362+'AJUSTES - SF-T'!AD51+M20=M13</f>
        <v>1</v>
      </c>
      <c r="N28" s="648" t="b">
        <f>'Reporte Componentes R1'!F681+'Rem. Anticipos R2'!E447+'Reporte Componentes R1'!F683+'Reversion Pagos R4'!D362+'AJUSTES - SF-T'!AD51+L20=L13</f>
        <v>1</v>
      </c>
      <c r="O28" s="648" t="b">
        <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f>
        <v>0</v>
      </c>
    </row>
    <row r="29" spans="2:16" x14ac:dyDescent="0.3">
      <c r="C29" s="649" t="s">
        <v>2</v>
      </c>
      <c r="D29" s="648" t="b">
        <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f>
        <v>1</v>
      </c>
      <c r="H29" s="648" t="b">
        <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f>
        <v>1</v>
      </c>
      <c r="I29" s="698" t="b">
        <f>-INTERVENTORIA!M31+I21=I14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1</v>
      </c>
      <c r="K29" s="648" t="b">
        <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f>
        <v>1</v>
      </c>
      <c r="N29" s="648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2026082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2026082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G11" sqref="G11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2026082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68200068115</v>
      </c>
      <c r="E7" s="533">
        <v>68245142592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38870386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6204091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5736574007</v>
      </c>
      <c r="E10" s="535">
        <v>5736574007</v>
      </c>
      <c r="F10" s="536">
        <v>73981716599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