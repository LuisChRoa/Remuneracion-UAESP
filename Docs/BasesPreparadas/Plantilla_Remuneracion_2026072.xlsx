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"/>
    </mc:Choice>
  </mc:AlternateContent>
  <xr:revisionPtr revIDLastSave="0" documentId="13_ncr:1_{8BCCF797-65EE-47CD-BB18-9D5D98129477}" xr6:coauthVersionLast="47" xr6:coauthVersionMax="47" xr10:uidLastSave="{00000000-0000-0000-0000-000000000000}"/>
  <bookViews>
    <workbookView xWindow="-108" yWindow="-108" windowWidth="23256" windowHeight="12456" tabRatio="780" firstSheet="9" activeTab="9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2" sheetId="93" r:id="rId36"/>
    <sheet name="DetValiRetri202607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R1'!$A$5:$X$45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2" l="1"/>
  <c r="L11" i="22"/>
  <c r="L12" i="22"/>
  <c r="L13" i="22"/>
  <c r="L9" i="22"/>
  <c r="L14" i="22" s="1"/>
  <c r="D10" i="68"/>
  <c r="C11" i="68"/>
  <c r="C10" i="68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4" i="61"/>
  <c r="D373" i="61"/>
  <c r="E367" i="61"/>
  <c r="D368" i="61"/>
  <c r="D367" i="61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E361" i="61"/>
  <c r="D362" i="61"/>
  <c r="D361" i="61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E223" i="61"/>
  <c r="D224" i="61"/>
  <c r="D223" i="61"/>
  <c r="D218" i="61"/>
  <c r="E217" i="61"/>
  <c r="D217" i="61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E211" i="61"/>
  <c r="D212" i="61"/>
  <c r="D211" i="61"/>
  <c r="E180" i="61"/>
  <c r="D181" i="61"/>
  <c r="D180" i="61"/>
  <c r="E177" i="61"/>
  <c r="D178" i="61"/>
  <c r="D177" i="61"/>
  <c r="D175" i="61"/>
  <c r="E174" i="61"/>
  <c r="D174" i="61"/>
  <c r="E85" i="61"/>
  <c r="D86" i="61"/>
  <c r="D85" i="61"/>
  <c r="E79" i="61"/>
  <c r="D80" i="61"/>
  <c r="D79" i="61"/>
  <c r="E73" i="61"/>
  <c r="D74" i="61"/>
  <c r="D73" i="61"/>
  <c r="R452" i="59"/>
  <c r="Q452" i="59"/>
  <c r="P452" i="59"/>
  <c r="O452" i="59"/>
  <c r="N452" i="59"/>
  <c r="M452" i="59"/>
  <c r="L452" i="59"/>
  <c r="K452" i="59"/>
  <c r="J452" i="59"/>
  <c r="I452" i="59"/>
  <c r="H452" i="59"/>
  <c r="G452" i="59"/>
  <c r="F452" i="59"/>
  <c r="E452" i="59"/>
  <c r="E150" i="59"/>
  <c r="R147" i="59"/>
  <c r="Q147" i="59"/>
  <c r="P147" i="59"/>
  <c r="O147" i="59"/>
  <c r="N147" i="59"/>
  <c r="M147" i="59"/>
  <c r="L147" i="59"/>
  <c r="K147" i="59"/>
  <c r="J147" i="59"/>
  <c r="I147" i="59"/>
  <c r="H147" i="59"/>
  <c r="G147" i="59"/>
  <c r="F147" i="59"/>
  <c r="E148" i="59"/>
  <c r="E147" i="59"/>
  <c r="E144" i="59"/>
  <c r="S53" i="59"/>
  <c r="R53" i="59"/>
  <c r="Q53" i="59"/>
  <c r="P53" i="59"/>
  <c r="O53" i="59"/>
  <c r="N53" i="59"/>
  <c r="M53" i="59"/>
  <c r="L53" i="59"/>
  <c r="K53" i="59"/>
  <c r="J53" i="59"/>
  <c r="I53" i="59"/>
  <c r="H53" i="59"/>
  <c r="G53" i="59"/>
  <c r="F53" i="59"/>
  <c r="E53" i="59"/>
  <c r="E48" i="59"/>
  <c r="F47" i="59"/>
  <c r="E47" i="59"/>
  <c r="Z598" i="55"/>
  <c r="Y598" i="55"/>
  <c r="X598" i="55"/>
  <c r="W598" i="55"/>
  <c r="V598" i="55"/>
  <c r="U598" i="55"/>
  <c r="T598" i="55"/>
  <c r="S598" i="55"/>
  <c r="R598" i="55"/>
  <c r="Q598" i="55"/>
  <c r="P598" i="55"/>
  <c r="O598" i="55"/>
  <c r="N598" i="55"/>
  <c r="M598" i="55"/>
  <c r="L598" i="55"/>
  <c r="K598" i="55"/>
  <c r="J598" i="55"/>
  <c r="I598" i="55"/>
  <c r="H598" i="55"/>
  <c r="G598" i="55"/>
  <c r="F598" i="55"/>
  <c r="F590" i="55"/>
  <c r="G588" i="55"/>
  <c r="F588" i="55"/>
  <c r="F580" i="55"/>
  <c r="G578" i="55"/>
  <c r="F579" i="55"/>
  <c r="F578" i="55"/>
  <c r="G575" i="55"/>
  <c r="F575" i="55"/>
  <c r="G573" i="55"/>
  <c r="F573" i="55"/>
  <c r="G570" i="55"/>
  <c r="F571" i="55"/>
  <c r="F570" i="55"/>
  <c r="F569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G568" i="55"/>
  <c r="F568" i="55"/>
  <c r="AP261" i="55"/>
  <c r="AO261" i="55"/>
  <c r="AN261" i="55"/>
  <c r="AM261" i="55"/>
  <c r="AL261" i="55"/>
  <c r="AK261" i="55"/>
  <c r="AJ261" i="55"/>
  <c r="AI261" i="55"/>
  <c r="AH261" i="55"/>
  <c r="AG261" i="55"/>
  <c r="AF261" i="55"/>
  <c r="AE261" i="55"/>
  <c r="AD261" i="55"/>
  <c r="AC261" i="55"/>
  <c r="AB261" i="55"/>
  <c r="AA261" i="55"/>
  <c r="Z261" i="55"/>
  <c r="Y261" i="55"/>
  <c r="X261" i="55"/>
  <c r="W261" i="55"/>
  <c r="V261" i="55"/>
  <c r="U261" i="55"/>
  <c r="T261" i="55"/>
  <c r="S261" i="55"/>
  <c r="R261" i="55"/>
  <c r="Q261" i="55"/>
  <c r="P261" i="55"/>
  <c r="O261" i="55"/>
  <c r="N261" i="55"/>
  <c r="M261" i="55"/>
  <c r="L261" i="55"/>
  <c r="K261" i="55"/>
  <c r="J261" i="55"/>
  <c r="I261" i="55"/>
  <c r="H261" i="55"/>
  <c r="G261" i="55"/>
  <c r="F262" i="55"/>
  <c r="F261" i="55"/>
  <c r="G259" i="55"/>
  <c r="F259" i="55"/>
  <c r="G256" i="55"/>
  <c r="F257" i="55"/>
  <c r="F256" i="55"/>
  <c r="F445" i="55"/>
  <c r="AO437" i="55"/>
  <c r="AN437" i="55"/>
  <c r="AM437" i="55"/>
  <c r="AL437" i="55"/>
  <c r="AK437" i="55"/>
  <c r="AJ437" i="55"/>
  <c r="AI437" i="55"/>
  <c r="AH437" i="55"/>
  <c r="AG437" i="55"/>
  <c r="AF437" i="55"/>
  <c r="AE437" i="55"/>
  <c r="AD437" i="55"/>
  <c r="AC437" i="55"/>
  <c r="AB437" i="55"/>
  <c r="AA437" i="55"/>
  <c r="Z437" i="55"/>
  <c r="Y437" i="55"/>
  <c r="X437" i="55"/>
  <c r="W437" i="55"/>
  <c r="V437" i="55"/>
  <c r="U437" i="55"/>
  <c r="T437" i="55"/>
  <c r="S437" i="55"/>
  <c r="R437" i="55"/>
  <c r="Q437" i="55"/>
  <c r="P437" i="55"/>
  <c r="O437" i="55"/>
  <c r="N437" i="55"/>
  <c r="M437" i="55"/>
  <c r="L437" i="55"/>
  <c r="K437" i="55"/>
  <c r="J437" i="55"/>
  <c r="I437" i="55"/>
  <c r="H437" i="55"/>
  <c r="G437" i="55"/>
  <c r="F438" i="55"/>
  <c r="F437" i="55"/>
  <c r="F435" i="55"/>
  <c r="AO427" i="55"/>
  <c r="AN427" i="55"/>
  <c r="AM427" i="55"/>
  <c r="AL427" i="55"/>
  <c r="AK427" i="55"/>
  <c r="AJ427" i="55"/>
  <c r="AI427" i="55"/>
  <c r="AH427" i="55"/>
  <c r="AG427" i="55"/>
  <c r="AF427" i="55"/>
  <c r="AE427" i="55"/>
  <c r="AD427" i="55"/>
  <c r="AC427" i="55"/>
  <c r="AB427" i="55"/>
  <c r="AA427" i="55"/>
  <c r="Z427" i="55"/>
  <c r="Y427" i="55"/>
  <c r="X427" i="55"/>
  <c r="W427" i="55"/>
  <c r="V427" i="55"/>
  <c r="U427" i="55"/>
  <c r="T427" i="55"/>
  <c r="S427" i="55"/>
  <c r="R427" i="55"/>
  <c r="Q427" i="55"/>
  <c r="P427" i="55"/>
  <c r="O427" i="55"/>
  <c r="N427" i="55"/>
  <c r="M427" i="55"/>
  <c r="L427" i="55"/>
  <c r="K427" i="55"/>
  <c r="J427" i="55"/>
  <c r="I427" i="55"/>
  <c r="H427" i="55"/>
  <c r="G427" i="55"/>
  <c r="F428" i="55"/>
  <c r="F427" i="55"/>
  <c r="G425" i="55"/>
  <c r="F426" i="55"/>
  <c r="F425" i="55"/>
  <c r="G417" i="55"/>
  <c r="F417" i="55"/>
  <c r="G415" i="55"/>
  <c r="F416" i="55"/>
  <c r="F415" i="55"/>
  <c r="F284" i="55"/>
  <c r="F266" i="55"/>
  <c r="G264" i="55"/>
  <c r="F264" i="55"/>
  <c r="G254" i="55"/>
  <c r="F254" i="55"/>
  <c r="F87" i="55"/>
  <c r="F85" i="55"/>
  <c r="G77" i="55"/>
  <c r="F77" i="55"/>
  <c r="G75" i="55"/>
  <c r="F76" i="55"/>
  <c r="F75" i="55"/>
  <c r="F105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P97" i="55"/>
  <c r="O97" i="55"/>
  <c r="N97" i="55"/>
  <c r="M97" i="55"/>
  <c r="L97" i="55"/>
  <c r="K97" i="55"/>
  <c r="J97" i="55"/>
  <c r="I97" i="55"/>
  <c r="H97" i="55"/>
  <c r="G97" i="55"/>
  <c r="F98" i="55"/>
  <c r="F97" i="55"/>
  <c r="G95" i="55"/>
  <c r="F96" i="55"/>
  <c r="F95" i="55"/>
  <c r="AP87" i="55"/>
  <c r="AO87" i="55"/>
  <c r="AN87" i="55"/>
  <c r="AM87" i="55"/>
  <c r="AL87" i="55"/>
  <c r="AK87" i="55"/>
  <c r="AJ87" i="55"/>
  <c r="AI87" i="55"/>
  <c r="AH87" i="55"/>
  <c r="AG87" i="55"/>
  <c r="AF87" i="55"/>
  <c r="AE87" i="55"/>
  <c r="AD87" i="55"/>
  <c r="AC87" i="55"/>
  <c r="AB87" i="55"/>
  <c r="AA87" i="55"/>
  <c r="Z87" i="55"/>
  <c r="Y87" i="55"/>
  <c r="X87" i="55"/>
  <c r="W87" i="55"/>
  <c r="V87" i="55"/>
  <c r="U87" i="55"/>
  <c r="T87" i="55"/>
  <c r="S87" i="55"/>
  <c r="R87" i="55"/>
  <c r="Q87" i="55"/>
  <c r="P87" i="55"/>
  <c r="O87" i="55"/>
  <c r="N87" i="55"/>
  <c r="M87" i="55"/>
  <c r="L87" i="55"/>
  <c r="K87" i="55"/>
  <c r="J87" i="55"/>
  <c r="I87" i="55"/>
  <c r="H87" i="55"/>
  <c r="G87" i="55"/>
  <c r="F88" i="55"/>
  <c r="AP85" i="55"/>
  <c r="AO85" i="55"/>
  <c r="AN85" i="55"/>
  <c r="AM85" i="55"/>
  <c r="AL85" i="55"/>
  <c r="AK85" i="55"/>
  <c r="AJ85" i="55"/>
  <c r="AI85" i="55"/>
  <c r="AH85" i="55"/>
  <c r="AG85" i="55"/>
  <c r="AF85" i="55"/>
  <c r="AE85" i="55"/>
  <c r="AD85" i="55"/>
  <c r="AC85" i="55"/>
  <c r="AB85" i="55"/>
  <c r="AA85" i="55"/>
  <c r="Z85" i="55"/>
  <c r="Y85" i="55"/>
  <c r="X85" i="55"/>
  <c r="W85" i="55"/>
  <c r="V85" i="55"/>
  <c r="U85" i="55"/>
  <c r="T85" i="55"/>
  <c r="S85" i="55"/>
  <c r="R85" i="55"/>
  <c r="Q85" i="55"/>
  <c r="P85" i="55"/>
  <c r="O85" i="55"/>
  <c r="N85" i="55"/>
  <c r="M85" i="55"/>
  <c r="L85" i="55"/>
  <c r="K85" i="55"/>
  <c r="J85" i="55"/>
  <c r="I85" i="55"/>
  <c r="H85" i="55"/>
  <c r="G85" i="55"/>
  <c r="F86" i="55"/>
  <c r="AP77" i="55"/>
  <c r="AO77" i="55"/>
  <c r="AN77" i="55"/>
  <c r="AM77" i="55"/>
  <c r="AL77" i="55"/>
  <c r="AK77" i="55"/>
  <c r="AJ77" i="55"/>
  <c r="AI77" i="55"/>
  <c r="AH77" i="55"/>
  <c r="AG77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F78" i="55"/>
  <c r="AP75" i="55"/>
  <c r="AO75" i="55"/>
  <c r="AN75" i="55"/>
  <c r="AM75" i="55"/>
  <c r="AL75" i="55"/>
  <c r="AK75" i="55"/>
  <c r="AJ75" i="55"/>
  <c r="AI75" i="55"/>
  <c r="AH75" i="55"/>
  <c r="AG75" i="55"/>
  <c r="AF75" i="55"/>
  <c r="AE75" i="55"/>
  <c r="AD75" i="55"/>
  <c r="AC75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J75" i="55"/>
  <c r="I75" i="55"/>
  <c r="H75" i="55"/>
  <c r="C37" i="68"/>
  <c r="D36" i="68"/>
  <c r="C36" i="68"/>
  <c r="D339" i="61"/>
  <c r="E338" i="61"/>
  <c r="D338" i="61"/>
  <c r="E332" i="61"/>
  <c r="D333" i="61"/>
  <c r="D332" i="61"/>
  <c r="E329" i="61"/>
  <c r="D330" i="61"/>
  <c r="D329" i="61"/>
  <c r="E326" i="61"/>
  <c r="D327" i="61"/>
  <c r="D326" i="61"/>
  <c r="E186" i="61"/>
  <c r="D187" i="61"/>
  <c r="D186" i="61"/>
  <c r="R177" i="61"/>
  <c r="Q177" i="61"/>
  <c r="P177" i="61"/>
  <c r="O177" i="61"/>
  <c r="N177" i="61"/>
  <c r="M177" i="61"/>
  <c r="L177" i="61"/>
  <c r="K177" i="61"/>
  <c r="J177" i="61"/>
  <c r="I177" i="61"/>
  <c r="H177" i="61"/>
  <c r="G177" i="61"/>
  <c r="F177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374" i="59"/>
  <c r="F365" i="59"/>
  <c r="E365" i="59"/>
  <c r="E366" i="59"/>
  <c r="E363" i="59"/>
  <c r="F362" i="59"/>
  <c r="E362" i="59"/>
  <c r="F589" i="55"/>
  <c r="G580" i="55"/>
  <c r="F581" i="55"/>
  <c r="F574" i="55"/>
  <c r="G435" i="55"/>
  <c r="AO417" i="55"/>
  <c r="AN417" i="55"/>
  <c r="AM417" i="55"/>
  <c r="AL417" i="55"/>
  <c r="AK417" i="55"/>
  <c r="AJ417" i="55"/>
  <c r="AI417" i="55"/>
  <c r="AH417" i="55"/>
  <c r="AG417" i="55"/>
  <c r="AF417" i="55"/>
  <c r="AE417" i="55"/>
  <c r="AD417" i="55"/>
  <c r="AC417" i="55"/>
  <c r="AB417" i="55"/>
  <c r="AA417" i="55"/>
  <c r="Z417" i="55"/>
  <c r="Y417" i="55"/>
  <c r="X417" i="55"/>
  <c r="W417" i="55"/>
  <c r="V417" i="55"/>
  <c r="U417" i="55"/>
  <c r="T417" i="55"/>
  <c r="S417" i="55"/>
  <c r="R417" i="55"/>
  <c r="Q417" i="55"/>
  <c r="P417" i="55"/>
  <c r="O417" i="55"/>
  <c r="N417" i="55"/>
  <c r="M417" i="55"/>
  <c r="L417" i="55"/>
  <c r="K417" i="55"/>
  <c r="J417" i="55"/>
  <c r="I417" i="55"/>
  <c r="H417" i="55"/>
  <c r="F418" i="55"/>
  <c r="AP276" i="55"/>
  <c r="AO276" i="55"/>
  <c r="AN276" i="55"/>
  <c r="AM276" i="55"/>
  <c r="AL276" i="55"/>
  <c r="AK276" i="55"/>
  <c r="AJ276" i="55"/>
  <c r="AI276" i="55"/>
  <c r="AH276" i="55"/>
  <c r="AG276" i="55"/>
  <c r="AF276" i="55"/>
  <c r="AE276" i="55"/>
  <c r="AD276" i="55"/>
  <c r="AC276" i="55"/>
  <c r="AB276" i="55"/>
  <c r="AA276" i="55"/>
  <c r="Z276" i="55"/>
  <c r="Y276" i="55"/>
  <c r="X276" i="55"/>
  <c r="W276" i="55"/>
  <c r="V276" i="55"/>
  <c r="U276" i="55"/>
  <c r="T276" i="55"/>
  <c r="S276" i="55"/>
  <c r="R276" i="55"/>
  <c r="Q276" i="55"/>
  <c r="P276" i="55"/>
  <c r="O276" i="55"/>
  <c r="N276" i="55"/>
  <c r="M276" i="55"/>
  <c r="L276" i="55"/>
  <c r="K276" i="55"/>
  <c r="J276" i="55"/>
  <c r="I276" i="55"/>
  <c r="H276" i="55"/>
  <c r="G276" i="55"/>
  <c r="F277" i="55"/>
  <c r="F276" i="55"/>
  <c r="G274" i="55"/>
  <c r="F275" i="55"/>
  <c r="F274" i="55"/>
  <c r="AA266" i="55"/>
  <c r="Z266" i="55"/>
  <c r="Y266" i="55"/>
  <c r="X266" i="55"/>
  <c r="W266" i="55"/>
  <c r="V266" i="55"/>
  <c r="U266" i="55"/>
  <c r="T266" i="55"/>
  <c r="S266" i="55"/>
  <c r="R266" i="55"/>
  <c r="Q266" i="55"/>
  <c r="P266" i="55"/>
  <c r="O266" i="55"/>
  <c r="N266" i="55"/>
  <c r="M266" i="55"/>
  <c r="L266" i="55"/>
  <c r="K266" i="55"/>
  <c r="J266" i="55"/>
  <c r="I266" i="55"/>
  <c r="H266" i="55"/>
  <c r="G266" i="55"/>
  <c r="F267" i="55"/>
  <c r="F265" i="55"/>
  <c r="F255" i="55"/>
  <c r="H17" i="62"/>
  <c r="R31" i="95"/>
  <c r="R30" i="95"/>
  <c r="R29" i="95"/>
  <c r="R28" i="95"/>
  <c r="R27" i="95"/>
  <c r="R26" i="95"/>
  <c r="O49" i="68"/>
  <c r="O62" i="68"/>
  <c r="P446" i="59"/>
  <c r="Z590" i="55"/>
  <c r="Y590" i="55"/>
  <c r="X590" i="55"/>
  <c r="W590" i="55"/>
  <c r="V590" i="55"/>
  <c r="U590" i="55"/>
  <c r="T590" i="55"/>
  <c r="S590" i="55"/>
  <c r="R590" i="55"/>
  <c r="Q590" i="55"/>
  <c r="P590" i="55"/>
  <c r="O590" i="55"/>
  <c r="N590" i="55"/>
  <c r="M590" i="55"/>
  <c r="L590" i="55"/>
  <c r="K590" i="55"/>
  <c r="J590" i="55"/>
  <c r="I590" i="55"/>
  <c r="H590" i="55"/>
  <c r="G590" i="55"/>
  <c r="F591" i="55"/>
  <c r="AO588" i="55"/>
  <c r="AN588" i="55"/>
  <c r="AM588" i="55"/>
  <c r="AL588" i="55"/>
  <c r="AK588" i="55"/>
  <c r="AJ588" i="55"/>
  <c r="AI588" i="55"/>
  <c r="AH588" i="55"/>
  <c r="AG588" i="55"/>
  <c r="AF588" i="55"/>
  <c r="AE588" i="55"/>
  <c r="AD588" i="55"/>
  <c r="AC588" i="55"/>
  <c r="AB588" i="55"/>
  <c r="AA588" i="55"/>
  <c r="Z588" i="55"/>
  <c r="Y588" i="55"/>
  <c r="X588" i="55"/>
  <c r="W588" i="55"/>
  <c r="V588" i="55"/>
  <c r="U588" i="55"/>
  <c r="T588" i="55"/>
  <c r="S588" i="55"/>
  <c r="R588" i="55"/>
  <c r="Q588" i="55"/>
  <c r="P588" i="55"/>
  <c r="O588" i="55"/>
  <c r="N588" i="55"/>
  <c r="M588" i="55"/>
  <c r="L588" i="55"/>
  <c r="K588" i="55"/>
  <c r="J588" i="55"/>
  <c r="I588" i="55"/>
  <c r="H588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Z575" i="55"/>
  <c r="Y575" i="55"/>
  <c r="X575" i="55"/>
  <c r="W575" i="55"/>
  <c r="V575" i="55"/>
  <c r="U575" i="55"/>
  <c r="T575" i="55"/>
  <c r="S575" i="55"/>
  <c r="R575" i="55"/>
  <c r="Q575" i="55"/>
  <c r="P575" i="55"/>
  <c r="O575" i="55"/>
  <c r="N575" i="55"/>
  <c r="M575" i="55"/>
  <c r="L575" i="55"/>
  <c r="K575" i="55"/>
  <c r="J575" i="55"/>
  <c r="I575" i="55"/>
  <c r="H575" i="55"/>
  <c r="F576" i="55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L573" i="55"/>
  <c r="K573" i="55"/>
  <c r="J573" i="55"/>
  <c r="I573" i="55"/>
  <c r="H573" i="55"/>
  <c r="AA570" i="55"/>
  <c r="Z570" i="55"/>
  <c r="Y570" i="55"/>
  <c r="X570" i="55"/>
  <c r="W570" i="55"/>
  <c r="V570" i="55"/>
  <c r="U570" i="55"/>
  <c r="T570" i="55"/>
  <c r="S570" i="55"/>
  <c r="R570" i="55"/>
  <c r="Q570" i="55"/>
  <c r="P570" i="55"/>
  <c r="O570" i="55"/>
  <c r="N570" i="55"/>
  <c r="M570" i="55"/>
  <c r="L570" i="55"/>
  <c r="K570" i="55"/>
  <c r="J570" i="55"/>
  <c r="I570" i="55"/>
  <c r="H570" i="55"/>
  <c r="R374" i="59"/>
  <c r="Q374" i="59"/>
  <c r="P374" i="59"/>
  <c r="O374" i="59"/>
  <c r="N374" i="59"/>
  <c r="M374" i="59"/>
  <c r="L374" i="59"/>
  <c r="K374" i="59"/>
  <c r="J374" i="59"/>
  <c r="I374" i="59"/>
  <c r="H374" i="59"/>
  <c r="G374" i="59"/>
  <c r="F374" i="59"/>
  <c r="E375" i="59"/>
  <c r="R368" i="59"/>
  <c r="Q368" i="59"/>
  <c r="P368" i="59"/>
  <c r="O368" i="59"/>
  <c r="N368" i="59"/>
  <c r="M368" i="59"/>
  <c r="L368" i="59"/>
  <c r="K368" i="59"/>
  <c r="J368" i="59"/>
  <c r="I368" i="59"/>
  <c r="H368" i="59"/>
  <c r="G368" i="59"/>
  <c r="F368" i="59"/>
  <c r="E369" i="59"/>
  <c r="E368" i="59"/>
  <c r="R365" i="59"/>
  <c r="Q365" i="59"/>
  <c r="P365" i="59"/>
  <c r="O365" i="59"/>
  <c r="N365" i="59"/>
  <c r="M365" i="59"/>
  <c r="L365" i="59"/>
  <c r="K365" i="59"/>
  <c r="J365" i="59"/>
  <c r="I365" i="59"/>
  <c r="H365" i="59"/>
  <c r="G365" i="59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P49" i="68"/>
  <c r="N49" i="68"/>
  <c r="M49" i="68"/>
  <c r="L49" i="68"/>
  <c r="K49" i="68"/>
  <c r="J49" i="68"/>
  <c r="I49" i="68"/>
  <c r="H49" i="68"/>
  <c r="G49" i="68"/>
  <c r="F49" i="68"/>
  <c r="E49" i="68"/>
  <c r="D49" i="68"/>
  <c r="C50" i="68"/>
  <c r="C49" i="68"/>
  <c r="AO700" i="55"/>
  <c r="AN700" i="55"/>
  <c r="AM700" i="55"/>
  <c r="AL700" i="55"/>
  <c r="AK700" i="55"/>
  <c r="AJ700" i="55"/>
  <c r="AI700" i="55"/>
  <c r="AH700" i="55"/>
  <c r="AG700" i="55"/>
  <c r="AF700" i="55"/>
  <c r="AE700" i="55"/>
  <c r="AD700" i="55"/>
  <c r="AC700" i="55"/>
  <c r="AB700" i="55"/>
  <c r="AA700" i="55"/>
  <c r="Z700" i="55"/>
  <c r="Y700" i="55"/>
  <c r="X700" i="55"/>
  <c r="W700" i="55"/>
  <c r="V700" i="55"/>
  <c r="U700" i="55"/>
  <c r="T700" i="55"/>
  <c r="S700" i="55"/>
  <c r="R700" i="55"/>
  <c r="Q700" i="55"/>
  <c r="P700" i="55"/>
  <c r="O700" i="55"/>
  <c r="N700" i="55"/>
  <c r="M700" i="55"/>
  <c r="L700" i="55"/>
  <c r="K700" i="55"/>
  <c r="J700" i="55"/>
  <c r="I700" i="55"/>
  <c r="H700" i="55"/>
  <c r="G700" i="55"/>
  <c r="F700" i="55"/>
  <c r="F710" i="55"/>
  <c r="E268" i="59"/>
  <c r="F262" i="59"/>
  <c r="E263" i="59"/>
  <c r="E262" i="59"/>
  <c r="AA710" i="55"/>
  <c r="Z710" i="55"/>
  <c r="Y710" i="55"/>
  <c r="X710" i="55"/>
  <c r="W710" i="55"/>
  <c r="V710" i="55"/>
  <c r="U710" i="55"/>
  <c r="T710" i="55"/>
  <c r="S710" i="55"/>
  <c r="R710" i="55"/>
  <c r="Q710" i="55"/>
  <c r="P710" i="55"/>
  <c r="O710" i="55"/>
  <c r="N710" i="55"/>
  <c r="M710" i="55"/>
  <c r="L710" i="55"/>
  <c r="K710" i="55"/>
  <c r="J710" i="55"/>
  <c r="I710" i="55"/>
  <c r="H710" i="55"/>
  <c r="G710" i="55"/>
  <c r="F701" i="55"/>
  <c r="G695" i="55"/>
  <c r="F695" i="55"/>
  <c r="G690" i="55"/>
  <c r="F690" i="55"/>
  <c r="AO680" i="55"/>
  <c r="AN680" i="55"/>
  <c r="AM680" i="55"/>
  <c r="AL680" i="55"/>
  <c r="AK680" i="55"/>
  <c r="AJ680" i="55"/>
  <c r="AI680" i="55"/>
  <c r="AH680" i="55"/>
  <c r="AG680" i="55"/>
  <c r="AF680" i="55"/>
  <c r="AE680" i="55"/>
  <c r="AD680" i="55"/>
  <c r="AC680" i="55"/>
  <c r="AB680" i="55"/>
  <c r="AA680" i="55"/>
  <c r="Z680" i="55"/>
  <c r="Y680" i="55"/>
  <c r="X680" i="55"/>
  <c r="W680" i="55"/>
  <c r="V680" i="55"/>
  <c r="U680" i="55"/>
  <c r="T680" i="55"/>
  <c r="S680" i="55"/>
  <c r="R680" i="55"/>
  <c r="Q680" i="55"/>
  <c r="P680" i="55"/>
  <c r="O680" i="55"/>
  <c r="N680" i="55"/>
  <c r="M680" i="55"/>
  <c r="L680" i="55"/>
  <c r="K680" i="55"/>
  <c r="J680" i="55"/>
  <c r="I680" i="55"/>
  <c r="H680" i="55"/>
  <c r="G680" i="55"/>
  <c r="F680" i="55"/>
  <c r="AO425" i="55"/>
  <c r="AN425" i="55"/>
  <c r="AM425" i="55"/>
  <c r="AL425" i="55"/>
  <c r="AK425" i="55"/>
  <c r="AJ425" i="55"/>
  <c r="AI425" i="55"/>
  <c r="AH425" i="55"/>
  <c r="AG425" i="55"/>
  <c r="AF425" i="55"/>
  <c r="AE425" i="55"/>
  <c r="AD425" i="55"/>
  <c r="AC425" i="55"/>
  <c r="AB425" i="55"/>
  <c r="AA425" i="55"/>
  <c r="Z425" i="55"/>
  <c r="Y425" i="55"/>
  <c r="X425" i="55"/>
  <c r="W425" i="55"/>
  <c r="V425" i="55"/>
  <c r="U425" i="55"/>
  <c r="T425" i="55"/>
  <c r="S425" i="55"/>
  <c r="R425" i="55"/>
  <c r="Q425" i="55"/>
  <c r="P425" i="55"/>
  <c r="O425" i="55"/>
  <c r="N425" i="55"/>
  <c r="M425" i="55"/>
  <c r="L425" i="55"/>
  <c r="K425" i="55"/>
  <c r="J425" i="55"/>
  <c r="I425" i="55"/>
  <c r="H425" i="55"/>
  <c r="U445" i="55"/>
  <c r="V445" i="55"/>
  <c r="W445" i="55"/>
  <c r="X445" i="55"/>
  <c r="Y445" i="55"/>
  <c r="Z445" i="55"/>
  <c r="D23" i="68"/>
  <c r="C24" i="68"/>
  <c r="C23" i="68"/>
  <c r="E156" i="59"/>
  <c r="E59" i="59"/>
  <c r="F691" i="55"/>
  <c r="F681" i="55"/>
  <c r="AP259" i="55"/>
  <c r="AO259" i="55"/>
  <c r="AN259" i="55"/>
  <c r="AM259" i="55"/>
  <c r="AL259" i="55"/>
  <c r="AK259" i="55"/>
  <c r="AJ259" i="55"/>
  <c r="AI259" i="55"/>
  <c r="AH259" i="55"/>
  <c r="AG259" i="55"/>
  <c r="AF259" i="55"/>
  <c r="AE259" i="55"/>
  <c r="AD259" i="55"/>
  <c r="AC259" i="55"/>
  <c r="AB259" i="55"/>
  <c r="AA259" i="55"/>
  <c r="Z259" i="55"/>
  <c r="Y259" i="55"/>
  <c r="X259" i="55"/>
  <c r="W259" i="55"/>
  <c r="V259" i="55"/>
  <c r="U259" i="55"/>
  <c r="T259" i="55"/>
  <c r="S259" i="55"/>
  <c r="R259" i="55"/>
  <c r="Q259" i="55"/>
  <c r="P259" i="55"/>
  <c r="O259" i="55"/>
  <c r="N259" i="55"/>
  <c r="M259" i="55"/>
  <c r="L259" i="55"/>
  <c r="K259" i="55"/>
  <c r="J259" i="55"/>
  <c r="I259" i="55"/>
  <c r="H259" i="55"/>
  <c r="F260" i="55"/>
  <c r="AC50" i="79" l="1"/>
  <c r="F3" i="64"/>
  <c r="R329" i="61"/>
  <c r="Q329" i="61"/>
  <c r="P329" i="61"/>
  <c r="O329" i="61"/>
  <c r="N329" i="61"/>
  <c r="M329" i="61"/>
  <c r="L329" i="61"/>
  <c r="K329" i="61"/>
  <c r="J329" i="61"/>
  <c r="I329" i="61"/>
  <c r="H329" i="61"/>
  <c r="G329" i="61"/>
  <c r="F329" i="61"/>
  <c r="R326" i="6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E455" i="59" l="1"/>
  <c r="E453" i="59"/>
  <c r="F446" i="59"/>
  <c r="E447" i="59"/>
  <c r="E446" i="59"/>
  <c r="F274" i="59"/>
  <c r="E275" i="59"/>
  <c r="E274" i="59"/>
  <c r="F268" i="59"/>
  <c r="E269" i="59"/>
  <c r="F156" i="59"/>
  <c r="E157" i="59"/>
  <c r="F150" i="59"/>
  <c r="E151" i="59"/>
  <c r="F144" i="59"/>
  <c r="E145" i="59"/>
  <c r="E60" i="59"/>
  <c r="F59" i="59"/>
  <c r="E54" i="59"/>
  <c r="F696" i="55"/>
  <c r="AO690" i="55"/>
  <c r="AN690" i="55"/>
  <c r="AM690" i="55"/>
  <c r="AL690" i="55"/>
  <c r="AK690" i="55"/>
  <c r="AJ690" i="55"/>
  <c r="AI690" i="55"/>
  <c r="AH690" i="55"/>
  <c r="AG690" i="55"/>
  <c r="AF690" i="55"/>
  <c r="AE690" i="55"/>
  <c r="AD690" i="55"/>
  <c r="AC690" i="55"/>
  <c r="AB690" i="55"/>
  <c r="AA690" i="55"/>
  <c r="Z690" i="55"/>
  <c r="Y690" i="55"/>
  <c r="X690" i="55"/>
  <c r="W690" i="55"/>
  <c r="V690" i="55"/>
  <c r="U690" i="55"/>
  <c r="T690" i="55"/>
  <c r="S690" i="55"/>
  <c r="R690" i="55"/>
  <c r="Q690" i="55"/>
  <c r="P690" i="55"/>
  <c r="O690" i="55"/>
  <c r="N690" i="55"/>
  <c r="M690" i="55"/>
  <c r="L690" i="55"/>
  <c r="K690" i="55"/>
  <c r="J690" i="55"/>
  <c r="I690" i="55"/>
  <c r="H690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F3" i="70"/>
  <c r="D31" i="66"/>
  <c r="D33" i="71" l="1"/>
  <c r="R186" i="61" l="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AP256" i="55"/>
  <c r="AO256" i="55"/>
  <c r="AN256" i="55"/>
  <c r="AM256" i="55"/>
  <c r="AL256" i="55"/>
  <c r="AK256" i="55"/>
  <c r="AJ256" i="55"/>
  <c r="AI256" i="55"/>
  <c r="AH256" i="55"/>
  <c r="AG256" i="55"/>
  <c r="AF256" i="55"/>
  <c r="AE256" i="55"/>
  <c r="AD256" i="55"/>
  <c r="AC256" i="55"/>
  <c r="AB256" i="55"/>
  <c r="AA256" i="55"/>
  <c r="Z256" i="55"/>
  <c r="Y256" i="55"/>
  <c r="X256" i="55"/>
  <c r="W256" i="55"/>
  <c r="V256" i="55"/>
  <c r="U256" i="55"/>
  <c r="T256" i="55"/>
  <c r="S256" i="55"/>
  <c r="R256" i="55"/>
  <c r="Q256" i="55"/>
  <c r="P256" i="55"/>
  <c r="O256" i="55"/>
  <c r="N256" i="55"/>
  <c r="M256" i="55"/>
  <c r="L256" i="55"/>
  <c r="K256" i="55"/>
  <c r="J256" i="55"/>
  <c r="I256" i="55"/>
  <c r="H256" i="55"/>
  <c r="C67" i="62"/>
  <c r="AC50" i="22" l="1"/>
  <c r="L13" i="79"/>
  <c r="L10" i="79"/>
  <c r="L11" i="79"/>
  <c r="L12" i="79"/>
  <c r="O36" i="68"/>
  <c r="O23" i="68"/>
  <c r="O10" i="68"/>
  <c r="L695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R455" i="59"/>
  <c r="Q455" i="59"/>
  <c r="P455" i="59"/>
  <c r="O455" i="59"/>
  <c r="N455" i="59"/>
  <c r="M455" i="59"/>
  <c r="L455" i="59"/>
  <c r="K455" i="59"/>
  <c r="J455" i="59"/>
  <c r="I455" i="59"/>
  <c r="H455" i="59"/>
  <c r="G455" i="59"/>
  <c r="F455" i="59"/>
  <c r="E456" i="59"/>
  <c r="R150" i="59"/>
  <c r="Q150" i="59"/>
  <c r="P150" i="59"/>
  <c r="O150" i="59"/>
  <c r="N150" i="59"/>
  <c r="M150" i="59"/>
  <c r="L150" i="59"/>
  <c r="K150" i="59"/>
  <c r="J150" i="59"/>
  <c r="I150" i="59"/>
  <c r="H150" i="59"/>
  <c r="G150" i="59"/>
  <c r="AO695" i="55"/>
  <c r="AN695" i="55"/>
  <c r="AM695" i="55"/>
  <c r="AL695" i="55"/>
  <c r="AK695" i="55"/>
  <c r="AJ695" i="55"/>
  <c r="AI695" i="55"/>
  <c r="AH695" i="55"/>
  <c r="AG695" i="55"/>
  <c r="AF695" i="55"/>
  <c r="AE695" i="55"/>
  <c r="AD695" i="55"/>
  <c r="AC695" i="55"/>
  <c r="AB695" i="55"/>
  <c r="AA695" i="55"/>
  <c r="Z695" i="55"/>
  <c r="Y695" i="55"/>
  <c r="X695" i="55"/>
  <c r="W695" i="55"/>
  <c r="V695" i="55"/>
  <c r="U695" i="55"/>
  <c r="T695" i="55"/>
  <c r="S695" i="55"/>
  <c r="R695" i="55"/>
  <c r="Q695" i="55"/>
  <c r="P695" i="55"/>
  <c r="O695" i="55"/>
  <c r="N695" i="55"/>
  <c r="M695" i="55"/>
  <c r="K695" i="55"/>
  <c r="J695" i="55"/>
  <c r="I695" i="55"/>
  <c r="H695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156" i="59"/>
  <c r="Q156" i="59"/>
  <c r="P156" i="59"/>
  <c r="O156" i="59"/>
  <c r="N156" i="59"/>
  <c r="M156" i="59"/>
  <c r="L156" i="59"/>
  <c r="K156" i="59"/>
  <c r="J156" i="59"/>
  <c r="I156" i="59"/>
  <c r="H156" i="59"/>
  <c r="G156" i="59"/>
  <c r="I144" i="59"/>
  <c r="R144" i="59"/>
  <c r="Q144" i="59"/>
  <c r="P144" i="59"/>
  <c r="O144" i="59"/>
  <c r="N144" i="59"/>
  <c r="M144" i="59"/>
  <c r="L144" i="59"/>
  <c r="K144" i="59"/>
  <c r="J144" i="59"/>
  <c r="H144" i="59"/>
  <c r="G144" i="59"/>
  <c r="T445" i="55"/>
  <c r="S445" i="55"/>
  <c r="R445" i="55"/>
  <c r="Q445" i="55"/>
  <c r="P445" i="55"/>
  <c r="O445" i="55"/>
  <c r="N445" i="55"/>
  <c r="M445" i="55"/>
  <c r="L445" i="55"/>
  <c r="K445" i="55"/>
  <c r="J445" i="55"/>
  <c r="I445" i="55"/>
  <c r="H445" i="55"/>
  <c r="G445" i="55"/>
  <c r="AA264" i="55"/>
  <c r="Z264" i="55"/>
  <c r="Y264" i="55"/>
  <c r="X264" i="55"/>
  <c r="W264" i="55"/>
  <c r="V264" i="55"/>
  <c r="U264" i="55"/>
  <c r="T264" i="55"/>
  <c r="S264" i="55"/>
  <c r="R264" i="55"/>
  <c r="Q264" i="55"/>
  <c r="P264" i="55"/>
  <c r="O264" i="55"/>
  <c r="N264" i="55"/>
  <c r="M264" i="55"/>
  <c r="L264" i="55"/>
  <c r="K264" i="55"/>
  <c r="J264" i="55"/>
  <c r="I264" i="55"/>
  <c r="H264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AO435" i="55"/>
  <c r="AN435" i="55"/>
  <c r="AM435" i="55"/>
  <c r="AL435" i="55"/>
  <c r="AK435" i="55"/>
  <c r="AJ435" i="55"/>
  <c r="AI435" i="55"/>
  <c r="AH435" i="55"/>
  <c r="AG435" i="55"/>
  <c r="AF435" i="55"/>
  <c r="AE435" i="55"/>
  <c r="AD435" i="55"/>
  <c r="AC435" i="55"/>
  <c r="AB435" i="55"/>
  <c r="AA435" i="55"/>
  <c r="Z435" i="55"/>
  <c r="Y435" i="55"/>
  <c r="X435" i="55"/>
  <c r="W435" i="55"/>
  <c r="V435" i="55"/>
  <c r="U435" i="55"/>
  <c r="T435" i="55"/>
  <c r="S435" i="55"/>
  <c r="R435" i="55"/>
  <c r="Q435" i="55"/>
  <c r="P435" i="55"/>
  <c r="O435" i="55"/>
  <c r="N435" i="55"/>
  <c r="M435" i="55"/>
  <c r="L435" i="55"/>
  <c r="K435" i="55"/>
  <c r="J435" i="55"/>
  <c r="I435" i="55"/>
  <c r="H435" i="55"/>
  <c r="AB11" i="97"/>
  <c r="AD11" i="97"/>
  <c r="AO415" i="55"/>
  <c r="AN415" i="55"/>
  <c r="AM415" i="55"/>
  <c r="AL415" i="55"/>
  <c r="AK415" i="55"/>
  <c r="AJ415" i="55"/>
  <c r="AI415" i="55"/>
  <c r="AH415" i="55"/>
  <c r="AG415" i="55"/>
  <c r="AF415" i="55"/>
  <c r="AE415" i="55"/>
  <c r="AD415" i="55"/>
  <c r="AC415" i="55"/>
  <c r="AB415" i="55"/>
  <c r="AA415" i="55"/>
  <c r="Z415" i="55"/>
  <c r="Y415" i="55"/>
  <c r="X415" i="55"/>
  <c r="W415" i="55"/>
  <c r="V415" i="55"/>
  <c r="U415" i="55"/>
  <c r="T415" i="55"/>
  <c r="S415" i="55"/>
  <c r="R415" i="55"/>
  <c r="Q415" i="55"/>
  <c r="P415" i="55"/>
  <c r="O415" i="55"/>
  <c r="N415" i="55"/>
  <c r="M415" i="55"/>
  <c r="L415" i="55"/>
  <c r="K415" i="55"/>
  <c r="J415" i="55"/>
  <c r="I415" i="55"/>
  <c r="H415" i="55"/>
  <c r="AP105" i="55"/>
  <c r="AO105" i="55"/>
  <c r="AN105" i="55"/>
  <c r="AM105" i="55"/>
  <c r="AL105" i="55"/>
  <c r="AK105" i="55"/>
  <c r="AJ105" i="55"/>
  <c r="AI105" i="55"/>
  <c r="AH105" i="55"/>
  <c r="AG105" i="55"/>
  <c r="AF105" i="55"/>
  <c r="AE105" i="55"/>
  <c r="AD105" i="55"/>
  <c r="AC105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AP254" i="55"/>
  <c r="AO254" i="55"/>
  <c r="AN254" i="55"/>
  <c r="AM254" i="55"/>
  <c r="AL254" i="55"/>
  <c r="AK254" i="55"/>
  <c r="AJ254" i="55"/>
  <c r="AI254" i="55"/>
  <c r="AH254" i="55"/>
  <c r="AG254" i="55"/>
  <c r="AF254" i="55"/>
  <c r="AE254" i="55"/>
  <c r="AD254" i="55"/>
  <c r="AC254" i="55"/>
  <c r="AB254" i="55"/>
  <c r="AA254" i="55"/>
  <c r="Z254" i="55"/>
  <c r="Y254" i="55"/>
  <c r="X254" i="55"/>
  <c r="W254" i="55"/>
  <c r="V254" i="55"/>
  <c r="U254" i="55"/>
  <c r="T254" i="55"/>
  <c r="S254" i="55"/>
  <c r="R254" i="55"/>
  <c r="Q254" i="55"/>
  <c r="P254" i="55"/>
  <c r="O254" i="55"/>
  <c r="N254" i="55"/>
  <c r="M254" i="55"/>
  <c r="L254" i="55"/>
  <c r="K254" i="55"/>
  <c r="J254" i="55"/>
  <c r="I254" i="55"/>
  <c r="H254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436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8" i="59"/>
  <c r="Q458" i="59"/>
  <c r="P458" i="59"/>
  <c r="O458" i="59"/>
  <c r="N458" i="59"/>
  <c r="M458" i="59"/>
  <c r="L458" i="59"/>
  <c r="K458" i="59"/>
  <c r="J458" i="59"/>
  <c r="I458" i="59"/>
  <c r="H458" i="59"/>
  <c r="G458" i="59"/>
  <c r="F458" i="59"/>
  <c r="E459" i="59"/>
  <c r="E458" i="59"/>
  <c r="R446" i="59"/>
  <c r="Q446" i="59"/>
  <c r="O446" i="59"/>
  <c r="N446" i="59"/>
  <c r="M446" i="59"/>
  <c r="L446" i="59"/>
  <c r="K446" i="59"/>
  <c r="J446" i="59"/>
  <c r="I446" i="59"/>
  <c r="H446" i="59"/>
  <c r="G446" i="59"/>
  <c r="AF14" i="97" l="1"/>
  <c r="AG9" i="97"/>
  <c r="E381" i="61"/>
  <c r="AA284" i="55"/>
  <c r="Z284" i="55"/>
  <c r="Y284" i="55"/>
  <c r="X284" i="55"/>
  <c r="W284" i="55"/>
  <c r="V284" i="55"/>
  <c r="U284" i="55"/>
  <c r="T284" i="55"/>
  <c r="S284" i="55"/>
  <c r="R284" i="55"/>
  <c r="Q284" i="55"/>
  <c r="P284" i="55"/>
  <c r="O284" i="55"/>
  <c r="N284" i="55"/>
  <c r="M284" i="55"/>
  <c r="L284" i="55"/>
  <c r="K284" i="55"/>
  <c r="J284" i="55"/>
  <c r="I284" i="55"/>
  <c r="H284" i="55"/>
  <c r="G284" i="55"/>
  <c r="AH9" i="97" l="1"/>
  <c r="AG14" i="97"/>
  <c r="AH14" i="97" s="1"/>
  <c r="S59" i="59" l="1"/>
  <c r="R59" i="59"/>
  <c r="Q59" i="59"/>
  <c r="P59" i="59"/>
  <c r="O59" i="59"/>
  <c r="N59" i="59"/>
  <c r="M59" i="59"/>
  <c r="L59" i="59"/>
  <c r="K59" i="59"/>
  <c r="J59" i="59"/>
  <c r="I59" i="59"/>
  <c r="H59" i="59"/>
  <c r="G59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AP274" i="55"/>
  <c r="AO274" i="55"/>
  <c r="AN274" i="55"/>
  <c r="AM274" i="55"/>
  <c r="AL274" i="55"/>
  <c r="AK274" i="55"/>
  <c r="AJ274" i="55"/>
  <c r="AI274" i="55"/>
  <c r="AH274" i="55"/>
  <c r="AG274" i="55"/>
  <c r="AF274" i="55"/>
  <c r="AE274" i="55"/>
  <c r="AD274" i="55"/>
  <c r="AC274" i="55"/>
  <c r="AB274" i="55"/>
  <c r="AA274" i="55"/>
  <c r="Z274" i="55"/>
  <c r="Y274" i="55"/>
  <c r="X274" i="55"/>
  <c r="W274" i="55"/>
  <c r="V274" i="55"/>
  <c r="U274" i="55"/>
  <c r="T274" i="55"/>
  <c r="S274" i="55"/>
  <c r="R274" i="55"/>
  <c r="Q274" i="55"/>
  <c r="P274" i="55"/>
  <c r="O274" i="55"/>
  <c r="N274" i="55"/>
  <c r="M274" i="55"/>
  <c r="L274" i="55"/>
  <c r="K274" i="55"/>
  <c r="J274" i="55"/>
  <c r="I274" i="55"/>
  <c r="H274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AB68" i="97" l="1"/>
  <c r="J127" i="97"/>
  <c r="G144" i="97"/>
  <c r="K68" i="97"/>
  <c r="M68" i="97" s="1"/>
  <c r="O68" i="97" s="1"/>
  <c r="R274" i="59"/>
  <c r="Q274" i="59"/>
  <c r="P274" i="59"/>
  <c r="O274" i="59"/>
  <c r="N274" i="59"/>
  <c r="M274" i="59"/>
  <c r="L274" i="59"/>
  <c r="K274" i="59"/>
  <c r="J274" i="59"/>
  <c r="I274" i="59"/>
  <c r="H274" i="59"/>
  <c r="G274" i="59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81" i="61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2" i="67"/>
  <c r="C63" i="67"/>
  <c r="C62" i="67"/>
  <c r="D49" i="67"/>
  <c r="C50" i="67"/>
  <c r="C49" i="67"/>
  <c r="D36" i="67"/>
  <c r="C37" i="67"/>
  <c r="AD30" i="69" s="1"/>
  <c r="C36" i="67"/>
  <c r="D23" i="67"/>
  <c r="C24" i="67"/>
  <c r="C23" i="67"/>
  <c r="D62" i="68"/>
  <c r="C63" i="68"/>
  <c r="C62" i="68"/>
  <c r="H9" i="64" l="1"/>
  <c r="H10" i="64" s="1"/>
  <c r="F45" i="62"/>
  <c r="D69" i="62" l="1"/>
  <c r="E69" i="62"/>
  <c r="AC32" i="22"/>
  <c r="D382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81" i="61"/>
  <c r="Q381" i="61"/>
  <c r="P381" i="61"/>
  <c r="O381" i="61"/>
  <c r="N381" i="61"/>
  <c r="M381" i="61"/>
  <c r="L381" i="61"/>
  <c r="K381" i="61"/>
  <c r="J381" i="61"/>
  <c r="I381" i="61"/>
  <c r="H381" i="61"/>
  <c r="G381" i="61"/>
  <c r="F381" i="61"/>
  <c r="R362" i="59"/>
  <c r="Q362" i="59"/>
  <c r="P362" i="59"/>
  <c r="O362" i="59"/>
  <c r="N362" i="59"/>
  <c r="M362" i="59"/>
  <c r="L362" i="59"/>
  <c r="K362" i="59"/>
  <c r="J362" i="59"/>
  <c r="I362" i="59"/>
  <c r="H362" i="59"/>
  <c r="G362" i="59"/>
  <c r="G33" i="58" l="1"/>
  <c r="E69" i="66"/>
  <c r="E69" i="71"/>
  <c r="E69" i="58"/>
  <c r="E75" i="62" l="1"/>
  <c r="D75" i="62"/>
  <c r="F7" i="64"/>
  <c r="O62" i="67"/>
  <c r="N62" i="67"/>
  <c r="M62" i="67"/>
  <c r="L62" i="67"/>
  <c r="K62" i="67"/>
  <c r="J62" i="67"/>
  <c r="I62" i="67"/>
  <c r="N32" i="69" s="1"/>
  <c r="H62" i="67"/>
  <c r="G62" i="67"/>
  <c r="F62" i="67"/>
  <c r="E62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N36" i="68"/>
  <c r="M36" i="68"/>
  <c r="L36" i="68"/>
  <c r="K36" i="68"/>
  <c r="J36" i="68"/>
  <c r="I36" i="68"/>
  <c r="H36" i="68"/>
  <c r="G36" i="68"/>
  <c r="F36" i="68"/>
  <c r="E36" i="68"/>
  <c r="P23" i="68"/>
  <c r="N23" i="68"/>
  <c r="M23" i="68"/>
  <c r="L23" i="68"/>
  <c r="K23" i="68"/>
  <c r="J23" i="68"/>
  <c r="I23" i="68"/>
  <c r="H23" i="68"/>
  <c r="G23" i="68"/>
  <c r="F23" i="68"/>
  <c r="E23" i="68"/>
  <c r="P10" i="68"/>
  <c r="N10" i="68"/>
  <c r="M10" i="68"/>
  <c r="L10" i="68"/>
  <c r="K10" i="68"/>
  <c r="J10" i="68"/>
  <c r="I10" i="68"/>
  <c r="H10" i="68"/>
  <c r="G10" i="68"/>
  <c r="F10" i="68"/>
  <c r="E10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N62" i="68"/>
  <c r="M62" i="68"/>
  <c r="L62" i="68"/>
  <c r="K62" i="68"/>
  <c r="J62" i="68"/>
  <c r="I62" i="68"/>
  <c r="H62" i="68"/>
  <c r="G62" i="68"/>
  <c r="F62" i="68"/>
  <c r="E62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6" i="22" l="1"/>
  <c r="H125" i="22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F31" i="36" l="1"/>
  <c r="G31" i="36" s="1"/>
  <c r="D33" i="36"/>
  <c r="I55" i="91"/>
  <c r="M31" i="36"/>
  <c r="P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111" i="22" l="1"/>
  <c r="D34" i="36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<sst xmlns="http://schemas.openxmlformats.org/spreadsheetml/2006/main" count="7750" uniqueCount="345">
  <si>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</si>
  <si>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</si>
  <si>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</si>
  <si>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</si>
  <si>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</si>
  <si>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</si>
  <si>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</si>
  <si>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</si>
  <si>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</si>
  <si>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</si>
  <si>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</si>
  <si>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</si>
  <si>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</si>
  <si>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</si>
  <si>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</si>
  <si>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</si>
  <si>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</si>
  <si>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</si>
  <si>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</si>
  <si>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</si>
  <si>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</si>
  <si>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</si>
  <si>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</si>
  <si>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</si>
  <si>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</si>
  <si>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</si>
  <si>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</si>
  <si>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</si>
  <si>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</si>
  <si>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</si>
  <si>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</si>
  <si>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</si>
  <si>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</si>
  <si>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</si>
  <si>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</si>
  <si>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</si>
  <si>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</si>
  <si>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</si>
  <si>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</si>
  <si>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</si>
  <si>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</si>
  <si>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</si>
  <si>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</si>
  <si>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</si>
  <si>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</si>
  <si>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</si>
  <si>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</si>
  <si>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</si>
  <si>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</si>
  <si>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</si>
  <si>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</si>
  <si>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</si>
  <si>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</si>
  <si>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</si>
  <si>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</si>
  <si>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</si>
  <si>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</si>
  <si>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</si>
  <si>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</si>
  <si>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</si>
  <si>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</si>
  <si>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</si>
  <si>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</si>
  <si>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</si>
  <si>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</si>
  <si>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</si>
  <si>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</si>
  <si>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</si>
  <si>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</si>
  <si>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</si>
  <si>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</si>
  <si>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</si>
  <si>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</si>
  <si>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</si>
  <si>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</si>
  <si>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</si>
  <si>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</si>
  <si>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</si>
  <si>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</si>
  <si>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</si>
  <si>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</si>
  <si>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</si>
  <si>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</si>
  <si>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</si>
  <si>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</si>
  <si>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</si>
  <si>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</si>
  <si>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</si>
  <si>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</si>
  <si>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</si>
  <si>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</si>
  <si>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</si>
  <si>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</si>
  <si>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</si>
  <si>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</si>
  <si>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</si>
  <si>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</si>
  <si>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</si>
  <si>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</si>
  <si>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</si>
  <si>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</si>
  <si>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</si>
  <si>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</si>
  <si>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</si>
  <si>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</si>
  <si>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</si>
  <si>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</si>
  <si>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</si>
  <si>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</si>
  <si>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</si>
  <si>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</si>
  <si>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</si>
  <si>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</si>
  <si>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</si>
  <si>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</si>
  <si>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</si>
  <si>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</si>
  <si>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</si>
  <si>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</si>
  <si>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</si>
  <si>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</si>
  <si>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</si>
  <si>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</si>
  <si>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</si>
  <si>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</si>
  <si>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</si>
  <si>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</si>
  <si>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</si>
  <si>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</si>
  <si>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</si>
  <si>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</si>
  <si>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</si>
  <si>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</si>
  <si>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</si>
  <si>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</si>
  <si>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</si>
  <si>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</si>
  <si>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</si>
  <si>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</si>
  <si>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</si>
  <si>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</si>
  <si>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</si>
  <si>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</si>
  <si>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</si>
  <si>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</si>
  <si>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</si>
  <si>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</si>
  <si>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</si>
  <si>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</si>
  <si>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</si>
  <si>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</si>
  <si>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</si>
  <si>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</si>
  <si>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</si>
  <si>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</si>
  <si>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</si>
  <si>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</si>
  <si>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</si>
  <si>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</si>
  <si>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</si>
  <si>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</si>
  <si>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</si>
  <si>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</si>
  <si>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</si>
  <si>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</si>
  <si>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</si>
  <si>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</si>
  <si>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</si>
  <si>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</si>
  <si>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</si>
  <si>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</si>
  <si>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</si>
  <si>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</si>
  <si>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</si>
  <si>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</si>
  <si>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</si>
  <si>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</si>
  <si>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</si>
  <si>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</si>
  <si>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</si>
  <si>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</si>
  <si>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</si>
  <si>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</si>
  <si>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</si>
  <si>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</si>
  <si>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</si>
  <si>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</si>
  <si>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</si>
  <si>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</si>
  <si>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</si>
  <si>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</si>
  <si>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</si>
  <si>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</si>
  <si>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</si>
  <si>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</si>
  <si>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</si>
  <si>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</si>
  <si>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</si>
  <si>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</si>
  <si>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</si>
  <si>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</si>
  <si>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</si>
  <si>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</si>
  <si>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</si>
  <si>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</si>
  <si>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</si>
  <si>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</si>
  <si>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</si>
  <si>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</si>
  <si>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</si>
  <si>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</si>
  <si>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</si>
  <si>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</si>
  <si>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</si>
  <si>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</si>
  <si>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</si>
  <si>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</si>
  <si>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</si>
  <si>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</si>
  <si>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</si>
  <si>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</si>
  <si>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</si>
  <si>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</si>
  <si>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</si>
  <si>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</si>
  <si>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</si>
  <si>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</si>
  <si>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</si>
  <si>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</si>
  <si>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</si>
  <si>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</si>
  <si>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</si>
  <si>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</si>
  <si>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</si>
  <si>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</si>
  <si>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</si>
  <si>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</si>
  <si>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</si>
  <si>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</si>
  <si>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</si>
  <si>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</si>
  <si>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</si>
  <si>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</si>
  <si>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</si>
  <si>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</si>
  <si>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</si>
  <si>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</si>
  <si>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</si>
  <si>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</si>
  <si>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</si>
  <si>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</si>
  <si>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</si>
  <si>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</si>
  <si>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</si>
  <si>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</si>
  <si>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</si>
  <si>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</si>
  <si>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</si>
  <si>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</si>
  <si>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</si>
  <si>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</si>
  <si>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</si>
  <si>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</si>
  <si>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</si>
  <si>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</si>
  <si>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</si>
  <si>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</si>
  <si>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</si>
  <si>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</si>
  <si>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</si>
  <si>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</si>
  <si>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</si>
  <si>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</si>
  <si>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</si>
  <si>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</si>
  <si>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</si>
  <si>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</si>
  <si>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</si>
  <si>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</si>
  <si>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</si>
  <si>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</si>
  <si>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</si>
  <si>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</si>
  <si>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</si>
  <si>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</si>
  <si>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</si>
  <si>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</si>
  <si>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</si>
  <si>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</si>
  <si>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</si>
  <si>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</si>
  <si>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</si>
  <si>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</si>
  <si>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</si>
  <si>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</si>
  <si>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</si>
  <si>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</si>
  <si>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</si>
  <si>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</si>
  <si>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</si>
  <si>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</si>
  <si>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</si>
  <si>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</si>
  <si>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</si>
  <si>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</si>
  <si>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</si>
  <si>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</si>
  <si>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</si>
  <si>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</si>
  <si>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</si>
  <si>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</si>
  <si>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</si>
  <si>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</si>
  <si>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</si>
  <si>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</si>
  <si>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</si>
  <si>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</si>
  <si>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</si>
  <si>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</si>
  <si>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</si>
  <si>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</si>
  <si>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</si>
  <si>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</si>
  <si>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</si>
  <si>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</si>
  <si>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</si>
  <si>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</si>
  <si>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</si>
  <si>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</si>
  <si>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</si>
  <si>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</si>
  <si>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</si>
  <si>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</si>
  <si>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</si>
  <si>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</si>
  <si>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</si>
  <si>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</si>
  <si>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</si>
  <si>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</si>
  <si>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</si>
  <si>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2026072</t>
  </si>
  <si>
    <t>02/10/2026</t>
  </si>
  <si>
    <t>10:43 AM</t>
  </si>
  <si>
    <t>16/09/2026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</si>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</sst>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0</v>
      </c>
      <c r="E5" s="180">
        <v>0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0</v>
      </c>
      <c r="E6" s="180">
        <v>0</v>
      </c>
      <c r="F6" s="180">
        <v>0</v>
      </c>
      <c r="G6" s="181">
        <v>0</v>
      </c>
    </row>
    <row r="7" spans="2:13" x14ac:dyDescent="0.25">
      <c r="C7" s="178">
        <v>5</v>
      </c>
      <c r="D7" s="278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0</v>
      </c>
      <c r="E12" s="191">
        <v>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0</v>
      </c>
      <c r="E13" s="180">
        <v>0</v>
      </c>
      <c r="F13" s="180">
        <v>0</v>
      </c>
      <c r="G13" s="181">
        <v>0</v>
      </c>
    </row>
    <row r="14" spans="2:13" x14ac:dyDescent="0.25">
      <c r="C14" s="193">
        <v>3</v>
      </c>
      <c r="D14" s="278">
        <v>0</v>
      </c>
      <c r="E14" s="180">
        <v>0</v>
      </c>
      <c r="F14" s="180">
        <v>0</v>
      </c>
      <c r="G14" s="181">
        <v>0</v>
      </c>
    </row>
    <row r="15" spans="2:13" x14ac:dyDescent="0.25">
      <c r="C15" s="193">
        <v>4</v>
      </c>
      <c r="D15" s="278">
        <v>0</v>
      </c>
      <c r="E15" s="180">
        <v>0</v>
      </c>
      <c r="F15" s="180">
        <v>0</v>
      </c>
      <c r="G15" s="181">
        <v>0</v>
      </c>
    </row>
    <row r="16" spans="2:13" x14ac:dyDescent="0.25">
      <c r="C16" s="193">
        <v>5</v>
      </c>
      <c r="D16" s="278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0</v>
      </c>
      <c r="E18" s="198">
        <v>0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0</v>
      </c>
      <c r="E21" s="282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0</v>
      </c>
      <c r="E22" s="283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0</v>
      </c>
      <c r="E23" s="283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0</v>
      </c>
      <c r="E24" s="283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0</v>
      </c>
      <c r="E25" s="283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0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0</v>
      </c>
      <c r="H2" s="249">
        <f t="shared" si="0"/>
        <v>0</v>
      </c>
      <c r="I2" s="250">
        <f>SUM(C2:H2)</f>
        <v>0</v>
      </c>
    </row>
    <row r="3" spans="1:10" x14ac:dyDescent="0.25">
      <c r="B3" t="s">
        <v>98</v>
      </c>
      <c r="C3" s="249">
        <f>C14+C24+C33+C42+C52</f>
        <v>0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0</v>
      </c>
      <c r="H3" s="249">
        <f t="shared" si="1"/>
        <v>0</v>
      </c>
      <c r="I3" s="250">
        <f>SUM(C3:H3)</f>
        <v>0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0</v>
      </c>
      <c r="I4" s="250">
        <f>SUM(C4:H4)</f>
        <v>0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0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0</v>
      </c>
      <c r="H6" s="250">
        <f t="shared" si="5"/>
        <v>0</v>
      </c>
      <c r="I6" s="250">
        <f>SUM(I2:I5)</f>
        <v>0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6">
        <f>SUM(C13:H13)</f>
        <v>0</v>
      </c>
      <c r="J13" s="251" t="b">
        <f>SUM(C13:H13)=I13</f>
        <v>1</v>
      </c>
    </row>
    <row r="14" spans="1:10" x14ac:dyDescent="0.25">
      <c r="B14" s="89" t="s">
        <v>98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6">
        <f t="shared" ref="I14:I16" si="7">SUM(C14:H14)</f>
        <v>0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0</v>
      </c>
      <c r="I15" s="246">
        <f t="shared" si="7"/>
        <v>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0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0</v>
      </c>
      <c r="I17" s="247">
        <f t="shared" si="9"/>
        <v>0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0</v>
      </c>
      <c r="D23" s="244">
        <v>0</v>
      </c>
      <c r="E23" s="244">
        <v>0</v>
      </c>
      <c r="F23" s="244">
        <v>0</v>
      </c>
      <c r="G23" s="244">
        <v>0</v>
      </c>
      <c r="H23" s="244">
        <v>0</v>
      </c>
      <c r="I23" s="246">
        <f>SUM(C23:H23)</f>
        <v>0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0</v>
      </c>
      <c r="D24" s="244">
        <v>0</v>
      </c>
      <c r="E24" s="244">
        <v>0</v>
      </c>
      <c r="F24" s="244">
        <v>0</v>
      </c>
      <c r="G24" s="244">
        <v>0</v>
      </c>
      <c r="H24" s="244">
        <v>0</v>
      </c>
      <c r="I24" s="246">
        <f t="shared" ref="I24:I26" si="11">SUM(C24:H24)</f>
        <v>0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0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0</v>
      </c>
      <c r="I27" s="247">
        <f>SUM(I23:I26)</f>
        <v>0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0</v>
      </c>
      <c r="D32" s="244">
        <v>0</v>
      </c>
      <c r="E32" s="244">
        <v>0</v>
      </c>
      <c r="F32" s="244">
        <v>0</v>
      </c>
      <c r="G32" s="244">
        <v>0</v>
      </c>
      <c r="H32" s="244">
        <v>0</v>
      </c>
      <c r="I32" s="246">
        <f>SUM(C32:H32)</f>
        <v>0</v>
      </c>
      <c r="J32" s="251" t="b">
        <f>SUM(C32:H32)=I32</f>
        <v>1</v>
      </c>
    </row>
    <row r="33" spans="2:10" x14ac:dyDescent="0.25">
      <c r="B33" s="89" t="s">
        <v>98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6">
        <f>SUM(C33:H33)</f>
        <v>0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6">
        <f t="shared" ref="I34:I35" si="14">SUM(C34:H34)</f>
        <v>0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0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0</v>
      </c>
      <c r="I36" s="247">
        <f>SUM(I32:I35)</f>
        <v>0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0</v>
      </c>
      <c r="D41" s="244">
        <v>0</v>
      </c>
      <c r="E41" s="244">
        <v>0</v>
      </c>
      <c r="F41" s="244">
        <v>0</v>
      </c>
      <c r="G41" s="244">
        <v>0</v>
      </c>
      <c r="H41" s="244">
        <v>0</v>
      </c>
      <c r="I41" s="246">
        <f t="shared" ref="I41:I44" si="16">SUM(C41:H41)</f>
        <v>0</v>
      </c>
      <c r="J41" s="251" t="b">
        <f>SUM(C41:H41)=I41</f>
        <v>1</v>
      </c>
    </row>
    <row r="42" spans="2:10" x14ac:dyDescent="0.25">
      <c r="B42" s="89" t="s">
        <v>98</v>
      </c>
      <c r="C42" s="244">
        <v>0</v>
      </c>
      <c r="D42" s="244">
        <v>0</v>
      </c>
      <c r="E42" s="244">
        <v>0</v>
      </c>
      <c r="F42" s="244">
        <v>0</v>
      </c>
      <c r="G42" s="244">
        <v>0</v>
      </c>
      <c r="H42" s="244">
        <v>0</v>
      </c>
      <c r="I42" s="246">
        <f t="shared" si="16"/>
        <v>0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0</v>
      </c>
      <c r="I43" s="246">
        <f t="shared" si="16"/>
        <v>0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0</v>
      </c>
      <c r="I45" s="247">
        <f>SUM(I41:I44)</f>
        <v>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0</v>
      </c>
      <c r="D51" s="244">
        <v>0</v>
      </c>
      <c r="E51" s="244">
        <v>0</v>
      </c>
      <c r="F51" s="244">
        <v>0</v>
      </c>
      <c r="G51" s="244">
        <v>0</v>
      </c>
      <c r="H51" s="590">
        <v>0</v>
      </c>
      <c r="I51" s="246">
        <f t="shared" ref="I51:I54" si="19">SUM(C51:H51)</f>
        <v>0</v>
      </c>
      <c r="J51" s="251" t="b">
        <f>SUM(C51:H51)=I51</f>
        <v>1</v>
      </c>
    </row>
    <row r="52" spans="2:10" x14ac:dyDescent="0.25">
      <c r="B52" s="89" t="s">
        <v>98</v>
      </c>
      <c r="C52" s="590">
        <v>0</v>
      </c>
      <c r="D52" s="244">
        <v>0</v>
      </c>
      <c r="E52" s="244">
        <v>0</v>
      </c>
      <c r="F52" s="244">
        <v>0</v>
      </c>
      <c r="G52" s="244">
        <v>0</v>
      </c>
      <c r="H52" s="590">
        <v>0</v>
      </c>
      <c r="I52" s="246">
        <f>SUM(C52:H52)</f>
        <v>0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0</v>
      </c>
      <c r="I53" s="246">
        <f t="shared" si="19"/>
        <v>0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0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0</v>
      </c>
      <c r="H55" s="244">
        <f>SUM(H51:H54)</f>
        <v>0</v>
      </c>
      <c r="I55" s="247">
        <f>SUM(I51:I54)</f>
        <v>0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2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0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0</v>
      </c>
      <c r="D65" s="748" t="b">
        <f>C27=C65</f>
        <v>1</v>
      </c>
      <c r="E65" s="750">
        <f>C27-C65</f>
        <v>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0</v>
      </c>
      <c r="D67" s="745" t="b">
        <f>C36=C67</f>
        <v>1</v>
      </c>
      <c r="E67" s="747">
        <f>C36-C67</f>
        <v>0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0</v>
      </c>
      <c r="D70" s="748" t="b">
        <f>C45=C70</f>
        <v>1</v>
      </c>
      <c r="E70" s="750">
        <f>C45-C70</f>
        <v>0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0</v>
      </c>
      <c r="D72" s="745" t="b">
        <f>C55=C72</f>
        <v>1</v>
      </c>
      <c r="E72" s="747">
        <f>C55-C72</f>
        <v>0</v>
      </c>
      <c r="F72" s="142"/>
    </row>
    <row r="73" spans="2:7" x14ac:dyDescent="0.25">
      <c r="B73" s="745" t="s">
        <v>327</v>
      </c>
      <c r="C73" s="746">
        <f>IF($C$59=1,'Recaudo ENERBIT'!D25,'Recaudo ENERBIT'!F25)</f>
        <v>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0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0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0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0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0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4" t="s">
        <v>99</v>
      </c>
      <c r="D1" s="774"/>
      <c r="E1" s="774" t="s">
        <v>100</v>
      </c>
      <c r="F1" s="774"/>
      <c r="G1" s="774" t="s">
        <v>101</v>
      </c>
      <c r="H1" s="774"/>
      <c r="I1" s="774" t="s">
        <v>102</v>
      </c>
      <c r="J1" s="774"/>
      <c r="K1" s="774" t="s">
        <v>103</v>
      </c>
      <c r="L1" s="774"/>
      <c r="M1" s="774" t="s">
        <v>2</v>
      </c>
      <c r="N1" s="774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1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4" t="s">
        <v>99</v>
      </c>
      <c r="D9" s="774"/>
      <c r="E9" s="774" t="s">
        <v>100</v>
      </c>
      <c r="F9" s="774"/>
      <c r="G9" s="774" t="s">
        <v>101</v>
      </c>
      <c r="H9" s="774"/>
      <c r="I9" s="774" t="s">
        <v>102</v>
      </c>
      <c r="J9" s="774"/>
      <c r="K9" s="774" t="s">
        <v>103</v>
      </c>
      <c r="L9" s="774"/>
      <c r="M9" s="774" t="s">
        <v>2</v>
      </c>
      <c r="N9" s="774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4" t="s">
        <v>99</v>
      </c>
      <c r="D17" s="774"/>
      <c r="E17" s="774" t="s">
        <v>100</v>
      </c>
      <c r="F17" s="774"/>
      <c r="G17" s="774" t="s">
        <v>101</v>
      </c>
      <c r="H17" s="774"/>
      <c r="I17" s="774" t="s">
        <v>102</v>
      </c>
      <c r="J17" s="774"/>
      <c r="K17" s="774" t="s">
        <v>103</v>
      </c>
      <c r="L17" s="774"/>
      <c r="M17" s="774" t="s">
        <v>2</v>
      </c>
      <c r="N17" s="774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4" t="s">
        <v>99</v>
      </c>
      <c r="D25" s="774"/>
      <c r="E25" s="774" t="s">
        <v>100</v>
      </c>
      <c r="F25" s="774"/>
      <c r="G25" s="774" t="s">
        <v>101</v>
      </c>
      <c r="H25" s="774"/>
      <c r="I25" s="774" t="s">
        <v>102</v>
      </c>
      <c r="J25" s="774"/>
      <c r="K25" s="774" t="s">
        <v>103</v>
      </c>
      <c r="L25" s="774"/>
      <c r="M25" s="774" t="s">
        <v>2</v>
      </c>
      <c r="N25" s="774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4" t="s">
        <v>99</v>
      </c>
      <c r="D33" s="774"/>
      <c r="E33" s="774" t="s">
        <v>100</v>
      </c>
      <c r="F33" s="774"/>
      <c r="G33" s="774" t="s">
        <v>101</v>
      </c>
      <c r="H33" s="774"/>
      <c r="I33" s="774" t="s">
        <v>102</v>
      </c>
      <c r="J33" s="774"/>
      <c r="K33" s="774" t="s">
        <v>103</v>
      </c>
      <c r="L33" s="774"/>
      <c r="M33" s="774" t="s">
        <v>2</v>
      </c>
      <c r="N33" s="774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4" t="s">
        <v>99</v>
      </c>
      <c r="D41" s="774"/>
      <c r="E41" s="774" t="s">
        <v>100</v>
      </c>
      <c r="F41" s="774"/>
      <c r="G41" s="774" t="s">
        <v>101</v>
      </c>
      <c r="H41" s="774"/>
      <c r="I41" s="774" t="s">
        <v>102</v>
      </c>
      <c r="J41" s="774"/>
      <c r="K41" s="774" t="s">
        <v>103</v>
      </c>
      <c r="L41" s="774"/>
      <c r="M41" s="774" t="s">
        <v>2</v>
      </c>
      <c r="N41" s="774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0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0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0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0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0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0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0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0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0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0</v>
      </c>
      <c r="K7" s="19">
        <v>5</v>
      </c>
      <c r="L7" s="15">
        <f>'REPORTE RECAUDO x BANCO'!G52</f>
        <v>0</v>
      </c>
      <c r="N7" s="19">
        <v>5</v>
      </c>
      <c r="O7" s="15">
        <f>'REPORTE RECAUDO x BANCO'!H52</f>
        <v>0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0</v>
      </c>
      <c r="E8" s="21"/>
      <c r="F8" s="47">
        <f>SUM(F3:F7)</f>
        <v>0</v>
      </c>
      <c r="H8" s="21"/>
      <c r="I8" s="47">
        <f>SUM(I3:I7)</f>
        <v>0</v>
      </c>
      <c r="K8" s="21"/>
      <c r="L8" s="47">
        <f>SUM(L3:L7)</f>
        <v>0</v>
      </c>
      <c r="N8" s="21"/>
      <c r="O8" s="47">
        <f>SUM(O3:O7)</f>
        <v>0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0</v>
      </c>
      <c r="E3" s="592">
        <v>0</v>
      </c>
      <c r="F3" s="593">
        <f>D3+E3</f>
        <v>0</v>
      </c>
      <c r="G3" s="499"/>
      <c r="H3" s="612">
        <f>DetRetri2026072!J9</f>
        <v>0</v>
      </c>
      <c r="I3" s="276">
        <f>F3-H3</f>
        <v>0</v>
      </c>
    </row>
    <row r="4" spans="1:17" x14ac:dyDescent="0.25">
      <c r="C4" s="124">
        <v>2</v>
      </c>
      <c r="D4" s="602">
        <v>0</v>
      </c>
      <c r="E4" s="602">
        <v>0</v>
      </c>
      <c r="F4" s="593">
        <f>D4+E4</f>
        <v>0</v>
      </c>
      <c r="G4" s="499"/>
      <c r="H4" s="613">
        <f>DetRetri2026072!J10</f>
        <v>0</v>
      </c>
      <c r="I4" s="276">
        <f t="shared" ref="I4:I7" si="0">F4-H4</f>
        <v>0</v>
      </c>
    </row>
    <row r="5" spans="1:17" x14ac:dyDescent="0.25">
      <c r="C5" s="124">
        <v>3</v>
      </c>
      <c r="D5" s="602">
        <v>0</v>
      </c>
      <c r="E5" s="602">
        <v>0</v>
      </c>
      <c r="F5" s="593">
        <f>D5+E5</f>
        <v>0</v>
      </c>
      <c r="G5" s="499"/>
      <c r="H5" s="613">
        <f>DetRetri2026072!J11</f>
        <v>0</v>
      </c>
      <c r="I5" s="276">
        <f t="shared" si="0"/>
        <v>0</v>
      </c>
    </row>
    <row r="6" spans="1:17" x14ac:dyDescent="0.25">
      <c r="C6" s="124">
        <v>4</v>
      </c>
      <c r="D6" s="602">
        <v>0</v>
      </c>
      <c r="E6" s="602">
        <v>0</v>
      </c>
      <c r="F6" s="593">
        <f>D6+E6</f>
        <v>0</v>
      </c>
      <c r="G6" s="499"/>
      <c r="H6" s="613">
        <f>DetRetri2026072!J12</f>
        <v>0</v>
      </c>
      <c r="I6" s="276">
        <f t="shared" si="0"/>
        <v>0</v>
      </c>
    </row>
    <row r="7" spans="1:17" ht="13.8" thickBot="1" x14ac:dyDescent="0.3">
      <c r="C7" s="125">
        <v>5</v>
      </c>
      <c r="D7" s="603">
        <v>0</v>
      </c>
      <c r="E7" s="603">
        <v>0</v>
      </c>
      <c r="F7" s="594">
        <f>D7+E7</f>
        <v>0</v>
      </c>
      <c r="G7" s="499"/>
      <c r="H7" s="614">
        <f>DetRetri2026072!J13</f>
        <v>0</v>
      </c>
      <c r="I7" s="276">
        <f t="shared" si="0"/>
        <v>0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0</v>
      </c>
      <c r="G9" s="499"/>
      <c r="H9" s="615">
        <f>SUM(H3:H7)</f>
        <v>0</v>
      </c>
      <c r="I9" s="276">
        <f>F9-H9</f>
        <v>0</v>
      </c>
    </row>
    <row r="10" spans="1:17" ht="13.8" thickBot="1" x14ac:dyDescent="0.3">
      <c r="D10" s="144"/>
      <c r="E10" s="144"/>
      <c r="F10" s="144"/>
      <c r="G10" s="500"/>
      <c r="H10" s="265" t="b">
        <f>H9=DetRetri2026072!J14</f>
        <v>1</v>
      </c>
    </row>
    <row r="11" spans="1:17" ht="13.8" thickBot="1" x14ac:dyDescent="0.3">
      <c r="D11" s="264">
        <f>SUM(D3:D7)</f>
        <v>0</v>
      </c>
      <c r="E11" s="264">
        <f t="shared" ref="E11" si="1">SUM(E3:E7)</f>
        <v>0</v>
      </c>
      <c r="F11" s="264">
        <f>SUM(D3:E7)</f>
        <v>0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0</v>
      </c>
      <c r="F19" s="514" t="b">
        <f>E19=F3</f>
        <v>1</v>
      </c>
      <c r="G19" s="514" t="b">
        <f>E19=H3</f>
        <v>1</v>
      </c>
      <c r="H19" s="515">
        <f>E19-H3</f>
        <v>0</v>
      </c>
      <c r="I19" s="137"/>
    </row>
    <row r="20" spans="4:9" x14ac:dyDescent="0.25">
      <c r="D20" s="511">
        <v>2</v>
      </c>
      <c r="E20" s="516">
        <f>'CONSOLIDADO_TOTAL RECAUDO'!J105</f>
        <v>0</v>
      </c>
      <c r="F20" s="505" t="b">
        <f t="shared" ref="F20:F23" si="2">E20=F4</f>
        <v>1</v>
      </c>
      <c r="G20" s="505" t="b">
        <f t="shared" ref="G20:G23" si="3">E20=H4</f>
        <v>1</v>
      </c>
      <c r="H20" s="261">
        <f t="shared" ref="H20:H23" si="4">E20-H4</f>
        <v>0</v>
      </c>
      <c r="I20" s="137"/>
    </row>
    <row r="21" spans="4:9" x14ac:dyDescent="0.25">
      <c r="D21" s="511">
        <v>3</v>
      </c>
      <c r="E21" s="516">
        <f>'CONSOLIDADO_TOTAL RECAUDO'!J106</f>
        <v>0</v>
      </c>
      <c r="F21" s="505" t="b">
        <f t="shared" si="2"/>
        <v>1</v>
      </c>
      <c r="G21" s="505" t="b">
        <f t="shared" si="3"/>
        <v>1</v>
      </c>
      <c r="H21" s="261">
        <f t="shared" si="4"/>
        <v>0</v>
      </c>
    </row>
    <row r="22" spans="4:9" x14ac:dyDescent="0.25">
      <c r="D22" s="511">
        <v>4</v>
      </c>
      <c r="E22" s="516">
        <f>'CONSOLIDADO_TOTAL RECAUDO'!J107</f>
        <v>0</v>
      </c>
      <c r="F22" s="505" t="b">
        <f t="shared" si="2"/>
        <v>1</v>
      </c>
      <c r="G22" s="505" t="b">
        <f t="shared" si="3"/>
        <v>1</v>
      </c>
      <c r="H22" s="261">
        <f t="shared" si="4"/>
        <v>0</v>
      </c>
    </row>
    <row r="23" spans="4:9" ht="13.8" thickBot="1" x14ac:dyDescent="0.3">
      <c r="D23" s="512">
        <v>5</v>
      </c>
      <c r="E23" s="517">
        <f>'CONSOLIDADO_TOTAL RECAUDO'!J108</f>
        <v>0</v>
      </c>
      <c r="F23" s="518" t="b">
        <f t="shared" si="2"/>
        <v>1</v>
      </c>
      <c r="G23" s="518" t="b">
        <f t="shared" si="3"/>
        <v>1</v>
      </c>
      <c r="H23" s="262">
        <f t="shared" si="4"/>
        <v>0</v>
      </c>
    </row>
    <row r="24" spans="4:9" ht="13.8" thickBot="1" x14ac:dyDescent="0.3">
      <c r="E24" s="264">
        <f>SUM(E19:E23)</f>
        <v>0</v>
      </c>
      <c r="F24" s="506" t="b">
        <f>E24=F9</f>
        <v>1</v>
      </c>
      <c r="G24" s="507" t="b">
        <f>E24=H9</f>
        <v>1</v>
      </c>
      <c r="H24" s="263">
        <f>E24-H9</f>
        <v>0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712"/>
  <sheetViews>
    <sheetView tabSelected="1" zoomScale="90" zoomScaleNormal="90" workbookViewId="0">
      <pane ySplit="5" topLeftCell="A669" activePane="bottomLeft" state="frozen"/>
      <selection activeCell="D22" sqref="D22"/>
      <selection pane="bottomLeft" activeCell="E606" sqref="E60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0</v>
      </c>
      <c r="G8" s="230">
        <v>0</v>
      </c>
      <c r="H8" s="230">
        <v>0</v>
      </c>
      <c r="I8" s="230">
        <v>0</v>
      </c>
      <c r="J8" s="230">
        <v>0</v>
      </c>
      <c r="K8" s="230">
        <v>0</v>
      </c>
      <c r="L8" s="230">
        <v>0</v>
      </c>
      <c r="M8" s="230">
        <v>0</v>
      </c>
      <c r="N8" s="230">
        <v>0</v>
      </c>
      <c r="O8" s="230">
        <v>0</v>
      </c>
      <c r="P8" s="230">
        <v>0</v>
      </c>
      <c r="Q8" s="230">
        <v>0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0</v>
      </c>
      <c r="G17" s="458">
        <v>0</v>
      </c>
      <c r="H17" s="458">
        <v>0</v>
      </c>
      <c r="I17" s="458">
        <v>0</v>
      </c>
      <c r="J17" s="458">
        <v>0</v>
      </c>
      <c r="K17" s="458">
        <v>0</v>
      </c>
      <c r="L17" s="458">
        <v>0</v>
      </c>
      <c r="M17" s="458">
        <v>0</v>
      </c>
      <c r="N17" s="458">
        <v>0</v>
      </c>
      <c r="O17" s="458">
        <v>0</v>
      </c>
      <c r="P17" s="458">
        <v>0</v>
      </c>
      <c r="Q17" s="458">
        <v>0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370.08</v>
      </c>
      <c r="R22" s="90">
        <v>-1.95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7.0000000000000007E-2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82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370.15</v>
      </c>
      <c r="R24" s="90">
        <v>-1.95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x14ac:dyDescent="0.25">
      <c r="E25" t="s">
        <v>72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370.08</v>
      </c>
      <c r="R25" s="90">
        <v>-1.95</v>
      </c>
      <c r="S25" s="90">
        <v>0</v>
      </c>
      <c r="T25" s="90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90">
        <v>0</v>
      </c>
    </row>
    <row r="26" spans="1:26" x14ac:dyDescent="0.25">
      <c r="E26" t="s">
        <v>81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7.0000000000000007E-2</v>
      </c>
      <c r="R26" s="90">
        <v>0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D27" t="s">
        <v>86</v>
      </c>
      <c r="E27" t="s">
        <v>70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370.15</v>
      </c>
      <c r="R27" s="90">
        <v>-1.95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ht="12.75" customHeight="1" x14ac:dyDescent="0.25">
      <c r="E28" s="89" t="s">
        <v>72</v>
      </c>
      <c r="F28" s="371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x14ac:dyDescent="0.25">
      <c r="E29" t="s">
        <v>81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ht="12.75" customHeight="1" x14ac:dyDescent="0.25">
      <c r="D30" t="s">
        <v>87</v>
      </c>
      <c r="E30" s="89" t="s">
        <v>70</v>
      </c>
      <c r="F30" s="371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94" customFormat="1" ht="12.75" customHeight="1" x14ac:dyDescent="0.25">
      <c r="C31" s="101" t="s">
        <v>119</v>
      </c>
      <c r="D31" s="101" t="s">
        <v>70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</row>
    <row r="32" spans="1:26" s="378" customFormat="1" ht="12.75" customHeight="1" x14ac:dyDescent="0.25">
      <c r="B32" s="378" t="s">
        <v>122</v>
      </c>
      <c r="C32" s="378" t="s">
        <v>70</v>
      </c>
      <c r="E32" s="376"/>
      <c r="F32" s="710">
        <v>0</v>
      </c>
      <c r="G32" s="377">
        <v>0</v>
      </c>
      <c r="H32" s="377">
        <v>0</v>
      </c>
      <c r="I32" s="377">
        <v>0</v>
      </c>
      <c r="J32" s="377">
        <v>0</v>
      </c>
      <c r="K32" s="377">
        <v>0</v>
      </c>
      <c r="L32" s="377">
        <v>0</v>
      </c>
      <c r="M32" s="377">
        <v>0</v>
      </c>
      <c r="N32" s="377">
        <v>0</v>
      </c>
      <c r="O32" s="377">
        <v>0</v>
      </c>
      <c r="P32" s="377">
        <v>0</v>
      </c>
      <c r="Q32" s="377">
        <v>0</v>
      </c>
      <c r="R32" s="377">
        <v>0</v>
      </c>
      <c r="S32" s="377">
        <v>0</v>
      </c>
      <c r="T32" s="377">
        <v>0</v>
      </c>
      <c r="U32" s="377">
        <v>0</v>
      </c>
      <c r="V32" s="377">
        <v>0</v>
      </c>
      <c r="W32" s="377">
        <v>0</v>
      </c>
      <c r="X32" s="377">
        <v>0</v>
      </c>
      <c r="Y32" s="377">
        <v>0</v>
      </c>
      <c r="Z32" s="377">
        <v>0</v>
      </c>
    </row>
    <row r="33" spans="1:26" ht="12.75" customHeight="1" x14ac:dyDescent="0.25">
      <c r="E33" s="89" t="s">
        <v>72</v>
      </c>
      <c r="F33" s="371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</row>
    <row r="34" spans="1:26" ht="12.75" customHeight="1" x14ac:dyDescent="0.25">
      <c r="E34" s="89" t="s">
        <v>81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1:26" ht="12.75" customHeight="1" x14ac:dyDescent="0.25">
      <c r="D35" t="s">
        <v>156</v>
      </c>
      <c r="E35" s="89" t="s">
        <v>70</v>
      </c>
      <c r="F35" s="89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26" s="286" customFormat="1" ht="12.75" customHeight="1" x14ac:dyDescent="0.25">
      <c r="C36" s="286" t="s">
        <v>155</v>
      </c>
      <c r="D36" s="286" t="s">
        <v>70</v>
      </c>
      <c r="E36" s="229"/>
      <c r="F36" s="229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0</v>
      </c>
    </row>
    <row r="37" spans="1:26" ht="12.75" customHeight="1" x14ac:dyDescent="0.25">
      <c r="E37" s="89" t="s">
        <v>72</v>
      </c>
      <c r="F37" s="89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26" ht="12.75" customHeight="1" x14ac:dyDescent="0.25">
      <c r="E38" s="89" t="s">
        <v>81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5">
      <c r="D39" s="89" t="s">
        <v>82</v>
      </c>
      <c r="E39" s="89" t="s">
        <v>70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5">
      <c r="E40" s="89" t="s">
        <v>72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5">
      <c r="E41" s="89" t="s">
        <v>81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5">
      <c r="D42" s="89" t="s">
        <v>86</v>
      </c>
      <c r="E42" s="89" t="s">
        <v>70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5">
      <c r="C43" s="89"/>
      <c r="D43" s="89"/>
      <c r="E43" t="s">
        <v>72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5">
      <c r="B44" s="89"/>
      <c r="C44" s="89"/>
      <c r="E44" t="s">
        <v>81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ht="12.75" customHeight="1" x14ac:dyDescent="0.25">
      <c r="C45" s="89"/>
      <c r="D45" s="89" t="s">
        <v>87</v>
      </c>
      <c r="E45" t="s">
        <v>70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1:26" s="94" customFormat="1" ht="12.75" customHeight="1" x14ac:dyDescent="0.25">
      <c r="C46" s="101" t="s">
        <v>119</v>
      </c>
      <c r="D46" s="101" t="s">
        <v>70</v>
      </c>
      <c r="F46" s="93">
        <v>0</v>
      </c>
      <c r="G46" s="93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</row>
    <row r="47" spans="1:26" s="226" customFormat="1" ht="12.75" customHeight="1" x14ac:dyDescent="0.25">
      <c r="B47" s="98" t="s">
        <v>112</v>
      </c>
      <c r="C47" s="98" t="s">
        <v>70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</v>
      </c>
      <c r="P47" s="100">
        <v>0</v>
      </c>
      <c r="Q47" s="100">
        <v>0</v>
      </c>
      <c r="R47" s="100">
        <v>0</v>
      </c>
      <c r="S47" s="100">
        <v>0</v>
      </c>
      <c r="T47" s="100">
        <v>0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0</v>
      </c>
    </row>
    <row r="48" spans="1:26" ht="12.6" customHeight="1" x14ac:dyDescent="0.25">
      <c r="A48" t="s">
        <v>78</v>
      </c>
      <c r="B48" t="s">
        <v>70</v>
      </c>
      <c r="E48" s="89"/>
      <c r="F48" s="89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2:26" x14ac:dyDescent="0.25">
      <c r="E49" t="s">
        <v>73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90">
        <v>0</v>
      </c>
    </row>
    <row r="50" spans="2:26" x14ac:dyDescent="0.25">
      <c r="D50" t="s">
        <v>156</v>
      </c>
      <c r="E50" t="s">
        <v>70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90">
        <v>0</v>
      </c>
    </row>
    <row r="51" spans="2:26" s="286" customFormat="1" ht="12.75" customHeight="1" x14ac:dyDescent="0.25">
      <c r="C51" s="286" t="s">
        <v>155</v>
      </c>
      <c r="D51" s="286" t="s">
        <v>70</v>
      </c>
      <c r="E51" s="229"/>
      <c r="F51" s="229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Z51" s="230">
        <v>0</v>
      </c>
    </row>
    <row r="52" spans="2:26" x14ac:dyDescent="0.25">
      <c r="E52" t="s">
        <v>73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90">
        <v>0</v>
      </c>
    </row>
    <row r="53" spans="2:26" x14ac:dyDescent="0.25">
      <c r="D53" t="s">
        <v>82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90">
        <v>0</v>
      </c>
    </row>
    <row r="54" spans="2:26" x14ac:dyDescent="0.25">
      <c r="E54" t="s">
        <v>73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90">
        <v>0</v>
      </c>
    </row>
    <row r="55" spans="2:26" x14ac:dyDescent="0.25">
      <c r="D55" t="s">
        <v>86</v>
      </c>
      <c r="E55" t="s">
        <v>70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90">
        <v>0</v>
      </c>
    </row>
    <row r="56" spans="2:26" x14ac:dyDescent="0.25">
      <c r="E56" t="s">
        <v>73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90">
        <v>0</v>
      </c>
    </row>
    <row r="57" spans="2:26" x14ac:dyDescent="0.25">
      <c r="D57" t="s">
        <v>87</v>
      </c>
      <c r="E57" t="s">
        <v>70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2:26" s="94" customFormat="1" ht="12.75" customHeight="1" x14ac:dyDescent="0.25">
      <c r="C58" s="101" t="s">
        <v>119</v>
      </c>
      <c r="D58" s="101" t="s">
        <v>70</v>
      </c>
      <c r="F58" s="93">
        <v>0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0</v>
      </c>
      <c r="X58" s="93">
        <v>0</v>
      </c>
      <c r="Y58" s="93">
        <v>0</v>
      </c>
      <c r="Z58" s="93">
        <v>0</v>
      </c>
    </row>
    <row r="59" spans="2:26" s="378" customFormat="1" ht="12.75" customHeight="1" x14ac:dyDescent="0.25">
      <c r="B59" s="378" t="s">
        <v>122</v>
      </c>
      <c r="C59" s="378" t="s">
        <v>70</v>
      </c>
      <c r="E59" s="376"/>
      <c r="F59" s="710">
        <v>0</v>
      </c>
      <c r="G59" s="377">
        <v>0</v>
      </c>
      <c r="H59" s="377">
        <v>0</v>
      </c>
      <c r="I59" s="377">
        <v>0</v>
      </c>
      <c r="J59" s="377">
        <v>0</v>
      </c>
      <c r="K59" s="377">
        <v>0</v>
      </c>
      <c r="L59" s="377">
        <v>0</v>
      </c>
      <c r="M59" s="377">
        <v>0</v>
      </c>
      <c r="N59" s="377">
        <v>0</v>
      </c>
      <c r="O59" s="377">
        <v>0</v>
      </c>
      <c r="P59" s="377">
        <v>0</v>
      </c>
      <c r="Q59" s="377">
        <v>0</v>
      </c>
      <c r="R59" s="377">
        <v>0</v>
      </c>
      <c r="S59" s="377">
        <v>0</v>
      </c>
      <c r="T59" s="377">
        <v>0</v>
      </c>
      <c r="U59" s="377">
        <v>0</v>
      </c>
      <c r="V59" s="377">
        <v>0</v>
      </c>
      <c r="W59" s="377">
        <v>0</v>
      </c>
      <c r="X59" s="377">
        <v>0</v>
      </c>
      <c r="Y59" s="377">
        <v>0</v>
      </c>
      <c r="Z59" s="377">
        <v>0</v>
      </c>
    </row>
    <row r="60" spans="2:26" ht="12.75" customHeight="1" x14ac:dyDescent="0.25">
      <c r="E60" s="89" t="s">
        <v>73</v>
      </c>
      <c r="F60" s="384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</row>
    <row r="61" spans="2:26" ht="12.75" customHeight="1" x14ac:dyDescent="0.25">
      <c r="D61" t="s">
        <v>156</v>
      </c>
      <c r="E61" s="89" t="s">
        <v>70</v>
      </c>
      <c r="F61" s="384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</row>
    <row r="62" spans="2:26" s="286" customFormat="1" ht="12.75" customHeight="1" x14ac:dyDescent="0.25">
      <c r="C62" s="286" t="s">
        <v>155</v>
      </c>
      <c r="D62" s="286" t="s">
        <v>70</v>
      </c>
      <c r="E62" s="229"/>
      <c r="F62" s="229">
        <v>0</v>
      </c>
      <c r="G62" s="23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30">
        <v>0</v>
      </c>
      <c r="N62" s="230">
        <v>0</v>
      </c>
      <c r="O62" s="230">
        <v>0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Z62" s="230">
        <v>0</v>
      </c>
    </row>
    <row r="63" spans="2:26" ht="12.75" customHeight="1" x14ac:dyDescent="0.25">
      <c r="D63" s="89"/>
      <c r="E63" s="89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</row>
    <row r="64" spans="2:26" ht="12.75" customHeight="1" x14ac:dyDescent="0.25">
      <c r="D64" t="s">
        <v>82</v>
      </c>
      <c r="E64" s="89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</row>
    <row r="65" spans="1:42" ht="12.75" customHeight="1" x14ac:dyDescent="0.25">
      <c r="D65" s="89"/>
      <c r="E65" s="89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</row>
    <row r="66" spans="1:42" ht="12.75" customHeight="1" x14ac:dyDescent="0.25">
      <c r="D66" t="s">
        <v>86</v>
      </c>
      <c r="E66" s="89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</row>
    <row r="67" spans="1:42" ht="12.75" customHeight="1" x14ac:dyDescent="0.25">
      <c r="D67" s="89"/>
      <c r="E67" s="89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</row>
    <row r="68" spans="1:42" ht="12.75" customHeight="1" x14ac:dyDescent="0.25">
      <c r="C68" s="89"/>
      <c r="D68" s="89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</row>
    <row r="69" spans="1:42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1:42" s="226" customFormat="1" ht="12.75" customHeight="1" x14ac:dyDescent="0.25">
      <c r="B70" s="98" t="s">
        <v>112</v>
      </c>
      <c r="C70" s="98" t="s">
        <v>70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100">
        <v>0</v>
      </c>
      <c r="R70" s="100">
        <v>0</v>
      </c>
      <c r="S70" s="100">
        <v>0</v>
      </c>
      <c r="T70" s="100">
        <v>0</v>
      </c>
      <c r="U70" s="100">
        <v>0</v>
      </c>
      <c r="V70" s="100">
        <v>0</v>
      </c>
      <c r="W70" s="100">
        <v>0</v>
      </c>
      <c r="X70" s="100">
        <v>0</v>
      </c>
      <c r="Y70" s="100">
        <v>0</v>
      </c>
      <c r="Z70" s="100">
        <v>0</v>
      </c>
    </row>
    <row r="71" spans="1:42" ht="12.75" customHeight="1" x14ac:dyDescent="0.25">
      <c r="A71" s="89" t="s">
        <v>79</v>
      </c>
      <c r="B71" t="s">
        <v>70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1:42" ht="12.75" customHeight="1" x14ac:dyDescent="0.25">
      <c r="A72" s="89" t="s">
        <v>70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>
        <v>0</v>
      </c>
      <c r="U72">
        <v>0</v>
      </c>
      <c r="V72">
        <v>0</v>
      </c>
      <c r="W72">
        <v>0</v>
      </c>
      <c r="X72" s="90">
        <v>0</v>
      </c>
      <c r="Y72" s="90">
        <v>0</v>
      </c>
      <c r="Z72">
        <v>0</v>
      </c>
    </row>
    <row r="73" spans="1:42" ht="12.75" customHeight="1" x14ac:dyDescent="0.25">
      <c r="A73" s="89"/>
      <c r="D73" s="143"/>
      <c r="E73" s="137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X73" s="90"/>
      <c r="Y73" s="90"/>
    </row>
    <row r="74" spans="1:42" ht="12.75" customHeight="1" x14ac:dyDescent="0.25">
      <c r="A74" s="89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7" t="s">
        <v>2</v>
      </c>
      <c r="D75" s="775" t="s">
        <v>132</v>
      </c>
      <c r="E75" s="98" t="s">
        <v>70</v>
      </c>
      <c r="F75" s="100">
        <f>F47+F70+F16-L16-L47</f>
        <v>0</v>
      </c>
      <c r="G75" s="100">
        <f>G47+G16</f>
        <v>0</v>
      </c>
      <c r="H75" s="100">
        <f t="shared" ref="H75:AP75" si="0">H47+H16</f>
        <v>0</v>
      </c>
      <c r="I75" s="100">
        <f t="shared" si="0"/>
        <v>0</v>
      </c>
      <c r="J75" s="100">
        <f t="shared" si="0"/>
        <v>0</v>
      </c>
      <c r="K75" s="100">
        <f t="shared" si="0"/>
        <v>0</v>
      </c>
      <c r="L75" s="100">
        <f t="shared" si="0"/>
        <v>0</v>
      </c>
      <c r="M75" s="100">
        <f t="shared" si="0"/>
        <v>0</v>
      </c>
      <c r="N75" s="100">
        <f t="shared" si="0"/>
        <v>0</v>
      </c>
      <c r="O75" s="100">
        <f t="shared" si="0"/>
        <v>0</v>
      </c>
      <c r="P75" s="100">
        <f t="shared" si="0"/>
        <v>0</v>
      </c>
      <c r="Q75" s="100">
        <f t="shared" si="0"/>
        <v>0</v>
      </c>
      <c r="R75" s="100">
        <f t="shared" si="0"/>
        <v>0</v>
      </c>
      <c r="S75" s="100">
        <f t="shared" si="0"/>
        <v>0</v>
      </c>
      <c r="T75" s="100">
        <f t="shared" si="0"/>
        <v>0</v>
      </c>
      <c r="U75" s="100">
        <f t="shared" si="0"/>
        <v>0</v>
      </c>
      <c r="V75" s="100">
        <f t="shared" si="0"/>
        <v>0</v>
      </c>
      <c r="W75" s="100">
        <f t="shared" si="0"/>
        <v>0</v>
      </c>
      <c r="X75" s="100">
        <f t="shared" si="0"/>
        <v>0</v>
      </c>
      <c r="Y75" s="100">
        <f t="shared" si="0"/>
        <v>0</v>
      </c>
      <c r="Z75" s="100">
        <f t="shared" si="0"/>
        <v>0</v>
      </c>
      <c r="AA75" s="100">
        <f t="shared" si="0"/>
        <v>0</v>
      </c>
      <c r="AB75" s="100">
        <f t="shared" si="0"/>
        <v>0</v>
      </c>
      <c r="AC75" s="100">
        <f t="shared" si="0"/>
        <v>0</v>
      </c>
      <c r="AD75" s="100">
        <f t="shared" si="0"/>
        <v>0</v>
      </c>
      <c r="AE75" s="100">
        <f t="shared" si="0"/>
        <v>0</v>
      </c>
      <c r="AF75" s="100">
        <f t="shared" si="0"/>
        <v>0</v>
      </c>
      <c r="AG75" s="100">
        <f t="shared" si="0"/>
        <v>0</v>
      </c>
      <c r="AH75" s="100">
        <f t="shared" si="0"/>
        <v>0</v>
      </c>
      <c r="AI75" s="100">
        <f t="shared" si="0"/>
        <v>0</v>
      </c>
      <c r="AJ75" s="100">
        <f t="shared" si="0"/>
        <v>0</v>
      </c>
      <c r="AK75" s="100">
        <f t="shared" si="0"/>
        <v>0</v>
      </c>
      <c r="AL75" s="100">
        <f t="shared" si="0"/>
        <v>0</v>
      </c>
      <c r="AM75" s="100">
        <f t="shared" si="0"/>
        <v>0</v>
      </c>
      <c r="AN75" s="100">
        <f t="shared" si="0"/>
        <v>0</v>
      </c>
      <c r="AO75" s="100">
        <f t="shared" si="0"/>
        <v>0</v>
      </c>
      <c r="AP75" s="100">
        <f t="shared" si="0"/>
        <v>0</v>
      </c>
    </row>
    <row r="76" spans="1:42" ht="12.75" customHeight="1" x14ac:dyDescent="0.25">
      <c r="C76" s="777"/>
      <c r="D76" s="775"/>
      <c r="E76" s="98" t="s">
        <v>73</v>
      </c>
      <c r="F76" s="100">
        <f>F70</f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5">
      <c r="C77" s="777"/>
      <c r="D77" s="775" t="s">
        <v>133</v>
      </c>
      <c r="E77" s="233" t="s">
        <v>70</v>
      </c>
      <c r="F77" s="234">
        <f>F59+F32-L32</f>
        <v>0</v>
      </c>
      <c r="G77" s="234">
        <f>G32</f>
        <v>0</v>
      </c>
      <c r="H77" s="234">
        <f t="shared" ref="H77:AP77" si="1">H32</f>
        <v>0</v>
      </c>
      <c r="I77" s="234">
        <f t="shared" si="1"/>
        <v>0</v>
      </c>
      <c r="J77" s="234">
        <f t="shared" si="1"/>
        <v>0</v>
      </c>
      <c r="K77" s="234">
        <f t="shared" si="1"/>
        <v>0</v>
      </c>
      <c r="L77" s="234">
        <f t="shared" si="1"/>
        <v>0</v>
      </c>
      <c r="M77" s="234">
        <f t="shared" si="1"/>
        <v>0</v>
      </c>
      <c r="N77" s="234">
        <f t="shared" si="1"/>
        <v>0</v>
      </c>
      <c r="O77" s="234">
        <f t="shared" si="1"/>
        <v>0</v>
      </c>
      <c r="P77" s="234">
        <f t="shared" si="1"/>
        <v>0</v>
      </c>
      <c r="Q77" s="234">
        <f t="shared" si="1"/>
        <v>0</v>
      </c>
      <c r="R77" s="234">
        <f t="shared" si="1"/>
        <v>0</v>
      </c>
      <c r="S77" s="234">
        <f t="shared" si="1"/>
        <v>0</v>
      </c>
      <c r="T77" s="234">
        <f t="shared" si="1"/>
        <v>0</v>
      </c>
      <c r="U77" s="234">
        <f t="shared" si="1"/>
        <v>0</v>
      </c>
      <c r="V77" s="234">
        <f t="shared" si="1"/>
        <v>0</v>
      </c>
      <c r="W77" s="234">
        <f t="shared" si="1"/>
        <v>0</v>
      </c>
      <c r="X77" s="234">
        <f t="shared" si="1"/>
        <v>0</v>
      </c>
      <c r="Y77" s="234">
        <f t="shared" si="1"/>
        <v>0</v>
      </c>
      <c r="Z77" s="234">
        <f t="shared" si="1"/>
        <v>0</v>
      </c>
      <c r="AA77" s="234">
        <f t="shared" si="1"/>
        <v>0</v>
      </c>
      <c r="AB77" s="234">
        <f t="shared" si="1"/>
        <v>0</v>
      </c>
      <c r="AC77" s="234">
        <f t="shared" si="1"/>
        <v>0</v>
      </c>
      <c r="AD77" s="234">
        <f t="shared" si="1"/>
        <v>0</v>
      </c>
      <c r="AE77" s="234">
        <f t="shared" si="1"/>
        <v>0</v>
      </c>
      <c r="AF77" s="234">
        <f t="shared" si="1"/>
        <v>0</v>
      </c>
      <c r="AG77" s="234">
        <f t="shared" si="1"/>
        <v>0</v>
      </c>
      <c r="AH77" s="234">
        <f t="shared" si="1"/>
        <v>0</v>
      </c>
      <c r="AI77" s="234">
        <f t="shared" si="1"/>
        <v>0</v>
      </c>
      <c r="AJ77" s="234">
        <f t="shared" si="1"/>
        <v>0</v>
      </c>
      <c r="AK77" s="234">
        <f t="shared" si="1"/>
        <v>0</v>
      </c>
      <c r="AL77" s="234">
        <f t="shared" si="1"/>
        <v>0</v>
      </c>
      <c r="AM77" s="234">
        <f t="shared" si="1"/>
        <v>0</v>
      </c>
      <c r="AN77" s="234">
        <f t="shared" si="1"/>
        <v>0</v>
      </c>
      <c r="AO77" s="234">
        <f t="shared" si="1"/>
        <v>0</v>
      </c>
      <c r="AP77" s="234">
        <f t="shared" si="1"/>
        <v>0</v>
      </c>
    </row>
    <row r="78" spans="1:42" ht="12.75" customHeight="1" x14ac:dyDescent="0.25">
      <c r="C78" s="777"/>
      <c r="D78" s="775"/>
      <c r="E78" s="233" t="s">
        <v>73</v>
      </c>
      <c r="F78" s="234">
        <f>F59</f>
        <v>0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5">
      <c r="A79" s="89"/>
      <c r="C79" s="97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5">
      <c r="C80" s="777" t="s">
        <v>160</v>
      </c>
      <c r="D80" s="775" t="s">
        <v>132</v>
      </c>
      <c r="E80" s="223" t="s">
        <v>70</v>
      </c>
      <c r="F80" s="225">
        <v>0</v>
      </c>
      <c r="G80" s="225">
        <v>0</v>
      </c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225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25">
        <v>0</v>
      </c>
      <c r="AJ80" s="225">
        <v>0</v>
      </c>
      <c r="AK80" s="225">
        <v>0</v>
      </c>
      <c r="AL80" s="225">
        <v>0</v>
      </c>
      <c r="AM80" s="225">
        <v>0</v>
      </c>
      <c r="AN80" s="225">
        <v>0</v>
      </c>
      <c r="AO80" s="225">
        <v>0</v>
      </c>
      <c r="AP80" s="225">
        <v>0</v>
      </c>
    </row>
    <row r="81" spans="1:42" ht="12.75" customHeight="1" x14ac:dyDescent="0.25">
      <c r="C81" s="777"/>
      <c r="D81" s="775"/>
      <c r="E81" s="223" t="s">
        <v>73</v>
      </c>
      <c r="F81" s="225">
        <v>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spans="1:42" ht="12.75" customHeight="1" x14ac:dyDescent="0.25">
      <c r="C82" s="777"/>
      <c r="D82" s="775" t="s">
        <v>133</v>
      </c>
      <c r="E82" s="227" t="s">
        <v>70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X82" s="228">
        <v>0</v>
      </c>
      <c r="Y82" s="228">
        <v>0</v>
      </c>
      <c r="Z82" s="228">
        <v>0</v>
      </c>
      <c r="AA82" s="228">
        <v>0</v>
      </c>
      <c r="AB82" s="228">
        <v>0</v>
      </c>
      <c r="AC82" s="228">
        <v>0</v>
      </c>
      <c r="AD82" s="228">
        <v>0</v>
      </c>
      <c r="AE82" s="228">
        <v>0</v>
      </c>
      <c r="AF82" s="228">
        <v>0</v>
      </c>
      <c r="AG82" s="228">
        <v>0</v>
      </c>
      <c r="AH82" s="228">
        <v>0</v>
      </c>
      <c r="AI82" s="228">
        <v>0</v>
      </c>
      <c r="AJ82" s="228">
        <v>0</v>
      </c>
      <c r="AK82" s="228">
        <v>0</v>
      </c>
      <c r="AL82" s="228">
        <v>0</v>
      </c>
      <c r="AM82" s="228">
        <v>0</v>
      </c>
      <c r="AN82" s="228">
        <v>0</v>
      </c>
      <c r="AO82" s="228">
        <v>0</v>
      </c>
      <c r="AP82" s="228">
        <v>0</v>
      </c>
    </row>
    <row r="83" spans="1:42" ht="12.75" customHeight="1" x14ac:dyDescent="0.25">
      <c r="C83" s="777"/>
      <c r="D83" s="775"/>
      <c r="E83" s="227" t="s">
        <v>73</v>
      </c>
      <c r="F83" s="228">
        <v>0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42" ht="12.75" customHeight="1" x14ac:dyDescent="0.25">
      <c r="A84" s="89"/>
      <c r="C84" s="97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spans="1:42" ht="12.75" customHeight="1" x14ac:dyDescent="0.25">
      <c r="C85" s="777" t="s">
        <v>155</v>
      </c>
      <c r="D85" s="775" t="s">
        <v>132</v>
      </c>
      <c r="E85" s="221" t="s">
        <v>70</v>
      </c>
      <c r="F85" s="222">
        <f>F62+F36+F8-L8-L36</f>
        <v>0</v>
      </c>
      <c r="G85" s="222">
        <f>G36+G8</f>
        <v>0</v>
      </c>
      <c r="H85" s="222">
        <f t="shared" ref="H85:AP85" si="2">H36+H8</f>
        <v>0</v>
      </c>
      <c r="I85" s="222">
        <f t="shared" si="2"/>
        <v>0</v>
      </c>
      <c r="J85" s="222">
        <f t="shared" si="2"/>
        <v>0</v>
      </c>
      <c r="K85" s="222">
        <f t="shared" si="2"/>
        <v>0</v>
      </c>
      <c r="L85" s="222">
        <f t="shared" si="2"/>
        <v>0</v>
      </c>
      <c r="M85" s="222">
        <f t="shared" si="2"/>
        <v>0</v>
      </c>
      <c r="N85" s="222">
        <f t="shared" si="2"/>
        <v>0</v>
      </c>
      <c r="O85" s="222">
        <f t="shared" si="2"/>
        <v>0</v>
      </c>
      <c r="P85" s="222">
        <f t="shared" si="2"/>
        <v>0</v>
      </c>
      <c r="Q85" s="222">
        <f t="shared" si="2"/>
        <v>0</v>
      </c>
      <c r="R85" s="222">
        <f t="shared" si="2"/>
        <v>0</v>
      </c>
      <c r="S85" s="222">
        <f t="shared" si="2"/>
        <v>0</v>
      </c>
      <c r="T85" s="222">
        <f t="shared" si="2"/>
        <v>0</v>
      </c>
      <c r="U85" s="222">
        <f t="shared" si="2"/>
        <v>0</v>
      </c>
      <c r="V85" s="222">
        <f t="shared" si="2"/>
        <v>0</v>
      </c>
      <c r="W85" s="222">
        <f t="shared" si="2"/>
        <v>0</v>
      </c>
      <c r="X85" s="222">
        <f t="shared" si="2"/>
        <v>0</v>
      </c>
      <c r="Y85" s="222">
        <f t="shared" si="2"/>
        <v>0</v>
      </c>
      <c r="Z85" s="222">
        <f t="shared" si="2"/>
        <v>0</v>
      </c>
      <c r="AA85" s="222">
        <f t="shared" si="2"/>
        <v>0</v>
      </c>
      <c r="AB85" s="222">
        <f t="shared" si="2"/>
        <v>0</v>
      </c>
      <c r="AC85" s="222">
        <f t="shared" si="2"/>
        <v>0</v>
      </c>
      <c r="AD85" s="222">
        <f t="shared" si="2"/>
        <v>0</v>
      </c>
      <c r="AE85" s="222">
        <f t="shared" si="2"/>
        <v>0</v>
      </c>
      <c r="AF85" s="222">
        <f t="shared" si="2"/>
        <v>0</v>
      </c>
      <c r="AG85" s="222">
        <f t="shared" si="2"/>
        <v>0</v>
      </c>
      <c r="AH85" s="222">
        <f t="shared" si="2"/>
        <v>0</v>
      </c>
      <c r="AI85" s="222">
        <f t="shared" si="2"/>
        <v>0</v>
      </c>
      <c r="AJ85" s="222">
        <f t="shared" si="2"/>
        <v>0</v>
      </c>
      <c r="AK85" s="222">
        <f t="shared" si="2"/>
        <v>0</v>
      </c>
      <c r="AL85" s="222">
        <f t="shared" si="2"/>
        <v>0</v>
      </c>
      <c r="AM85" s="222">
        <f t="shared" si="2"/>
        <v>0</v>
      </c>
      <c r="AN85" s="222">
        <f t="shared" si="2"/>
        <v>0</v>
      </c>
      <c r="AO85" s="222">
        <f t="shared" si="2"/>
        <v>0</v>
      </c>
      <c r="AP85" s="222">
        <f t="shared" si="2"/>
        <v>0</v>
      </c>
    </row>
    <row r="86" spans="1:42" ht="12.75" customHeight="1" x14ac:dyDescent="0.25">
      <c r="C86" s="777"/>
      <c r="D86" s="775"/>
      <c r="E86" s="221" t="s">
        <v>73</v>
      </c>
      <c r="F86" s="222">
        <f>F62</f>
        <v>0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 spans="1:42" ht="12.75" customHeight="1" x14ac:dyDescent="0.25">
      <c r="B87" s="150"/>
      <c r="C87" s="777"/>
      <c r="D87" s="775" t="s">
        <v>133</v>
      </c>
      <c r="E87" s="229" t="s">
        <v>70</v>
      </c>
      <c r="F87" s="230">
        <f>F51+F21-L21</f>
        <v>0</v>
      </c>
      <c r="G87" s="230">
        <f>G21</f>
        <v>0</v>
      </c>
      <c r="H87" s="230">
        <f t="shared" ref="H87:AP87" si="3">H21</f>
        <v>0</v>
      </c>
      <c r="I87" s="230">
        <f t="shared" si="3"/>
        <v>0</v>
      </c>
      <c r="J87" s="230">
        <f t="shared" si="3"/>
        <v>0</v>
      </c>
      <c r="K87" s="230">
        <f t="shared" si="3"/>
        <v>0</v>
      </c>
      <c r="L87" s="230">
        <f t="shared" si="3"/>
        <v>0</v>
      </c>
      <c r="M87" s="230">
        <f t="shared" si="3"/>
        <v>0</v>
      </c>
      <c r="N87" s="230">
        <f t="shared" si="3"/>
        <v>0</v>
      </c>
      <c r="O87" s="230">
        <f t="shared" si="3"/>
        <v>0</v>
      </c>
      <c r="P87" s="230">
        <f t="shared" si="3"/>
        <v>0</v>
      </c>
      <c r="Q87" s="230">
        <f t="shared" si="3"/>
        <v>0</v>
      </c>
      <c r="R87" s="230">
        <f t="shared" si="3"/>
        <v>0</v>
      </c>
      <c r="S87" s="230">
        <f t="shared" si="3"/>
        <v>0</v>
      </c>
      <c r="T87" s="230">
        <f t="shared" si="3"/>
        <v>0</v>
      </c>
      <c r="U87" s="230">
        <f t="shared" si="3"/>
        <v>0</v>
      </c>
      <c r="V87" s="230">
        <f t="shared" si="3"/>
        <v>0</v>
      </c>
      <c r="W87" s="230">
        <f t="shared" si="3"/>
        <v>0</v>
      </c>
      <c r="X87" s="230">
        <f t="shared" si="3"/>
        <v>0</v>
      </c>
      <c r="Y87" s="230">
        <f t="shared" si="3"/>
        <v>0</v>
      </c>
      <c r="Z87" s="230">
        <f t="shared" si="3"/>
        <v>0</v>
      </c>
      <c r="AA87" s="230">
        <f t="shared" si="3"/>
        <v>0</v>
      </c>
      <c r="AB87" s="230">
        <f t="shared" si="3"/>
        <v>0</v>
      </c>
      <c r="AC87" s="230">
        <f t="shared" si="3"/>
        <v>0</v>
      </c>
      <c r="AD87" s="230">
        <f t="shared" si="3"/>
        <v>0</v>
      </c>
      <c r="AE87" s="230">
        <f t="shared" si="3"/>
        <v>0</v>
      </c>
      <c r="AF87" s="230">
        <f t="shared" si="3"/>
        <v>0</v>
      </c>
      <c r="AG87" s="230">
        <f t="shared" si="3"/>
        <v>0</v>
      </c>
      <c r="AH87" s="230">
        <f t="shared" si="3"/>
        <v>0</v>
      </c>
      <c r="AI87" s="230">
        <f t="shared" si="3"/>
        <v>0</v>
      </c>
      <c r="AJ87" s="230">
        <f t="shared" si="3"/>
        <v>0</v>
      </c>
      <c r="AK87" s="230">
        <f t="shared" si="3"/>
        <v>0</v>
      </c>
      <c r="AL87" s="230">
        <f t="shared" si="3"/>
        <v>0</v>
      </c>
      <c r="AM87" s="230">
        <f t="shared" si="3"/>
        <v>0</v>
      </c>
      <c r="AN87" s="230">
        <f t="shared" si="3"/>
        <v>0</v>
      </c>
      <c r="AO87" s="230">
        <f t="shared" si="3"/>
        <v>0</v>
      </c>
      <c r="AP87" s="230">
        <f t="shared" si="3"/>
        <v>0</v>
      </c>
    </row>
    <row r="88" spans="1:42" ht="12.75" customHeight="1" x14ac:dyDescent="0.25">
      <c r="B88" s="150"/>
      <c r="C88" s="777"/>
      <c r="D88" s="775"/>
      <c r="E88" s="229" t="s">
        <v>73</v>
      </c>
      <c r="F88" s="230">
        <f>F51</f>
        <v>0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</row>
    <row r="89" spans="1:42" ht="12.75" customHeight="1" x14ac:dyDescent="0.25">
      <c r="A89" s="89"/>
      <c r="C89" s="97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 spans="1:42" ht="12.75" customHeight="1" x14ac:dyDescent="0.25">
      <c r="C90" s="778" t="s">
        <v>326</v>
      </c>
      <c r="D90" s="775" t="s">
        <v>132</v>
      </c>
      <c r="E90" s="373" t="s">
        <v>70</v>
      </c>
      <c r="F90" s="374">
        <v>0</v>
      </c>
      <c r="G90" s="374">
        <v>0</v>
      </c>
      <c r="H90" s="374">
        <v>0</v>
      </c>
      <c r="I90" s="374">
        <v>0</v>
      </c>
      <c r="J90" s="374">
        <v>0</v>
      </c>
      <c r="K90" s="374">
        <v>0</v>
      </c>
      <c r="L90" s="374">
        <v>0</v>
      </c>
      <c r="M90" s="374">
        <v>0</v>
      </c>
      <c r="N90" s="374">
        <v>0</v>
      </c>
      <c r="O90" s="374">
        <v>0</v>
      </c>
      <c r="P90" s="374">
        <v>0</v>
      </c>
      <c r="Q90" s="374">
        <v>0</v>
      </c>
      <c r="R90" s="374">
        <v>0</v>
      </c>
      <c r="S90" s="374">
        <v>0</v>
      </c>
      <c r="T90" s="374">
        <v>0</v>
      </c>
      <c r="U90" s="374">
        <v>0</v>
      </c>
      <c r="V90" s="374">
        <v>0</v>
      </c>
      <c r="W90" s="374">
        <v>0</v>
      </c>
      <c r="X90" s="374">
        <v>0</v>
      </c>
      <c r="Y90" s="374">
        <v>0</v>
      </c>
      <c r="Z90" s="374">
        <v>0</v>
      </c>
      <c r="AA90" s="374">
        <v>0</v>
      </c>
      <c r="AB90" s="374">
        <v>0</v>
      </c>
      <c r="AC90" s="374">
        <v>0</v>
      </c>
      <c r="AD90" s="374">
        <v>0</v>
      </c>
      <c r="AE90" s="374">
        <v>0</v>
      </c>
      <c r="AF90" s="374">
        <v>0</v>
      </c>
      <c r="AG90" s="374">
        <v>0</v>
      </c>
      <c r="AH90" s="374">
        <v>0</v>
      </c>
      <c r="AI90" s="374">
        <v>0</v>
      </c>
      <c r="AJ90" s="374">
        <v>0</v>
      </c>
      <c r="AK90" s="374">
        <v>0</v>
      </c>
      <c r="AL90" s="374">
        <v>0</v>
      </c>
      <c r="AM90" s="374">
        <v>0</v>
      </c>
      <c r="AN90" s="374">
        <v>0</v>
      </c>
      <c r="AO90" s="374">
        <v>0</v>
      </c>
    </row>
    <row r="91" spans="1:42" ht="12.75" customHeight="1" x14ac:dyDescent="0.25">
      <c r="C91" s="778"/>
      <c r="D91" s="775"/>
      <c r="E91" s="373" t="s">
        <v>73</v>
      </c>
      <c r="F91" s="374">
        <v>0</v>
      </c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 spans="1:42" ht="12.75" customHeight="1" x14ac:dyDescent="0.25">
      <c r="C92" s="778"/>
      <c r="D92" s="775" t="s">
        <v>133</v>
      </c>
      <c r="E92" s="242" t="s">
        <v>70</v>
      </c>
      <c r="F92" s="243">
        <v>0</v>
      </c>
      <c r="G92" s="243">
        <v>0</v>
      </c>
      <c r="H92" s="243">
        <v>0</v>
      </c>
      <c r="I92" s="243">
        <v>0</v>
      </c>
      <c r="J92" s="243">
        <v>0</v>
      </c>
      <c r="K92" s="243">
        <v>0</v>
      </c>
      <c r="L92" s="243">
        <v>0</v>
      </c>
      <c r="M92" s="243">
        <v>0</v>
      </c>
      <c r="N92" s="243">
        <v>0</v>
      </c>
      <c r="O92" s="243">
        <v>0</v>
      </c>
      <c r="P92" s="243">
        <v>0</v>
      </c>
      <c r="Q92" s="243">
        <v>0</v>
      </c>
      <c r="R92" s="243">
        <v>0</v>
      </c>
      <c r="S92" s="243">
        <v>0</v>
      </c>
      <c r="T92" s="243">
        <v>0</v>
      </c>
      <c r="U92" s="243">
        <v>0</v>
      </c>
      <c r="V92" s="243">
        <v>0</v>
      </c>
      <c r="W92" s="243">
        <v>0</v>
      </c>
      <c r="X92" s="243">
        <v>0</v>
      </c>
      <c r="Y92" s="243">
        <v>0</v>
      </c>
      <c r="Z92" s="243">
        <v>0</v>
      </c>
      <c r="AA92" s="243">
        <v>0</v>
      </c>
      <c r="AB92" s="243">
        <v>0</v>
      </c>
      <c r="AC92" s="243">
        <v>0</v>
      </c>
      <c r="AD92" s="243">
        <v>0</v>
      </c>
      <c r="AE92" s="243">
        <v>0</v>
      </c>
      <c r="AF92" s="243">
        <v>0</v>
      </c>
      <c r="AG92" s="243">
        <v>0</v>
      </c>
      <c r="AH92" s="243">
        <v>0</v>
      </c>
      <c r="AI92" s="243">
        <v>0</v>
      </c>
      <c r="AJ92" s="243">
        <v>0</v>
      </c>
      <c r="AK92" s="243">
        <v>0</v>
      </c>
      <c r="AL92" s="243">
        <v>0</v>
      </c>
      <c r="AM92" s="243">
        <v>0</v>
      </c>
      <c r="AN92" s="243">
        <v>0</v>
      </c>
      <c r="AO92" s="243">
        <v>0</v>
      </c>
    </row>
    <row r="93" spans="1:42" ht="12.75" customHeight="1" x14ac:dyDescent="0.25">
      <c r="C93" s="778"/>
      <c r="D93" s="775"/>
      <c r="E93" s="242" t="s">
        <v>73</v>
      </c>
      <c r="F93" s="243">
        <v>0</v>
      </c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</row>
    <row r="94" spans="1:42" ht="12.75" customHeight="1" x14ac:dyDescent="0.25">
      <c r="A94" s="89"/>
      <c r="C94" s="97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 spans="1:42" ht="12.75" customHeight="1" x14ac:dyDescent="0.25">
      <c r="C95" s="777" t="s">
        <v>119</v>
      </c>
      <c r="D95" s="775" t="s">
        <v>132</v>
      </c>
      <c r="E95" s="101" t="s">
        <v>70</v>
      </c>
      <c r="F95" s="93">
        <f>F69+F46+F15-L15-L46</f>
        <v>0</v>
      </c>
      <c r="G95" s="93">
        <f t="shared" ref="G95:AP95" si="4">G46+G15</f>
        <v>0</v>
      </c>
      <c r="H95" s="93">
        <f t="shared" si="4"/>
        <v>0</v>
      </c>
      <c r="I95" s="93">
        <f t="shared" si="4"/>
        <v>0</v>
      </c>
      <c r="J95" s="93">
        <f t="shared" si="4"/>
        <v>0</v>
      </c>
      <c r="K95" s="93">
        <f t="shared" si="4"/>
        <v>0</v>
      </c>
      <c r="L95" s="93">
        <f t="shared" si="4"/>
        <v>0</v>
      </c>
      <c r="M95" s="93">
        <f t="shared" si="4"/>
        <v>0</v>
      </c>
      <c r="N95" s="93">
        <f t="shared" si="4"/>
        <v>0</v>
      </c>
      <c r="O95" s="93">
        <f t="shared" si="4"/>
        <v>0</v>
      </c>
      <c r="P95" s="93">
        <f t="shared" si="4"/>
        <v>0</v>
      </c>
      <c r="Q95" s="93">
        <f t="shared" si="4"/>
        <v>0</v>
      </c>
      <c r="R95" s="93">
        <f t="shared" si="4"/>
        <v>0</v>
      </c>
      <c r="S95" s="93">
        <f t="shared" si="4"/>
        <v>0</v>
      </c>
      <c r="T95" s="93">
        <f t="shared" si="4"/>
        <v>0</v>
      </c>
      <c r="U95" s="93">
        <f t="shared" si="4"/>
        <v>0</v>
      </c>
      <c r="V95" s="93">
        <f t="shared" si="4"/>
        <v>0</v>
      </c>
      <c r="W95" s="93">
        <f t="shared" si="4"/>
        <v>0</v>
      </c>
      <c r="X95" s="93">
        <f t="shared" si="4"/>
        <v>0</v>
      </c>
      <c r="Y95" s="93">
        <f t="shared" si="4"/>
        <v>0</v>
      </c>
      <c r="Z95" s="93">
        <f t="shared" si="4"/>
        <v>0</v>
      </c>
      <c r="AA95" s="93">
        <f t="shared" si="4"/>
        <v>0</v>
      </c>
      <c r="AB95" s="93">
        <f t="shared" si="4"/>
        <v>0</v>
      </c>
      <c r="AC95" s="93">
        <f t="shared" si="4"/>
        <v>0</v>
      </c>
      <c r="AD95" s="93">
        <f t="shared" si="4"/>
        <v>0</v>
      </c>
      <c r="AE95" s="93">
        <f t="shared" si="4"/>
        <v>0</v>
      </c>
      <c r="AF95" s="93">
        <f t="shared" si="4"/>
        <v>0</v>
      </c>
      <c r="AG95" s="93">
        <f t="shared" si="4"/>
        <v>0</v>
      </c>
      <c r="AH95" s="93">
        <f t="shared" si="4"/>
        <v>0</v>
      </c>
      <c r="AI95" s="93">
        <f t="shared" si="4"/>
        <v>0</v>
      </c>
      <c r="AJ95" s="93">
        <f t="shared" si="4"/>
        <v>0</v>
      </c>
      <c r="AK95" s="93">
        <f t="shared" si="4"/>
        <v>0</v>
      </c>
      <c r="AL95" s="93">
        <f t="shared" si="4"/>
        <v>0</v>
      </c>
      <c r="AM95" s="93">
        <f t="shared" si="4"/>
        <v>0</v>
      </c>
      <c r="AN95" s="93">
        <f t="shared" si="4"/>
        <v>0</v>
      </c>
      <c r="AO95" s="93">
        <f t="shared" si="4"/>
        <v>0</v>
      </c>
      <c r="AP95" s="93">
        <f t="shared" si="4"/>
        <v>0</v>
      </c>
    </row>
    <row r="96" spans="1:42" ht="12.75" customHeight="1" x14ac:dyDescent="0.25">
      <c r="C96" s="777"/>
      <c r="D96" s="775"/>
      <c r="E96" s="101" t="s">
        <v>73</v>
      </c>
      <c r="F96" s="93">
        <f>F69</f>
        <v>0</v>
      </c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 spans="1:42" ht="12.75" customHeight="1" x14ac:dyDescent="0.25">
      <c r="C97" s="777"/>
      <c r="D97" s="775" t="s">
        <v>133</v>
      </c>
      <c r="E97" s="235" t="s">
        <v>70</v>
      </c>
      <c r="F97" s="236">
        <f>F58+F31-L31</f>
        <v>0</v>
      </c>
      <c r="G97" s="236">
        <f>G31</f>
        <v>0</v>
      </c>
      <c r="H97" s="236">
        <f t="shared" ref="H97:AP97" si="5">H31</f>
        <v>0</v>
      </c>
      <c r="I97" s="236">
        <f t="shared" si="5"/>
        <v>0</v>
      </c>
      <c r="J97" s="236">
        <f t="shared" si="5"/>
        <v>0</v>
      </c>
      <c r="K97" s="236">
        <f t="shared" si="5"/>
        <v>0</v>
      </c>
      <c r="L97" s="236">
        <f t="shared" si="5"/>
        <v>0</v>
      </c>
      <c r="M97" s="236">
        <f t="shared" si="5"/>
        <v>0</v>
      </c>
      <c r="N97" s="236">
        <f t="shared" si="5"/>
        <v>0</v>
      </c>
      <c r="O97" s="236">
        <f t="shared" si="5"/>
        <v>0</v>
      </c>
      <c r="P97" s="236">
        <f t="shared" si="5"/>
        <v>0</v>
      </c>
      <c r="Q97" s="236">
        <f t="shared" si="5"/>
        <v>0</v>
      </c>
      <c r="R97" s="236">
        <f t="shared" si="5"/>
        <v>0</v>
      </c>
      <c r="S97" s="236">
        <f t="shared" si="5"/>
        <v>0</v>
      </c>
      <c r="T97" s="236">
        <f t="shared" si="5"/>
        <v>0</v>
      </c>
      <c r="U97" s="236">
        <f t="shared" si="5"/>
        <v>0</v>
      </c>
      <c r="V97" s="236">
        <f t="shared" si="5"/>
        <v>0</v>
      </c>
      <c r="W97" s="236">
        <f t="shared" si="5"/>
        <v>0</v>
      </c>
      <c r="X97" s="236">
        <f t="shared" si="5"/>
        <v>0</v>
      </c>
      <c r="Y97" s="236">
        <f t="shared" si="5"/>
        <v>0</v>
      </c>
      <c r="Z97" s="236">
        <f t="shared" si="5"/>
        <v>0</v>
      </c>
      <c r="AA97" s="236">
        <f t="shared" si="5"/>
        <v>0</v>
      </c>
      <c r="AB97" s="236">
        <f t="shared" si="5"/>
        <v>0</v>
      </c>
      <c r="AC97" s="236">
        <f t="shared" si="5"/>
        <v>0</v>
      </c>
      <c r="AD97" s="236">
        <f t="shared" si="5"/>
        <v>0</v>
      </c>
      <c r="AE97" s="236">
        <f t="shared" si="5"/>
        <v>0</v>
      </c>
      <c r="AF97" s="236">
        <f t="shared" si="5"/>
        <v>0</v>
      </c>
      <c r="AG97" s="236">
        <f t="shared" si="5"/>
        <v>0</v>
      </c>
      <c r="AH97" s="236">
        <f t="shared" si="5"/>
        <v>0</v>
      </c>
      <c r="AI97" s="236">
        <f t="shared" si="5"/>
        <v>0</v>
      </c>
      <c r="AJ97" s="236">
        <f t="shared" si="5"/>
        <v>0</v>
      </c>
      <c r="AK97" s="236">
        <f t="shared" si="5"/>
        <v>0</v>
      </c>
      <c r="AL97" s="236">
        <f t="shared" si="5"/>
        <v>0</v>
      </c>
      <c r="AM97" s="236">
        <f t="shared" si="5"/>
        <v>0</v>
      </c>
      <c r="AN97" s="236">
        <f t="shared" si="5"/>
        <v>0</v>
      </c>
      <c r="AO97" s="236">
        <f t="shared" si="5"/>
        <v>0</v>
      </c>
      <c r="AP97" s="236">
        <f t="shared" si="5"/>
        <v>0</v>
      </c>
    </row>
    <row r="98" spans="1:42" ht="12.75" customHeight="1" x14ac:dyDescent="0.25">
      <c r="C98" s="777"/>
      <c r="D98" s="775"/>
      <c r="E98" s="235" t="s">
        <v>73</v>
      </c>
      <c r="F98" s="236">
        <f>F58</f>
        <v>0</v>
      </c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</row>
    <row r="99" spans="1:42" ht="12.75" customHeight="1" x14ac:dyDescent="0.25">
      <c r="A99" s="89"/>
      <c r="C99" s="97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 spans="1:42" ht="12.75" customHeight="1" x14ac:dyDescent="0.25">
      <c r="C100" s="776" t="s">
        <v>161</v>
      </c>
      <c r="D100" s="775" t="s">
        <v>132</v>
      </c>
      <c r="E100" s="231" t="s">
        <v>70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X100" s="232">
        <v>0</v>
      </c>
      <c r="Y100" s="232">
        <v>0</v>
      </c>
      <c r="Z100" s="232">
        <v>0</v>
      </c>
      <c r="AA100" s="232">
        <v>0</v>
      </c>
      <c r="AB100" s="232">
        <v>0</v>
      </c>
      <c r="AC100" s="232">
        <v>0</v>
      </c>
      <c r="AD100" s="232">
        <v>0</v>
      </c>
      <c r="AE100" s="232">
        <v>0</v>
      </c>
      <c r="AF100" s="232">
        <v>0</v>
      </c>
      <c r="AG100" s="232">
        <v>0</v>
      </c>
      <c r="AH100" s="232">
        <v>0</v>
      </c>
      <c r="AI100" s="232">
        <v>0</v>
      </c>
      <c r="AJ100" s="232">
        <v>0</v>
      </c>
      <c r="AK100" s="232">
        <v>0</v>
      </c>
      <c r="AL100" s="232">
        <v>0</v>
      </c>
      <c r="AM100" s="232">
        <v>0</v>
      </c>
      <c r="AN100" s="232">
        <v>0</v>
      </c>
      <c r="AO100" s="232">
        <v>0</v>
      </c>
      <c r="AP100" s="232">
        <v>0</v>
      </c>
    </row>
    <row r="101" spans="1:42" ht="12.75" customHeight="1" x14ac:dyDescent="0.25">
      <c r="C101" s="776"/>
      <c r="D101" s="775"/>
      <c r="E101" s="231" t="s">
        <v>73</v>
      </c>
      <c r="F101" s="232">
        <v>0</v>
      </c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 spans="1:42" ht="12.75" customHeight="1" x14ac:dyDescent="0.25">
      <c r="C102" s="776"/>
      <c r="D102" s="775" t="s">
        <v>133</v>
      </c>
      <c r="E102" s="148" t="s">
        <v>70</v>
      </c>
      <c r="F102" s="149">
        <v>0</v>
      </c>
      <c r="G102" s="149">
        <v>0</v>
      </c>
      <c r="H102" s="149">
        <v>0</v>
      </c>
      <c r="I102" s="149">
        <v>0</v>
      </c>
      <c r="J102" s="149">
        <v>0</v>
      </c>
      <c r="K102" s="149">
        <v>0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0</v>
      </c>
      <c r="S102" s="149">
        <v>0</v>
      </c>
      <c r="T102" s="149">
        <v>0</v>
      </c>
      <c r="U102" s="149">
        <v>0</v>
      </c>
      <c r="V102" s="149">
        <v>0</v>
      </c>
      <c r="W102" s="149">
        <v>0</v>
      </c>
      <c r="X102" s="149">
        <v>0</v>
      </c>
      <c r="Y102" s="149">
        <v>0</v>
      </c>
      <c r="Z102" s="149">
        <v>0</v>
      </c>
      <c r="AA102" s="149">
        <v>0</v>
      </c>
      <c r="AB102" s="149">
        <v>0</v>
      </c>
      <c r="AC102" s="149">
        <v>0</v>
      </c>
      <c r="AD102" s="149">
        <v>0</v>
      </c>
      <c r="AE102" s="149">
        <v>0</v>
      </c>
      <c r="AF102" s="149">
        <v>0</v>
      </c>
      <c r="AG102" s="149">
        <v>0</v>
      </c>
      <c r="AH102" s="149">
        <v>0</v>
      </c>
      <c r="AI102" s="149">
        <v>0</v>
      </c>
      <c r="AJ102" s="149">
        <v>0</v>
      </c>
      <c r="AK102" s="149">
        <v>0</v>
      </c>
      <c r="AL102" s="149">
        <v>0</v>
      </c>
      <c r="AM102" s="149">
        <v>0</v>
      </c>
      <c r="AN102" s="149">
        <v>0</v>
      </c>
      <c r="AO102" s="149">
        <v>0</v>
      </c>
      <c r="AP102" s="149">
        <v>0</v>
      </c>
    </row>
    <row r="103" spans="1:42" ht="12.75" customHeight="1" x14ac:dyDescent="0.25">
      <c r="C103" s="776"/>
      <c r="D103" s="775"/>
      <c r="E103" s="148" t="s">
        <v>73</v>
      </c>
      <c r="F103" s="149">
        <v>0</v>
      </c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</row>
    <row r="104" spans="1:42" ht="12.75" customHeight="1" x14ac:dyDescent="0.25">
      <c r="C104" s="388"/>
      <c r="D104" s="220"/>
      <c r="E104" s="89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</row>
    <row r="105" spans="1:42" ht="12.75" customHeight="1" x14ac:dyDescent="0.25">
      <c r="D105" s="458" t="s">
        <v>186</v>
      </c>
      <c r="E105" s="459" t="s">
        <v>70</v>
      </c>
      <c r="F105" s="460">
        <f t="shared" ref="F105:AP105" si="6">F17</f>
        <v>0</v>
      </c>
      <c r="G105" s="460">
        <f t="shared" si="6"/>
        <v>0</v>
      </c>
      <c r="H105" s="460">
        <f t="shared" si="6"/>
        <v>0</v>
      </c>
      <c r="I105" s="460">
        <f t="shared" si="6"/>
        <v>0</v>
      </c>
      <c r="J105" s="460">
        <f t="shared" si="6"/>
        <v>0</v>
      </c>
      <c r="K105" s="460">
        <f t="shared" si="6"/>
        <v>0</v>
      </c>
      <c r="L105" s="460">
        <f t="shared" si="6"/>
        <v>0</v>
      </c>
      <c r="M105" s="460">
        <f t="shared" si="6"/>
        <v>0</v>
      </c>
      <c r="N105" s="460">
        <f t="shared" si="6"/>
        <v>0</v>
      </c>
      <c r="O105" s="460">
        <f t="shared" si="6"/>
        <v>0</v>
      </c>
      <c r="P105" s="460">
        <f t="shared" si="6"/>
        <v>0</v>
      </c>
      <c r="Q105" s="460">
        <f t="shared" si="6"/>
        <v>0</v>
      </c>
      <c r="R105" s="460">
        <f t="shared" si="6"/>
        <v>0</v>
      </c>
      <c r="S105" s="460">
        <f t="shared" si="6"/>
        <v>0</v>
      </c>
      <c r="T105" s="460">
        <f t="shared" si="6"/>
        <v>0</v>
      </c>
      <c r="U105" s="460">
        <f t="shared" si="6"/>
        <v>0</v>
      </c>
      <c r="V105" s="460">
        <f t="shared" si="6"/>
        <v>0</v>
      </c>
      <c r="W105" s="460">
        <f t="shared" si="6"/>
        <v>0</v>
      </c>
      <c r="X105" s="460">
        <f t="shared" si="6"/>
        <v>0</v>
      </c>
      <c r="Y105" s="460">
        <f t="shared" si="6"/>
        <v>0</v>
      </c>
      <c r="Z105" s="460">
        <f t="shared" si="6"/>
        <v>0</v>
      </c>
      <c r="AA105" s="460">
        <f t="shared" si="6"/>
        <v>0</v>
      </c>
      <c r="AB105" s="460">
        <f t="shared" si="6"/>
        <v>0</v>
      </c>
      <c r="AC105" s="460">
        <f t="shared" si="6"/>
        <v>0</v>
      </c>
      <c r="AD105" s="460">
        <f t="shared" si="6"/>
        <v>0</v>
      </c>
      <c r="AE105" s="460">
        <f t="shared" si="6"/>
        <v>0</v>
      </c>
      <c r="AF105" s="460">
        <f t="shared" si="6"/>
        <v>0</v>
      </c>
      <c r="AG105" s="460">
        <f t="shared" si="6"/>
        <v>0</v>
      </c>
      <c r="AH105" s="460">
        <f t="shared" si="6"/>
        <v>0</v>
      </c>
      <c r="AI105" s="460">
        <f t="shared" si="6"/>
        <v>0</v>
      </c>
      <c r="AJ105" s="460">
        <f t="shared" si="6"/>
        <v>0</v>
      </c>
      <c r="AK105" s="460">
        <f t="shared" si="6"/>
        <v>0</v>
      </c>
      <c r="AL105" s="460">
        <f t="shared" si="6"/>
        <v>0</v>
      </c>
      <c r="AM105" s="460">
        <f t="shared" si="6"/>
        <v>0</v>
      </c>
      <c r="AN105" s="460">
        <f t="shared" si="6"/>
        <v>0</v>
      </c>
      <c r="AO105" s="460">
        <f t="shared" si="6"/>
        <v>0</v>
      </c>
      <c r="AP105" s="460">
        <f t="shared" si="6"/>
        <v>0</v>
      </c>
    </row>
    <row r="106" spans="1:42" ht="12.75" customHeight="1" x14ac:dyDescent="0.25">
      <c r="C106" s="388"/>
      <c r="D106" s="220"/>
      <c r="E106" s="89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</row>
    <row r="107" spans="1:42" s="238" customFormat="1" ht="12.75" customHeight="1" x14ac:dyDescent="0.25">
      <c r="B107" s="239"/>
      <c r="C107" s="239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42" ht="12" customHeight="1" x14ac:dyDescent="0.25">
      <c r="A108" s="89"/>
      <c r="B108" s="97" t="s">
        <v>75</v>
      </c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</row>
    <row r="109" spans="1:42" ht="12.6" customHeight="1" x14ac:dyDescent="0.25">
      <c r="F109" s="89" t="s">
        <v>70</v>
      </c>
      <c r="G109" s="89" t="s">
        <v>64</v>
      </c>
      <c r="H109" s="89" t="s">
        <v>65</v>
      </c>
      <c r="I109" s="218" t="s">
        <v>164</v>
      </c>
      <c r="J109" s="89" t="s">
        <v>69</v>
      </c>
      <c r="K109" s="89" t="s">
        <v>68</v>
      </c>
      <c r="L109" s="89" t="s">
        <v>71</v>
      </c>
      <c r="M109" s="89" t="s">
        <v>66</v>
      </c>
      <c r="N109" s="89" t="s">
        <v>63</v>
      </c>
      <c r="O109" s="89" t="s">
        <v>61</v>
      </c>
      <c r="P109" s="89" t="s">
        <v>62</v>
      </c>
      <c r="Q109" s="89" t="s">
        <v>67</v>
      </c>
      <c r="R109" s="89" t="s">
        <v>77</v>
      </c>
      <c r="S109" s="89" t="s">
        <v>80</v>
      </c>
      <c r="T109" s="89" t="s">
        <v>135</v>
      </c>
      <c r="U109" s="89" t="s">
        <v>173</v>
      </c>
      <c r="V109" s="89" t="s">
        <v>222</v>
      </c>
      <c r="W109" s="89" t="s">
        <v>173</v>
      </c>
      <c r="X109" t="s">
        <v>173</v>
      </c>
      <c r="Y109" s="89" t="s">
        <v>135</v>
      </c>
      <c r="Z109" s="89" t="s">
        <v>167</v>
      </c>
    </row>
    <row r="110" spans="1:42" ht="12.75" customHeight="1" x14ac:dyDescent="0.25">
      <c r="E110" t="s">
        <v>72</v>
      </c>
      <c r="F110" s="384">
        <v>0</v>
      </c>
      <c r="G110" s="89">
        <v>0</v>
      </c>
      <c r="H110" s="89">
        <v>0</v>
      </c>
      <c r="I110" s="664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>
        <v>0</v>
      </c>
      <c r="Y110" s="89">
        <v>0</v>
      </c>
      <c r="Z110" s="89">
        <v>0</v>
      </c>
    </row>
    <row r="111" spans="1:42" ht="12.75" customHeight="1" x14ac:dyDescent="0.25">
      <c r="D111" t="s">
        <v>156</v>
      </c>
      <c r="E111" t="s">
        <v>70</v>
      </c>
      <c r="F111" s="384">
        <v>0</v>
      </c>
      <c r="G111" s="89">
        <v>0</v>
      </c>
      <c r="H111" s="89">
        <v>0</v>
      </c>
      <c r="I111" s="664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>
        <v>0</v>
      </c>
      <c r="Y111" s="89">
        <v>0</v>
      </c>
      <c r="Z111" s="89">
        <v>0</v>
      </c>
    </row>
    <row r="112" spans="1:42" s="656" customFormat="1" ht="12.75" customHeight="1" x14ac:dyDescent="0.25">
      <c r="C112" s="656" t="s">
        <v>155</v>
      </c>
      <c r="D112" s="656" t="s">
        <v>70</v>
      </c>
      <c r="F112" s="736">
        <v>0</v>
      </c>
      <c r="G112" s="657">
        <v>0</v>
      </c>
      <c r="H112" s="657">
        <v>0</v>
      </c>
      <c r="I112" s="737">
        <v>0</v>
      </c>
      <c r="J112" s="657">
        <v>0</v>
      </c>
      <c r="K112" s="657">
        <v>0</v>
      </c>
      <c r="L112" s="657">
        <v>0</v>
      </c>
      <c r="M112" s="657">
        <v>0</v>
      </c>
      <c r="N112" s="657">
        <v>0</v>
      </c>
      <c r="O112" s="657">
        <v>0</v>
      </c>
      <c r="P112" s="657">
        <v>0</v>
      </c>
      <c r="Q112" s="657">
        <v>0</v>
      </c>
      <c r="R112" s="657">
        <v>0</v>
      </c>
      <c r="S112" s="657">
        <v>0</v>
      </c>
      <c r="T112" s="657">
        <v>0</v>
      </c>
      <c r="U112" s="657">
        <v>0</v>
      </c>
      <c r="V112" s="657">
        <v>0</v>
      </c>
      <c r="W112" s="657">
        <v>0</v>
      </c>
      <c r="X112" s="656">
        <v>0</v>
      </c>
      <c r="Y112" s="657">
        <v>0</v>
      </c>
      <c r="Z112" s="657">
        <v>0</v>
      </c>
    </row>
    <row r="113" spans="1:26" ht="12.75" customHeight="1" x14ac:dyDescent="0.25">
      <c r="E113" s="89" t="s">
        <v>72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0</v>
      </c>
    </row>
    <row r="114" spans="1:26" ht="12.75" customHeight="1" x14ac:dyDescent="0.25">
      <c r="D114" t="s">
        <v>82</v>
      </c>
      <c r="E114" s="89" t="s">
        <v>70</v>
      </c>
      <c r="F114" s="371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0</v>
      </c>
    </row>
    <row r="115" spans="1:26" ht="12.75" customHeight="1" x14ac:dyDescent="0.25">
      <c r="E115" s="89" t="s">
        <v>72</v>
      </c>
      <c r="F115" s="371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5">
      <c r="D116" t="s">
        <v>86</v>
      </c>
      <c r="E116" s="89" t="s">
        <v>70</v>
      </c>
      <c r="F116" s="371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5">
      <c r="E117" s="89" t="s">
        <v>72</v>
      </c>
      <c r="F117" s="371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</row>
    <row r="118" spans="1:26" ht="12.75" customHeight="1" x14ac:dyDescent="0.25">
      <c r="D118" t="s">
        <v>87</v>
      </c>
      <c r="E118" s="89" t="s">
        <v>70</v>
      </c>
      <c r="F118" s="371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</row>
    <row r="119" spans="1:26" s="94" customFormat="1" ht="12.75" customHeight="1" x14ac:dyDescent="0.25">
      <c r="C119" s="94" t="s">
        <v>119</v>
      </c>
      <c r="D119" s="94" t="s">
        <v>70</v>
      </c>
      <c r="E119" s="101"/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4">
        <v>0</v>
      </c>
      <c r="Y119" s="94">
        <v>0</v>
      </c>
      <c r="Z119" s="94">
        <v>0</v>
      </c>
    </row>
    <row r="120" spans="1:26" ht="12.75" customHeight="1" x14ac:dyDescent="0.25">
      <c r="B120" s="89" t="s">
        <v>112</v>
      </c>
      <c r="C120" s="89" t="s">
        <v>70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 s="90">
        <v>0</v>
      </c>
      <c r="S120" s="9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90">
        <v>0</v>
      </c>
      <c r="Z120">
        <v>0</v>
      </c>
    </row>
    <row r="121" spans="1:26" s="458" customFormat="1" x14ac:dyDescent="0.25">
      <c r="A121" s="458" t="s">
        <v>186</v>
      </c>
      <c r="B121" s="459" t="s">
        <v>70</v>
      </c>
      <c r="C121" s="459"/>
      <c r="F121" s="460">
        <v>0</v>
      </c>
      <c r="G121" s="460">
        <v>0</v>
      </c>
      <c r="H121" s="460">
        <v>0</v>
      </c>
      <c r="I121" s="460">
        <v>0</v>
      </c>
      <c r="J121" s="460">
        <v>0</v>
      </c>
      <c r="K121" s="460">
        <v>0</v>
      </c>
      <c r="L121" s="460">
        <v>0</v>
      </c>
      <c r="M121" s="460">
        <v>0</v>
      </c>
      <c r="N121" s="460">
        <v>0</v>
      </c>
      <c r="O121" s="460">
        <v>0</v>
      </c>
      <c r="P121" s="460">
        <v>0</v>
      </c>
      <c r="Q121" s="460">
        <v>0</v>
      </c>
      <c r="R121" s="460">
        <v>0</v>
      </c>
      <c r="S121" s="460">
        <v>0</v>
      </c>
      <c r="T121" s="460">
        <v>0</v>
      </c>
      <c r="U121" s="460">
        <v>0</v>
      </c>
      <c r="V121" s="460">
        <v>0</v>
      </c>
      <c r="W121" s="460">
        <v>0</v>
      </c>
      <c r="X121" s="460">
        <v>0</v>
      </c>
      <c r="Y121" s="460">
        <v>0</v>
      </c>
      <c r="Z121" s="460">
        <v>0</v>
      </c>
    </row>
    <row r="122" spans="1:26" ht="12.75" customHeight="1" x14ac:dyDescent="0.25">
      <c r="E122" s="89" t="s">
        <v>72</v>
      </c>
      <c r="F122" s="371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5">
      <c r="E123" s="89" t="s">
        <v>81</v>
      </c>
      <c r="F123" s="371">
        <v>0</v>
      </c>
      <c r="G123" s="90">
        <v>0</v>
      </c>
      <c r="H123" s="90">
        <v>0</v>
      </c>
      <c r="I123" s="90">
        <v>0</v>
      </c>
      <c r="J123" s="90">
        <v>0</v>
      </c>
      <c r="K123" s="90">
        <v>0</v>
      </c>
      <c r="L123" s="90">
        <v>0</v>
      </c>
      <c r="M123" s="90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t="s">
        <v>156</v>
      </c>
      <c r="E124" t="s">
        <v>70</v>
      </c>
      <c r="F124" s="384">
        <v>0</v>
      </c>
      <c r="G124" s="89">
        <v>0</v>
      </c>
      <c r="H124" s="89">
        <v>0</v>
      </c>
      <c r="I124" s="664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26" s="656" customFormat="1" ht="12.75" customHeight="1" x14ac:dyDescent="0.25">
      <c r="C125" s="656" t="s">
        <v>155</v>
      </c>
      <c r="D125" s="656" t="s">
        <v>70</v>
      </c>
      <c r="F125" s="736">
        <v>0</v>
      </c>
      <c r="G125" s="657">
        <v>0</v>
      </c>
      <c r="H125" s="657">
        <v>0</v>
      </c>
      <c r="I125" s="737">
        <v>0</v>
      </c>
      <c r="J125" s="657">
        <v>0</v>
      </c>
      <c r="K125" s="657">
        <v>0</v>
      </c>
      <c r="L125" s="657">
        <v>0</v>
      </c>
      <c r="M125" s="657">
        <v>0</v>
      </c>
      <c r="N125" s="657">
        <v>0</v>
      </c>
      <c r="O125" s="657">
        <v>0</v>
      </c>
      <c r="P125" s="657">
        <v>0</v>
      </c>
      <c r="Q125" s="657">
        <v>0</v>
      </c>
      <c r="R125" s="657">
        <v>0</v>
      </c>
      <c r="S125" s="657">
        <v>0</v>
      </c>
      <c r="T125" s="657">
        <v>0</v>
      </c>
      <c r="U125" s="657">
        <v>0</v>
      </c>
      <c r="V125" s="657">
        <v>0</v>
      </c>
      <c r="W125" s="657">
        <v>0</v>
      </c>
      <c r="X125" s="656">
        <v>0</v>
      </c>
      <c r="Y125" s="657">
        <v>0</v>
      </c>
      <c r="Z125" s="657">
        <v>0</v>
      </c>
    </row>
    <row r="126" spans="1:26" ht="12.75" customHeight="1" x14ac:dyDescent="0.25">
      <c r="D126" s="89"/>
      <c r="E126" s="89" t="s">
        <v>72</v>
      </c>
      <c r="F126" s="371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ht="12.75" customHeight="1" x14ac:dyDescent="0.25">
      <c r="D127" s="89"/>
      <c r="E127" s="89" t="s">
        <v>81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5">
      <c r="D128" s="89" t="s">
        <v>115</v>
      </c>
      <c r="E128" s="89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ht="12.75" customHeight="1" x14ac:dyDescent="0.25">
      <c r="D129" s="89"/>
      <c r="E129" s="8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ht="12.75" customHeight="1" x14ac:dyDescent="0.25">
      <c r="D130" s="89"/>
      <c r="E130" s="89" t="s">
        <v>81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ht="12.75" customHeight="1" x14ac:dyDescent="0.25">
      <c r="D131" t="s">
        <v>116</v>
      </c>
      <c r="E131" s="89" t="s">
        <v>70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ht="12.75" customHeight="1" x14ac:dyDescent="0.25">
      <c r="D132" s="89"/>
      <c r="E132" s="89" t="s">
        <v>72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ht="12.75" customHeight="1" x14ac:dyDescent="0.25">
      <c r="E133" s="89" t="s">
        <v>81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ht="12.75" customHeight="1" x14ac:dyDescent="0.25">
      <c r="D134" t="s">
        <v>118</v>
      </c>
      <c r="E134" s="89" t="s">
        <v>70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s="224" customFormat="1" ht="12.75" customHeight="1" x14ac:dyDescent="0.25">
      <c r="C135" s="223" t="s">
        <v>120</v>
      </c>
      <c r="D135" s="223" t="s">
        <v>70</v>
      </c>
      <c r="F135" s="225">
        <v>0</v>
      </c>
      <c r="G135" s="225">
        <v>0</v>
      </c>
      <c r="H135" s="225">
        <v>0</v>
      </c>
      <c r="I135" s="225">
        <v>0</v>
      </c>
      <c r="J135" s="225">
        <v>0</v>
      </c>
      <c r="K135" s="225">
        <v>0</v>
      </c>
      <c r="L135" s="225">
        <v>0</v>
      </c>
      <c r="M135" s="225">
        <v>0</v>
      </c>
      <c r="N135" s="225">
        <v>0</v>
      </c>
      <c r="O135" s="225">
        <v>0</v>
      </c>
      <c r="P135" s="225">
        <v>0</v>
      </c>
      <c r="Q135" s="225">
        <v>0</v>
      </c>
      <c r="R135" s="225">
        <v>0</v>
      </c>
      <c r="S135" s="225">
        <v>0</v>
      </c>
      <c r="T135" s="224">
        <v>0</v>
      </c>
      <c r="U135" s="224">
        <v>0</v>
      </c>
      <c r="V135" s="224">
        <v>0</v>
      </c>
      <c r="W135" s="224">
        <v>0</v>
      </c>
      <c r="X135" s="224">
        <v>0</v>
      </c>
      <c r="Y135" s="225">
        <v>0</v>
      </c>
      <c r="Z135" s="224">
        <v>0</v>
      </c>
    </row>
    <row r="136" spans="3:26" ht="12.75" customHeight="1" x14ac:dyDescent="0.25">
      <c r="E136" s="89" t="s">
        <v>72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ht="12.75" customHeight="1" x14ac:dyDescent="0.25">
      <c r="E137" s="89" t="s">
        <v>81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ht="12.75" customHeight="1" x14ac:dyDescent="0.25">
      <c r="D138" t="s">
        <v>82</v>
      </c>
      <c r="E138" s="89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ht="12.75" customHeight="1" x14ac:dyDescent="0.25">
      <c r="E139" s="89" t="s">
        <v>72</v>
      </c>
      <c r="F139" s="371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ht="12.75" customHeight="1" x14ac:dyDescent="0.25">
      <c r="E140" s="89" t="s">
        <v>81</v>
      </c>
      <c r="F140" s="371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3:26" ht="12.75" customHeight="1" x14ac:dyDescent="0.25">
      <c r="D141" t="s">
        <v>86</v>
      </c>
      <c r="E141" s="89" t="s">
        <v>70</v>
      </c>
      <c r="F141" s="371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3:26" ht="12.75" customHeight="1" x14ac:dyDescent="0.25">
      <c r="E142" s="89" t="s">
        <v>72</v>
      </c>
      <c r="F142" s="371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</row>
    <row r="143" spans="3:26" x14ac:dyDescent="0.25">
      <c r="E143" t="s">
        <v>81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90">
        <v>0</v>
      </c>
    </row>
    <row r="144" spans="3:26" ht="12.75" customHeight="1" x14ac:dyDescent="0.25">
      <c r="D144" t="s">
        <v>87</v>
      </c>
      <c r="E144" s="89" t="s">
        <v>70</v>
      </c>
      <c r="F144" s="371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</row>
    <row r="145" spans="2:26" s="94" customFormat="1" ht="12.75" customHeight="1" x14ac:dyDescent="0.25">
      <c r="C145" s="94" t="s">
        <v>119</v>
      </c>
      <c r="D145" s="94" t="s">
        <v>70</v>
      </c>
      <c r="E145" s="101"/>
      <c r="F145" s="93">
        <v>0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0</v>
      </c>
      <c r="X145" s="94">
        <v>0</v>
      </c>
      <c r="Y145" s="94">
        <v>0</v>
      </c>
      <c r="Z145" s="94">
        <v>0</v>
      </c>
    </row>
    <row r="146" spans="2:26" s="378" customFormat="1" ht="12.75" customHeight="1" x14ac:dyDescent="0.25">
      <c r="B146" s="378" t="s">
        <v>122</v>
      </c>
      <c r="C146" s="378" t="s">
        <v>70</v>
      </c>
      <c r="E146" s="376"/>
      <c r="F146" s="710">
        <v>0</v>
      </c>
      <c r="G146" s="377">
        <v>0</v>
      </c>
      <c r="H146" s="377">
        <v>0</v>
      </c>
      <c r="I146" s="377">
        <v>0</v>
      </c>
      <c r="J146" s="377">
        <v>0</v>
      </c>
      <c r="K146" s="377">
        <v>0</v>
      </c>
      <c r="L146" s="377">
        <v>0</v>
      </c>
      <c r="M146" s="377">
        <v>0</v>
      </c>
      <c r="N146" s="377">
        <v>0</v>
      </c>
      <c r="O146" s="377">
        <v>0</v>
      </c>
      <c r="P146" s="377">
        <v>0</v>
      </c>
      <c r="Q146" s="377">
        <v>0</v>
      </c>
      <c r="R146" s="377">
        <v>0</v>
      </c>
      <c r="S146" s="377">
        <v>0</v>
      </c>
      <c r="T146" s="377">
        <v>0</v>
      </c>
      <c r="U146" s="377">
        <v>0</v>
      </c>
      <c r="V146" s="377">
        <v>0</v>
      </c>
      <c r="W146" s="377">
        <v>0</v>
      </c>
      <c r="X146" s="378">
        <v>0</v>
      </c>
      <c r="Y146" s="378">
        <v>0</v>
      </c>
      <c r="Z146" s="378">
        <v>0</v>
      </c>
    </row>
    <row r="147" spans="2:26" ht="12.75" customHeight="1" x14ac:dyDescent="0.25">
      <c r="E147" s="89" t="s">
        <v>72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2:26" ht="12.75" customHeight="1" x14ac:dyDescent="0.25">
      <c r="E148" s="89" t="s">
        <v>81</v>
      </c>
      <c r="F148" s="90">
        <v>0</v>
      </c>
      <c r="G148" s="90">
        <v>0</v>
      </c>
      <c r="H148" s="90">
        <v>0</v>
      </c>
      <c r="I148" s="90">
        <v>0</v>
      </c>
      <c r="J148" s="90">
        <v>0</v>
      </c>
      <c r="K148" s="90">
        <v>0</v>
      </c>
      <c r="L148" s="90">
        <v>0</v>
      </c>
      <c r="M148" s="90">
        <v>0</v>
      </c>
      <c r="N148" s="90">
        <v>0</v>
      </c>
      <c r="O148" s="90">
        <v>0</v>
      </c>
      <c r="P148" s="90">
        <v>0</v>
      </c>
      <c r="Q148" s="90">
        <v>0</v>
      </c>
      <c r="R148" s="90">
        <v>0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0</v>
      </c>
    </row>
    <row r="149" spans="2:26" ht="12.75" customHeight="1" x14ac:dyDescent="0.25">
      <c r="D149" t="s">
        <v>156</v>
      </c>
      <c r="E149" s="89" t="s">
        <v>70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2:26" s="656" customFormat="1" ht="12.75" customHeight="1" x14ac:dyDescent="0.25">
      <c r="C150" s="656" t="s">
        <v>155</v>
      </c>
      <c r="D150" s="657" t="s">
        <v>70</v>
      </c>
      <c r="E150" s="657"/>
      <c r="F150" s="658">
        <v>0</v>
      </c>
      <c r="G150" s="658">
        <v>0</v>
      </c>
      <c r="H150" s="658">
        <v>0</v>
      </c>
      <c r="I150" s="658">
        <v>0</v>
      </c>
      <c r="J150" s="658">
        <v>0</v>
      </c>
      <c r="K150" s="658">
        <v>0</v>
      </c>
      <c r="L150" s="658">
        <v>0</v>
      </c>
      <c r="M150" s="658">
        <v>0</v>
      </c>
      <c r="N150" s="658">
        <v>0</v>
      </c>
      <c r="O150" s="658">
        <v>0</v>
      </c>
      <c r="P150" s="658">
        <v>0</v>
      </c>
      <c r="Q150" s="658">
        <v>0</v>
      </c>
      <c r="R150" s="658">
        <v>0</v>
      </c>
      <c r="S150" s="658">
        <v>0</v>
      </c>
      <c r="T150" s="658">
        <v>0</v>
      </c>
      <c r="U150" s="658">
        <v>0</v>
      </c>
      <c r="V150" s="658">
        <v>0</v>
      </c>
      <c r="W150" s="658">
        <v>0</v>
      </c>
      <c r="X150" s="656">
        <v>0</v>
      </c>
      <c r="Y150" s="656">
        <v>0</v>
      </c>
      <c r="Z150" s="656">
        <v>0</v>
      </c>
    </row>
    <row r="151" spans="2:26" ht="12.75" customHeight="1" x14ac:dyDescent="0.25">
      <c r="D151" s="89"/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2:26" ht="12.75" customHeight="1" x14ac:dyDescent="0.25">
      <c r="D152" s="89"/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2:26" ht="12.75" customHeight="1" x14ac:dyDescent="0.25">
      <c r="D153" s="89" t="s">
        <v>115</v>
      </c>
      <c r="E153" s="89" t="s">
        <v>70</v>
      </c>
      <c r="F153" s="371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>
        <v>0</v>
      </c>
      <c r="Y153">
        <v>0</v>
      </c>
      <c r="Z153">
        <v>0</v>
      </c>
    </row>
    <row r="154" spans="2:26" ht="12.75" customHeight="1" x14ac:dyDescent="0.25">
      <c r="D154" s="89"/>
      <c r="E154" s="89" t="s">
        <v>72</v>
      </c>
      <c r="F154" s="371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  <c r="L154" s="90">
        <v>0</v>
      </c>
      <c r="M154" s="90">
        <v>0</v>
      </c>
      <c r="N154" s="90">
        <v>0</v>
      </c>
      <c r="O154" s="90">
        <v>0</v>
      </c>
      <c r="P154" s="90">
        <v>0</v>
      </c>
      <c r="Q154" s="90">
        <v>0</v>
      </c>
      <c r="R154" s="90">
        <v>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>
        <v>0</v>
      </c>
      <c r="Y154">
        <v>0</v>
      </c>
      <c r="Z154">
        <v>0</v>
      </c>
    </row>
    <row r="155" spans="2:26" ht="12.75" customHeight="1" x14ac:dyDescent="0.25">
      <c r="D155" s="89"/>
      <c r="E155" s="89" t="s">
        <v>81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2:26" ht="12.75" customHeight="1" x14ac:dyDescent="0.25">
      <c r="D156" t="s">
        <v>116</v>
      </c>
      <c r="E156" s="89" t="s">
        <v>70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2:26" ht="12.75" customHeight="1" x14ac:dyDescent="0.25">
      <c r="D157" s="89"/>
      <c r="E157" s="89" t="s">
        <v>72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2:26" ht="12.75" customHeight="1" x14ac:dyDescent="0.25">
      <c r="E158" s="89" t="s">
        <v>81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2:26" ht="12.75" customHeight="1" x14ac:dyDescent="0.25">
      <c r="D159" t="s">
        <v>118</v>
      </c>
      <c r="E159" s="89" t="s">
        <v>70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2:26" s="224" customFormat="1" ht="12.75" customHeight="1" x14ac:dyDescent="0.25">
      <c r="C160" s="223" t="s">
        <v>120</v>
      </c>
      <c r="D160" s="223" t="s">
        <v>70</v>
      </c>
      <c r="F160" s="225">
        <v>0</v>
      </c>
      <c r="G160" s="225">
        <v>0</v>
      </c>
      <c r="H160" s="225">
        <v>0</v>
      </c>
      <c r="I160" s="225">
        <v>0</v>
      </c>
      <c r="J160" s="225">
        <v>0</v>
      </c>
      <c r="K160" s="225">
        <v>0</v>
      </c>
      <c r="L160" s="225">
        <v>0</v>
      </c>
      <c r="M160" s="225">
        <v>0</v>
      </c>
      <c r="N160" s="225">
        <v>0</v>
      </c>
      <c r="O160" s="225">
        <v>0</v>
      </c>
      <c r="P160" s="225">
        <v>0</v>
      </c>
      <c r="Q160" s="225">
        <v>0</v>
      </c>
      <c r="R160" s="225">
        <v>0</v>
      </c>
      <c r="S160" s="225">
        <v>0</v>
      </c>
      <c r="T160" s="225">
        <v>0</v>
      </c>
      <c r="U160" s="225">
        <v>0</v>
      </c>
      <c r="V160" s="225">
        <v>0</v>
      </c>
      <c r="W160" s="225">
        <v>0</v>
      </c>
      <c r="X160" s="224">
        <v>0</v>
      </c>
      <c r="Y160" s="224">
        <v>0</v>
      </c>
      <c r="Z160" s="224">
        <v>0</v>
      </c>
    </row>
    <row r="161" spans="1:26" ht="12.75" customHeight="1" x14ac:dyDescent="0.25">
      <c r="C161" s="89"/>
      <c r="D161" s="89"/>
      <c r="E161" t="s">
        <v>72</v>
      </c>
      <c r="F161" s="90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1:26" ht="12.75" customHeight="1" x14ac:dyDescent="0.25">
      <c r="C162" s="89"/>
      <c r="D162" s="89"/>
      <c r="E162" t="s">
        <v>81</v>
      </c>
      <c r="F162" s="90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1:26" ht="12.75" customHeight="1" x14ac:dyDescent="0.25">
      <c r="D163" t="s">
        <v>82</v>
      </c>
      <c r="E163" s="89" t="s">
        <v>70</v>
      </c>
      <c r="F163" s="90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1:26" ht="12.75" customHeight="1" x14ac:dyDescent="0.25">
      <c r="E164" s="89" t="s">
        <v>72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1:26" ht="12.75" customHeight="1" x14ac:dyDescent="0.25">
      <c r="D165" s="89"/>
      <c r="E165" s="89" t="s">
        <v>81</v>
      </c>
      <c r="F165" s="90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1:26" ht="12.75" customHeight="1" x14ac:dyDescent="0.25">
      <c r="D166" t="s">
        <v>86</v>
      </c>
      <c r="E166" s="89" t="s">
        <v>70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1:26" ht="12.75" customHeight="1" x14ac:dyDescent="0.25">
      <c r="E167" s="89" t="s">
        <v>72</v>
      </c>
      <c r="F167" s="90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1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1:26" ht="12.75" customHeight="1" x14ac:dyDescent="0.25">
      <c r="D169" t="s">
        <v>87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1:26" s="94" customFormat="1" ht="12.75" customHeight="1" x14ac:dyDescent="0.25">
      <c r="C170" s="94" t="s">
        <v>119</v>
      </c>
      <c r="D170" s="94" t="s">
        <v>70</v>
      </c>
      <c r="E170" s="101"/>
      <c r="F170" s="93">
        <v>0</v>
      </c>
      <c r="G170" s="93">
        <v>0</v>
      </c>
      <c r="H170" s="93">
        <v>0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4">
        <v>0</v>
      </c>
      <c r="Y170" s="94">
        <v>0</v>
      </c>
      <c r="Z170" s="94">
        <v>0</v>
      </c>
    </row>
    <row r="171" spans="1:26" s="226" customFormat="1" ht="12.75" customHeight="1" x14ac:dyDescent="0.25">
      <c r="B171" s="98" t="s">
        <v>112</v>
      </c>
      <c r="C171" s="98" t="s">
        <v>70</v>
      </c>
      <c r="F171" s="100">
        <v>0</v>
      </c>
      <c r="G171" s="100">
        <v>0</v>
      </c>
      <c r="H171" s="100">
        <v>0</v>
      </c>
      <c r="I171" s="100">
        <v>0</v>
      </c>
      <c r="J171" s="100">
        <v>0</v>
      </c>
      <c r="K171" s="100">
        <v>0</v>
      </c>
      <c r="L171" s="100">
        <v>0</v>
      </c>
      <c r="M171" s="100">
        <v>0</v>
      </c>
      <c r="N171" s="100">
        <v>0</v>
      </c>
      <c r="O171" s="100">
        <v>0</v>
      </c>
      <c r="P171" s="100">
        <v>0</v>
      </c>
      <c r="Q171" s="100">
        <v>0</v>
      </c>
      <c r="R171" s="100">
        <v>0</v>
      </c>
      <c r="S171" s="100">
        <v>0</v>
      </c>
      <c r="T171" s="100">
        <v>0</v>
      </c>
      <c r="U171" s="100">
        <v>0</v>
      </c>
      <c r="V171" s="100">
        <v>0</v>
      </c>
      <c r="W171" s="100">
        <v>0</v>
      </c>
      <c r="X171" s="226">
        <v>0</v>
      </c>
      <c r="Y171" s="226">
        <v>0</v>
      </c>
      <c r="Z171" s="226">
        <v>0</v>
      </c>
    </row>
    <row r="172" spans="1:26" ht="12.75" customHeight="1" x14ac:dyDescent="0.25">
      <c r="A172" t="s">
        <v>78</v>
      </c>
      <c r="B172" s="89" t="s">
        <v>70</v>
      </c>
      <c r="C172" s="89"/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1:26" ht="12.75" customHeight="1" x14ac:dyDescent="0.25">
      <c r="B173" s="89"/>
      <c r="C173" s="89"/>
      <c r="E173" t="s">
        <v>73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1:26" ht="12.75" customHeight="1" x14ac:dyDescent="0.25">
      <c r="B174" s="89"/>
      <c r="C174" s="89"/>
      <c r="D174" t="s">
        <v>156</v>
      </c>
      <c r="E174" t="s">
        <v>70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1:26" s="656" customFormat="1" ht="12.75" customHeight="1" x14ac:dyDescent="0.25">
      <c r="C175" s="656" t="s">
        <v>155</v>
      </c>
      <c r="D175" s="657" t="s">
        <v>70</v>
      </c>
      <c r="E175" s="657"/>
      <c r="F175" s="658">
        <v>0</v>
      </c>
      <c r="G175" s="658">
        <v>0</v>
      </c>
      <c r="H175" s="658">
        <v>0</v>
      </c>
      <c r="I175" s="658">
        <v>0</v>
      </c>
      <c r="J175" s="658">
        <v>0</v>
      </c>
      <c r="K175" s="658">
        <v>0</v>
      </c>
      <c r="L175" s="658">
        <v>0</v>
      </c>
      <c r="M175" s="658">
        <v>0</v>
      </c>
      <c r="N175" s="658">
        <v>0</v>
      </c>
      <c r="O175" s="658">
        <v>0</v>
      </c>
      <c r="P175" s="658">
        <v>0</v>
      </c>
      <c r="Q175" s="658">
        <v>0</v>
      </c>
      <c r="R175" s="658">
        <v>0</v>
      </c>
      <c r="S175" s="658">
        <v>0</v>
      </c>
      <c r="T175" s="658">
        <v>0</v>
      </c>
      <c r="U175" s="658">
        <v>0</v>
      </c>
      <c r="V175" s="658">
        <v>0</v>
      </c>
      <c r="W175" s="658">
        <v>0</v>
      </c>
      <c r="X175" s="656">
        <v>0</v>
      </c>
      <c r="Y175" s="656">
        <v>0</v>
      </c>
      <c r="Z175" s="656">
        <v>0</v>
      </c>
    </row>
    <row r="176" spans="1:26" ht="12.75" customHeight="1" x14ac:dyDescent="0.25">
      <c r="E176" s="89" t="s">
        <v>73</v>
      </c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  <c r="S176" s="90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90">
        <v>0</v>
      </c>
      <c r="Z176">
        <v>0</v>
      </c>
    </row>
    <row r="177" spans="2:26" ht="12.75" customHeight="1" x14ac:dyDescent="0.25">
      <c r="D177" t="s">
        <v>115</v>
      </c>
      <c r="E177" s="89" t="s">
        <v>70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90">
        <v>0</v>
      </c>
      <c r="Z177">
        <v>0</v>
      </c>
    </row>
    <row r="178" spans="2:26" ht="12.75" customHeight="1" x14ac:dyDescent="0.25">
      <c r="E178" s="89" t="s">
        <v>73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90">
        <v>0</v>
      </c>
      <c r="Z178">
        <v>0</v>
      </c>
    </row>
    <row r="179" spans="2:26" ht="12.75" customHeight="1" x14ac:dyDescent="0.25">
      <c r="D179" s="772">
        <v>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90">
        <v>0</v>
      </c>
      <c r="Z179">
        <v>0</v>
      </c>
    </row>
    <row r="180" spans="2:26" ht="12.75" customHeight="1" x14ac:dyDescent="0.25">
      <c r="E180" s="89" t="s">
        <v>73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90">
        <v>0</v>
      </c>
      <c r="Z180">
        <v>0</v>
      </c>
    </row>
    <row r="181" spans="2:26" ht="12.75" customHeight="1" x14ac:dyDescent="0.25">
      <c r="D181" t="s">
        <v>118</v>
      </c>
      <c r="E181" s="89" t="s">
        <v>70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90">
        <v>0</v>
      </c>
      <c r="Z181">
        <v>0</v>
      </c>
    </row>
    <row r="182" spans="2:26" s="224" customFormat="1" ht="12.75" customHeight="1" x14ac:dyDescent="0.25">
      <c r="C182" s="223" t="s">
        <v>120</v>
      </c>
      <c r="D182" s="223" t="s">
        <v>70</v>
      </c>
      <c r="F182" s="225">
        <v>0</v>
      </c>
      <c r="G182" s="225">
        <v>0</v>
      </c>
      <c r="H182" s="225">
        <v>0</v>
      </c>
      <c r="I182" s="225">
        <v>0</v>
      </c>
      <c r="J182" s="225">
        <v>0</v>
      </c>
      <c r="K182" s="225">
        <v>0</v>
      </c>
      <c r="L182" s="225">
        <v>0</v>
      </c>
      <c r="M182" s="225">
        <v>0</v>
      </c>
      <c r="N182" s="225">
        <v>0</v>
      </c>
      <c r="O182" s="225">
        <v>0</v>
      </c>
      <c r="P182" s="225">
        <v>0</v>
      </c>
      <c r="Q182" s="225">
        <v>0</v>
      </c>
      <c r="R182" s="225">
        <v>0</v>
      </c>
      <c r="S182" s="225">
        <v>0</v>
      </c>
      <c r="T182" s="224">
        <v>0</v>
      </c>
      <c r="U182" s="224">
        <v>0</v>
      </c>
      <c r="V182" s="224">
        <v>0</v>
      </c>
      <c r="W182" s="224">
        <v>0</v>
      </c>
      <c r="X182" s="224">
        <v>0</v>
      </c>
      <c r="Y182" s="225">
        <v>0</v>
      </c>
      <c r="Z182" s="224">
        <v>0</v>
      </c>
    </row>
    <row r="183" spans="2:26" ht="12.75" customHeight="1" x14ac:dyDescent="0.25">
      <c r="D183" s="89"/>
      <c r="E183" s="89" t="s">
        <v>73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>
        <v>0</v>
      </c>
      <c r="Y183">
        <v>0</v>
      </c>
      <c r="Z183">
        <v>0</v>
      </c>
    </row>
    <row r="184" spans="2:26" ht="12.75" customHeight="1" x14ac:dyDescent="0.25">
      <c r="D184" s="89" t="s">
        <v>82</v>
      </c>
      <c r="E184" s="89" t="s">
        <v>70</v>
      </c>
      <c r="F184" s="371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>
        <v>0</v>
      </c>
      <c r="Y184">
        <v>0</v>
      </c>
      <c r="Z184">
        <v>0</v>
      </c>
    </row>
    <row r="185" spans="2:26" ht="12.75" customHeight="1" x14ac:dyDescent="0.25">
      <c r="D185" s="89"/>
      <c r="E185" s="89" t="s">
        <v>73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>
        <v>0</v>
      </c>
      <c r="Y185">
        <v>0</v>
      </c>
      <c r="Z185">
        <v>0</v>
      </c>
    </row>
    <row r="186" spans="2:26" ht="12.75" customHeight="1" x14ac:dyDescent="0.25">
      <c r="D186" s="89" t="s">
        <v>86</v>
      </c>
      <c r="E186" s="89" t="s">
        <v>70</v>
      </c>
      <c r="F186" s="371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>
        <v>0</v>
      </c>
      <c r="Y186">
        <v>0</v>
      </c>
      <c r="Z186">
        <v>0</v>
      </c>
    </row>
    <row r="187" spans="2:26" x14ac:dyDescent="0.25">
      <c r="E187" t="s">
        <v>73</v>
      </c>
      <c r="F187" s="90">
        <v>0</v>
      </c>
      <c r="G187" s="90">
        <v>0</v>
      </c>
      <c r="H187" s="90">
        <v>0</v>
      </c>
      <c r="I187" s="90">
        <v>0</v>
      </c>
      <c r="J187" s="90">
        <v>0</v>
      </c>
      <c r="K187" s="90">
        <v>0</v>
      </c>
      <c r="L187" s="90">
        <v>0</v>
      </c>
      <c r="M187" s="90">
        <v>0</v>
      </c>
      <c r="N187" s="90">
        <v>0</v>
      </c>
      <c r="O187" s="90">
        <v>0</v>
      </c>
      <c r="P187" s="90">
        <v>0</v>
      </c>
      <c r="Q187" s="90">
        <v>0</v>
      </c>
      <c r="R187" s="90">
        <v>0</v>
      </c>
      <c r="S187" s="90">
        <v>0</v>
      </c>
      <c r="T187" s="90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90">
        <v>0</v>
      </c>
    </row>
    <row r="188" spans="2:26" x14ac:dyDescent="0.25">
      <c r="D188" t="s">
        <v>87</v>
      </c>
      <c r="E188" t="s">
        <v>70</v>
      </c>
      <c r="F188" s="90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90">
        <v>0</v>
      </c>
    </row>
    <row r="189" spans="2:26" s="94" customFormat="1" ht="12.75" customHeight="1" x14ac:dyDescent="0.25">
      <c r="C189" s="94" t="s">
        <v>119</v>
      </c>
      <c r="D189" s="94" t="s">
        <v>70</v>
      </c>
      <c r="E189" s="101"/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0</v>
      </c>
      <c r="X189" s="94">
        <v>0</v>
      </c>
      <c r="Y189" s="94">
        <v>0</v>
      </c>
      <c r="Z189" s="94">
        <v>0</v>
      </c>
    </row>
    <row r="190" spans="2:26" s="378" customFormat="1" ht="12.75" customHeight="1" x14ac:dyDescent="0.25">
      <c r="B190" s="378" t="s">
        <v>122</v>
      </c>
      <c r="C190" s="378" t="s">
        <v>70</v>
      </c>
      <c r="E190" s="376"/>
      <c r="F190" s="710">
        <v>0</v>
      </c>
      <c r="G190" s="377">
        <v>0</v>
      </c>
      <c r="H190" s="377">
        <v>0</v>
      </c>
      <c r="I190" s="377">
        <v>0</v>
      </c>
      <c r="J190" s="377">
        <v>0</v>
      </c>
      <c r="K190" s="377">
        <v>0</v>
      </c>
      <c r="L190" s="377">
        <v>0</v>
      </c>
      <c r="M190" s="377">
        <v>0</v>
      </c>
      <c r="N190" s="377">
        <v>0</v>
      </c>
      <c r="O190" s="377">
        <v>0</v>
      </c>
      <c r="P190" s="377">
        <v>0</v>
      </c>
      <c r="Q190" s="377">
        <v>0</v>
      </c>
      <c r="R190" s="377">
        <v>0</v>
      </c>
      <c r="S190" s="377">
        <v>0</v>
      </c>
      <c r="T190" s="377">
        <v>0</v>
      </c>
      <c r="U190" s="377">
        <v>0</v>
      </c>
      <c r="V190" s="377">
        <v>0</v>
      </c>
      <c r="W190" s="377">
        <v>0</v>
      </c>
      <c r="X190" s="378">
        <v>0</v>
      </c>
      <c r="Y190" s="378">
        <v>0</v>
      </c>
      <c r="Z190" s="378">
        <v>0</v>
      </c>
    </row>
    <row r="191" spans="2:26" ht="12.75" customHeight="1" x14ac:dyDescent="0.25">
      <c r="E191" s="89" t="s">
        <v>73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 s="90">
        <v>0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>
        <v>0</v>
      </c>
      <c r="Y191">
        <v>0</v>
      </c>
      <c r="Z191">
        <v>0</v>
      </c>
    </row>
    <row r="192" spans="2:26" ht="12.75" customHeight="1" x14ac:dyDescent="0.25">
      <c r="D192" s="89" t="s">
        <v>156</v>
      </c>
      <c r="E192" s="89" t="s">
        <v>70</v>
      </c>
      <c r="F192" s="90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2:26" s="656" customFormat="1" ht="12.75" customHeight="1" x14ac:dyDescent="0.25">
      <c r="C193" s="656" t="s">
        <v>155</v>
      </c>
      <c r="D193" s="657" t="s">
        <v>70</v>
      </c>
      <c r="E193" s="657"/>
      <c r="F193" s="738">
        <v>0</v>
      </c>
      <c r="G193" s="658">
        <v>0</v>
      </c>
      <c r="H193" s="658">
        <v>0</v>
      </c>
      <c r="I193" s="658">
        <v>0</v>
      </c>
      <c r="J193" s="658">
        <v>0</v>
      </c>
      <c r="K193" s="658">
        <v>0</v>
      </c>
      <c r="L193" s="658">
        <v>0</v>
      </c>
      <c r="M193" s="658">
        <v>0</v>
      </c>
      <c r="N193" s="658">
        <v>0</v>
      </c>
      <c r="O193" s="658">
        <v>0</v>
      </c>
      <c r="P193" s="658">
        <v>0</v>
      </c>
      <c r="Q193" s="658">
        <v>0</v>
      </c>
      <c r="R193" s="658">
        <v>0</v>
      </c>
      <c r="S193" s="658">
        <v>0</v>
      </c>
      <c r="T193" s="658">
        <v>0</v>
      </c>
      <c r="U193" s="658">
        <v>0</v>
      </c>
      <c r="V193" s="658">
        <v>0</v>
      </c>
      <c r="W193" s="658">
        <v>0</v>
      </c>
      <c r="X193" s="656">
        <v>0</v>
      </c>
      <c r="Y193" s="656">
        <v>0</v>
      </c>
      <c r="Z193" s="656">
        <v>0</v>
      </c>
    </row>
    <row r="194" spans="2:26" ht="12.75" customHeight="1" x14ac:dyDescent="0.25">
      <c r="D194" s="89"/>
      <c r="E194" s="89" t="s">
        <v>73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2:26" ht="12.75" customHeight="1" x14ac:dyDescent="0.25">
      <c r="D195" s="89" t="s">
        <v>115</v>
      </c>
      <c r="E195" s="89" t="s">
        <v>70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2:26" ht="12.75" customHeight="1" x14ac:dyDescent="0.25">
      <c r="D196" s="89"/>
      <c r="E196" s="89" t="s">
        <v>73</v>
      </c>
      <c r="F196" s="371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2:26" ht="12.75" customHeight="1" x14ac:dyDescent="0.25">
      <c r="D197" s="89" t="s">
        <v>116</v>
      </c>
      <c r="E197" s="89" t="s">
        <v>70</v>
      </c>
      <c r="F197" s="371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2:26" ht="12.75" customHeight="1" x14ac:dyDescent="0.25">
      <c r="E198" s="89" t="s">
        <v>73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2:26" ht="12.75" customHeight="1" x14ac:dyDescent="0.25">
      <c r="D199" s="89" t="s">
        <v>118</v>
      </c>
      <c r="E199" s="89" t="s">
        <v>70</v>
      </c>
      <c r="F199" s="90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2:26" s="224" customFormat="1" ht="12.75" customHeight="1" x14ac:dyDescent="0.25">
      <c r="C200" s="223" t="s">
        <v>120</v>
      </c>
      <c r="D200" s="223" t="s">
        <v>70</v>
      </c>
      <c r="F200" s="225">
        <v>0</v>
      </c>
      <c r="G200" s="225">
        <v>0</v>
      </c>
      <c r="H200" s="225">
        <v>0</v>
      </c>
      <c r="I200" s="225">
        <v>0</v>
      </c>
      <c r="J200" s="225">
        <v>0</v>
      </c>
      <c r="K200" s="225">
        <v>0</v>
      </c>
      <c r="L200" s="225">
        <v>0</v>
      </c>
      <c r="M200" s="225">
        <v>0</v>
      </c>
      <c r="N200" s="225">
        <v>0</v>
      </c>
      <c r="O200" s="225">
        <v>0</v>
      </c>
      <c r="P200" s="225">
        <v>0</v>
      </c>
      <c r="Q200" s="225">
        <v>0</v>
      </c>
      <c r="R200" s="225">
        <v>0</v>
      </c>
      <c r="S200" s="225">
        <v>0</v>
      </c>
      <c r="T200" s="225">
        <v>0</v>
      </c>
      <c r="U200" s="225">
        <v>0</v>
      </c>
      <c r="V200" s="225">
        <v>0</v>
      </c>
      <c r="W200" s="225">
        <v>0</v>
      </c>
      <c r="X200" s="224">
        <v>0</v>
      </c>
      <c r="Y200" s="224">
        <v>0</v>
      </c>
      <c r="Z200" s="224">
        <v>0</v>
      </c>
    </row>
    <row r="201" spans="2:26" ht="12.75" customHeight="1" x14ac:dyDescent="0.25">
      <c r="E201" s="89" t="s">
        <v>73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2:26" ht="12.75" customHeight="1" x14ac:dyDescent="0.25">
      <c r="D202" s="89" t="s">
        <v>82</v>
      </c>
      <c r="E202" s="89" t="s">
        <v>70</v>
      </c>
      <c r="F202" s="90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2:26" ht="12.75" customHeight="1" x14ac:dyDescent="0.25">
      <c r="E203" s="89" t="s">
        <v>73</v>
      </c>
      <c r="F203" s="90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2:26" ht="12.75" customHeight="1" x14ac:dyDescent="0.25">
      <c r="D204" s="89" t="s">
        <v>86</v>
      </c>
      <c r="E204" s="89" t="s">
        <v>70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2:26" ht="12.75" customHeight="1" x14ac:dyDescent="0.25">
      <c r="E205" s="89" t="s">
        <v>73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2:26" ht="12.75" customHeight="1" x14ac:dyDescent="0.25">
      <c r="D206" s="89" t="s">
        <v>87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2:26" s="94" customFormat="1" ht="12.75" customHeight="1" x14ac:dyDescent="0.25">
      <c r="C207" s="101" t="s">
        <v>119</v>
      </c>
      <c r="D207" s="101" t="s">
        <v>70</v>
      </c>
      <c r="F207" s="93">
        <v>0</v>
      </c>
      <c r="G207" s="93">
        <v>0</v>
      </c>
      <c r="H207" s="93">
        <v>0</v>
      </c>
      <c r="I207" s="93">
        <v>0</v>
      </c>
      <c r="J207" s="93">
        <v>0</v>
      </c>
      <c r="K207" s="93">
        <v>0</v>
      </c>
      <c r="L207" s="93">
        <v>0</v>
      </c>
      <c r="M207" s="93">
        <v>0</v>
      </c>
      <c r="N207" s="93">
        <v>0</v>
      </c>
      <c r="O207" s="93">
        <v>0</v>
      </c>
      <c r="P207" s="93">
        <v>0</v>
      </c>
      <c r="Q207" s="93">
        <v>0</v>
      </c>
      <c r="R207" s="93">
        <v>0</v>
      </c>
      <c r="S207" s="93">
        <v>0</v>
      </c>
      <c r="T207" s="93">
        <v>0</v>
      </c>
      <c r="U207" s="93">
        <v>0</v>
      </c>
      <c r="V207" s="93">
        <v>0</v>
      </c>
      <c r="W207" s="93">
        <v>0</v>
      </c>
      <c r="X207" s="94">
        <v>0</v>
      </c>
      <c r="Y207" s="94">
        <v>0</v>
      </c>
      <c r="Z207" s="94">
        <v>0</v>
      </c>
    </row>
    <row r="208" spans="2:26" s="226" customFormat="1" ht="12.75" customHeight="1" x14ac:dyDescent="0.25">
      <c r="B208" s="98" t="s">
        <v>112</v>
      </c>
      <c r="C208" s="98" t="s">
        <v>70</v>
      </c>
      <c r="F208" s="100">
        <v>0</v>
      </c>
      <c r="G208" s="100">
        <v>0</v>
      </c>
      <c r="H208" s="100">
        <v>0</v>
      </c>
      <c r="I208" s="100">
        <v>0</v>
      </c>
      <c r="J208" s="100">
        <v>0</v>
      </c>
      <c r="K208" s="100">
        <v>0</v>
      </c>
      <c r="L208" s="100">
        <v>0</v>
      </c>
      <c r="M208" s="100">
        <v>0</v>
      </c>
      <c r="N208" s="100">
        <v>0</v>
      </c>
      <c r="O208" s="100">
        <v>0</v>
      </c>
      <c r="P208" s="100">
        <v>0</v>
      </c>
      <c r="Q208" s="100">
        <v>0</v>
      </c>
      <c r="R208" s="100">
        <v>0</v>
      </c>
      <c r="S208" s="100">
        <v>0</v>
      </c>
      <c r="T208" s="100">
        <v>0</v>
      </c>
      <c r="U208" s="100">
        <v>0</v>
      </c>
      <c r="V208" s="100">
        <v>0</v>
      </c>
      <c r="W208" s="100">
        <v>0</v>
      </c>
      <c r="X208" s="226">
        <v>0</v>
      </c>
      <c r="Y208" s="226">
        <v>0</v>
      </c>
      <c r="Z208" s="226">
        <v>0</v>
      </c>
    </row>
    <row r="209" spans="1:26" ht="12.75" customHeight="1" x14ac:dyDescent="0.25">
      <c r="A209" s="89" t="s">
        <v>79</v>
      </c>
      <c r="B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1:26" ht="12.75" customHeight="1" x14ac:dyDescent="0.25">
      <c r="A210" s="89" t="s">
        <v>70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1:26" ht="12.75" customHeight="1" x14ac:dyDescent="0.25">
      <c r="A211" s="89"/>
      <c r="D211" s="89"/>
      <c r="E211" s="89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26" ht="12.75" customHeight="1" x14ac:dyDescent="0.25">
      <c r="A212" s="89"/>
      <c r="C212" s="89"/>
      <c r="D212" s="89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26" ht="12.75" hidden="1" customHeight="1" x14ac:dyDescent="0.25">
      <c r="A213" s="89"/>
      <c r="E213" s="89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26" ht="12.75" hidden="1" customHeight="1" x14ac:dyDescent="0.25">
      <c r="A214" s="89"/>
      <c r="D214" s="89"/>
      <c r="E214" s="89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1:26" ht="12.75" hidden="1" customHeight="1" x14ac:dyDescent="0.25">
      <c r="A215" s="89"/>
      <c r="E215" s="89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26" ht="12.75" hidden="1" customHeight="1" x14ac:dyDescent="0.25">
      <c r="A216" s="89"/>
      <c r="D216" s="89"/>
      <c r="E216" s="89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1:26" ht="12.75" hidden="1" customHeight="1" x14ac:dyDescent="0.25">
      <c r="A217" s="89"/>
      <c r="E217" s="89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26" ht="12.75" hidden="1" customHeight="1" x14ac:dyDescent="0.25">
      <c r="A218" s="89"/>
      <c r="D218" s="89"/>
      <c r="E218" s="89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26" ht="12.75" hidden="1" customHeight="1" x14ac:dyDescent="0.25">
      <c r="A219" s="89"/>
      <c r="C219" s="89"/>
      <c r="D219" s="89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26" ht="12.75" hidden="1" customHeight="1" x14ac:dyDescent="0.25">
      <c r="A220" s="89"/>
      <c r="B220" s="89"/>
      <c r="C220" s="89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26" ht="12.75" hidden="1" customHeight="1" x14ac:dyDescent="0.25">
      <c r="A221" s="89"/>
      <c r="B221" s="89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1:26" ht="12.75" hidden="1" customHeight="1" x14ac:dyDescent="0.25">
      <c r="A222" s="89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1:26" ht="12.75" hidden="1" customHeight="1" x14ac:dyDescent="0.25">
      <c r="A223" s="89"/>
      <c r="B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spans="1:26" ht="12.75" hidden="1" customHeight="1" x14ac:dyDescent="0.25">
      <c r="A224" s="89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19" ht="12.75" hidden="1" customHeight="1" x14ac:dyDescent="0.25">
      <c r="A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1:19" ht="12.75" hidden="1" customHeight="1" x14ac:dyDescent="0.25">
      <c r="A226" s="89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19" ht="12.75" hidden="1" customHeight="1" x14ac:dyDescent="0.25">
      <c r="A227" s="89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1:19" ht="12.75" hidden="1" customHeight="1" x14ac:dyDescent="0.25">
      <c r="A228" s="89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spans="1:19" ht="12.75" hidden="1" customHeight="1" x14ac:dyDescent="0.25">
      <c r="A229" s="89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spans="1:19" ht="12.75" hidden="1" customHeight="1" x14ac:dyDescent="0.25">
      <c r="A230" s="89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1:19" ht="12.75" hidden="1" customHeight="1" x14ac:dyDescent="0.25">
      <c r="A231" s="89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spans="1:19" ht="12.75" hidden="1" customHeight="1" x14ac:dyDescent="0.25">
      <c r="A232" s="89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1:19" ht="12.75" hidden="1" customHeight="1" x14ac:dyDescent="0.25">
      <c r="A233" s="89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spans="1:19" ht="12.75" hidden="1" customHeight="1" x14ac:dyDescent="0.25">
      <c r="A234" s="89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spans="1:19" ht="12.75" hidden="1" customHeight="1" x14ac:dyDescent="0.25">
      <c r="A235" s="89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spans="1:19" ht="12.75" hidden="1" customHeight="1" x14ac:dyDescent="0.25">
      <c r="A236" s="89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spans="1:19" ht="12.75" hidden="1" customHeight="1" x14ac:dyDescent="0.25">
      <c r="A237" s="89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spans="1:19" ht="12.75" hidden="1" customHeight="1" x14ac:dyDescent="0.25">
      <c r="A238" s="89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spans="1:19" ht="12.75" hidden="1" customHeight="1" x14ac:dyDescent="0.25">
      <c r="A239" s="89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spans="1:19" ht="12.75" hidden="1" customHeight="1" x14ac:dyDescent="0.25">
      <c r="A240" s="89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spans="1:42" ht="12.75" hidden="1" customHeight="1" x14ac:dyDescent="0.25">
      <c r="A241" s="89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spans="1:42" ht="12.75" hidden="1" customHeight="1" x14ac:dyDescent="0.25">
      <c r="A242" s="89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spans="1:42" ht="12.75" hidden="1" customHeight="1" x14ac:dyDescent="0.25">
      <c r="A243" s="89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spans="1:42" ht="12.75" hidden="1" customHeight="1" x14ac:dyDescent="0.25">
      <c r="A244" s="89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spans="1:42" ht="12.75" hidden="1" customHeight="1" x14ac:dyDescent="0.25">
      <c r="A245" s="89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spans="1:42" ht="12.75" hidden="1" customHeight="1" x14ac:dyDescent="0.25">
      <c r="A246" s="89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spans="1:42" ht="12.75" hidden="1" customHeight="1" x14ac:dyDescent="0.25">
      <c r="A247" s="89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spans="1:42" ht="12.75" hidden="1" customHeight="1" x14ac:dyDescent="0.25">
      <c r="A248" s="89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spans="1:42" ht="12.75" hidden="1" customHeight="1" x14ac:dyDescent="0.25">
      <c r="A249" s="89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spans="1:42" ht="12.75" hidden="1" customHeight="1" x14ac:dyDescent="0.25">
      <c r="A250" s="89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spans="1:42" ht="12.75" hidden="1" customHeight="1" x14ac:dyDescent="0.25">
      <c r="A251" s="89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spans="1:42" ht="12.75" customHeight="1" x14ac:dyDescent="0.25">
      <c r="A252" s="89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spans="1:42" ht="12.75" customHeight="1" x14ac:dyDescent="0.25">
      <c r="A253" s="89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spans="1:42" ht="12.75" customHeight="1" x14ac:dyDescent="0.25">
      <c r="C254" s="777" t="s">
        <v>2</v>
      </c>
      <c r="D254" s="775" t="s">
        <v>132</v>
      </c>
      <c r="E254" s="98" t="s">
        <v>70</v>
      </c>
      <c r="F254" s="100">
        <f>F171+F208-L171+F120-L120</f>
        <v>0</v>
      </c>
      <c r="G254" s="100">
        <f t="shared" ref="G254:AP254" si="7">G171+G120</f>
        <v>0</v>
      </c>
      <c r="H254" s="100">
        <f t="shared" si="7"/>
        <v>0</v>
      </c>
      <c r="I254" s="100">
        <f t="shared" si="7"/>
        <v>0</v>
      </c>
      <c r="J254" s="100">
        <f t="shared" si="7"/>
        <v>0</v>
      </c>
      <c r="K254" s="100">
        <f t="shared" si="7"/>
        <v>0</v>
      </c>
      <c r="L254" s="100">
        <f t="shared" si="7"/>
        <v>0</v>
      </c>
      <c r="M254" s="100">
        <f t="shared" si="7"/>
        <v>0</v>
      </c>
      <c r="N254" s="100">
        <f t="shared" si="7"/>
        <v>0</v>
      </c>
      <c r="O254" s="100">
        <f t="shared" si="7"/>
        <v>0</v>
      </c>
      <c r="P254" s="100">
        <f t="shared" si="7"/>
        <v>0</v>
      </c>
      <c r="Q254" s="100">
        <f t="shared" si="7"/>
        <v>0</v>
      </c>
      <c r="R254" s="100">
        <f t="shared" si="7"/>
        <v>0</v>
      </c>
      <c r="S254" s="100">
        <f t="shared" si="7"/>
        <v>0</v>
      </c>
      <c r="T254" s="100">
        <f t="shared" si="7"/>
        <v>0</v>
      </c>
      <c r="U254" s="100">
        <f t="shared" si="7"/>
        <v>0</v>
      </c>
      <c r="V254" s="100">
        <f t="shared" si="7"/>
        <v>0</v>
      </c>
      <c r="W254" s="100">
        <f t="shared" si="7"/>
        <v>0</v>
      </c>
      <c r="X254" s="100">
        <f t="shared" si="7"/>
        <v>0</v>
      </c>
      <c r="Y254" s="100">
        <f t="shared" si="7"/>
        <v>0</v>
      </c>
      <c r="Z254" s="100">
        <f t="shared" si="7"/>
        <v>0</v>
      </c>
      <c r="AA254" s="100">
        <f t="shared" si="7"/>
        <v>0</v>
      </c>
      <c r="AB254" s="100">
        <f t="shared" si="7"/>
        <v>0</v>
      </c>
      <c r="AC254" s="100">
        <f t="shared" si="7"/>
        <v>0</v>
      </c>
      <c r="AD254" s="100">
        <f t="shared" si="7"/>
        <v>0</v>
      </c>
      <c r="AE254" s="100">
        <f t="shared" si="7"/>
        <v>0</v>
      </c>
      <c r="AF254" s="100">
        <f t="shared" si="7"/>
        <v>0</v>
      </c>
      <c r="AG254" s="100">
        <f t="shared" si="7"/>
        <v>0</v>
      </c>
      <c r="AH254" s="100">
        <f t="shared" si="7"/>
        <v>0</v>
      </c>
      <c r="AI254" s="100">
        <f t="shared" si="7"/>
        <v>0</v>
      </c>
      <c r="AJ254" s="100">
        <f t="shared" si="7"/>
        <v>0</v>
      </c>
      <c r="AK254" s="100">
        <f t="shared" si="7"/>
        <v>0</v>
      </c>
      <c r="AL254" s="100">
        <f t="shared" si="7"/>
        <v>0</v>
      </c>
      <c r="AM254" s="100">
        <f t="shared" si="7"/>
        <v>0</v>
      </c>
      <c r="AN254" s="100">
        <f t="shared" si="7"/>
        <v>0</v>
      </c>
      <c r="AO254" s="100">
        <f t="shared" si="7"/>
        <v>0</v>
      </c>
      <c r="AP254" s="100">
        <f t="shared" si="7"/>
        <v>0</v>
      </c>
    </row>
    <row r="255" spans="1:42" ht="12.75" customHeight="1" x14ac:dyDescent="0.25">
      <c r="C255" s="777"/>
      <c r="D255" s="775"/>
      <c r="E255" s="98" t="s">
        <v>73</v>
      </c>
      <c r="F255" s="100">
        <f>F208</f>
        <v>0</v>
      </c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spans="1:42" ht="12.75" customHeight="1" x14ac:dyDescent="0.25">
      <c r="C256" s="777"/>
      <c r="D256" s="775" t="s">
        <v>133</v>
      </c>
      <c r="E256" s="233" t="s">
        <v>70</v>
      </c>
      <c r="F256" s="234">
        <f>F190+F146-L146</f>
        <v>0</v>
      </c>
      <c r="G256" s="234">
        <f t="shared" ref="G256:AP256" si="8">G146</f>
        <v>0</v>
      </c>
      <c r="H256" s="234">
        <f t="shared" si="8"/>
        <v>0</v>
      </c>
      <c r="I256" s="234">
        <f t="shared" si="8"/>
        <v>0</v>
      </c>
      <c r="J256" s="234">
        <f t="shared" si="8"/>
        <v>0</v>
      </c>
      <c r="K256" s="234">
        <f t="shared" si="8"/>
        <v>0</v>
      </c>
      <c r="L256" s="234">
        <f t="shared" si="8"/>
        <v>0</v>
      </c>
      <c r="M256" s="234">
        <f t="shared" si="8"/>
        <v>0</v>
      </c>
      <c r="N256" s="234">
        <f t="shared" si="8"/>
        <v>0</v>
      </c>
      <c r="O256" s="234">
        <f t="shared" si="8"/>
        <v>0</v>
      </c>
      <c r="P256" s="234">
        <f t="shared" si="8"/>
        <v>0</v>
      </c>
      <c r="Q256" s="234">
        <f t="shared" si="8"/>
        <v>0</v>
      </c>
      <c r="R256" s="234">
        <f t="shared" si="8"/>
        <v>0</v>
      </c>
      <c r="S256" s="234">
        <f t="shared" si="8"/>
        <v>0</v>
      </c>
      <c r="T256" s="234">
        <f t="shared" si="8"/>
        <v>0</v>
      </c>
      <c r="U256" s="234">
        <f t="shared" si="8"/>
        <v>0</v>
      </c>
      <c r="V256" s="234">
        <f t="shared" si="8"/>
        <v>0</v>
      </c>
      <c r="W256" s="234">
        <f t="shared" si="8"/>
        <v>0</v>
      </c>
      <c r="X256" s="234">
        <f t="shared" si="8"/>
        <v>0</v>
      </c>
      <c r="Y256" s="234">
        <f t="shared" si="8"/>
        <v>0</v>
      </c>
      <c r="Z256" s="234">
        <f t="shared" si="8"/>
        <v>0</v>
      </c>
      <c r="AA256" s="234">
        <f t="shared" si="8"/>
        <v>0</v>
      </c>
      <c r="AB256" s="234">
        <f t="shared" si="8"/>
        <v>0</v>
      </c>
      <c r="AC256" s="234">
        <f t="shared" si="8"/>
        <v>0</v>
      </c>
      <c r="AD256" s="234">
        <f t="shared" si="8"/>
        <v>0</v>
      </c>
      <c r="AE256" s="234">
        <f t="shared" si="8"/>
        <v>0</v>
      </c>
      <c r="AF256" s="234">
        <f t="shared" si="8"/>
        <v>0</v>
      </c>
      <c r="AG256" s="234">
        <f t="shared" si="8"/>
        <v>0</v>
      </c>
      <c r="AH256" s="234">
        <f t="shared" si="8"/>
        <v>0</v>
      </c>
      <c r="AI256" s="234">
        <f t="shared" si="8"/>
        <v>0</v>
      </c>
      <c r="AJ256" s="234">
        <f t="shared" si="8"/>
        <v>0</v>
      </c>
      <c r="AK256" s="234">
        <f t="shared" si="8"/>
        <v>0</v>
      </c>
      <c r="AL256" s="234">
        <f t="shared" si="8"/>
        <v>0</v>
      </c>
      <c r="AM256" s="234">
        <f t="shared" si="8"/>
        <v>0</v>
      </c>
      <c r="AN256" s="234">
        <f t="shared" si="8"/>
        <v>0</v>
      </c>
      <c r="AO256" s="234">
        <f t="shared" si="8"/>
        <v>0</v>
      </c>
      <c r="AP256" s="234">
        <f t="shared" si="8"/>
        <v>0</v>
      </c>
    </row>
    <row r="257" spans="1:42" ht="12.75" customHeight="1" x14ac:dyDescent="0.25">
      <c r="C257" s="777"/>
      <c r="D257" s="775"/>
      <c r="E257" s="233" t="s">
        <v>73</v>
      </c>
      <c r="F257" s="234">
        <f>F190</f>
        <v>0</v>
      </c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42" ht="12.75" customHeight="1" x14ac:dyDescent="0.25">
      <c r="A258" s="89"/>
      <c r="C258" s="97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1:42" ht="12.75" customHeight="1" x14ac:dyDescent="0.25">
      <c r="C259" s="777" t="s">
        <v>160</v>
      </c>
      <c r="D259" s="775" t="s">
        <v>132</v>
      </c>
      <c r="E259" s="223" t="s">
        <v>70</v>
      </c>
      <c r="F259" s="225">
        <f>F200+F160-L160</f>
        <v>0</v>
      </c>
      <c r="G259" s="225">
        <f t="shared" ref="G259:AP259" si="9">G160</f>
        <v>0</v>
      </c>
      <c r="H259" s="225">
        <f t="shared" si="9"/>
        <v>0</v>
      </c>
      <c r="I259" s="225">
        <f t="shared" si="9"/>
        <v>0</v>
      </c>
      <c r="J259" s="225">
        <f t="shared" si="9"/>
        <v>0</v>
      </c>
      <c r="K259" s="225">
        <f t="shared" si="9"/>
        <v>0</v>
      </c>
      <c r="L259" s="225">
        <f t="shared" si="9"/>
        <v>0</v>
      </c>
      <c r="M259" s="225">
        <f t="shared" si="9"/>
        <v>0</v>
      </c>
      <c r="N259" s="225">
        <f t="shared" si="9"/>
        <v>0</v>
      </c>
      <c r="O259" s="225">
        <f t="shared" si="9"/>
        <v>0</v>
      </c>
      <c r="P259" s="225">
        <f t="shared" si="9"/>
        <v>0</v>
      </c>
      <c r="Q259" s="225">
        <f t="shared" si="9"/>
        <v>0</v>
      </c>
      <c r="R259" s="225">
        <f t="shared" si="9"/>
        <v>0</v>
      </c>
      <c r="S259" s="225">
        <f t="shared" si="9"/>
        <v>0</v>
      </c>
      <c r="T259" s="225">
        <f t="shared" si="9"/>
        <v>0</v>
      </c>
      <c r="U259" s="225">
        <f t="shared" si="9"/>
        <v>0</v>
      </c>
      <c r="V259" s="225">
        <f t="shared" si="9"/>
        <v>0</v>
      </c>
      <c r="W259" s="225">
        <f t="shared" si="9"/>
        <v>0</v>
      </c>
      <c r="X259" s="225">
        <f t="shared" si="9"/>
        <v>0</v>
      </c>
      <c r="Y259" s="225">
        <f t="shared" si="9"/>
        <v>0</v>
      </c>
      <c r="Z259" s="225">
        <f t="shared" si="9"/>
        <v>0</v>
      </c>
      <c r="AA259" s="225">
        <f t="shared" si="9"/>
        <v>0</v>
      </c>
      <c r="AB259" s="225">
        <f t="shared" si="9"/>
        <v>0</v>
      </c>
      <c r="AC259" s="225">
        <f t="shared" si="9"/>
        <v>0</v>
      </c>
      <c r="AD259" s="225">
        <f t="shared" si="9"/>
        <v>0</v>
      </c>
      <c r="AE259" s="225">
        <f t="shared" si="9"/>
        <v>0</v>
      </c>
      <c r="AF259" s="225">
        <f t="shared" si="9"/>
        <v>0</v>
      </c>
      <c r="AG259" s="225">
        <f t="shared" si="9"/>
        <v>0</v>
      </c>
      <c r="AH259" s="225">
        <f t="shared" si="9"/>
        <v>0</v>
      </c>
      <c r="AI259" s="225">
        <f t="shared" si="9"/>
        <v>0</v>
      </c>
      <c r="AJ259" s="225">
        <f t="shared" si="9"/>
        <v>0</v>
      </c>
      <c r="AK259" s="225">
        <f t="shared" si="9"/>
        <v>0</v>
      </c>
      <c r="AL259" s="225">
        <f t="shared" si="9"/>
        <v>0</v>
      </c>
      <c r="AM259" s="225">
        <f t="shared" si="9"/>
        <v>0</v>
      </c>
      <c r="AN259" s="225">
        <f t="shared" si="9"/>
        <v>0</v>
      </c>
      <c r="AO259" s="225">
        <f t="shared" si="9"/>
        <v>0</v>
      </c>
      <c r="AP259" s="225">
        <f t="shared" si="9"/>
        <v>0</v>
      </c>
    </row>
    <row r="260" spans="1:42" ht="12.75" customHeight="1" x14ac:dyDescent="0.25">
      <c r="C260" s="777"/>
      <c r="D260" s="775"/>
      <c r="E260" s="223" t="s">
        <v>73</v>
      </c>
      <c r="F260" s="225">
        <f>F200</f>
        <v>0</v>
      </c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42" ht="12.75" customHeight="1" x14ac:dyDescent="0.25">
      <c r="C261" s="777"/>
      <c r="D261" s="775" t="s">
        <v>133</v>
      </c>
      <c r="E261" s="227" t="s">
        <v>70</v>
      </c>
      <c r="F261" s="228">
        <f>F182+F135-L135</f>
        <v>0</v>
      </c>
      <c r="G261" s="228">
        <f>G135</f>
        <v>0</v>
      </c>
      <c r="H261" s="228">
        <f t="shared" ref="H261:AP261" si="10">H135</f>
        <v>0</v>
      </c>
      <c r="I261" s="228">
        <f t="shared" si="10"/>
        <v>0</v>
      </c>
      <c r="J261" s="228">
        <f t="shared" si="10"/>
        <v>0</v>
      </c>
      <c r="K261" s="228">
        <f t="shared" si="10"/>
        <v>0</v>
      </c>
      <c r="L261" s="228">
        <f t="shared" si="10"/>
        <v>0</v>
      </c>
      <c r="M261" s="228">
        <f t="shared" si="10"/>
        <v>0</v>
      </c>
      <c r="N261" s="228">
        <f t="shared" si="10"/>
        <v>0</v>
      </c>
      <c r="O261" s="228">
        <f t="shared" si="10"/>
        <v>0</v>
      </c>
      <c r="P261" s="228">
        <f t="shared" si="10"/>
        <v>0</v>
      </c>
      <c r="Q261" s="228">
        <f t="shared" si="10"/>
        <v>0</v>
      </c>
      <c r="R261" s="228">
        <f t="shared" si="10"/>
        <v>0</v>
      </c>
      <c r="S261" s="228">
        <f t="shared" si="10"/>
        <v>0</v>
      </c>
      <c r="T261" s="228">
        <f t="shared" si="10"/>
        <v>0</v>
      </c>
      <c r="U261" s="228">
        <f t="shared" si="10"/>
        <v>0</v>
      </c>
      <c r="V261" s="228">
        <f t="shared" si="10"/>
        <v>0</v>
      </c>
      <c r="W261" s="228">
        <f t="shared" si="10"/>
        <v>0</v>
      </c>
      <c r="X261" s="228">
        <f t="shared" si="10"/>
        <v>0</v>
      </c>
      <c r="Y261" s="228">
        <f t="shared" si="10"/>
        <v>0</v>
      </c>
      <c r="Z261" s="228">
        <f t="shared" si="10"/>
        <v>0</v>
      </c>
      <c r="AA261" s="228">
        <f t="shared" si="10"/>
        <v>0</v>
      </c>
      <c r="AB261" s="228">
        <f t="shared" si="10"/>
        <v>0</v>
      </c>
      <c r="AC261" s="228">
        <f t="shared" si="10"/>
        <v>0</v>
      </c>
      <c r="AD261" s="228">
        <f t="shared" si="10"/>
        <v>0</v>
      </c>
      <c r="AE261" s="228">
        <f t="shared" si="10"/>
        <v>0</v>
      </c>
      <c r="AF261" s="228">
        <f t="shared" si="10"/>
        <v>0</v>
      </c>
      <c r="AG261" s="228">
        <f t="shared" si="10"/>
        <v>0</v>
      </c>
      <c r="AH261" s="228">
        <f t="shared" si="10"/>
        <v>0</v>
      </c>
      <c r="AI261" s="228">
        <f t="shared" si="10"/>
        <v>0</v>
      </c>
      <c r="AJ261" s="228">
        <f t="shared" si="10"/>
        <v>0</v>
      </c>
      <c r="AK261" s="228">
        <f t="shared" si="10"/>
        <v>0</v>
      </c>
      <c r="AL261" s="228">
        <f t="shared" si="10"/>
        <v>0</v>
      </c>
      <c r="AM261" s="228">
        <f t="shared" si="10"/>
        <v>0</v>
      </c>
      <c r="AN261" s="228">
        <f t="shared" si="10"/>
        <v>0</v>
      </c>
      <c r="AO261" s="228">
        <f t="shared" si="10"/>
        <v>0</v>
      </c>
      <c r="AP261" s="228">
        <f t="shared" si="10"/>
        <v>0</v>
      </c>
    </row>
    <row r="262" spans="1:42" ht="12.75" customHeight="1" x14ac:dyDescent="0.25">
      <c r="C262" s="777"/>
      <c r="D262" s="775"/>
      <c r="E262" s="227" t="s">
        <v>73</v>
      </c>
      <c r="F262" s="228">
        <f>F182</f>
        <v>0</v>
      </c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42" ht="12.75" customHeight="1" x14ac:dyDescent="0.25">
      <c r="A263" s="89"/>
      <c r="C263" s="97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42" ht="12.75" customHeight="1" x14ac:dyDescent="0.25">
      <c r="C264" s="777" t="s">
        <v>155</v>
      </c>
      <c r="D264" s="775" t="s">
        <v>132</v>
      </c>
      <c r="E264" s="221" t="s">
        <v>70</v>
      </c>
      <c r="F264" s="222">
        <f>F193+F150+F112--L112-L150</f>
        <v>0</v>
      </c>
      <c r="G264" s="222">
        <f t="shared" ref="G264:AA264" si="11">G150+G112</f>
        <v>0</v>
      </c>
      <c r="H264" s="222">
        <f t="shared" si="11"/>
        <v>0</v>
      </c>
      <c r="I264" s="222">
        <f t="shared" si="11"/>
        <v>0</v>
      </c>
      <c r="J264" s="222">
        <f t="shared" si="11"/>
        <v>0</v>
      </c>
      <c r="K264" s="222">
        <f t="shared" si="11"/>
        <v>0</v>
      </c>
      <c r="L264" s="222">
        <f t="shared" si="11"/>
        <v>0</v>
      </c>
      <c r="M264" s="222">
        <f t="shared" si="11"/>
        <v>0</v>
      </c>
      <c r="N264" s="222">
        <f t="shared" si="11"/>
        <v>0</v>
      </c>
      <c r="O264" s="222">
        <f t="shared" si="11"/>
        <v>0</v>
      </c>
      <c r="P264" s="222">
        <f t="shared" si="11"/>
        <v>0</v>
      </c>
      <c r="Q264" s="222">
        <f t="shared" si="11"/>
        <v>0</v>
      </c>
      <c r="R264" s="222">
        <f t="shared" si="11"/>
        <v>0</v>
      </c>
      <c r="S264" s="222">
        <f t="shared" si="11"/>
        <v>0</v>
      </c>
      <c r="T264" s="222">
        <f t="shared" si="11"/>
        <v>0</v>
      </c>
      <c r="U264" s="222">
        <f t="shared" si="11"/>
        <v>0</v>
      </c>
      <c r="V264" s="222">
        <f t="shared" si="11"/>
        <v>0</v>
      </c>
      <c r="W264" s="222">
        <f t="shared" si="11"/>
        <v>0</v>
      </c>
      <c r="X264" s="222">
        <f t="shared" si="11"/>
        <v>0</v>
      </c>
      <c r="Y264" s="222">
        <f t="shared" si="11"/>
        <v>0</v>
      </c>
      <c r="Z264" s="222">
        <f t="shared" si="11"/>
        <v>0</v>
      </c>
      <c r="AA264" s="222">
        <f t="shared" si="11"/>
        <v>0</v>
      </c>
    </row>
    <row r="265" spans="1:42" ht="12.75" customHeight="1" x14ac:dyDescent="0.25">
      <c r="C265" s="777"/>
      <c r="D265" s="775"/>
      <c r="E265" s="221" t="s">
        <v>73</v>
      </c>
      <c r="F265" s="222">
        <f>F193</f>
        <v>0</v>
      </c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42" ht="12.75" customHeight="1" x14ac:dyDescent="0.25">
      <c r="C266" s="777"/>
      <c r="D266" s="775" t="s">
        <v>133</v>
      </c>
      <c r="E266" s="229" t="s">
        <v>70</v>
      </c>
      <c r="F266" s="230">
        <f>F175+F125-L125</f>
        <v>0</v>
      </c>
      <c r="G266" s="230">
        <f t="shared" ref="G266:AA266" si="12">G125</f>
        <v>0</v>
      </c>
      <c r="H266" s="230">
        <f t="shared" si="12"/>
        <v>0</v>
      </c>
      <c r="I266" s="230">
        <f t="shared" si="12"/>
        <v>0</v>
      </c>
      <c r="J266" s="230">
        <f t="shared" si="12"/>
        <v>0</v>
      </c>
      <c r="K266" s="230">
        <f t="shared" si="12"/>
        <v>0</v>
      </c>
      <c r="L266" s="230">
        <f t="shared" si="12"/>
        <v>0</v>
      </c>
      <c r="M266" s="230">
        <f t="shared" si="12"/>
        <v>0</v>
      </c>
      <c r="N266" s="230">
        <f t="shared" si="12"/>
        <v>0</v>
      </c>
      <c r="O266" s="230">
        <f t="shared" si="12"/>
        <v>0</v>
      </c>
      <c r="P266" s="230">
        <f t="shared" si="12"/>
        <v>0</v>
      </c>
      <c r="Q266" s="230">
        <f t="shared" si="12"/>
        <v>0</v>
      </c>
      <c r="R266" s="230">
        <f t="shared" si="12"/>
        <v>0</v>
      </c>
      <c r="S266" s="230">
        <f t="shared" si="12"/>
        <v>0</v>
      </c>
      <c r="T266" s="230">
        <f t="shared" si="12"/>
        <v>0</v>
      </c>
      <c r="U266" s="230">
        <f t="shared" si="12"/>
        <v>0</v>
      </c>
      <c r="V266" s="230">
        <f t="shared" si="12"/>
        <v>0</v>
      </c>
      <c r="W266" s="230">
        <f t="shared" si="12"/>
        <v>0</v>
      </c>
      <c r="X266" s="230">
        <f t="shared" si="12"/>
        <v>0</v>
      </c>
      <c r="Y266" s="230">
        <f t="shared" si="12"/>
        <v>0</v>
      </c>
      <c r="Z266" s="230">
        <f t="shared" si="12"/>
        <v>0</v>
      </c>
      <c r="AA266" s="230">
        <f t="shared" si="12"/>
        <v>0</v>
      </c>
    </row>
    <row r="267" spans="1:42" ht="12.75" customHeight="1" x14ac:dyDescent="0.25">
      <c r="C267" s="777"/>
      <c r="D267" s="775"/>
      <c r="E267" s="229" t="s">
        <v>73</v>
      </c>
      <c r="F267" s="230">
        <f>F175</f>
        <v>0</v>
      </c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42" ht="12.75" customHeight="1" x14ac:dyDescent="0.25">
      <c r="A268" s="89"/>
      <c r="C268" s="97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42" ht="12.75" customHeight="1" x14ac:dyDescent="0.25">
      <c r="C269" s="778" t="s">
        <v>326</v>
      </c>
      <c r="D269" s="775" t="s">
        <v>132</v>
      </c>
      <c r="E269" s="373" t="s">
        <v>70</v>
      </c>
      <c r="F269" s="374">
        <v>0</v>
      </c>
      <c r="G269" s="374">
        <v>0</v>
      </c>
      <c r="H269" s="374">
        <v>0</v>
      </c>
      <c r="I269" s="374">
        <v>0</v>
      </c>
      <c r="J269" s="374">
        <v>0</v>
      </c>
      <c r="K269" s="374">
        <v>0</v>
      </c>
      <c r="L269" s="374">
        <v>0</v>
      </c>
      <c r="M269" s="374">
        <v>0</v>
      </c>
      <c r="N269" s="374">
        <v>0</v>
      </c>
      <c r="O269" s="374">
        <v>0</v>
      </c>
      <c r="P269" s="374">
        <v>0</v>
      </c>
      <c r="Q269" s="374">
        <v>0</v>
      </c>
      <c r="R269" s="374">
        <v>0</v>
      </c>
      <c r="S269" s="374">
        <v>0</v>
      </c>
      <c r="T269" s="374">
        <v>0</v>
      </c>
      <c r="U269" s="374">
        <v>0</v>
      </c>
      <c r="V269" s="374">
        <v>0</v>
      </c>
      <c r="W269" s="374">
        <v>0</v>
      </c>
      <c r="X269" s="374">
        <v>0</v>
      </c>
      <c r="Y269" s="374">
        <v>0</v>
      </c>
      <c r="Z269" s="374">
        <v>0</v>
      </c>
      <c r="AA269" s="374">
        <v>0</v>
      </c>
      <c r="AB269" s="374">
        <v>0</v>
      </c>
      <c r="AC269" s="374">
        <v>0</v>
      </c>
      <c r="AD269" s="374">
        <v>0</v>
      </c>
      <c r="AE269" s="374">
        <v>0</v>
      </c>
      <c r="AF269" s="374">
        <v>0</v>
      </c>
      <c r="AG269" s="374">
        <v>0</v>
      </c>
      <c r="AH269" s="374">
        <v>0</v>
      </c>
      <c r="AI269" s="374">
        <v>0</v>
      </c>
      <c r="AJ269" s="374">
        <v>0</v>
      </c>
      <c r="AK269" s="374">
        <v>0</v>
      </c>
      <c r="AL269" s="374">
        <v>0</v>
      </c>
      <c r="AM269" s="374">
        <v>0</v>
      </c>
      <c r="AN269" s="374">
        <v>0</v>
      </c>
      <c r="AO269" s="374">
        <v>0</v>
      </c>
    </row>
    <row r="270" spans="1:42" ht="12.75" customHeight="1" x14ac:dyDescent="0.25">
      <c r="C270" s="778"/>
      <c r="D270" s="775"/>
      <c r="E270" s="373" t="s">
        <v>73</v>
      </c>
      <c r="F270" s="374">
        <v>0</v>
      </c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42" ht="12.75" customHeight="1" x14ac:dyDescent="0.25">
      <c r="C271" s="778"/>
      <c r="D271" s="775" t="s">
        <v>133</v>
      </c>
      <c r="E271" s="242" t="s">
        <v>70</v>
      </c>
      <c r="F271" s="243">
        <v>0</v>
      </c>
      <c r="G271" s="243">
        <v>0</v>
      </c>
      <c r="H271" s="243">
        <v>0</v>
      </c>
      <c r="I271" s="243">
        <v>0</v>
      </c>
      <c r="J271" s="243">
        <v>0</v>
      </c>
      <c r="K271" s="243">
        <v>0</v>
      </c>
      <c r="L271" s="243">
        <v>0</v>
      </c>
      <c r="M271" s="243">
        <v>0</v>
      </c>
      <c r="N271" s="243">
        <v>0</v>
      </c>
      <c r="O271" s="243">
        <v>0</v>
      </c>
      <c r="P271" s="243">
        <v>0</v>
      </c>
      <c r="Q271" s="243">
        <v>0</v>
      </c>
      <c r="R271" s="243">
        <v>0</v>
      </c>
      <c r="S271" s="243">
        <v>0</v>
      </c>
      <c r="T271" s="243">
        <v>0</v>
      </c>
      <c r="U271" s="243">
        <v>0</v>
      </c>
      <c r="V271" s="243">
        <v>0</v>
      </c>
      <c r="W271" s="243">
        <v>0</v>
      </c>
      <c r="X271" s="243">
        <v>0</v>
      </c>
      <c r="Y271" s="243">
        <v>0</v>
      </c>
      <c r="Z271" s="243">
        <v>0</v>
      </c>
      <c r="AA271" s="243">
        <v>0</v>
      </c>
      <c r="AB271" s="243">
        <v>0</v>
      </c>
      <c r="AC271" s="243">
        <v>0</v>
      </c>
      <c r="AD271" s="243">
        <v>0</v>
      </c>
      <c r="AE271" s="243">
        <v>0</v>
      </c>
      <c r="AF271" s="243">
        <v>0</v>
      </c>
      <c r="AG271" s="243">
        <v>0</v>
      </c>
      <c r="AH271" s="243">
        <v>0</v>
      </c>
      <c r="AI271" s="243">
        <v>0</v>
      </c>
      <c r="AJ271" s="243">
        <v>0</v>
      </c>
      <c r="AK271" s="243">
        <v>0</v>
      </c>
      <c r="AL271" s="243">
        <v>0</v>
      </c>
      <c r="AM271" s="243">
        <v>0</v>
      </c>
      <c r="AN271" s="243">
        <v>0</v>
      </c>
      <c r="AO271" s="243">
        <v>0</v>
      </c>
    </row>
    <row r="272" spans="1:42" ht="12.75" customHeight="1" x14ac:dyDescent="0.25">
      <c r="C272" s="778"/>
      <c r="D272" s="775"/>
      <c r="E272" s="242" t="s">
        <v>73</v>
      </c>
      <c r="F272" s="243">
        <v>0</v>
      </c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42" ht="12.75" customHeight="1" x14ac:dyDescent="0.25">
      <c r="A273" s="89"/>
      <c r="C273" s="97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42" ht="12.75" customHeight="1" x14ac:dyDescent="0.25">
      <c r="C274" s="777" t="s">
        <v>119</v>
      </c>
      <c r="D274" s="775" t="s">
        <v>132</v>
      </c>
      <c r="E274" s="101" t="s">
        <v>70</v>
      </c>
      <c r="F274" s="93">
        <f>F207+F170+F119-L119-L170</f>
        <v>0</v>
      </c>
      <c r="G274" s="93">
        <f t="shared" ref="G274:AP274" si="13">G170+G119</f>
        <v>0</v>
      </c>
      <c r="H274" s="93">
        <f t="shared" si="13"/>
        <v>0</v>
      </c>
      <c r="I274" s="93">
        <f t="shared" si="13"/>
        <v>0</v>
      </c>
      <c r="J274" s="93">
        <f t="shared" si="13"/>
        <v>0</v>
      </c>
      <c r="K274" s="93">
        <f t="shared" si="13"/>
        <v>0</v>
      </c>
      <c r="L274" s="93">
        <f t="shared" si="13"/>
        <v>0</v>
      </c>
      <c r="M274" s="93">
        <f t="shared" si="13"/>
        <v>0</v>
      </c>
      <c r="N274" s="93">
        <f t="shared" si="13"/>
        <v>0</v>
      </c>
      <c r="O274" s="93">
        <f t="shared" si="13"/>
        <v>0</v>
      </c>
      <c r="P274" s="93">
        <f t="shared" si="13"/>
        <v>0</v>
      </c>
      <c r="Q274" s="93">
        <f t="shared" si="13"/>
        <v>0</v>
      </c>
      <c r="R274" s="93">
        <f t="shared" si="13"/>
        <v>0</v>
      </c>
      <c r="S274" s="93">
        <f t="shared" si="13"/>
        <v>0</v>
      </c>
      <c r="T274" s="93">
        <f t="shared" si="13"/>
        <v>0</v>
      </c>
      <c r="U274" s="93">
        <f t="shared" si="13"/>
        <v>0</v>
      </c>
      <c r="V274" s="93">
        <f t="shared" si="13"/>
        <v>0</v>
      </c>
      <c r="W274" s="93">
        <f t="shared" si="13"/>
        <v>0</v>
      </c>
      <c r="X274" s="93">
        <f t="shared" si="13"/>
        <v>0</v>
      </c>
      <c r="Y274" s="93">
        <f t="shared" si="13"/>
        <v>0</v>
      </c>
      <c r="Z274" s="93">
        <f t="shared" si="13"/>
        <v>0</v>
      </c>
      <c r="AA274" s="93">
        <f t="shared" si="13"/>
        <v>0</v>
      </c>
      <c r="AB274" s="93">
        <f t="shared" si="13"/>
        <v>0</v>
      </c>
      <c r="AC274" s="93">
        <f t="shared" si="13"/>
        <v>0</v>
      </c>
      <c r="AD274" s="93">
        <f t="shared" si="13"/>
        <v>0</v>
      </c>
      <c r="AE274" s="93">
        <f t="shared" si="13"/>
        <v>0</v>
      </c>
      <c r="AF274" s="93">
        <f t="shared" si="13"/>
        <v>0</v>
      </c>
      <c r="AG274" s="93">
        <f t="shared" si="13"/>
        <v>0</v>
      </c>
      <c r="AH274" s="93">
        <f t="shared" si="13"/>
        <v>0</v>
      </c>
      <c r="AI274" s="93">
        <f t="shared" si="13"/>
        <v>0</v>
      </c>
      <c r="AJ274" s="93">
        <f t="shared" si="13"/>
        <v>0</v>
      </c>
      <c r="AK274" s="93">
        <f t="shared" si="13"/>
        <v>0</v>
      </c>
      <c r="AL274" s="93">
        <f t="shared" si="13"/>
        <v>0</v>
      </c>
      <c r="AM274" s="93">
        <f t="shared" si="13"/>
        <v>0</v>
      </c>
      <c r="AN274" s="93">
        <f t="shared" si="13"/>
        <v>0</v>
      </c>
      <c r="AO274" s="93">
        <f t="shared" si="13"/>
        <v>0</v>
      </c>
      <c r="AP274" s="93">
        <f t="shared" si="13"/>
        <v>0</v>
      </c>
    </row>
    <row r="275" spans="1:42" ht="12.75" customHeight="1" x14ac:dyDescent="0.25">
      <c r="C275" s="777"/>
      <c r="D275" s="775"/>
      <c r="E275" s="101" t="s">
        <v>73</v>
      </c>
      <c r="F275" s="93">
        <f>F207</f>
        <v>0</v>
      </c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42" ht="12.75" customHeight="1" x14ac:dyDescent="0.25">
      <c r="C276" s="777"/>
      <c r="D276" s="775" t="s">
        <v>133</v>
      </c>
      <c r="E276" s="235" t="s">
        <v>70</v>
      </c>
      <c r="F276" s="236">
        <f>F189+F145-L145</f>
        <v>0</v>
      </c>
      <c r="G276" s="236">
        <f t="shared" ref="G276:AP276" si="14">G145</f>
        <v>0</v>
      </c>
      <c r="H276" s="236">
        <f t="shared" si="14"/>
        <v>0</v>
      </c>
      <c r="I276" s="236">
        <f t="shared" si="14"/>
        <v>0</v>
      </c>
      <c r="J276" s="236">
        <f t="shared" si="14"/>
        <v>0</v>
      </c>
      <c r="K276" s="236">
        <f t="shared" si="14"/>
        <v>0</v>
      </c>
      <c r="L276" s="236">
        <f t="shared" si="14"/>
        <v>0</v>
      </c>
      <c r="M276" s="236">
        <f t="shared" si="14"/>
        <v>0</v>
      </c>
      <c r="N276" s="236">
        <f t="shared" si="14"/>
        <v>0</v>
      </c>
      <c r="O276" s="236">
        <f t="shared" si="14"/>
        <v>0</v>
      </c>
      <c r="P276" s="236">
        <f t="shared" si="14"/>
        <v>0</v>
      </c>
      <c r="Q276" s="236">
        <f t="shared" si="14"/>
        <v>0</v>
      </c>
      <c r="R276" s="236">
        <f t="shared" si="14"/>
        <v>0</v>
      </c>
      <c r="S276" s="236">
        <f t="shared" si="14"/>
        <v>0</v>
      </c>
      <c r="T276" s="236">
        <f t="shared" si="14"/>
        <v>0</v>
      </c>
      <c r="U276" s="236">
        <f t="shared" si="14"/>
        <v>0</v>
      </c>
      <c r="V276" s="236">
        <f t="shared" si="14"/>
        <v>0</v>
      </c>
      <c r="W276" s="236">
        <f t="shared" si="14"/>
        <v>0</v>
      </c>
      <c r="X276" s="236">
        <f t="shared" si="14"/>
        <v>0</v>
      </c>
      <c r="Y276" s="236">
        <f t="shared" si="14"/>
        <v>0</v>
      </c>
      <c r="Z276" s="236">
        <f t="shared" si="14"/>
        <v>0</v>
      </c>
      <c r="AA276" s="236">
        <f t="shared" si="14"/>
        <v>0</v>
      </c>
      <c r="AB276" s="236">
        <f t="shared" si="14"/>
        <v>0</v>
      </c>
      <c r="AC276" s="236">
        <f t="shared" si="14"/>
        <v>0</v>
      </c>
      <c r="AD276" s="236">
        <f t="shared" si="14"/>
        <v>0</v>
      </c>
      <c r="AE276" s="236">
        <f t="shared" si="14"/>
        <v>0</v>
      </c>
      <c r="AF276" s="236">
        <f t="shared" si="14"/>
        <v>0</v>
      </c>
      <c r="AG276" s="236">
        <f t="shared" si="14"/>
        <v>0</v>
      </c>
      <c r="AH276" s="236">
        <f t="shared" si="14"/>
        <v>0</v>
      </c>
      <c r="AI276" s="236">
        <f t="shared" si="14"/>
        <v>0</v>
      </c>
      <c r="AJ276" s="236">
        <f t="shared" si="14"/>
        <v>0</v>
      </c>
      <c r="AK276" s="236">
        <f t="shared" si="14"/>
        <v>0</v>
      </c>
      <c r="AL276" s="236">
        <f t="shared" si="14"/>
        <v>0</v>
      </c>
      <c r="AM276" s="236">
        <f t="shared" si="14"/>
        <v>0</v>
      </c>
      <c r="AN276" s="236">
        <f t="shared" si="14"/>
        <v>0</v>
      </c>
      <c r="AO276" s="236">
        <f t="shared" si="14"/>
        <v>0</v>
      </c>
      <c r="AP276" s="236">
        <f t="shared" si="14"/>
        <v>0</v>
      </c>
    </row>
    <row r="277" spans="1:42" ht="12.75" customHeight="1" x14ac:dyDescent="0.25">
      <c r="C277" s="777"/>
      <c r="D277" s="775"/>
      <c r="E277" s="235" t="s">
        <v>73</v>
      </c>
      <c r="F277" s="236">
        <f>F189</f>
        <v>0</v>
      </c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42" ht="12.75" customHeight="1" x14ac:dyDescent="0.25">
      <c r="A278" s="89"/>
      <c r="C278" s="97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42" ht="12.75" customHeight="1" x14ac:dyDescent="0.25">
      <c r="C279" s="776" t="s">
        <v>161</v>
      </c>
      <c r="D279" s="775" t="s">
        <v>132</v>
      </c>
      <c r="E279" s="231" t="s">
        <v>70</v>
      </c>
      <c r="F279" s="232">
        <v>0</v>
      </c>
      <c r="G279" s="232">
        <v>0</v>
      </c>
      <c r="H279" s="232">
        <v>0</v>
      </c>
      <c r="I279" s="232">
        <v>0</v>
      </c>
      <c r="J279" s="232">
        <v>0</v>
      </c>
      <c r="K279" s="232">
        <v>0</v>
      </c>
      <c r="L279" s="232">
        <v>0</v>
      </c>
      <c r="M279" s="232">
        <v>0</v>
      </c>
      <c r="N279" s="232">
        <v>0</v>
      </c>
      <c r="O279" s="232">
        <v>0</v>
      </c>
      <c r="P279" s="232">
        <v>0</v>
      </c>
      <c r="Q279" s="232">
        <v>0</v>
      </c>
      <c r="R279" s="232">
        <v>0</v>
      </c>
      <c r="S279" s="232">
        <v>0</v>
      </c>
      <c r="T279" s="232">
        <v>0</v>
      </c>
      <c r="U279" s="232">
        <v>0</v>
      </c>
      <c r="V279" s="232">
        <v>0</v>
      </c>
      <c r="W279" s="232">
        <v>0</v>
      </c>
      <c r="X279" s="232">
        <v>0</v>
      </c>
      <c r="Y279" s="232"/>
      <c r="Z279" s="232">
        <v>0</v>
      </c>
      <c r="AA279" s="232">
        <v>0</v>
      </c>
      <c r="AB279" s="232">
        <v>0</v>
      </c>
      <c r="AC279" s="232">
        <v>0</v>
      </c>
      <c r="AD279" s="232">
        <v>0</v>
      </c>
      <c r="AE279" s="232">
        <v>0</v>
      </c>
      <c r="AF279" s="232">
        <v>0</v>
      </c>
      <c r="AG279" s="232">
        <v>0</v>
      </c>
      <c r="AH279" s="232">
        <v>0</v>
      </c>
      <c r="AI279" s="232">
        <v>0</v>
      </c>
      <c r="AJ279" s="232">
        <v>0</v>
      </c>
      <c r="AK279" s="232">
        <v>0</v>
      </c>
      <c r="AL279" s="232">
        <v>0</v>
      </c>
      <c r="AM279" s="232">
        <v>0</v>
      </c>
      <c r="AN279" s="232">
        <v>0</v>
      </c>
      <c r="AO279" s="232">
        <v>0</v>
      </c>
      <c r="AP279" s="232">
        <v>0</v>
      </c>
    </row>
    <row r="280" spans="1:42" ht="12.75" customHeight="1" x14ac:dyDescent="0.25">
      <c r="C280" s="776"/>
      <c r="D280" s="775"/>
      <c r="E280" s="231" t="s">
        <v>73</v>
      </c>
      <c r="F280" s="232">
        <v>0</v>
      </c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42" ht="12.75" customHeight="1" x14ac:dyDescent="0.25">
      <c r="C281" s="776"/>
      <c r="E281" s="148" t="s">
        <v>70</v>
      </c>
      <c r="F281" s="149">
        <v>0</v>
      </c>
      <c r="G281" s="149">
        <v>0</v>
      </c>
      <c r="H281" s="149">
        <v>0</v>
      </c>
      <c r="I281" s="149">
        <v>0</v>
      </c>
      <c r="J281" s="149">
        <v>0</v>
      </c>
      <c r="K281" s="149">
        <v>0</v>
      </c>
      <c r="L281" s="149">
        <v>0</v>
      </c>
      <c r="M281" s="149">
        <v>0</v>
      </c>
      <c r="N281" s="149">
        <v>0</v>
      </c>
      <c r="O281" s="149">
        <v>0</v>
      </c>
      <c r="P281" s="149">
        <v>0</v>
      </c>
      <c r="Q281" s="149">
        <v>0</v>
      </c>
      <c r="R281" s="149">
        <v>0</v>
      </c>
      <c r="S281" s="149">
        <v>0</v>
      </c>
      <c r="T281" s="149">
        <v>0</v>
      </c>
      <c r="U281" s="149">
        <v>0</v>
      </c>
      <c r="V281" s="149">
        <v>0</v>
      </c>
      <c r="W281" s="149">
        <v>0</v>
      </c>
      <c r="X281" s="149">
        <v>0</v>
      </c>
      <c r="Y281" s="149">
        <v>0</v>
      </c>
      <c r="Z281" s="149">
        <v>0</v>
      </c>
      <c r="AA281" s="149">
        <v>0</v>
      </c>
    </row>
    <row r="282" spans="1:42" ht="12.75" customHeight="1" x14ac:dyDescent="0.25">
      <c r="C282" s="776"/>
      <c r="D282" s="220" t="s">
        <v>132</v>
      </c>
      <c r="E282" s="148" t="s">
        <v>73</v>
      </c>
      <c r="F282" s="149">
        <v>0</v>
      </c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</row>
    <row r="283" spans="1:42" ht="12.75" customHeight="1" x14ac:dyDescent="0.25">
      <c r="C283" s="388"/>
      <c r="D283" s="220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42" ht="12.75" customHeight="1" x14ac:dyDescent="0.25">
      <c r="D284" s="458" t="s">
        <v>186</v>
      </c>
      <c r="E284" s="459" t="s">
        <v>70</v>
      </c>
      <c r="F284" s="460">
        <f t="shared" ref="F284:AA284" si="15">F120</f>
        <v>0</v>
      </c>
      <c r="G284" s="460">
        <f t="shared" si="15"/>
        <v>0</v>
      </c>
      <c r="H284" s="460">
        <f t="shared" si="15"/>
        <v>0</v>
      </c>
      <c r="I284" s="460">
        <f t="shared" si="15"/>
        <v>0</v>
      </c>
      <c r="J284" s="460">
        <f t="shared" si="15"/>
        <v>0</v>
      </c>
      <c r="K284" s="460">
        <f t="shared" si="15"/>
        <v>0</v>
      </c>
      <c r="L284" s="460">
        <f t="shared" si="15"/>
        <v>0</v>
      </c>
      <c r="M284" s="460">
        <f t="shared" si="15"/>
        <v>0</v>
      </c>
      <c r="N284" s="460">
        <f t="shared" si="15"/>
        <v>0</v>
      </c>
      <c r="O284" s="460">
        <f t="shared" si="15"/>
        <v>0</v>
      </c>
      <c r="P284" s="460">
        <f t="shared" si="15"/>
        <v>0</v>
      </c>
      <c r="Q284" s="460">
        <f t="shared" si="15"/>
        <v>0</v>
      </c>
      <c r="R284" s="460">
        <f t="shared" si="15"/>
        <v>0</v>
      </c>
      <c r="S284" s="460">
        <f t="shared" si="15"/>
        <v>0</v>
      </c>
      <c r="T284" s="460">
        <f t="shared" si="15"/>
        <v>0</v>
      </c>
      <c r="U284" s="460">
        <f t="shared" si="15"/>
        <v>0</v>
      </c>
      <c r="V284" s="460">
        <f t="shared" si="15"/>
        <v>0</v>
      </c>
      <c r="W284" s="460">
        <f t="shared" si="15"/>
        <v>0</v>
      </c>
      <c r="X284" s="460">
        <f t="shared" si="15"/>
        <v>0</v>
      </c>
      <c r="Y284" s="460">
        <f t="shared" si="15"/>
        <v>0</v>
      </c>
      <c r="Z284" s="460">
        <f t="shared" si="15"/>
        <v>0</v>
      </c>
      <c r="AA284" s="460">
        <f t="shared" si="15"/>
        <v>0</v>
      </c>
    </row>
    <row r="285" spans="1:42" ht="12.75" customHeight="1" x14ac:dyDescent="0.25">
      <c r="C285" s="388"/>
      <c r="D285" s="220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</row>
    <row r="286" spans="1:42" s="238" customFormat="1" ht="12.75" customHeight="1" x14ac:dyDescent="0.25">
      <c r="D286" s="239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</row>
    <row r="287" spans="1:42" ht="12.75" customHeight="1" x14ac:dyDescent="0.25">
      <c r="A287" s="89"/>
      <c r="B287" s="97" t="s">
        <v>76</v>
      </c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42" ht="12.6" customHeight="1" x14ac:dyDescent="0.25">
      <c r="F288" s="89" t="s">
        <v>70</v>
      </c>
      <c r="G288" s="89" t="s">
        <v>64</v>
      </c>
      <c r="H288" s="89" t="s">
        <v>65</v>
      </c>
      <c r="I288" s="218" t="s">
        <v>164</v>
      </c>
      <c r="J288" s="89" t="s">
        <v>69</v>
      </c>
      <c r="K288" s="89" t="s">
        <v>68</v>
      </c>
      <c r="L288" s="89" t="s">
        <v>71</v>
      </c>
      <c r="M288" s="89" t="s">
        <v>66</v>
      </c>
      <c r="N288" s="89" t="s">
        <v>63</v>
      </c>
      <c r="O288" s="89" t="s">
        <v>61</v>
      </c>
      <c r="P288" s="89" t="s">
        <v>62</v>
      </c>
      <c r="Q288" s="89" t="s">
        <v>67</v>
      </c>
      <c r="R288" s="89" t="s">
        <v>77</v>
      </c>
      <c r="S288" s="89" t="s">
        <v>80</v>
      </c>
      <c r="T288" s="89" t="s">
        <v>135</v>
      </c>
      <c r="U288" s="89" t="s">
        <v>173</v>
      </c>
      <c r="V288" s="89" t="s">
        <v>222</v>
      </c>
      <c r="W288" s="89" t="s">
        <v>173</v>
      </c>
      <c r="X288" t="s">
        <v>173</v>
      </c>
      <c r="Y288" s="89" t="s">
        <v>135</v>
      </c>
      <c r="Z288" t="s">
        <v>167</v>
      </c>
    </row>
    <row r="289" spans="1:26" ht="12.75" customHeight="1" x14ac:dyDescent="0.25">
      <c r="E289" s="89" t="s">
        <v>72</v>
      </c>
      <c r="F289" s="371">
        <v>0</v>
      </c>
      <c r="G289" s="90">
        <v>0</v>
      </c>
      <c r="H289" s="90">
        <v>0</v>
      </c>
      <c r="I289" s="90">
        <v>0</v>
      </c>
      <c r="J289" s="90">
        <v>0</v>
      </c>
      <c r="K289" s="90">
        <v>0</v>
      </c>
      <c r="L289" s="90">
        <v>0</v>
      </c>
      <c r="M289" s="90">
        <v>0</v>
      </c>
      <c r="N289" s="90">
        <v>0</v>
      </c>
      <c r="O289" s="90">
        <v>0</v>
      </c>
      <c r="P289" s="90">
        <v>0</v>
      </c>
      <c r="Q289" s="90">
        <v>0</v>
      </c>
      <c r="R289" s="90">
        <v>0</v>
      </c>
      <c r="S289" s="90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t="12.75" customHeight="1" x14ac:dyDescent="0.25">
      <c r="D290" t="s">
        <v>156</v>
      </c>
      <c r="E290" s="89" t="s">
        <v>70</v>
      </c>
      <c r="F290" s="371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s="286" customFormat="1" ht="12.75" customHeight="1" x14ac:dyDescent="0.25">
      <c r="C291" s="286" t="s">
        <v>155</v>
      </c>
      <c r="D291" s="286" t="s">
        <v>70</v>
      </c>
      <c r="E291" s="229"/>
      <c r="F291" s="229">
        <v>0</v>
      </c>
      <c r="G291" s="230">
        <v>0</v>
      </c>
      <c r="H291" s="230">
        <v>0</v>
      </c>
      <c r="I291" s="230">
        <v>0</v>
      </c>
      <c r="J291" s="230">
        <v>0</v>
      </c>
      <c r="K291" s="230">
        <v>0</v>
      </c>
      <c r="L291" s="230">
        <v>0</v>
      </c>
      <c r="M291" s="230">
        <v>0</v>
      </c>
      <c r="N291" s="230">
        <v>0</v>
      </c>
      <c r="O291" s="230">
        <v>0</v>
      </c>
      <c r="P291" s="230">
        <v>0</v>
      </c>
      <c r="Q291" s="230">
        <v>0</v>
      </c>
      <c r="R291" s="230">
        <v>0</v>
      </c>
      <c r="S291" s="230">
        <v>0</v>
      </c>
      <c r="T291" s="230">
        <v>0</v>
      </c>
      <c r="U291" s="230">
        <v>0</v>
      </c>
      <c r="V291" s="230">
        <v>0</v>
      </c>
      <c r="W291" s="230">
        <v>0</v>
      </c>
      <c r="X291" s="230">
        <v>0</v>
      </c>
      <c r="Y291" s="230">
        <v>0</v>
      </c>
      <c r="Z291" s="230">
        <v>0</v>
      </c>
    </row>
    <row r="292" spans="1:26" ht="12.75" customHeight="1" x14ac:dyDescent="0.25">
      <c r="E292" s="89" t="s">
        <v>72</v>
      </c>
      <c r="F292" s="90">
        <v>0</v>
      </c>
      <c r="G292" s="90">
        <v>0</v>
      </c>
      <c r="H292" s="90">
        <v>0</v>
      </c>
      <c r="I292" s="90">
        <v>0</v>
      </c>
      <c r="J292" s="90">
        <v>0</v>
      </c>
      <c r="K292" s="90">
        <v>0</v>
      </c>
      <c r="L292" s="90">
        <v>0</v>
      </c>
      <c r="M292" s="90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0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>
        <v>0</v>
      </c>
      <c r="Y292">
        <v>0</v>
      </c>
      <c r="Z292">
        <v>0</v>
      </c>
    </row>
    <row r="293" spans="1:26" ht="12.75" customHeight="1" x14ac:dyDescent="0.25">
      <c r="D293" t="s">
        <v>82</v>
      </c>
      <c r="E293" s="89" t="s">
        <v>70</v>
      </c>
      <c r="F293" s="371">
        <v>0</v>
      </c>
      <c r="G293" s="90">
        <v>0</v>
      </c>
      <c r="H293" s="90">
        <v>0</v>
      </c>
      <c r="I293" s="90">
        <v>0</v>
      </c>
      <c r="J293" s="90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0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>
        <v>0</v>
      </c>
      <c r="Y293">
        <v>0</v>
      </c>
      <c r="Z293">
        <v>0</v>
      </c>
    </row>
    <row r="294" spans="1:26" ht="12.75" customHeight="1" x14ac:dyDescent="0.25">
      <c r="E294" s="89" t="s">
        <v>72</v>
      </c>
      <c r="F294" s="371">
        <v>0</v>
      </c>
      <c r="G294" s="90">
        <v>0</v>
      </c>
      <c r="H294" s="90">
        <v>0</v>
      </c>
      <c r="I294" s="90">
        <v>0</v>
      </c>
      <c r="J294" s="90">
        <v>0</v>
      </c>
      <c r="K294" s="90">
        <v>0</v>
      </c>
      <c r="L294" s="90">
        <v>0</v>
      </c>
      <c r="M294" s="90">
        <v>0</v>
      </c>
      <c r="N294" s="90">
        <v>0</v>
      </c>
      <c r="O294" s="90">
        <v>0</v>
      </c>
      <c r="P294" s="90">
        <v>0</v>
      </c>
      <c r="Q294" s="90">
        <v>0</v>
      </c>
      <c r="R294" s="90">
        <v>0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>
        <v>0</v>
      </c>
      <c r="Y294">
        <v>0</v>
      </c>
      <c r="Z294">
        <v>0</v>
      </c>
    </row>
    <row r="295" spans="1:26" ht="12.75" customHeight="1" x14ac:dyDescent="0.25">
      <c r="D295" t="s">
        <v>86</v>
      </c>
      <c r="E295" s="89" t="s">
        <v>70</v>
      </c>
      <c r="F295" s="371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 s="90">
        <v>0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>
        <v>0</v>
      </c>
      <c r="Y295">
        <v>0</v>
      </c>
      <c r="Z295">
        <v>0</v>
      </c>
    </row>
    <row r="296" spans="1:26" ht="12.75" customHeight="1" x14ac:dyDescent="0.25">
      <c r="E296" s="89" t="s">
        <v>72</v>
      </c>
      <c r="F296" s="371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0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</row>
    <row r="297" spans="1:26" ht="12.75" customHeight="1" x14ac:dyDescent="0.25">
      <c r="D297" t="s">
        <v>87</v>
      </c>
      <c r="E297" s="89" t="s">
        <v>70</v>
      </c>
      <c r="F297" s="371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0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</row>
    <row r="298" spans="1:26" s="94" customFormat="1" ht="12.75" customHeight="1" x14ac:dyDescent="0.25">
      <c r="C298" s="101" t="s">
        <v>119</v>
      </c>
      <c r="D298" s="101" t="s">
        <v>70</v>
      </c>
      <c r="F298" s="93">
        <v>0</v>
      </c>
      <c r="G298" s="93">
        <v>0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93">
        <v>0</v>
      </c>
      <c r="P298" s="93">
        <v>0</v>
      </c>
      <c r="Q298" s="93">
        <v>0</v>
      </c>
      <c r="R298" s="93">
        <v>0</v>
      </c>
      <c r="S298" s="93">
        <v>0</v>
      </c>
      <c r="T298" s="94">
        <v>0</v>
      </c>
      <c r="U298" s="94">
        <v>0</v>
      </c>
      <c r="V298" s="94">
        <v>0</v>
      </c>
      <c r="W298" s="94">
        <v>0</v>
      </c>
      <c r="X298" s="94">
        <v>0</v>
      </c>
      <c r="Y298" s="94">
        <v>0</v>
      </c>
      <c r="Z298" s="94">
        <v>0</v>
      </c>
    </row>
    <row r="299" spans="1:26" ht="12.75" customHeight="1" x14ac:dyDescent="0.25">
      <c r="B299" t="s">
        <v>112</v>
      </c>
      <c r="C299" t="s">
        <v>70</v>
      </c>
      <c r="E299" s="89"/>
      <c r="F299" s="371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 s="90">
        <v>0</v>
      </c>
      <c r="S299" s="90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s="458" customFormat="1" ht="12.75" customHeight="1" x14ac:dyDescent="0.25">
      <c r="A300" s="458" t="s">
        <v>186</v>
      </c>
      <c r="B300" s="458" t="s">
        <v>70</v>
      </c>
      <c r="F300" s="458">
        <v>0</v>
      </c>
      <c r="G300" s="458">
        <v>0</v>
      </c>
      <c r="H300" s="458">
        <v>0</v>
      </c>
      <c r="I300" s="458">
        <v>0</v>
      </c>
      <c r="J300" s="458">
        <v>0</v>
      </c>
      <c r="K300" s="458">
        <v>0</v>
      </c>
      <c r="L300" s="458">
        <v>0</v>
      </c>
      <c r="M300" s="458">
        <v>0</v>
      </c>
      <c r="N300" s="458">
        <v>0</v>
      </c>
      <c r="O300" s="458">
        <v>0</v>
      </c>
      <c r="P300" s="458">
        <v>0</v>
      </c>
      <c r="Q300" s="458">
        <v>0</v>
      </c>
      <c r="R300" s="458">
        <v>0</v>
      </c>
      <c r="S300" s="458">
        <v>0</v>
      </c>
      <c r="T300" s="458">
        <v>0</v>
      </c>
      <c r="U300" s="458">
        <v>0</v>
      </c>
      <c r="V300" s="458">
        <v>0</v>
      </c>
      <c r="W300" s="458">
        <v>0</v>
      </c>
      <c r="X300" s="458">
        <v>0</v>
      </c>
      <c r="Y300" s="458">
        <v>0</v>
      </c>
      <c r="Z300" s="458">
        <v>0</v>
      </c>
    </row>
    <row r="301" spans="1:26" x14ac:dyDescent="0.25">
      <c r="E301" t="s">
        <v>72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 s="90">
        <v>0</v>
      </c>
      <c r="S301" s="90">
        <v>0</v>
      </c>
      <c r="T301" s="90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90">
        <v>0</v>
      </c>
    </row>
    <row r="302" spans="1:26" x14ac:dyDescent="0.25">
      <c r="E302" t="s">
        <v>81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 s="90">
        <v>0</v>
      </c>
      <c r="S302" s="90">
        <v>0</v>
      </c>
      <c r="T302" s="90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90">
        <v>0</v>
      </c>
    </row>
    <row r="303" spans="1:26" x14ac:dyDescent="0.25">
      <c r="D303" t="s">
        <v>156</v>
      </c>
      <c r="E303" t="s">
        <v>70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 s="90">
        <v>0</v>
      </c>
      <c r="S303" s="90">
        <v>0</v>
      </c>
      <c r="T303" s="90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90">
        <v>0</v>
      </c>
    </row>
    <row r="304" spans="1:26" s="286" customFormat="1" x14ac:dyDescent="0.25">
      <c r="C304" s="286" t="s">
        <v>155</v>
      </c>
      <c r="D304" s="286" t="s">
        <v>70</v>
      </c>
      <c r="F304" s="230">
        <v>0</v>
      </c>
      <c r="G304" s="230">
        <v>0</v>
      </c>
      <c r="H304" s="230">
        <v>0</v>
      </c>
      <c r="I304" s="230">
        <v>0</v>
      </c>
      <c r="J304" s="230">
        <v>0</v>
      </c>
      <c r="K304" s="230">
        <v>0</v>
      </c>
      <c r="L304" s="230">
        <v>0</v>
      </c>
      <c r="M304" s="230">
        <v>0</v>
      </c>
      <c r="N304" s="230">
        <v>0</v>
      </c>
      <c r="O304" s="230">
        <v>0</v>
      </c>
      <c r="P304" s="230">
        <v>0</v>
      </c>
      <c r="Q304" s="230">
        <v>0</v>
      </c>
      <c r="R304" s="230">
        <v>0</v>
      </c>
      <c r="S304" s="230">
        <v>0</v>
      </c>
      <c r="T304" s="230">
        <v>0</v>
      </c>
      <c r="U304" s="286">
        <v>0</v>
      </c>
      <c r="V304" s="286">
        <v>0</v>
      </c>
      <c r="W304" s="286">
        <v>0</v>
      </c>
      <c r="X304" s="286">
        <v>0</v>
      </c>
      <c r="Y304" s="286">
        <v>0</v>
      </c>
      <c r="Z304" s="230">
        <v>0</v>
      </c>
    </row>
    <row r="305" spans="2:26" x14ac:dyDescent="0.25">
      <c r="E305" t="s">
        <v>72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370.08</v>
      </c>
      <c r="R305" s="90">
        <v>-1.95</v>
      </c>
      <c r="S305" s="90">
        <v>0</v>
      </c>
      <c r="T305" s="90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90">
        <v>0</v>
      </c>
    </row>
    <row r="306" spans="2:26" x14ac:dyDescent="0.25">
      <c r="E306" t="s">
        <v>81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7.0000000000000007E-2</v>
      </c>
      <c r="R306" s="90">
        <v>0</v>
      </c>
      <c r="S306" s="90">
        <v>0</v>
      </c>
      <c r="T306" s="90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90">
        <v>0</v>
      </c>
    </row>
    <row r="307" spans="2:26" x14ac:dyDescent="0.25">
      <c r="D307" t="s">
        <v>82</v>
      </c>
      <c r="E307" t="s">
        <v>70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370.15</v>
      </c>
      <c r="R307" s="90">
        <v>-1.95</v>
      </c>
      <c r="S307" s="90">
        <v>0</v>
      </c>
      <c r="T307" s="90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90">
        <v>0</v>
      </c>
    </row>
    <row r="308" spans="2:26" x14ac:dyDescent="0.25">
      <c r="E308" t="s">
        <v>72</v>
      </c>
      <c r="F308" s="90">
        <v>0</v>
      </c>
      <c r="G308" s="90">
        <v>0</v>
      </c>
      <c r="H308" s="90">
        <v>0</v>
      </c>
      <c r="I308" s="90">
        <v>0</v>
      </c>
      <c r="J308" s="90">
        <v>0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0</v>
      </c>
      <c r="Q308" s="90">
        <v>370.08</v>
      </c>
      <c r="R308" s="90">
        <v>-1.95</v>
      </c>
      <c r="S308" s="90">
        <v>0</v>
      </c>
      <c r="T308" s="90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90">
        <v>0</v>
      </c>
    </row>
    <row r="309" spans="2:26" x14ac:dyDescent="0.25">
      <c r="E309" t="s">
        <v>81</v>
      </c>
      <c r="F309" s="90">
        <v>0</v>
      </c>
      <c r="G309" s="90">
        <v>0</v>
      </c>
      <c r="H309" s="90">
        <v>0</v>
      </c>
      <c r="I309" s="90">
        <v>0</v>
      </c>
      <c r="J309" s="90">
        <v>0</v>
      </c>
      <c r="K309" s="90">
        <v>0</v>
      </c>
      <c r="L309" s="90">
        <v>0</v>
      </c>
      <c r="M309" s="90">
        <v>0</v>
      </c>
      <c r="N309" s="90">
        <v>0</v>
      </c>
      <c r="O309" s="90">
        <v>0</v>
      </c>
      <c r="P309" s="90">
        <v>0</v>
      </c>
      <c r="Q309" s="90">
        <v>7.0000000000000007E-2</v>
      </c>
      <c r="R309" s="90">
        <v>0</v>
      </c>
      <c r="S309" s="90">
        <v>0</v>
      </c>
      <c r="T309" s="90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90">
        <v>0</v>
      </c>
    </row>
    <row r="310" spans="2:26" x14ac:dyDescent="0.25">
      <c r="D310" t="s">
        <v>86</v>
      </c>
      <c r="E310" t="s">
        <v>70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370.15</v>
      </c>
      <c r="R310" s="90">
        <v>-1.95</v>
      </c>
      <c r="S310" s="90">
        <v>0</v>
      </c>
      <c r="T310" s="9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90">
        <v>0</v>
      </c>
    </row>
    <row r="311" spans="2:26" ht="12.75" customHeight="1" x14ac:dyDescent="0.25">
      <c r="E311" s="89" t="s">
        <v>72</v>
      </c>
      <c r="F311" s="371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0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</row>
    <row r="312" spans="2:26" x14ac:dyDescent="0.25">
      <c r="E312" t="s">
        <v>81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0</v>
      </c>
      <c r="S312" s="90">
        <v>0</v>
      </c>
      <c r="T312" s="90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90">
        <v>0</v>
      </c>
    </row>
    <row r="313" spans="2:26" ht="12.75" customHeight="1" x14ac:dyDescent="0.25">
      <c r="D313" t="s">
        <v>87</v>
      </c>
      <c r="E313" s="89" t="s">
        <v>70</v>
      </c>
      <c r="F313" s="371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0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</row>
    <row r="314" spans="2:26" s="94" customFormat="1" ht="12.75" customHeight="1" x14ac:dyDescent="0.25">
      <c r="C314" s="101" t="s">
        <v>119</v>
      </c>
      <c r="D314" s="101" t="s">
        <v>70</v>
      </c>
      <c r="F314" s="93">
        <v>0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0</v>
      </c>
      <c r="X314" s="93">
        <v>0</v>
      </c>
      <c r="Y314" s="93">
        <v>0</v>
      </c>
      <c r="Z314" s="93">
        <v>0</v>
      </c>
    </row>
    <row r="315" spans="2:26" s="378" customFormat="1" ht="12.75" customHeight="1" x14ac:dyDescent="0.25">
      <c r="B315" s="378" t="s">
        <v>122</v>
      </c>
      <c r="C315" s="378" t="s">
        <v>70</v>
      </c>
      <c r="E315" s="376"/>
      <c r="F315" s="710">
        <v>0</v>
      </c>
      <c r="G315" s="377">
        <v>0</v>
      </c>
      <c r="H315" s="377">
        <v>0</v>
      </c>
      <c r="I315" s="377">
        <v>0</v>
      </c>
      <c r="J315" s="377">
        <v>0</v>
      </c>
      <c r="K315" s="377">
        <v>0</v>
      </c>
      <c r="L315" s="377">
        <v>0</v>
      </c>
      <c r="M315" s="377">
        <v>0</v>
      </c>
      <c r="N315" s="377">
        <v>0</v>
      </c>
      <c r="O315" s="377">
        <v>0</v>
      </c>
      <c r="P315" s="377">
        <v>0</v>
      </c>
      <c r="Q315" s="377">
        <v>0</v>
      </c>
      <c r="R315" s="377">
        <v>0</v>
      </c>
      <c r="S315" s="377">
        <v>0</v>
      </c>
      <c r="T315" s="378">
        <v>0</v>
      </c>
      <c r="U315" s="378">
        <v>0</v>
      </c>
      <c r="V315" s="378">
        <v>0</v>
      </c>
      <c r="W315" s="378">
        <v>0</v>
      </c>
      <c r="X315" s="378">
        <v>0</v>
      </c>
      <c r="Y315" s="378">
        <v>0</v>
      </c>
      <c r="Z315" s="378">
        <v>0</v>
      </c>
    </row>
    <row r="316" spans="2:26" ht="12.75" customHeight="1" x14ac:dyDescent="0.25">
      <c r="E316" s="89" t="s">
        <v>72</v>
      </c>
      <c r="F316" s="371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 s="90">
        <v>0</v>
      </c>
      <c r="S316" s="90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2:26" ht="12.75" customHeight="1" x14ac:dyDescent="0.25">
      <c r="E317" s="89" t="s">
        <v>81</v>
      </c>
      <c r="F317" s="371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 s="90">
        <v>0</v>
      </c>
      <c r="S317" s="90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2:26" ht="12.75" customHeight="1" x14ac:dyDescent="0.25">
      <c r="D318" t="s">
        <v>156</v>
      </c>
      <c r="E318" s="89" t="s">
        <v>70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 s="90">
        <v>0</v>
      </c>
      <c r="S318" s="90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2:26" s="286" customFormat="1" ht="12.75" customHeight="1" x14ac:dyDescent="0.25">
      <c r="C319" s="286" t="s">
        <v>155</v>
      </c>
      <c r="D319" s="286" t="s">
        <v>70</v>
      </c>
      <c r="E319" s="229"/>
      <c r="F319" s="229">
        <v>0</v>
      </c>
      <c r="G319" s="230">
        <v>0</v>
      </c>
      <c r="H319" s="230">
        <v>0</v>
      </c>
      <c r="I319" s="230">
        <v>0</v>
      </c>
      <c r="J319" s="230">
        <v>0</v>
      </c>
      <c r="K319" s="230">
        <v>0</v>
      </c>
      <c r="L319" s="230">
        <v>0</v>
      </c>
      <c r="M319" s="230">
        <v>0</v>
      </c>
      <c r="N319" s="230">
        <v>0</v>
      </c>
      <c r="O319" s="230">
        <v>0</v>
      </c>
      <c r="P319" s="230">
        <v>0</v>
      </c>
      <c r="Q319" s="230">
        <v>0</v>
      </c>
      <c r="R319" s="230">
        <v>0</v>
      </c>
      <c r="S319" s="230">
        <v>0</v>
      </c>
      <c r="T319" s="230">
        <v>0</v>
      </c>
      <c r="U319" s="230">
        <v>0</v>
      </c>
      <c r="V319" s="230">
        <v>0</v>
      </c>
      <c r="W319" s="230">
        <v>0</v>
      </c>
      <c r="X319" s="230">
        <v>0</v>
      </c>
      <c r="Y319" s="230">
        <v>0</v>
      </c>
      <c r="Z319" s="230">
        <v>0</v>
      </c>
    </row>
    <row r="320" spans="2:26" ht="12.75" customHeight="1" x14ac:dyDescent="0.25">
      <c r="E320" s="89" t="s">
        <v>72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 s="90">
        <v>0</v>
      </c>
      <c r="S320" s="9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ht="12.75" customHeight="1" x14ac:dyDescent="0.25">
      <c r="E321" s="89" t="s">
        <v>81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 s="90">
        <v>0</v>
      </c>
      <c r="S321" s="90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ht="12.75" customHeight="1" x14ac:dyDescent="0.25">
      <c r="D322" s="89" t="s">
        <v>82</v>
      </c>
      <c r="E322" s="89" t="s">
        <v>70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 s="90">
        <v>0</v>
      </c>
      <c r="S322" s="90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ht="12.75" customHeight="1" x14ac:dyDescent="0.25">
      <c r="D323" s="89"/>
      <c r="E323" s="89" t="s">
        <v>72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 s="90">
        <v>0</v>
      </c>
      <c r="S323" s="90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ht="12.75" customHeight="1" x14ac:dyDescent="0.25">
      <c r="E324" s="89" t="s">
        <v>81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 s="90">
        <v>0</v>
      </c>
      <c r="S324" s="90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ht="12.75" customHeight="1" x14ac:dyDescent="0.25">
      <c r="D325" s="89" t="s">
        <v>86</v>
      </c>
      <c r="E325" s="89" t="s">
        <v>70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 s="90">
        <v>0</v>
      </c>
      <c r="S325" s="90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ht="12.75" customHeight="1" x14ac:dyDescent="0.25">
      <c r="E326" s="89" t="s">
        <v>72</v>
      </c>
      <c r="F326" s="90">
        <v>0</v>
      </c>
      <c r="G326" s="90">
        <v>0</v>
      </c>
      <c r="H326" s="90">
        <v>0</v>
      </c>
      <c r="I326" s="90">
        <v>0</v>
      </c>
      <c r="J326" s="90">
        <v>0</v>
      </c>
      <c r="K326" s="90">
        <v>0</v>
      </c>
      <c r="L326" s="90">
        <v>0</v>
      </c>
      <c r="M326" s="90">
        <v>0</v>
      </c>
      <c r="N326" s="90">
        <v>0</v>
      </c>
      <c r="O326" s="90">
        <v>0</v>
      </c>
      <c r="P326" s="90">
        <v>0</v>
      </c>
      <c r="Q326" s="90">
        <v>0</v>
      </c>
      <c r="R326" s="90">
        <v>0</v>
      </c>
      <c r="S326" s="90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ht="12.75" customHeight="1" x14ac:dyDescent="0.25">
      <c r="E327" s="89" t="s">
        <v>81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 s="90">
        <v>0</v>
      </c>
      <c r="S327" s="90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ht="12.75" customHeight="1" x14ac:dyDescent="0.25">
      <c r="D328" s="89" t="s">
        <v>87</v>
      </c>
      <c r="E328" s="89" t="s">
        <v>70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 s="90">
        <v>0</v>
      </c>
      <c r="S328" s="90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s="94" customFormat="1" ht="12.75" customHeight="1" x14ac:dyDescent="0.25">
      <c r="C329" s="101" t="s">
        <v>119</v>
      </c>
      <c r="D329" s="101" t="s">
        <v>70</v>
      </c>
      <c r="F329" s="93">
        <v>0</v>
      </c>
      <c r="G329" s="93">
        <v>0</v>
      </c>
      <c r="H329" s="93">
        <v>0</v>
      </c>
      <c r="I329" s="93">
        <v>0</v>
      </c>
      <c r="J329" s="93">
        <v>0</v>
      </c>
      <c r="K329" s="93">
        <v>0</v>
      </c>
      <c r="L329" s="93">
        <v>0</v>
      </c>
      <c r="M329" s="93">
        <v>0</v>
      </c>
      <c r="N329" s="93">
        <v>0</v>
      </c>
      <c r="O329" s="93">
        <v>0</v>
      </c>
      <c r="P329" s="93">
        <v>0</v>
      </c>
      <c r="Q329" s="93">
        <v>0</v>
      </c>
      <c r="R329" s="93">
        <v>0</v>
      </c>
      <c r="S329" s="93">
        <v>0</v>
      </c>
      <c r="T329" s="94">
        <v>0</v>
      </c>
      <c r="U329" s="94">
        <v>0</v>
      </c>
      <c r="V329" s="94">
        <v>0</v>
      </c>
      <c r="W329" s="94">
        <v>0</v>
      </c>
      <c r="X329" s="94">
        <v>0</v>
      </c>
      <c r="Y329" s="94">
        <v>0</v>
      </c>
      <c r="Z329" s="94">
        <v>0</v>
      </c>
    </row>
    <row r="330" spans="1:26" s="226" customFormat="1" ht="12.75" customHeight="1" x14ac:dyDescent="0.25">
      <c r="B330" s="98" t="s">
        <v>112</v>
      </c>
      <c r="C330" s="98" t="s">
        <v>70</v>
      </c>
      <c r="F330" s="100">
        <v>0</v>
      </c>
      <c r="G330" s="100">
        <v>0</v>
      </c>
      <c r="H330" s="100">
        <v>0</v>
      </c>
      <c r="I330" s="100">
        <v>0</v>
      </c>
      <c r="J330" s="100">
        <v>0</v>
      </c>
      <c r="K330" s="100">
        <v>0</v>
      </c>
      <c r="L330" s="100">
        <v>0</v>
      </c>
      <c r="M330" s="100">
        <v>0</v>
      </c>
      <c r="N330" s="100">
        <v>0</v>
      </c>
      <c r="O330" s="100">
        <v>0</v>
      </c>
      <c r="P330" s="100">
        <v>0</v>
      </c>
      <c r="Q330" s="100">
        <v>0</v>
      </c>
      <c r="R330" s="100">
        <v>0</v>
      </c>
      <c r="S330" s="100">
        <v>0</v>
      </c>
      <c r="T330" s="226">
        <v>0</v>
      </c>
      <c r="U330" s="226">
        <v>0</v>
      </c>
      <c r="V330" s="226">
        <v>0</v>
      </c>
      <c r="W330" s="226">
        <v>0</v>
      </c>
      <c r="X330" s="226">
        <v>0</v>
      </c>
      <c r="Y330" s="226">
        <v>0</v>
      </c>
      <c r="Z330" s="226">
        <v>0</v>
      </c>
    </row>
    <row r="331" spans="1:26" ht="12.75" customHeight="1" x14ac:dyDescent="0.25">
      <c r="A331" s="89" t="s">
        <v>78</v>
      </c>
      <c r="B331" s="89" t="s">
        <v>70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 s="90">
        <v>0</v>
      </c>
      <c r="S331" s="90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E332" t="s">
        <v>73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 s="90">
        <v>0</v>
      </c>
      <c r="S332" s="90">
        <v>0</v>
      </c>
      <c r="T332" s="90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90">
        <v>0</v>
      </c>
    </row>
    <row r="333" spans="1:26" x14ac:dyDescent="0.25">
      <c r="D333" t="s">
        <v>156</v>
      </c>
      <c r="E333" t="s">
        <v>70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 s="90">
        <v>0</v>
      </c>
      <c r="S333" s="90">
        <v>0</v>
      </c>
      <c r="T333" s="90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90">
        <v>0</v>
      </c>
    </row>
    <row r="334" spans="1:26" s="286" customFormat="1" ht="12.75" customHeight="1" x14ac:dyDescent="0.25">
      <c r="C334" s="286" t="s">
        <v>155</v>
      </c>
      <c r="D334" s="286" t="s">
        <v>70</v>
      </c>
      <c r="E334" s="229"/>
      <c r="F334" s="229">
        <v>0</v>
      </c>
      <c r="G334" s="230">
        <v>0</v>
      </c>
      <c r="H334" s="230">
        <v>0</v>
      </c>
      <c r="I334" s="230">
        <v>0</v>
      </c>
      <c r="J334" s="230">
        <v>0</v>
      </c>
      <c r="K334" s="230">
        <v>0</v>
      </c>
      <c r="L334" s="230">
        <v>0</v>
      </c>
      <c r="M334" s="230">
        <v>0</v>
      </c>
      <c r="N334" s="230">
        <v>0</v>
      </c>
      <c r="O334" s="230">
        <v>0</v>
      </c>
      <c r="P334" s="230">
        <v>0</v>
      </c>
      <c r="Q334" s="230">
        <v>0</v>
      </c>
      <c r="R334" s="230">
        <v>0</v>
      </c>
      <c r="S334" s="230">
        <v>0</v>
      </c>
      <c r="T334" s="230">
        <v>0</v>
      </c>
      <c r="U334" s="230">
        <v>0</v>
      </c>
      <c r="V334" s="230">
        <v>0</v>
      </c>
      <c r="W334" s="230">
        <v>0</v>
      </c>
      <c r="X334" s="230">
        <v>0</v>
      </c>
      <c r="Y334" s="230">
        <v>0</v>
      </c>
      <c r="Z334" s="230">
        <v>0</v>
      </c>
    </row>
    <row r="335" spans="1:26" x14ac:dyDescent="0.25">
      <c r="E335" t="s">
        <v>73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0</v>
      </c>
      <c r="S335" s="90">
        <v>0</v>
      </c>
      <c r="T335" s="90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90">
        <v>0</v>
      </c>
    </row>
    <row r="336" spans="1:26" x14ac:dyDescent="0.25">
      <c r="D336" t="s">
        <v>82</v>
      </c>
      <c r="E336" t="s">
        <v>70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 s="90">
        <v>0</v>
      </c>
      <c r="S336" s="90">
        <v>0</v>
      </c>
      <c r="T336" s="90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90">
        <v>0</v>
      </c>
    </row>
    <row r="337" spans="2:26" x14ac:dyDescent="0.25">
      <c r="E337" t="s">
        <v>73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0</v>
      </c>
      <c r="S337" s="90">
        <v>0</v>
      </c>
      <c r="T337" s="90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90">
        <v>0</v>
      </c>
    </row>
    <row r="338" spans="2:26" x14ac:dyDescent="0.25">
      <c r="D338" t="s">
        <v>86</v>
      </c>
      <c r="E338" t="s">
        <v>70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0</v>
      </c>
      <c r="S338" s="90">
        <v>0</v>
      </c>
      <c r="T338" s="90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90">
        <v>0</v>
      </c>
    </row>
    <row r="339" spans="2:26" x14ac:dyDescent="0.25">
      <c r="E339" t="s">
        <v>73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0</v>
      </c>
      <c r="S339" s="90">
        <v>0</v>
      </c>
      <c r="T339" s="90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90">
        <v>0</v>
      </c>
    </row>
    <row r="340" spans="2:26" x14ac:dyDescent="0.25">
      <c r="D340" t="s">
        <v>87</v>
      </c>
      <c r="E340" t="s">
        <v>70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0</v>
      </c>
      <c r="S340" s="90">
        <v>0</v>
      </c>
      <c r="T340" s="9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90">
        <v>0</v>
      </c>
    </row>
    <row r="341" spans="2:26" s="94" customFormat="1" ht="12.75" customHeight="1" x14ac:dyDescent="0.25">
      <c r="C341" s="101" t="s">
        <v>119</v>
      </c>
      <c r="D341" s="101" t="s">
        <v>70</v>
      </c>
      <c r="F341" s="93">
        <v>0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3">
        <v>0</v>
      </c>
      <c r="U341" s="93">
        <v>0</v>
      </c>
      <c r="V341" s="93">
        <v>0</v>
      </c>
      <c r="W341" s="93">
        <v>0</v>
      </c>
      <c r="X341" s="93">
        <v>0</v>
      </c>
      <c r="Y341" s="93">
        <v>0</v>
      </c>
      <c r="Z341" s="93">
        <v>0</v>
      </c>
    </row>
    <row r="342" spans="2:26" s="378" customFormat="1" ht="12.6" customHeight="1" x14ac:dyDescent="0.25">
      <c r="B342" s="378" t="s">
        <v>122</v>
      </c>
      <c r="C342" s="378" t="s">
        <v>70</v>
      </c>
      <c r="E342" s="376"/>
      <c r="F342" s="710">
        <v>0</v>
      </c>
      <c r="G342" s="377">
        <v>0</v>
      </c>
      <c r="H342" s="377">
        <v>0</v>
      </c>
      <c r="I342" s="377">
        <v>0</v>
      </c>
      <c r="J342" s="377">
        <v>0</v>
      </c>
      <c r="K342" s="377">
        <v>0</v>
      </c>
      <c r="L342" s="377">
        <v>0</v>
      </c>
      <c r="M342" s="377">
        <v>0</v>
      </c>
      <c r="N342" s="377">
        <v>0</v>
      </c>
      <c r="O342" s="377">
        <v>0</v>
      </c>
      <c r="P342" s="377">
        <v>0</v>
      </c>
      <c r="Q342" s="377">
        <v>0</v>
      </c>
      <c r="R342" s="377">
        <v>0</v>
      </c>
      <c r="S342" s="377">
        <v>0</v>
      </c>
      <c r="T342" s="378">
        <v>0</v>
      </c>
      <c r="U342" s="378">
        <v>0</v>
      </c>
      <c r="V342" s="378">
        <v>0</v>
      </c>
      <c r="W342" s="378">
        <v>0</v>
      </c>
      <c r="X342" s="378">
        <v>0</v>
      </c>
      <c r="Y342" s="378">
        <v>0</v>
      </c>
      <c r="Z342" s="378">
        <v>0</v>
      </c>
    </row>
    <row r="343" spans="2:26" ht="12.6" customHeight="1" x14ac:dyDescent="0.25">
      <c r="E343" s="89" t="s">
        <v>73</v>
      </c>
      <c r="F343" s="371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 s="90">
        <v>0</v>
      </c>
      <c r="S343" s="90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ht="12.75" customHeight="1" x14ac:dyDescent="0.25">
      <c r="D344" t="s">
        <v>156</v>
      </c>
      <c r="E344" s="89" t="s">
        <v>70</v>
      </c>
      <c r="F344" s="371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 s="90">
        <v>0</v>
      </c>
      <c r="S344" s="90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2:26" s="286" customFormat="1" ht="12.75" customHeight="1" x14ac:dyDescent="0.25">
      <c r="C345" s="286" t="s">
        <v>155</v>
      </c>
      <c r="D345" s="286" t="s">
        <v>70</v>
      </c>
      <c r="E345" s="229"/>
      <c r="F345" s="229">
        <v>0</v>
      </c>
      <c r="G345" s="230">
        <v>0</v>
      </c>
      <c r="H345" s="230">
        <v>0</v>
      </c>
      <c r="I345" s="230">
        <v>0</v>
      </c>
      <c r="J345" s="230">
        <v>0</v>
      </c>
      <c r="K345" s="230">
        <v>0</v>
      </c>
      <c r="L345" s="230">
        <v>0</v>
      </c>
      <c r="M345" s="230">
        <v>0</v>
      </c>
      <c r="N345" s="230">
        <v>0</v>
      </c>
      <c r="O345" s="230">
        <v>0</v>
      </c>
      <c r="P345" s="230">
        <v>0</v>
      </c>
      <c r="Q345" s="230">
        <v>0</v>
      </c>
      <c r="R345" s="230">
        <v>0</v>
      </c>
      <c r="S345" s="230">
        <v>0</v>
      </c>
      <c r="T345" s="230">
        <v>0</v>
      </c>
      <c r="U345" s="230">
        <v>0</v>
      </c>
      <c r="V345" s="230">
        <v>0</v>
      </c>
      <c r="W345" s="230">
        <v>0</v>
      </c>
      <c r="X345" s="230">
        <v>0</v>
      </c>
      <c r="Y345" s="230">
        <v>0</v>
      </c>
      <c r="Z345" s="230">
        <v>0</v>
      </c>
    </row>
    <row r="346" spans="2:26" ht="12.75" customHeight="1" x14ac:dyDescent="0.25">
      <c r="D346" s="89"/>
      <c r="E346" s="89" t="s">
        <v>73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 s="90">
        <v>0</v>
      </c>
      <c r="S346" s="90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2:26" ht="12.75" customHeight="1" x14ac:dyDescent="0.25">
      <c r="D347" t="s">
        <v>82</v>
      </c>
      <c r="E347" s="89" t="s">
        <v>70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 s="90">
        <v>0</v>
      </c>
      <c r="S347" s="90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2:26" ht="12.75" customHeight="1" x14ac:dyDescent="0.25">
      <c r="D348" s="89"/>
      <c r="E348" s="89" t="s">
        <v>73</v>
      </c>
      <c r="F348" s="90">
        <v>0</v>
      </c>
      <c r="G348" s="90">
        <v>0</v>
      </c>
      <c r="H348" s="90">
        <v>0</v>
      </c>
      <c r="I348" s="90">
        <v>0</v>
      </c>
      <c r="J348" s="90">
        <v>0</v>
      </c>
      <c r="K348" s="90">
        <v>0</v>
      </c>
      <c r="L348" s="90">
        <v>0</v>
      </c>
      <c r="M348" s="90">
        <v>0</v>
      </c>
      <c r="N348" s="90">
        <v>0</v>
      </c>
      <c r="O348" s="90">
        <v>0</v>
      </c>
      <c r="P348" s="90">
        <v>0</v>
      </c>
      <c r="Q348" s="90">
        <v>0</v>
      </c>
      <c r="R348" s="90">
        <v>0</v>
      </c>
      <c r="S348" s="90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2:26" ht="12.75" customHeight="1" x14ac:dyDescent="0.25">
      <c r="D349" t="s">
        <v>86</v>
      </c>
      <c r="E349" s="89" t="s">
        <v>70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 s="90">
        <v>0</v>
      </c>
      <c r="S349" s="90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2:26" ht="12.75" customHeight="1" x14ac:dyDescent="0.25">
      <c r="D350" s="89"/>
      <c r="E350" s="89" t="s">
        <v>73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 s="90">
        <v>0</v>
      </c>
      <c r="S350" s="9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ht="12.75" customHeight="1" x14ac:dyDescent="0.25">
      <c r="C351" s="89"/>
      <c r="D351" s="89" t="s">
        <v>87</v>
      </c>
      <c r="E351" t="s">
        <v>70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 s="90">
        <v>0</v>
      </c>
      <c r="S351" s="9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2:26" s="94" customFormat="1" ht="12.75" customHeight="1" x14ac:dyDescent="0.25">
      <c r="C352" s="101" t="s">
        <v>119</v>
      </c>
      <c r="D352" s="101" t="s">
        <v>70</v>
      </c>
      <c r="F352" s="93">
        <v>0</v>
      </c>
      <c r="G352" s="93">
        <v>0</v>
      </c>
      <c r="H352" s="93">
        <v>0</v>
      </c>
      <c r="I352" s="93">
        <v>0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4">
        <v>0</v>
      </c>
      <c r="U352" s="94">
        <v>0</v>
      </c>
      <c r="V352" s="94">
        <v>0</v>
      </c>
      <c r="W352" s="94">
        <v>0</v>
      </c>
      <c r="X352" s="94">
        <v>0</v>
      </c>
      <c r="Y352" s="94">
        <v>0</v>
      </c>
      <c r="Z352" s="94">
        <v>0</v>
      </c>
    </row>
    <row r="353" spans="1:26" s="226" customFormat="1" ht="12.75" customHeight="1" x14ac:dyDescent="0.25">
      <c r="A353" s="98"/>
      <c r="B353" s="98" t="s">
        <v>112</v>
      </c>
      <c r="C353" s="226" t="s">
        <v>70</v>
      </c>
      <c r="F353" s="100">
        <v>0</v>
      </c>
      <c r="G353" s="100">
        <v>0</v>
      </c>
      <c r="H353" s="100">
        <v>0</v>
      </c>
      <c r="I353" s="100">
        <v>0</v>
      </c>
      <c r="J353" s="100">
        <v>0</v>
      </c>
      <c r="K353" s="100">
        <v>0</v>
      </c>
      <c r="L353" s="100">
        <v>0</v>
      </c>
      <c r="M353" s="100">
        <v>0</v>
      </c>
      <c r="N353" s="100">
        <v>0</v>
      </c>
      <c r="O353" s="100">
        <v>0</v>
      </c>
      <c r="P353" s="100">
        <v>0</v>
      </c>
      <c r="Q353" s="100">
        <v>0</v>
      </c>
      <c r="R353" s="100">
        <v>0</v>
      </c>
      <c r="S353" s="100">
        <v>0</v>
      </c>
      <c r="T353" s="226">
        <v>0</v>
      </c>
      <c r="U353" s="226">
        <v>0</v>
      </c>
      <c r="V353" s="226">
        <v>0</v>
      </c>
      <c r="W353" s="226">
        <v>0</v>
      </c>
      <c r="X353" s="226">
        <v>0</v>
      </c>
      <c r="Y353" s="226">
        <v>0</v>
      </c>
      <c r="Z353" s="226">
        <v>0</v>
      </c>
    </row>
    <row r="354" spans="1:26" ht="12.75" customHeight="1" x14ac:dyDescent="0.25">
      <c r="A354" s="89" t="s">
        <v>79</v>
      </c>
      <c r="B354" t="s">
        <v>70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ht="12.75" customHeight="1" x14ac:dyDescent="0.25">
      <c r="A355" t="s">
        <v>70</v>
      </c>
      <c r="E355" s="89"/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 s="90">
        <v>0</v>
      </c>
      <c r="S355" s="90">
        <v>0</v>
      </c>
      <c r="T355" s="150">
        <v>0</v>
      </c>
      <c r="U355" s="150">
        <v>0</v>
      </c>
      <c r="V355" s="150">
        <v>0</v>
      </c>
      <c r="W355" s="150">
        <v>0</v>
      </c>
      <c r="X355">
        <v>0</v>
      </c>
      <c r="Y355">
        <v>0</v>
      </c>
      <c r="Z355">
        <v>0</v>
      </c>
    </row>
    <row r="356" spans="1:26" ht="12.75" hidden="1" customHeight="1" x14ac:dyDescent="0.25">
      <c r="A356" s="89"/>
      <c r="B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 spans="1:26" ht="12.75" hidden="1" customHeight="1" x14ac:dyDescent="0.25">
      <c r="E357" s="89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spans="1:26" ht="12.75" hidden="1" customHeight="1" x14ac:dyDescent="0.25">
      <c r="D358" s="89"/>
      <c r="E358" s="89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spans="1:26" ht="12.75" hidden="1" customHeight="1" x14ac:dyDescent="0.25">
      <c r="D359" s="89"/>
      <c r="E359" s="89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spans="1:26" ht="12.75" hidden="1" customHeight="1" x14ac:dyDescent="0.25">
      <c r="E360" s="89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spans="1:26" ht="12.75" hidden="1" customHeight="1" x14ac:dyDescent="0.25">
      <c r="D361" s="89"/>
      <c r="E361" s="89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 spans="1:26" ht="12.75" hidden="1" customHeight="1" x14ac:dyDescent="0.25">
      <c r="E362" s="89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spans="1:26" ht="12.75" hidden="1" customHeight="1" x14ac:dyDescent="0.25">
      <c r="D363" s="89"/>
      <c r="E363" s="89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spans="1:26" ht="12.75" hidden="1" customHeight="1" x14ac:dyDescent="0.25">
      <c r="E364" s="89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spans="1:26" ht="12.75" hidden="1" customHeight="1" x14ac:dyDescent="0.25">
      <c r="D365" s="89"/>
      <c r="E365" s="89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spans="1:26" ht="12.75" hidden="1" customHeight="1" x14ac:dyDescent="0.25">
      <c r="C366" s="89"/>
      <c r="D366" s="89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 spans="1:26" ht="12.75" hidden="1" customHeight="1" x14ac:dyDescent="0.25">
      <c r="E367" s="89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spans="1:26" ht="12.75" hidden="1" customHeight="1" x14ac:dyDescent="0.25">
      <c r="D368" s="89"/>
      <c r="E368" s="89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 spans="1:23" ht="12.75" hidden="1" customHeight="1" x14ac:dyDescent="0.25">
      <c r="E369" s="89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spans="1:23" ht="12.75" hidden="1" customHeight="1" x14ac:dyDescent="0.25">
      <c r="D370" s="89"/>
      <c r="E370" s="89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 spans="1:23" ht="12.75" hidden="1" customHeight="1" x14ac:dyDescent="0.25">
      <c r="C371" s="89"/>
      <c r="D371" s="89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 spans="1:23" ht="12.75" hidden="1" customHeight="1" x14ac:dyDescent="0.25">
      <c r="B372" s="89"/>
      <c r="C372" s="89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spans="1:23" ht="12.75" hidden="1" customHeight="1" x14ac:dyDescent="0.25">
      <c r="A373" s="89"/>
      <c r="B373" s="89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spans="1:23" ht="12.75" hidden="1" customHeight="1" x14ac:dyDescent="0.25">
      <c r="A374" s="89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 spans="1:23" ht="12.75" hidden="1" customHeight="1" x14ac:dyDescent="0.25">
      <c r="A375" s="89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 spans="1:23" ht="12.75" hidden="1" customHeight="1" x14ac:dyDescent="0.25">
      <c r="A376" s="89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 spans="1:23" ht="12.75" hidden="1" customHeight="1" x14ac:dyDescent="0.25">
      <c r="A377" s="89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 spans="1:23" ht="12.75" hidden="1" customHeight="1" x14ac:dyDescent="0.25">
      <c r="A378" s="89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 spans="1:23" ht="12.75" hidden="1" customHeight="1" x14ac:dyDescent="0.25">
      <c r="A379" s="89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150"/>
      <c r="U379" s="150"/>
      <c r="V379" s="150"/>
      <c r="W379" s="150"/>
    </row>
    <row r="380" spans="1:23" ht="12.75" hidden="1" customHeight="1" x14ac:dyDescent="0.25">
      <c r="A380" s="89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150"/>
      <c r="U380" s="150"/>
      <c r="V380" s="150"/>
      <c r="W380" s="150"/>
    </row>
    <row r="381" spans="1:23" ht="12.75" hidden="1" customHeight="1" x14ac:dyDescent="0.25">
      <c r="A381" s="89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150"/>
      <c r="U381" s="150"/>
      <c r="V381" s="150"/>
      <c r="W381" s="150"/>
    </row>
    <row r="382" spans="1:23" ht="12.75" hidden="1" customHeight="1" x14ac:dyDescent="0.25">
      <c r="A382" s="89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150"/>
      <c r="U382" s="150"/>
      <c r="V382" s="150"/>
      <c r="W382" s="150"/>
    </row>
    <row r="383" spans="1:23" ht="12.75" hidden="1" customHeight="1" x14ac:dyDescent="0.25">
      <c r="A383" s="89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150"/>
      <c r="U383" s="150"/>
      <c r="V383" s="150"/>
      <c r="W383" s="150"/>
    </row>
    <row r="384" spans="1:23" ht="12.75" hidden="1" customHeight="1" x14ac:dyDescent="0.25">
      <c r="A384" s="89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150"/>
      <c r="U384" s="150"/>
      <c r="V384" s="150"/>
      <c r="W384" s="150"/>
    </row>
    <row r="385" spans="1:23" ht="12.75" hidden="1" customHeight="1" x14ac:dyDescent="0.25">
      <c r="A385" s="89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150"/>
      <c r="U385" s="150"/>
      <c r="V385" s="150"/>
      <c r="W385" s="150"/>
    </row>
    <row r="386" spans="1:23" ht="12.75" hidden="1" customHeight="1" x14ac:dyDescent="0.25">
      <c r="A386" s="89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150"/>
      <c r="U386" s="150"/>
      <c r="V386" s="150"/>
      <c r="W386" s="150"/>
    </row>
    <row r="387" spans="1:23" ht="12.75" hidden="1" customHeight="1" x14ac:dyDescent="0.25">
      <c r="A387" s="89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150"/>
      <c r="U387" s="150"/>
      <c r="V387" s="150"/>
      <c r="W387" s="150"/>
    </row>
    <row r="388" spans="1:23" ht="12.75" hidden="1" customHeight="1" x14ac:dyDescent="0.25">
      <c r="A388" s="89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150"/>
      <c r="U388" s="150"/>
      <c r="V388" s="150"/>
      <c r="W388" s="150"/>
    </row>
    <row r="389" spans="1:23" ht="12.75" hidden="1" customHeight="1" x14ac:dyDescent="0.25">
      <c r="A389" s="89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150"/>
      <c r="U389" s="150"/>
      <c r="V389" s="150"/>
      <c r="W389" s="150"/>
    </row>
    <row r="390" spans="1:23" ht="12.75" hidden="1" customHeight="1" x14ac:dyDescent="0.25">
      <c r="A390" s="89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150"/>
      <c r="U390" s="150"/>
      <c r="V390" s="150"/>
      <c r="W390" s="150"/>
    </row>
    <row r="391" spans="1:23" ht="12.75" hidden="1" customHeight="1" x14ac:dyDescent="0.25">
      <c r="A391" s="89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150"/>
      <c r="U391" s="150"/>
      <c r="V391" s="150"/>
      <c r="W391" s="150"/>
    </row>
    <row r="392" spans="1:23" ht="12.75" hidden="1" customHeight="1" x14ac:dyDescent="0.25">
      <c r="A392" s="89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150"/>
      <c r="U392" s="150"/>
      <c r="V392" s="150"/>
      <c r="W392" s="150"/>
    </row>
    <row r="393" spans="1:23" ht="12.75" hidden="1" customHeight="1" x14ac:dyDescent="0.25">
      <c r="A393" s="89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150"/>
      <c r="U393" s="150"/>
      <c r="V393" s="150"/>
      <c r="W393" s="150"/>
    </row>
    <row r="394" spans="1:23" ht="12.75" hidden="1" customHeight="1" x14ac:dyDescent="0.25">
      <c r="A394" s="89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150"/>
      <c r="U394" s="150"/>
      <c r="V394" s="150"/>
      <c r="W394" s="150"/>
    </row>
    <row r="395" spans="1:23" ht="12.75" hidden="1" customHeight="1" x14ac:dyDescent="0.25">
      <c r="A395" s="89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150"/>
      <c r="U395" s="150"/>
      <c r="V395" s="150"/>
      <c r="W395" s="150"/>
    </row>
    <row r="396" spans="1:23" ht="12.75" hidden="1" customHeight="1" x14ac:dyDescent="0.25">
      <c r="A396" s="89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150"/>
      <c r="U396" s="150"/>
      <c r="V396" s="150"/>
      <c r="W396" s="150"/>
    </row>
    <row r="397" spans="1:23" ht="12.75" hidden="1" customHeight="1" x14ac:dyDescent="0.25">
      <c r="A397" s="89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150"/>
      <c r="U397" s="150"/>
      <c r="V397" s="150"/>
      <c r="W397" s="150"/>
    </row>
    <row r="398" spans="1:23" ht="12.75" hidden="1" customHeight="1" x14ac:dyDescent="0.25">
      <c r="A398" s="89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150"/>
      <c r="U398" s="150"/>
      <c r="V398" s="150"/>
      <c r="W398" s="150"/>
    </row>
    <row r="399" spans="1:23" ht="12.75" hidden="1" customHeight="1" x14ac:dyDescent="0.25">
      <c r="A399" s="89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150"/>
      <c r="U399" s="150"/>
      <c r="V399" s="150"/>
      <c r="W399" s="150"/>
    </row>
    <row r="400" spans="1:23" ht="12.75" hidden="1" customHeight="1" x14ac:dyDescent="0.25">
      <c r="A400" s="89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150"/>
      <c r="U400" s="150"/>
      <c r="V400" s="150"/>
      <c r="W400" s="150"/>
    </row>
    <row r="401" spans="1:41" ht="12.75" hidden="1" customHeight="1" x14ac:dyDescent="0.25">
      <c r="A401" s="89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150"/>
      <c r="U401" s="150"/>
      <c r="V401" s="150"/>
      <c r="W401" s="150"/>
    </row>
    <row r="402" spans="1:41" ht="12.75" hidden="1" customHeight="1" x14ac:dyDescent="0.25">
      <c r="A402" s="89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150"/>
      <c r="U402" s="150"/>
      <c r="V402" s="150"/>
      <c r="W402" s="150"/>
    </row>
    <row r="403" spans="1:41" ht="12.75" hidden="1" customHeight="1" x14ac:dyDescent="0.25">
      <c r="A403" s="89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150"/>
      <c r="U403" s="150"/>
      <c r="V403" s="150"/>
      <c r="W403" s="150"/>
    </row>
    <row r="404" spans="1:41" ht="12.75" hidden="1" customHeight="1" x14ac:dyDescent="0.25">
      <c r="A404" s="89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150"/>
      <c r="U404" s="150"/>
      <c r="V404" s="150"/>
      <c r="W404" s="150"/>
    </row>
    <row r="405" spans="1:41" ht="12.75" hidden="1" customHeight="1" x14ac:dyDescent="0.25">
      <c r="A405" s="89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150"/>
      <c r="U405" s="150"/>
      <c r="V405" s="150"/>
      <c r="W405" s="150"/>
    </row>
    <row r="406" spans="1:41" ht="12.75" hidden="1" customHeight="1" x14ac:dyDescent="0.25">
      <c r="A406" s="89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150"/>
      <c r="U406" s="150"/>
      <c r="V406" s="150"/>
      <c r="W406" s="150"/>
    </row>
    <row r="407" spans="1:41" ht="12.75" hidden="1" customHeight="1" x14ac:dyDescent="0.25">
      <c r="A407" s="89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150"/>
      <c r="U407" s="150"/>
      <c r="V407" s="150"/>
      <c r="W407" s="150"/>
    </row>
    <row r="408" spans="1:41" ht="12.75" hidden="1" customHeight="1" x14ac:dyDescent="0.25">
      <c r="A408" s="89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150"/>
      <c r="U408" s="150"/>
      <c r="V408" s="150"/>
      <c r="W408" s="150"/>
    </row>
    <row r="409" spans="1:41" ht="12.75" hidden="1" customHeight="1" x14ac:dyDescent="0.25">
      <c r="A409" s="89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150"/>
      <c r="U409" s="150"/>
      <c r="V409" s="150"/>
      <c r="W409" s="150"/>
    </row>
    <row r="410" spans="1:41" ht="12.75" hidden="1" customHeight="1" x14ac:dyDescent="0.25">
      <c r="A410" s="89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150"/>
      <c r="U410" s="150"/>
      <c r="V410" s="150"/>
      <c r="W410" s="150"/>
    </row>
    <row r="411" spans="1:41" ht="12.75" hidden="1" customHeight="1" x14ac:dyDescent="0.25">
      <c r="A411" s="89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150"/>
      <c r="U411" s="150"/>
      <c r="V411" s="150"/>
      <c r="W411" s="150"/>
    </row>
    <row r="412" spans="1:41" ht="12.75" hidden="1" customHeight="1" x14ac:dyDescent="0.25">
      <c r="A412" s="89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150"/>
      <c r="U412" s="150"/>
      <c r="V412" s="150"/>
      <c r="W412" s="150"/>
    </row>
    <row r="413" spans="1:41" ht="12.75" customHeight="1" x14ac:dyDescent="0.25">
      <c r="A413" s="89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150"/>
      <c r="U413" s="150"/>
      <c r="V413" s="150"/>
      <c r="W413" s="150"/>
    </row>
    <row r="414" spans="1:41" ht="12.75" customHeight="1" x14ac:dyDescent="0.25">
      <c r="A414" s="89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150"/>
      <c r="U414" s="150"/>
      <c r="V414" s="150"/>
      <c r="W414" s="150"/>
    </row>
    <row r="415" spans="1:41" ht="12.75" customHeight="1" x14ac:dyDescent="0.25">
      <c r="C415" s="777" t="s">
        <v>2</v>
      </c>
      <c r="D415" s="775" t="s">
        <v>132</v>
      </c>
      <c r="E415" s="98" t="s">
        <v>70</v>
      </c>
      <c r="F415" s="100">
        <f>F330+F353+F299-L299-L330</f>
        <v>0</v>
      </c>
      <c r="G415" s="100">
        <f t="shared" ref="G415:AO415" si="16">G330+G299</f>
        <v>0</v>
      </c>
      <c r="H415" s="100">
        <f t="shared" si="16"/>
        <v>0</v>
      </c>
      <c r="I415" s="100">
        <f t="shared" si="16"/>
        <v>0</v>
      </c>
      <c r="J415" s="100">
        <f t="shared" si="16"/>
        <v>0</v>
      </c>
      <c r="K415" s="100">
        <f t="shared" si="16"/>
        <v>0</v>
      </c>
      <c r="L415" s="100">
        <f t="shared" si="16"/>
        <v>0</v>
      </c>
      <c r="M415" s="100">
        <f t="shared" si="16"/>
        <v>0</v>
      </c>
      <c r="N415" s="100">
        <f t="shared" si="16"/>
        <v>0</v>
      </c>
      <c r="O415" s="100">
        <f t="shared" si="16"/>
        <v>0</v>
      </c>
      <c r="P415" s="100">
        <f t="shared" si="16"/>
        <v>0</v>
      </c>
      <c r="Q415" s="100">
        <f t="shared" si="16"/>
        <v>0</v>
      </c>
      <c r="R415" s="100">
        <f t="shared" si="16"/>
        <v>0</v>
      </c>
      <c r="S415" s="100">
        <f t="shared" si="16"/>
        <v>0</v>
      </c>
      <c r="T415" s="100">
        <f t="shared" si="16"/>
        <v>0</v>
      </c>
      <c r="U415" s="100">
        <f t="shared" si="16"/>
        <v>0</v>
      </c>
      <c r="V415" s="100">
        <f t="shared" si="16"/>
        <v>0</v>
      </c>
      <c r="W415" s="100">
        <f t="shared" si="16"/>
        <v>0</v>
      </c>
      <c r="X415" s="100">
        <f t="shared" si="16"/>
        <v>0</v>
      </c>
      <c r="Y415" s="100">
        <f t="shared" si="16"/>
        <v>0</v>
      </c>
      <c r="Z415" s="100">
        <f t="shared" si="16"/>
        <v>0</v>
      </c>
      <c r="AA415" s="100">
        <f t="shared" si="16"/>
        <v>0</v>
      </c>
      <c r="AB415" s="100">
        <f t="shared" si="16"/>
        <v>0</v>
      </c>
      <c r="AC415" s="100">
        <f t="shared" si="16"/>
        <v>0</v>
      </c>
      <c r="AD415" s="100">
        <f t="shared" si="16"/>
        <v>0</v>
      </c>
      <c r="AE415" s="100">
        <f t="shared" si="16"/>
        <v>0</v>
      </c>
      <c r="AF415" s="100">
        <f t="shared" si="16"/>
        <v>0</v>
      </c>
      <c r="AG415" s="100">
        <f t="shared" si="16"/>
        <v>0</v>
      </c>
      <c r="AH415" s="100">
        <f t="shared" si="16"/>
        <v>0</v>
      </c>
      <c r="AI415" s="100">
        <f t="shared" si="16"/>
        <v>0</v>
      </c>
      <c r="AJ415" s="100">
        <f t="shared" si="16"/>
        <v>0</v>
      </c>
      <c r="AK415" s="100">
        <f t="shared" si="16"/>
        <v>0</v>
      </c>
      <c r="AL415" s="100">
        <f t="shared" si="16"/>
        <v>0</v>
      </c>
      <c r="AM415" s="100">
        <f t="shared" si="16"/>
        <v>0</v>
      </c>
      <c r="AN415" s="100">
        <f t="shared" si="16"/>
        <v>0</v>
      </c>
      <c r="AO415" s="100">
        <f t="shared" si="16"/>
        <v>0</v>
      </c>
    </row>
    <row r="416" spans="1:41" ht="12.75" customHeight="1" x14ac:dyDescent="0.25">
      <c r="C416" s="777"/>
      <c r="D416" s="775"/>
      <c r="E416" s="98" t="s">
        <v>73</v>
      </c>
      <c r="F416" s="100">
        <f>F353</f>
        <v>0</v>
      </c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 spans="1:41" ht="12.75" customHeight="1" x14ac:dyDescent="0.25">
      <c r="A417" s="90"/>
      <c r="C417" s="777"/>
      <c r="D417" s="775" t="s">
        <v>133</v>
      </c>
      <c r="E417" s="233" t="s">
        <v>70</v>
      </c>
      <c r="F417" s="234">
        <f>F342+F315-L315</f>
        <v>0</v>
      </c>
      <c r="G417" s="234">
        <f>G315</f>
        <v>0</v>
      </c>
      <c r="H417" s="234">
        <f t="shared" ref="H417:AO417" si="17">H315</f>
        <v>0</v>
      </c>
      <c r="I417" s="234">
        <f t="shared" si="17"/>
        <v>0</v>
      </c>
      <c r="J417" s="234">
        <f t="shared" si="17"/>
        <v>0</v>
      </c>
      <c r="K417" s="234">
        <f t="shared" si="17"/>
        <v>0</v>
      </c>
      <c r="L417" s="234">
        <f t="shared" si="17"/>
        <v>0</v>
      </c>
      <c r="M417" s="234">
        <f t="shared" si="17"/>
        <v>0</v>
      </c>
      <c r="N417" s="234">
        <f t="shared" si="17"/>
        <v>0</v>
      </c>
      <c r="O417" s="234">
        <f t="shared" si="17"/>
        <v>0</v>
      </c>
      <c r="P417" s="234">
        <f t="shared" si="17"/>
        <v>0</v>
      </c>
      <c r="Q417" s="234">
        <f t="shared" si="17"/>
        <v>0</v>
      </c>
      <c r="R417" s="234">
        <f t="shared" si="17"/>
        <v>0</v>
      </c>
      <c r="S417" s="234">
        <f t="shared" si="17"/>
        <v>0</v>
      </c>
      <c r="T417" s="234">
        <f t="shared" si="17"/>
        <v>0</v>
      </c>
      <c r="U417" s="234">
        <f t="shared" si="17"/>
        <v>0</v>
      </c>
      <c r="V417" s="234">
        <f t="shared" si="17"/>
        <v>0</v>
      </c>
      <c r="W417" s="234">
        <f t="shared" si="17"/>
        <v>0</v>
      </c>
      <c r="X417" s="234">
        <f t="shared" si="17"/>
        <v>0</v>
      </c>
      <c r="Y417" s="234">
        <f t="shared" si="17"/>
        <v>0</v>
      </c>
      <c r="Z417" s="234">
        <f t="shared" si="17"/>
        <v>0</v>
      </c>
      <c r="AA417" s="234">
        <f t="shared" si="17"/>
        <v>0</v>
      </c>
      <c r="AB417" s="234">
        <f t="shared" si="17"/>
        <v>0</v>
      </c>
      <c r="AC417" s="234">
        <f t="shared" si="17"/>
        <v>0</v>
      </c>
      <c r="AD417" s="234">
        <f t="shared" si="17"/>
        <v>0</v>
      </c>
      <c r="AE417" s="234">
        <f t="shared" si="17"/>
        <v>0</v>
      </c>
      <c r="AF417" s="234">
        <f t="shared" si="17"/>
        <v>0</v>
      </c>
      <c r="AG417" s="234">
        <f t="shared" si="17"/>
        <v>0</v>
      </c>
      <c r="AH417" s="234">
        <f t="shared" si="17"/>
        <v>0</v>
      </c>
      <c r="AI417" s="234">
        <f t="shared" si="17"/>
        <v>0</v>
      </c>
      <c r="AJ417" s="234">
        <f t="shared" si="17"/>
        <v>0</v>
      </c>
      <c r="AK417" s="234">
        <f t="shared" si="17"/>
        <v>0</v>
      </c>
      <c r="AL417" s="234">
        <f t="shared" si="17"/>
        <v>0</v>
      </c>
      <c r="AM417" s="234">
        <f t="shared" si="17"/>
        <v>0</v>
      </c>
      <c r="AN417" s="234">
        <f t="shared" si="17"/>
        <v>0</v>
      </c>
      <c r="AO417" s="234">
        <f t="shared" si="17"/>
        <v>0</v>
      </c>
    </row>
    <row r="418" spans="1:41" ht="12.75" customHeight="1" x14ac:dyDescent="0.25">
      <c r="C418" s="777"/>
      <c r="D418" s="775"/>
      <c r="E418" s="233" t="s">
        <v>73</v>
      </c>
      <c r="F418" s="234">
        <f>F342</f>
        <v>0</v>
      </c>
      <c r="G418" s="371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41" ht="12.75" customHeight="1" x14ac:dyDescent="0.25">
      <c r="A419" s="89"/>
      <c r="C419" s="97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 spans="1:41" ht="12.75" customHeight="1" x14ac:dyDescent="0.25">
      <c r="C420" s="777" t="s">
        <v>160</v>
      </c>
      <c r="D420" s="775" t="s">
        <v>132</v>
      </c>
      <c r="E420" s="223" t="s">
        <v>70</v>
      </c>
      <c r="F420" s="225">
        <v>0</v>
      </c>
      <c r="G420" s="225">
        <v>0</v>
      </c>
      <c r="H420" s="225">
        <v>0</v>
      </c>
      <c r="I420" s="225">
        <v>0</v>
      </c>
      <c r="J420" s="225">
        <v>0</v>
      </c>
      <c r="K420" s="225">
        <v>0</v>
      </c>
      <c r="L420" s="225">
        <v>0</v>
      </c>
      <c r="M420" s="225">
        <v>0</v>
      </c>
      <c r="N420" s="225">
        <v>0</v>
      </c>
      <c r="O420" s="225">
        <v>0</v>
      </c>
      <c r="P420" s="225">
        <v>0</v>
      </c>
      <c r="Q420" s="225">
        <v>0</v>
      </c>
      <c r="R420" s="225">
        <v>0</v>
      </c>
      <c r="S420" s="225">
        <v>0</v>
      </c>
      <c r="T420" s="225">
        <v>0</v>
      </c>
      <c r="U420" s="225"/>
      <c r="V420" s="225"/>
      <c r="W420" s="225"/>
      <c r="X420" s="225">
        <v>0</v>
      </c>
      <c r="Y420" s="225">
        <v>0</v>
      </c>
      <c r="Z420" s="225">
        <v>0</v>
      </c>
      <c r="AA420" s="225">
        <v>0</v>
      </c>
      <c r="AB420" s="225">
        <v>0</v>
      </c>
      <c r="AC420" s="225">
        <v>0</v>
      </c>
      <c r="AD420" s="225">
        <v>0</v>
      </c>
      <c r="AE420" s="225">
        <v>0</v>
      </c>
      <c r="AF420" s="225">
        <v>0</v>
      </c>
      <c r="AG420" s="225">
        <v>0</v>
      </c>
      <c r="AH420" s="225">
        <v>0</v>
      </c>
      <c r="AI420" s="225">
        <v>0</v>
      </c>
      <c r="AJ420" s="225">
        <v>0</v>
      </c>
      <c r="AK420" s="225">
        <v>0</v>
      </c>
      <c r="AL420" s="225">
        <v>0</v>
      </c>
      <c r="AM420" s="225">
        <v>0</v>
      </c>
      <c r="AN420" s="225">
        <v>0</v>
      </c>
      <c r="AO420" s="225">
        <v>0</v>
      </c>
    </row>
    <row r="421" spans="1:41" ht="12.75" customHeight="1" x14ac:dyDescent="0.25">
      <c r="C421" s="777"/>
      <c r="D421" s="775"/>
      <c r="E421" s="223" t="s">
        <v>73</v>
      </c>
      <c r="F421" s="225">
        <v>0</v>
      </c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spans="1:41" ht="12.75" customHeight="1" x14ac:dyDescent="0.25">
      <c r="C422" s="777"/>
      <c r="D422" s="775" t="s">
        <v>133</v>
      </c>
      <c r="E422" s="227" t="s">
        <v>70</v>
      </c>
      <c r="F422" s="228">
        <v>0</v>
      </c>
      <c r="G422" s="228">
        <v>0</v>
      </c>
      <c r="H422" s="228">
        <v>0</v>
      </c>
      <c r="I422" s="228">
        <v>0</v>
      </c>
      <c r="J422" s="228">
        <v>0</v>
      </c>
      <c r="K422" s="228">
        <v>0</v>
      </c>
      <c r="L422" s="228">
        <v>0</v>
      </c>
      <c r="M422" s="228">
        <v>0</v>
      </c>
      <c r="N422" s="228">
        <v>0</v>
      </c>
      <c r="O422" s="228">
        <v>0</v>
      </c>
      <c r="P422" s="228">
        <v>0</v>
      </c>
      <c r="Q422" s="228">
        <v>0</v>
      </c>
      <c r="R422" s="228">
        <v>0</v>
      </c>
      <c r="S422" s="228">
        <v>0</v>
      </c>
      <c r="T422" s="228">
        <v>0</v>
      </c>
      <c r="U422" s="228"/>
      <c r="V422" s="228"/>
      <c r="W422" s="228"/>
      <c r="X422" s="228">
        <v>0</v>
      </c>
      <c r="Y422" s="228">
        <v>0</v>
      </c>
      <c r="Z422" s="228">
        <v>0</v>
      </c>
      <c r="AA422" s="228">
        <v>0</v>
      </c>
      <c r="AB422" s="228">
        <v>0</v>
      </c>
      <c r="AC422" s="228">
        <v>0</v>
      </c>
      <c r="AD422" s="228">
        <v>0</v>
      </c>
      <c r="AE422" s="228">
        <v>0</v>
      </c>
      <c r="AF422" s="228">
        <v>0</v>
      </c>
      <c r="AG422" s="228">
        <v>0</v>
      </c>
      <c r="AH422" s="228">
        <v>0</v>
      </c>
      <c r="AI422" s="228">
        <v>0</v>
      </c>
      <c r="AJ422" s="228">
        <v>0</v>
      </c>
      <c r="AK422" s="228">
        <v>0</v>
      </c>
      <c r="AL422" s="228">
        <v>0</v>
      </c>
      <c r="AM422" s="228">
        <v>0</v>
      </c>
      <c r="AN422" s="228">
        <v>0</v>
      </c>
      <c r="AO422" s="228">
        <v>0</v>
      </c>
    </row>
    <row r="423" spans="1:41" ht="12.75" customHeight="1" x14ac:dyDescent="0.25">
      <c r="C423" s="777"/>
      <c r="D423" s="775"/>
      <c r="E423" s="227" t="s">
        <v>73</v>
      </c>
      <c r="F423" s="228">
        <v>0</v>
      </c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41" ht="12.75" customHeight="1" x14ac:dyDescent="0.25">
      <c r="A424" s="89"/>
      <c r="C424" s="97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41" ht="12.75" customHeight="1" x14ac:dyDescent="0.25">
      <c r="C425" s="777" t="s">
        <v>155</v>
      </c>
      <c r="D425" s="775" t="s">
        <v>132</v>
      </c>
      <c r="E425" s="221" t="s">
        <v>70</v>
      </c>
      <c r="F425" s="222">
        <f>F345+F319+F291-L291-L319</f>
        <v>0</v>
      </c>
      <c r="G425" s="222">
        <f t="shared" ref="G425:AO425" si="18">G319+G291</f>
        <v>0</v>
      </c>
      <c r="H425" s="222">
        <f t="shared" si="18"/>
        <v>0</v>
      </c>
      <c r="I425" s="222">
        <f t="shared" si="18"/>
        <v>0</v>
      </c>
      <c r="J425" s="222">
        <f t="shared" si="18"/>
        <v>0</v>
      </c>
      <c r="K425" s="222">
        <f t="shared" si="18"/>
        <v>0</v>
      </c>
      <c r="L425" s="222">
        <f t="shared" si="18"/>
        <v>0</v>
      </c>
      <c r="M425" s="222">
        <f t="shared" si="18"/>
        <v>0</v>
      </c>
      <c r="N425" s="222">
        <f t="shared" si="18"/>
        <v>0</v>
      </c>
      <c r="O425" s="222">
        <f t="shared" si="18"/>
        <v>0</v>
      </c>
      <c r="P425" s="222">
        <f t="shared" si="18"/>
        <v>0</v>
      </c>
      <c r="Q425" s="222">
        <f t="shared" si="18"/>
        <v>0</v>
      </c>
      <c r="R425" s="222">
        <f t="shared" si="18"/>
        <v>0</v>
      </c>
      <c r="S425" s="222">
        <f t="shared" si="18"/>
        <v>0</v>
      </c>
      <c r="T425" s="222">
        <f t="shared" si="18"/>
        <v>0</v>
      </c>
      <c r="U425" s="222">
        <f t="shared" si="18"/>
        <v>0</v>
      </c>
      <c r="V425" s="222">
        <f t="shared" si="18"/>
        <v>0</v>
      </c>
      <c r="W425" s="222">
        <f t="shared" si="18"/>
        <v>0</v>
      </c>
      <c r="X425" s="222">
        <f t="shared" si="18"/>
        <v>0</v>
      </c>
      <c r="Y425" s="222">
        <f t="shared" si="18"/>
        <v>0</v>
      </c>
      <c r="Z425" s="222">
        <f t="shared" si="18"/>
        <v>0</v>
      </c>
      <c r="AA425" s="222">
        <f t="shared" si="18"/>
        <v>0</v>
      </c>
      <c r="AB425" s="222">
        <f t="shared" si="18"/>
        <v>0</v>
      </c>
      <c r="AC425" s="222">
        <f t="shared" si="18"/>
        <v>0</v>
      </c>
      <c r="AD425" s="222">
        <f t="shared" si="18"/>
        <v>0</v>
      </c>
      <c r="AE425" s="222">
        <f t="shared" si="18"/>
        <v>0</v>
      </c>
      <c r="AF425" s="222">
        <f t="shared" si="18"/>
        <v>0</v>
      </c>
      <c r="AG425" s="222">
        <f t="shared" si="18"/>
        <v>0</v>
      </c>
      <c r="AH425" s="222">
        <f t="shared" si="18"/>
        <v>0</v>
      </c>
      <c r="AI425" s="222">
        <f t="shared" si="18"/>
        <v>0</v>
      </c>
      <c r="AJ425" s="222">
        <f t="shared" si="18"/>
        <v>0</v>
      </c>
      <c r="AK425" s="222">
        <f t="shared" si="18"/>
        <v>0</v>
      </c>
      <c r="AL425" s="222">
        <f t="shared" si="18"/>
        <v>0</v>
      </c>
      <c r="AM425" s="222">
        <f t="shared" si="18"/>
        <v>0</v>
      </c>
      <c r="AN425" s="222">
        <f t="shared" si="18"/>
        <v>0</v>
      </c>
      <c r="AO425" s="222">
        <f t="shared" si="18"/>
        <v>0</v>
      </c>
    </row>
    <row r="426" spans="1:41" ht="12.75" customHeight="1" x14ac:dyDescent="0.25">
      <c r="C426" s="777"/>
      <c r="D426" s="775"/>
      <c r="E426" s="221" t="s">
        <v>73</v>
      </c>
      <c r="F426" s="222">
        <f>F345</f>
        <v>0</v>
      </c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41" ht="12.75" customHeight="1" x14ac:dyDescent="0.25">
      <c r="C427" s="777"/>
      <c r="D427" s="775" t="s">
        <v>133</v>
      </c>
      <c r="E427" s="229" t="s">
        <v>70</v>
      </c>
      <c r="F427" s="230">
        <f>F334+F304-L304</f>
        <v>0</v>
      </c>
      <c r="G427" s="230">
        <f>G304</f>
        <v>0</v>
      </c>
      <c r="H427" s="230">
        <f t="shared" ref="H427:AO427" si="19">H304</f>
        <v>0</v>
      </c>
      <c r="I427" s="230">
        <f t="shared" si="19"/>
        <v>0</v>
      </c>
      <c r="J427" s="230">
        <f t="shared" si="19"/>
        <v>0</v>
      </c>
      <c r="K427" s="230">
        <f t="shared" si="19"/>
        <v>0</v>
      </c>
      <c r="L427" s="230">
        <f t="shared" si="19"/>
        <v>0</v>
      </c>
      <c r="M427" s="230">
        <f t="shared" si="19"/>
        <v>0</v>
      </c>
      <c r="N427" s="230">
        <f t="shared" si="19"/>
        <v>0</v>
      </c>
      <c r="O427" s="230">
        <f t="shared" si="19"/>
        <v>0</v>
      </c>
      <c r="P427" s="230">
        <f t="shared" si="19"/>
        <v>0</v>
      </c>
      <c r="Q427" s="230">
        <f t="shared" si="19"/>
        <v>0</v>
      </c>
      <c r="R427" s="230">
        <f t="shared" si="19"/>
        <v>0</v>
      </c>
      <c r="S427" s="230">
        <f t="shared" si="19"/>
        <v>0</v>
      </c>
      <c r="T427" s="230">
        <f t="shared" si="19"/>
        <v>0</v>
      </c>
      <c r="U427" s="230">
        <f t="shared" si="19"/>
        <v>0</v>
      </c>
      <c r="V427" s="230">
        <f t="shared" si="19"/>
        <v>0</v>
      </c>
      <c r="W427" s="230">
        <f t="shared" si="19"/>
        <v>0</v>
      </c>
      <c r="X427" s="230">
        <f t="shared" si="19"/>
        <v>0</v>
      </c>
      <c r="Y427" s="230">
        <f t="shared" si="19"/>
        <v>0</v>
      </c>
      <c r="Z427" s="230">
        <f t="shared" si="19"/>
        <v>0</v>
      </c>
      <c r="AA427" s="230">
        <f t="shared" si="19"/>
        <v>0</v>
      </c>
      <c r="AB427" s="230">
        <f t="shared" si="19"/>
        <v>0</v>
      </c>
      <c r="AC427" s="230">
        <f t="shared" si="19"/>
        <v>0</v>
      </c>
      <c r="AD427" s="230">
        <f t="shared" si="19"/>
        <v>0</v>
      </c>
      <c r="AE427" s="230">
        <f t="shared" si="19"/>
        <v>0</v>
      </c>
      <c r="AF427" s="230">
        <f t="shared" si="19"/>
        <v>0</v>
      </c>
      <c r="AG427" s="230">
        <f t="shared" si="19"/>
        <v>0</v>
      </c>
      <c r="AH427" s="230">
        <f t="shared" si="19"/>
        <v>0</v>
      </c>
      <c r="AI427" s="230">
        <f t="shared" si="19"/>
        <v>0</v>
      </c>
      <c r="AJ427" s="230">
        <f t="shared" si="19"/>
        <v>0</v>
      </c>
      <c r="AK427" s="230">
        <f t="shared" si="19"/>
        <v>0</v>
      </c>
      <c r="AL427" s="230">
        <f t="shared" si="19"/>
        <v>0</v>
      </c>
      <c r="AM427" s="230">
        <f t="shared" si="19"/>
        <v>0</v>
      </c>
      <c r="AN427" s="230">
        <f t="shared" si="19"/>
        <v>0</v>
      </c>
      <c r="AO427" s="230">
        <f t="shared" si="19"/>
        <v>0</v>
      </c>
    </row>
    <row r="428" spans="1:41" ht="12.75" customHeight="1" x14ac:dyDescent="0.25">
      <c r="C428" s="777"/>
      <c r="D428" s="775"/>
      <c r="E428" s="229" t="s">
        <v>73</v>
      </c>
      <c r="F428" s="230">
        <f>F334</f>
        <v>0</v>
      </c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41" ht="12.75" customHeight="1" x14ac:dyDescent="0.25">
      <c r="A429" s="89"/>
      <c r="C429" s="97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41" ht="12.75" customHeight="1" x14ac:dyDescent="0.25">
      <c r="C430" s="778" t="s">
        <v>326</v>
      </c>
      <c r="D430" s="775" t="s">
        <v>132</v>
      </c>
      <c r="E430" s="373" t="s">
        <v>70</v>
      </c>
      <c r="F430" s="374">
        <v>0</v>
      </c>
      <c r="G430" s="374">
        <v>0</v>
      </c>
      <c r="H430" s="374">
        <v>0</v>
      </c>
      <c r="I430" s="374">
        <v>0</v>
      </c>
      <c r="J430" s="374">
        <v>0</v>
      </c>
      <c r="K430" s="374">
        <v>0</v>
      </c>
      <c r="L430" s="374">
        <v>0</v>
      </c>
      <c r="M430" s="374">
        <v>0</v>
      </c>
      <c r="N430" s="374">
        <v>0</v>
      </c>
      <c r="O430" s="374">
        <v>0</v>
      </c>
      <c r="P430" s="374">
        <v>0</v>
      </c>
      <c r="Q430" s="374">
        <v>0</v>
      </c>
      <c r="R430" s="374">
        <v>0</v>
      </c>
      <c r="S430" s="374">
        <v>0</v>
      </c>
      <c r="T430" s="374">
        <v>0</v>
      </c>
      <c r="U430" s="374">
        <v>0</v>
      </c>
      <c r="V430" s="374">
        <v>0</v>
      </c>
      <c r="W430" s="374">
        <v>0</v>
      </c>
      <c r="X430" s="374">
        <v>0</v>
      </c>
      <c r="Y430" s="374">
        <v>0</v>
      </c>
      <c r="Z430" s="374">
        <v>0</v>
      </c>
      <c r="AA430" s="374">
        <v>0</v>
      </c>
      <c r="AB430" s="374">
        <v>0</v>
      </c>
      <c r="AC430" s="374">
        <v>0</v>
      </c>
      <c r="AD430" s="374">
        <v>0</v>
      </c>
      <c r="AE430" s="374">
        <v>0</v>
      </c>
      <c r="AF430" s="374">
        <v>0</v>
      </c>
      <c r="AG430" s="374">
        <v>0</v>
      </c>
      <c r="AH430" s="374">
        <v>0</v>
      </c>
      <c r="AI430" s="374">
        <v>0</v>
      </c>
      <c r="AJ430" s="374">
        <v>0</v>
      </c>
      <c r="AK430" s="374">
        <v>0</v>
      </c>
      <c r="AL430" s="374">
        <v>0</v>
      </c>
      <c r="AM430" s="374">
        <v>0</v>
      </c>
      <c r="AN430" s="374">
        <v>0</v>
      </c>
      <c r="AO430" s="374">
        <v>0</v>
      </c>
    </row>
    <row r="431" spans="1:41" ht="12.75" customHeight="1" x14ac:dyDescent="0.25">
      <c r="C431" s="778"/>
      <c r="D431" s="775"/>
      <c r="E431" s="373" t="s">
        <v>73</v>
      </c>
      <c r="F431" s="374">
        <v>0</v>
      </c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41" ht="12.75" customHeight="1" x14ac:dyDescent="0.25">
      <c r="C432" s="778"/>
      <c r="D432" s="775" t="s">
        <v>133</v>
      </c>
      <c r="E432" s="242" t="s">
        <v>70</v>
      </c>
      <c r="F432" s="243">
        <v>0</v>
      </c>
      <c r="G432" s="243">
        <v>0</v>
      </c>
      <c r="H432" s="243">
        <v>0</v>
      </c>
      <c r="I432" s="243">
        <v>0</v>
      </c>
      <c r="J432" s="243">
        <v>0</v>
      </c>
      <c r="K432" s="243">
        <v>0</v>
      </c>
      <c r="L432" s="243">
        <v>0</v>
      </c>
      <c r="M432" s="243">
        <v>0</v>
      </c>
      <c r="N432" s="243">
        <v>0</v>
      </c>
      <c r="O432" s="243">
        <v>0</v>
      </c>
      <c r="P432" s="243">
        <v>0</v>
      </c>
      <c r="Q432" s="243">
        <v>0</v>
      </c>
      <c r="R432" s="243">
        <v>0</v>
      </c>
      <c r="S432" s="243">
        <v>0</v>
      </c>
      <c r="T432" s="243">
        <v>0</v>
      </c>
      <c r="U432" s="243">
        <v>0</v>
      </c>
      <c r="V432" s="243">
        <v>0</v>
      </c>
      <c r="W432" s="243">
        <v>0</v>
      </c>
      <c r="X432" s="243">
        <v>0</v>
      </c>
      <c r="Y432" s="243">
        <v>0</v>
      </c>
      <c r="Z432" s="243">
        <v>0</v>
      </c>
      <c r="AA432" s="243">
        <v>0</v>
      </c>
      <c r="AB432" s="243">
        <v>0</v>
      </c>
      <c r="AC432" s="243">
        <v>0</v>
      </c>
      <c r="AD432" s="243">
        <v>0</v>
      </c>
      <c r="AE432" s="243">
        <v>0</v>
      </c>
      <c r="AF432" s="243">
        <v>0</v>
      </c>
      <c r="AG432" s="243">
        <v>0</v>
      </c>
      <c r="AH432" s="243">
        <v>0</v>
      </c>
      <c r="AI432" s="243">
        <v>0</v>
      </c>
      <c r="AJ432" s="243">
        <v>0</v>
      </c>
      <c r="AK432" s="243">
        <v>0</v>
      </c>
      <c r="AL432" s="243">
        <v>0</v>
      </c>
      <c r="AM432" s="243">
        <v>0</v>
      </c>
      <c r="AN432" s="243">
        <v>0</v>
      </c>
      <c r="AO432" s="243">
        <v>0</v>
      </c>
    </row>
    <row r="433" spans="1:41" ht="12.75" customHeight="1" x14ac:dyDescent="0.25">
      <c r="C433" s="778"/>
      <c r="D433" s="775"/>
      <c r="E433" s="242" t="s">
        <v>73</v>
      </c>
      <c r="F433" s="243">
        <v>0</v>
      </c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41" ht="12.75" customHeight="1" x14ac:dyDescent="0.25">
      <c r="A434" s="89"/>
      <c r="C434" s="97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customHeight="1" x14ac:dyDescent="0.25">
      <c r="C435" s="777" t="s">
        <v>119</v>
      </c>
      <c r="D435" s="775" t="s">
        <v>132</v>
      </c>
      <c r="E435" s="101" t="s">
        <v>70</v>
      </c>
      <c r="F435" s="93">
        <f>F352+F329+F298-L298-L329</f>
        <v>0</v>
      </c>
      <c r="G435" s="93">
        <f t="shared" ref="G435:AO435" si="20">G329+G298</f>
        <v>0</v>
      </c>
      <c r="H435" s="93">
        <f t="shared" si="20"/>
        <v>0</v>
      </c>
      <c r="I435" s="93">
        <f t="shared" si="20"/>
        <v>0</v>
      </c>
      <c r="J435" s="93">
        <f t="shared" si="20"/>
        <v>0</v>
      </c>
      <c r="K435" s="93">
        <f t="shared" si="20"/>
        <v>0</v>
      </c>
      <c r="L435" s="93">
        <f t="shared" si="20"/>
        <v>0</v>
      </c>
      <c r="M435" s="93">
        <f t="shared" si="20"/>
        <v>0</v>
      </c>
      <c r="N435" s="93">
        <f t="shared" si="20"/>
        <v>0</v>
      </c>
      <c r="O435" s="93">
        <f t="shared" si="20"/>
        <v>0</v>
      </c>
      <c r="P435" s="93">
        <f t="shared" si="20"/>
        <v>0</v>
      </c>
      <c r="Q435" s="93">
        <f t="shared" si="20"/>
        <v>0</v>
      </c>
      <c r="R435" s="93">
        <f t="shared" si="20"/>
        <v>0</v>
      </c>
      <c r="S435" s="93">
        <f t="shared" si="20"/>
        <v>0</v>
      </c>
      <c r="T435" s="93">
        <f t="shared" si="20"/>
        <v>0</v>
      </c>
      <c r="U435" s="93">
        <f t="shared" si="20"/>
        <v>0</v>
      </c>
      <c r="V435" s="93">
        <f t="shared" si="20"/>
        <v>0</v>
      </c>
      <c r="W435" s="93">
        <f t="shared" si="20"/>
        <v>0</v>
      </c>
      <c r="X435" s="93">
        <f t="shared" si="20"/>
        <v>0</v>
      </c>
      <c r="Y435" s="93">
        <f t="shared" si="20"/>
        <v>0</v>
      </c>
      <c r="Z435" s="93">
        <f t="shared" si="20"/>
        <v>0</v>
      </c>
      <c r="AA435" s="93">
        <f t="shared" si="20"/>
        <v>0</v>
      </c>
      <c r="AB435" s="93">
        <f t="shared" si="20"/>
        <v>0</v>
      </c>
      <c r="AC435" s="93">
        <f t="shared" si="20"/>
        <v>0</v>
      </c>
      <c r="AD435" s="93">
        <f t="shared" si="20"/>
        <v>0</v>
      </c>
      <c r="AE435" s="93">
        <f t="shared" si="20"/>
        <v>0</v>
      </c>
      <c r="AF435" s="93">
        <f t="shared" si="20"/>
        <v>0</v>
      </c>
      <c r="AG435" s="93">
        <f t="shared" si="20"/>
        <v>0</v>
      </c>
      <c r="AH435" s="93">
        <f t="shared" si="20"/>
        <v>0</v>
      </c>
      <c r="AI435" s="93">
        <f t="shared" si="20"/>
        <v>0</v>
      </c>
      <c r="AJ435" s="93">
        <f t="shared" si="20"/>
        <v>0</v>
      </c>
      <c r="AK435" s="93">
        <f t="shared" si="20"/>
        <v>0</v>
      </c>
      <c r="AL435" s="93">
        <f t="shared" si="20"/>
        <v>0</v>
      </c>
      <c r="AM435" s="93">
        <f t="shared" si="20"/>
        <v>0</v>
      </c>
      <c r="AN435" s="93">
        <f t="shared" si="20"/>
        <v>0</v>
      </c>
      <c r="AO435" s="93">
        <f t="shared" si="20"/>
        <v>0</v>
      </c>
    </row>
    <row r="436" spans="1:41" ht="12.75" customHeight="1" x14ac:dyDescent="0.25">
      <c r="C436" s="777"/>
      <c r="D436" s="775"/>
      <c r="E436" s="101" t="s">
        <v>73</v>
      </c>
      <c r="F436" s="93">
        <f>F352</f>
        <v>0</v>
      </c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customHeight="1" x14ac:dyDescent="0.25">
      <c r="C437" s="777"/>
      <c r="D437" s="775" t="s">
        <v>133</v>
      </c>
      <c r="E437" s="235" t="s">
        <v>70</v>
      </c>
      <c r="F437" s="236">
        <f>F341+F314-L314</f>
        <v>0</v>
      </c>
      <c r="G437" s="236">
        <f>G314</f>
        <v>0</v>
      </c>
      <c r="H437" s="236">
        <f t="shared" ref="H437:AO437" si="21">H314</f>
        <v>0</v>
      </c>
      <c r="I437" s="236">
        <f t="shared" si="21"/>
        <v>0</v>
      </c>
      <c r="J437" s="236">
        <f t="shared" si="21"/>
        <v>0</v>
      </c>
      <c r="K437" s="236">
        <f t="shared" si="21"/>
        <v>0</v>
      </c>
      <c r="L437" s="236">
        <f t="shared" si="21"/>
        <v>0</v>
      </c>
      <c r="M437" s="236">
        <f t="shared" si="21"/>
        <v>0</v>
      </c>
      <c r="N437" s="236">
        <f t="shared" si="21"/>
        <v>0</v>
      </c>
      <c r="O437" s="236">
        <f t="shared" si="21"/>
        <v>0</v>
      </c>
      <c r="P437" s="236">
        <f t="shared" si="21"/>
        <v>0</v>
      </c>
      <c r="Q437" s="236">
        <f t="shared" si="21"/>
        <v>0</v>
      </c>
      <c r="R437" s="236">
        <f t="shared" si="21"/>
        <v>0</v>
      </c>
      <c r="S437" s="236">
        <f t="shared" si="21"/>
        <v>0</v>
      </c>
      <c r="T437" s="236">
        <f t="shared" si="21"/>
        <v>0</v>
      </c>
      <c r="U437" s="236">
        <f t="shared" si="21"/>
        <v>0</v>
      </c>
      <c r="V437" s="236">
        <f t="shared" si="21"/>
        <v>0</v>
      </c>
      <c r="W437" s="236">
        <f t="shared" si="21"/>
        <v>0</v>
      </c>
      <c r="X437" s="236">
        <f t="shared" si="21"/>
        <v>0</v>
      </c>
      <c r="Y437" s="236">
        <f t="shared" si="21"/>
        <v>0</v>
      </c>
      <c r="Z437" s="236">
        <f t="shared" si="21"/>
        <v>0</v>
      </c>
      <c r="AA437" s="236">
        <f t="shared" si="21"/>
        <v>0</v>
      </c>
      <c r="AB437" s="236">
        <f t="shared" si="21"/>
        <v>0</v>
      </c>
      <c r="AC437" s="236">
        <f t="shared" si="21"/>
        <v>0</v>
      </c>
      <c r="AD437" s="236">
        <f t="shared" si="21"/>
        <v>0</v>
      </c>
      <c r="AE437" s="236">
        <f t="shared" si="21"/>
        <v>0</v>
      </c>
      <c r="AF437" s="236">
        <f t="shared" si="21"/>
        <v>0</v>
      </c>
      <c r="AG437" s="236">
        <f t="shared" si="21"/>
        <v>0</v>
      </c>
      <c r="AH437" s="236">
        <f t="shared" si="21"/>
        <v>0</v>
      </c>
      <c r="AI437" s="236">
        <f t="shared" si="21"/>
        <v>0</v>
      </c>
      <c r="AJ437" s="236">
        <f t="shared" si="21"/>
        <v>0</v>
      </c>
      <c r="AK437" s="236">
        <f t="shared" si="21"/>
        <v>0</v>
      </c>
      <c r="AL437" s="236">
        <f t="shared" si="21"/>
        <v>0</v>
      </c>
      <c r="AM437" s="236">
        <f t="shared" si="21"/>
        <v>0</v>
      </c>
      <c r="AN437" s="236">
        <f t="shared" si="21"/>
        <v>0</v>
      </c>
      <c r="AO437" s="236">
        <f t="shared" si="21"/>
        <v>0</v>
      </c>
    </row>
    <row r="438" spans="1:41" ht="12.75" customHeight="1" x14ac:dyDescent="0.25">
      <c r="C438" s="777"/>
      <c r="D438" s="775"/>
      <c r="E438" s="235" t="s">
        <v>73</v>
      </c>
      <c r="F438" s="236">
        <f>F341</f>
        <v>0</v>
      </c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41" ht="12.75" customHeight="1" x14ac:dyDescent="0.25">
      <c r="A439" s="89"/>
      <c r="C439" s="97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41" ht="12.75" customHeight="1" x14ac:dyDescent="0.25">
      <c r="C440" s="776" t="s">
        <v>161</v>
      </c>
      <c r="D440" s="775" t="s">
        <v>132</v>
      </c>
      <c r="E440" s="231" t="s">
        <v>70</v>
      </c>
      <c r="F440" s="232">
        <v>0</v>
      </c>
      <c r="G440" s="232">
        <v>0</v>
      </c>
      <c r="H440" s="232">
        <v>0</v>
      </c>
      <c r="I440" s="232">
        <v>0</v>
      </c>
      <c r="J440" s="232">
        <v>0</v>
      </c>
      <c r="K440" s="232">
        <v>0</v>
      </c>
      <c r="L440" s="232">
        <v>0</v>
      </c>
      <c r="M440" s="232">
        <v>0</v>
      </c>
      <c r="N440" s="232">
        <v>0</v>
      </c>
      <c r="O440" s="232">
        <v>0</v>
      </c>
      <c r="P440" s="232">
        <v>0</v>
      </c>
      <c r="Q440" s="232">
        <v>0</v>
      </c>
      <c r="R440" s="232">
        <v>0</v>
      </c>
      <c r="S440" s="232">
        <v>0</v>
      </c>
      <c r="T440" s="232">
        <v>0</v>
      </c>
      <c r="U440" s="232"/>
      <c r="V440" s="232"/>
      <c r="W440" s="232"/>
      <c r="X440" s="232">
        <v>0</v>
      </c>
      <c r="Y440" s="232">
        <v>0</v>
      </c>
      <c r="Z440" s="232">
        <v>0</v>
      </c>
      <c r="AA440" s="232">
        <v>0</v>
      </c>
      <c r="AB440" s="232">
        <v>0</v>
      </c>
      <c r="AC440" s="232">
        <v>0</v>
      </c>
      <c r="AD440" s="232">
        <v>0</v>
      </c>
      <c r="AE440" s="232">
        <v>0</v>
      </c>
      <c r="AF440" s="232">
        <v>0</v>
      </c>
      <c r="AG440" s="232">
        <v>0</v>
      </c>
      <c r="AH440" s="232">
        <v>0</v>
      </c>
      <c r="AI440" s="232">
        <v>0</v>
      </c>
      <c r="AJ440" s="232">
        <v>0</v>
      </c>
      <c r="AK440" s="232">
        <v>0</v>
      </c>
      <c r="AL440" s="232">
        <v>0</v>
      </c>
      <c r="AM440" s="232">
        <v>0</v>
      </c>
      <c r="AN440" s="232">
        <v>0</v>
      </c>
      <c r="AO440" s="232">
        <v>0</v>
      </c>
    </row>
    <row r="441" spans="1:41" ht="12.75" customHeight="1" x14ac:dyDescent="0.25">
      <c r="C441" s="776"/>
      <c r="D441" s="775"/>
      <c r="E441" s="231" t="s">
        <v>73</v>
      </c>
      <c r="F441" s="232">
        <v>0</v>
      </c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41" ht="12.75" customHeight="1" x14ac:dyDescent="0.25">
      <c r="C442" s="776"/>
      <c r="D442" s="775" t="s">
        <v>133</v>
      </c>
      <c r="E442" s="148" t="s">
        <v>70</v>
      </c>
      <c r="F442" s="149">
        <v>0</v>
      </c>
      <c r="G442" s="149">
        <v>0</v>
      </c>
      <c r="H442" s="149">
        <v>0</v>
      </c>
      <c r="I442" s="149">
        <v>0</v>
      </c>
      <c r="J442" s="149">
        <v>0</v>
      </c>
      <c r="K442" s="149">
        <v>0</v>
      </c>
      <c r="L442" s="149">
        <v>0</v>
      </c>
      <c r="M442" s="149">
        <v>0</v>
      </c>
      <c r="N442" s="149">
        <v>0</v>
      </c>
      <c r="O442" s="149">
        <v>0</v>
      </c>
      <c r="P442" s="149">
        <v>0</v>
      </c>
      <c r="Q442" s="149">
        <v>0</v>
      </c>
      <c r="R442" s="149">
        <v>0</v>
      </c>
      <c r="S442" s="149">
        <v>0</v>
      </c>
      <c r="T442" s="149">
        <v>0</v>
      </c>
      <c r="U442" s="149"/>
      <c r="V442" s="149"/>
      <c r="W442" s="149"/>
      <c r="X442" s="149">
        <v>0</v>
      </c>
      <c r="Y442" s="149">
        <v>0</v>
      </c>
      <c r="Z442" s="149">
        <v>0</v>
      </c>
      <c r="AA442" s="149">
        <v>0</v>
      </c>
      <c r="AB442" s="149">
        <v>0</v>
      </c>
      <c r="AC442" s="149">
        <v>0</v>
      </c>
      <c r="AD442" s="149">
        <v>0</v>
      </c>
      <c r="AE442" s="149">
        <v>0</v>
      </c>
      <c r="AF442" s="149">
        <v>0</v>
      </c>
      <c r="AG442" s="149">
        <v>0</v>
      </c>
      <c r="AH442" s="149">
        <v>0</v>
      </c>
      <c r="AI442" s="149">
        <v>0</v>
      </c>
      <c r="AJ442" s="149">
        <v>0</v>
      </c>
      <c r="AK442" s="149">
        <v>0</v>
      </c>
      <c r="AL442" s="149">
        <v>0</v>
      </c>
      <c r="AM442" s="149">
        <v>0</v>
      </c>
      <c r="AN442" s="149">
        <v>0</v>
      </c>
      <c r="AO442" s="149">
        <v>0</v>
      </c>
    </row>
    <row r="443" spans="1:41" ht="12.75" customHeight="1" x14ac:dyDescent="0.25">
      <c r="C443" s="776"/>
      <c r="D443" s="775"/>
      <c r="E443" s="148" t="s">
        <v>73</v>
      </c>
      <c r="F443" s="149">
        <v>0</v>
      </c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41" ht="12.75" customHeight="1" x14ac:dyDescent="0.25">
      <c r="C444" s="388"/>
      <c r="D444" s="220"/>
      <c r="E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41" ht="12.75" customHeight="1" x14ac:dyDescent="0.25">
      <c r="D445" s="458" t="s">
        <v>186</v>
      </c>
      <c r="E445" s="459" t="s">
        <v>70</v>
      </c>
      <c r="F445" s="460">
        <f t="shared" ref="F445:Z445" si="22">F299</f>
        <v>0</v>
      </c>
      <c r="G445" s="460">
        <f t="shared" si="22"/>
        <v>0</v>
      </c>
      <c r="H445" s="460">
        <f t="shared" si="22"/>
        <v>0</v>
      </c>
      <c r="I445" s="460">
        <f t="shared" si="22"/>
        <v>0</v>
      </c>
      <c r="J445" s="460">
        <f t="shared" si="22"/>
        <v>0</v>
      </c>
      <c r="K445" s="460">
        <f t="shared" si="22"/>
        <v>0</v>
      </c>
      <c r="L445" s="460">
        <f t="shared" si="22"/>
        <v>0</v>
      </c>
      <c r="M445" s="460">
        <f t="shared" si="22"/>
        <v>0</v>
      </c>
      <c r="N445" s="460">
        <f t="shared" si="22"/>
        <v>0</v>
      </c>
      <c r="O445" s="460">
        <f t="shared" si="22"/>
        <v>0</v>
      </c>
      <c r="P445" s="460">
        <f t="shared" si="22"/>
        <v>0</v>
      </c>
      <c r="Q445" s="460">
        <f t="shared" si="22"/>
        <v>0</v>
      </c>
      <c r="R445" s="460">
        <f t="shared" si="22"/>
        <v>0</v>
      </c>
      <c r="S445" s="460">
        <f t="shared" si="22"/>
        <v>0</v>
      </c>
      <c r="T445" s="460">
        <f t="shared" si="22"/>
        <v>0</v>
      </c>
      <c r="U445" s="460">
        <f t="shared" si="22"/>
        <v>0</v>
      </c>
      <c r="V445" s="460">
        <f t="shared" si="22"/>
        <v>0</v>
      </c>
      <c r="W445" s="460">
        <f t="shared" si="22"/>
        <v>0</v>
      </c>
      <c r="X445" s="460">
        <f t="shared" si="22"/>
        <v>0</v>
      </c>
      <c r="Y445" s="460">
        <f t="shared" si="22"/>
        <v>0</v>
      </c>
      <c r="Z445" s="460">
        <f t="shared" si="22"/>
        <v>0</v>
      </c>
    </row>
    <row r="446" spans="1:41" ht="12.75" customHeight="1" x14ac:dyDescent="0.25">
      <c r="C446" s="388"/>
      <c r="D446" s="220"/>
      <c r="E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41" s="238" customFormat="1" ht="12.75" customHeight="1" x14ac:dyDescent="0.25">
      <c r="D447" s="239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</row>
    <row r="448" spans="1:41" ht="12.75" customHeight="1" x14ac:dyDescent="0.25">
      <c r="A448" s="89"/>
      <c r="B448" s="97" t="s">
        <v>88</v>
      </c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</row>
    <row r="449" spans="1:26" ht="12.75" customHeight="1" x14ac:dyDescent="0.25">
      <c r="A449" s="142"/>
      <c r="F449" s="89" t="s">
        <v>70</v>
      </c>
      <c r="G449" s="89" t="s">
        <v>64</v>
      </c>
      <c r="H449" s="89" t="s">
        <v>65</v>
      </c>
      <c r="I449" s="218" t="s">
        <v>164</v>
      </c>
      <c r="J449" s="89" t="s">
        <v>69</v>
      </c>
      <c r="K449" s="89" t="s">
        <v>68</v>
      </c>
      <c r="L449" s="89" t="s">
        <v>71</v>
      </c>
      <c r="M449" s="89" t="s">
        <v>66</v>
      </c>
      <c r="N449" s="89" t="s">
        <v>63</v>
      </c>
      <c r="O449" s="89" t="s">
        <v>61</v>
      </c>
      <c r="P449" s="89" t="s">
        <v>62</v>
      </c>
      <c r="Q449" s="89" t="s">
        <v>67</v>
      </c>
      <c r="R449" s="89" t="s">
        <v>77</v>
      </c>
      <c r="S449" s="89" t="s">
        <v>80</v>
      </c>
      <c r="T449" t="s">
        <v>135</v>
      </c>
      <c r="U449" t="s">
        <v>173</v>
      </c>
      <c r="V449" t="s">
        <v>222</v>
      </c>
      <c r="W449" t="s">
        <v>173</v>
      </c>
      <c r="X449" t="s">
        <v>173</v>
      </c>
      <c r="Y449" s="89" t="s">
        <v>135</v>
      </c>
      <c r="Z449" t="s">
        <v>167</v>
      </c>
    </row>
    <row r="450" spans="1:26" ht="12.75" customHeight="1" x14ac:dyDescent="0.25">
      <c r="E450" s="89" t="s">
        <v>72</v>
      </c>
      <c r="F450" s="371">
        <v>0</v>
      </c>
      <c r="G450" s="90">
        <v>0</v>
      </c>
      <c r="H450" s="90">
        <v>0</v>
      </c>
      <c r="I450" s="90">
        <v>0</v>
      </c>
      <c r="J450" s="90">
        <v>0</v>
      </c>
      <c r="K450" s="90">
        <v>0</v>
      </c>
      <c r="L450" s="90">
        <v>0</v>
      </c>
      <c r="M450" s="90">
        <v>0</v>
      </c>
      <c r="N450" s="90">
        <v>0</v>
      </c>
      <c r="O450" s="90">
        <v>0</v>
      </c>
      <c r="P450" s="90">
        <v>0</v>
      </c>
      <c r="Q450" s="90">
        <v>0</v>
      </c>
      <c r="R450" s="90">
        <v>0</v>
      </c>
      <c r="S450" s="9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0</v>
      </c>
    </row>
    <row r="451" spans="1:26" ht="12.75" customHeight="1" x14ac:dyDescent="0.25">
      <c r="D451" t="s">
        <v>156</v>
      </c>
      <c r="E451" s="89" t="s">
        <v>70</v>
      </c>
      <c r="F451" s="371">
        <v>0</v>
      </c>
      <c r="G451" s="90">
        <v>0</v>
      </c>
      <c r="H451" s="90">
        <v>0</v>
      </c>
      <c r="I451" s="90">
        <v>0</v>
      </c>
      <c r="J451" s="90">
        <v>0</v>
      </c>
      <c r="K451" s="90">
        <v>0</v>
      </c>
      <c r="L451" s="90">
        <v>0</v>
      </c>
      <c r="M451" s="90">
        <v>0</v>
      </c>
      <c r="N451" s="90">
        <v>0</v>
      </c>
      <c r="O451" s="90">
        <v>0</v>
      </c>
      <c r="P451" s="90">
        <v>0</v>
      </c>
      <c r="Q451" s="90">
        <v>0</v>
      </c>
      <c r="R451" s="90">
        <v>0</v>
      </c>
      <c r="S451" s="90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90">
        <v>0</v>
      </c>
      <c r="Z451">
        <v>0</v>
      </c>
    </row>
    <row r="452" spans="1:26" s="656" customFormat="1" ht="12.75" customHeight="1" x14ac:dyDescent="0.25">
      <c r="C452" s="656" t="s">
        <v>155</v>
      </c>
      <c r="D452" s="657" t="s">
        <v>70</v>
      </c>
      <c r="E452" s="657"/>
      <c r="F452" s="658">
        <v>0</v>
      </c>
      <c r="G452" s="658">
        <v>0</v>
      </c>
      <c r="H452" s="658">
        <v>0</v>
      </c>
      <c r="I452" s="658">
        <v>0</v>
      </c>
      <c r="J452" s="658">
        <v>0</v>
      </c>
      <c r="K452" s="658">
        <v>0</v>
      </c>
      <c r="L452" s="658">
        <v>0</v>
      </c>
      <c r="M452" s="658">
        <v>0</v>
      </c>
      <c r="N452" s="658">
        <v>0</v>
      </c>
      <c r="O452" s="658">
        <v>0</v>
      </c>
      <c r="P452" s="658">
        <v>0</v>
      </c>
      <c r="Q452" s="658">
        <v>0</v>
      </c>
      <c r="R452" s="658">
        <v>0</v>
      </c>
      <c r="S452" s="658">
        <v>0</v>
      </c>
      <c r="T452" s="656">
        <v>0</v>
      </c>
      <c r="U452" s="656">
        <v>0</v>
      </c>
      <c r="V452" s="656">
        <v>0</v>
      </c>
      <c r="W452" s="656">
        <v>0</v>
      </c>
      <c r="X452" s="656">
        <v>0</v>
      </c>
      <c r="Y452" s="658">
        <v>0</v>
      </c>
      <c r="Z452" s="656">
        <v>0</v>
      </c>
    </row>
    <row r="453" spans="1:26" ht="12.75" customHeight="1" x14ac:dyDescent="0.25">
      <c r="E453" s="89" t="s">
        <v>72</v>
      </c>
      <c r="F453" s="90">
        <v>0</v>
      </c>
      <c r="G453" s="90">
        <v>0</v>
      </c>
      <c r="H453" s="90">
        <v>0</v>
      </c>
      <c r="I453" s="90">
        <v>0</v>
      </c>
      <c r="J453" s="90">
        <v>0</v>
      </c>
      <c r="K453" s="90">
        <v>0</v>
      </c>
      <c r="L453" s="90">
        <v>0</v>
      </c>
      <c r="M453" s="90">
        <v>0</v>
      </c>
      <c r="N453" s="90">
        <v>0</v>
      </c>
      <c r="O453" s="90">
        <v>0</v>
      </c>
      <c r="P453" s="90">
        <v>0</v>
      </c>
      <c r="Q453" s="90">
        <v>0</v>
      </c>
      <c r="R453" s="90">
        <v>0</v>
      </c>
      <c r="S453" s="90">
        <v>0</v>
      </c>
      <c r="T453" s="90">
        <v>0</v>
      </c>
      <c r="U453" s="90">
        <v>0</v>
      </c>
      <c r="V453" s="90">
        <v>0</v>
      </c>
      <c r="W453" s="90">
        <v>0</v>
      </c>
      <c r="X453">
        <v>0</v>
      </c>
      <c r="Y453">
        <v>0</v>
      </c>
      <c r="Z453">
        <v>0</v>
      </c>
    </row>
    <row r="454" spans="1:26" ht="12.75" customHeight="1" x14ac:dyDescent="0.25">
      <c r="D454" t="s">
        <v>82</v>
      </c>
      <c r="E454" s="89" t="s">
        <v>70</v>
      </c>
      <c r="F454" s="371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  <c r="N454" s="90">
        <v>0</v>
      </c>
      <c r="O454" s="90">
        <v>0</v>
      </c>
      <c r="P454" s="90">
        <v>0</v>
      </c>
      <c r="Q454" s="90">
        <v>0</v>
      </c>
      <c r="R454" s="90">
        <v>0</v>
      </c>
      <c r="S454" s="90">
        <v>0</v>
      </c>
      <c r="T454" s="90">
        <v>0</v>
      </c>
      <c r="U454" s="90">
        <v>0</v>
      </c>
      <c r="V454" s="90">
        <v>0</v>
      </c>
      <c r="W454" s="90">
        <v>0</v>
      </c>
      <c r="X454">
        <v>0</v>
      </c>
      <c r="Y454">
        <v>0</v>
      </c>
      <c r="Z454">
        <v>0</v>
      </c>
    </row>
    <row r="455" spans="1:26" ht="12.75" customHeight="1" x14ac:dyDescent="0.25">
      <c r="E455" s="89" t="s">
        <v>72</v>
      </c>
      <c r="F455" s="371">
        <v>0</v>
      </c>
      <c r="G455" s="90">
        <v>0</v>
      </c>
      <c r="H455" s="90">
        <v>0</v>
      </c>
      <c r="I455" s="90">
        <v>0</v>
      </c>
      <c r="J455" s="90">
        <v>0</v>
      </c>
      <c r="K455" s="90">
        <v>0</v>
      </c>
      <c r="L455" s="90">
        <v>0</v>
      </c>
      <c r="M455" s="90">
        <v>0</v>
      </c>
      <c r="N455" s="90">
        <v>0</v>
      </c>
      <c r="O455" s="90">
        <v>0</v>
      </c>
      <c r="P455" s="90">
        <v>0</v>
      </c>
      <c r="Q455" s="90">
        <v>0</v>
      </c>
      <c r="R455" s="90">
        <v>0</v>
      </c>
      <c r="S455" s="90">
        <v>0</v>
      </c>
      <c r="T455" s="90">
        <v>0</v>
      </c>
      <c r="U455" s="90">
        <v>0</v>
      </c>
      <c r="V455" s="90">
        <v>0</v>
      </c>
      <c r="W455" s="90">
        <v>0</v>
      </c>
      <c r="X455">
        <v>0</v>
      </c>
      <c r="Y455">
        <v>0</v>
      </c>
      <c r="Z455">
        <v>0</v>
      </c>
    </row>
    <row r="456" spans="1:26" ht="12.75" customHeight="1" x14ac:dyDescent="0.25">
      <c r="D456" t="s">
        <v>86</v>
      </c>
      <c r="E456" s="89" t="s">
        <v>70</v>
      </c>
      <c r="F456" s="371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  <c r="N456" s="90">
        <v>0</v>
      </c>
      <c r="O456" s="90">
        <v>0</v>
      </c>
      <c r="P456" s="90">
        <v>0</v>
      </c>
      <c r="Q456" s="90">
        <v>0</v>
      </c>
      <c r="R456" s="90">
        <v>0</v>
      </c>
      <c r="S456" s="90">
        <v>0</v>
      </c>
      <c r="T456" s="90">
        <v>0</v>
      </c>
      <c r="U456" s="90">
        <v>0</v>
      </c>
      <c r="V456" s="90">
        <v>0</v>
      </c>
      <c r="W456" s="90">
        <v>0</v>
      </c>
      <c r="X456">
        <v>0</v>
      </c>
      <c r="Y456">
        <v>0</v>
      </c>
      <c r="Z456">
        <v>0</v>
      </c>
    </row>
    <row r="457" spans="1:26" ht="12.75" customHeight="1" x14ac:dyDescent="0.25">
      <c r="E457" s="89" t="s">
        <v>72</v>
      </c>
      <c r="F457" s="371">
        <v>0</v>
      </c>
      <c r="G457" s="90">
        <v>0</v>
      </c>
      <c r="H457" s="90">
        <v>0</v>
      </c>
      <c r="I457" s="90">
        <v>0</v>
      </c>
      <c r="J457" s="90">
        <v>0</v>
      </c>
      <c r="K457" s="90">
        <v>0</v>
      </c>
      <c r="L457" s="90">
        <v>0</v>
      </c>
      <c r="M457" s="90">
        <v>0</v>
      </c>
      <c r="N457" s="90">
        <v>0</v>
      </c>
      <c r="O457" s="90">
        <v>0</v>
      </c>
      <c r="P457" s="90">
        <v>0</v>
      </c>
      <c r="Q457" s="90">
        <v>0</v>
      </c>
      <c r="R457" s="90">
        <v>0</v>
      </c>
      <c r="S457" s="90">
        <v>0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</row>
    <row r="458" spans="1:26" ht="12.75" customHeight="1" x14ac:dyDescent="0.25">
      <c r="D458" t="s">
        <v>87</v>
      </c>
      <c r="E458" s="89" t="s">
        <v>70</v>
      </c>
      <c r="F458" s="371">
        <v>0</v>
      </c>
      <c r="G458" s="90">
        <v>0</v>
      </c>
      <c r="H458" s="90">
        <v>0</v>
      </c>
      <c r="I458" s="90">
        <v>0</v>
      </c>
      <c r="J458" s="90">
        <v>0</v>
      </c>
      <c r="K458" s="90">
        <v>0</v>
      </c>
      <c r="L458" s="90">
        <v>0</v>
      </c>
      <c r="M458" s="90">
        <v>0</v>
      </c>
      <c r="N458" s="90">
        <v>0</v>
      </c>
      <c r="O458" s="90">
        <v>0</v>
      </c>
      <c r="P458" s="90">
        <v>0</v>
      </c>
      <c r="Q458" s="90">
        <v>0</v>
      </c>
      <c r="R458" s="90">
        <v>0</v>
      </c>
      <c r="S458" s="90">
        <v>0</v>
      </c>
      <c r="T458" s="90">
        <v>0</v>
      </c>
      <c r="U458" s="90">
        <v>0</v>
      </c>
      <c r="V458" s="90">
        <v>0</v>
      </c>
      <c r="W458" s="90">
        <v>0</v>
      </c>
      <c r="X458" s="90">
        <v>0</v>
      </c>
      <c r="Y458" s="90">
        <v>0</v>
      </c>
      <c r="Z458" s="90">
        <v>0</v>
      </c>
    </row>
    <row r="459" spans="1:26" s="94" customFormat="1" ht="12.75" customHeight="1" x14ac:dyDescent="0.25">
      <c r="C459" s="101" t="s">
        <v>119</v>
      </c>
      <c r="D459" s="101" t="s">
        <v>70</v>
      </c>
      <c r="F459" s="93">
        <v>0</v>
      </c>
      <c r="G459" s="93">
        <v>0</v>
      </c>
      <c r="H459" s="93">
        <v>0</v>
      </c>
      <c r="I459" s="93">
        <v>0</v>
      </c>
      <c r="J459" s="93">
        <v>0</v>
      </c>
      <c r="K459" s="93">
        <v>0</v>
      </c>
      <c r="L459" s="93">
        <v>0</v>
      </c>
      <c r="M459" s="93">
        <v>0</v>
      </c>
      <c r="N459" s="93">
        <v>0</v>
      </c>
      <c r="O459" s="93">
        <v>0</v>
      </c>
      <c r="P459" s="93">
        <v>0</v>
      </c>
      <c r="Q459" s="93">
        <v>0</v>
      </c>
      <c r="R459" s="93">
        <v>0</v>
      </c>
      <c r="S459" s="93">
        <v>0</v>
      </c>
      <c r="T459" s="94">
        <v>0</v>
      </c>
      <c r="U459" s="94">
        <v>0</v>
      </c>
      <c r="V459" s="94">
        <v>0</v>
      </c>
      <c r="W459" s="94">
        <v>0</v>
      </c>
      <c r="X459" s="94">
        <v>0</v>
      </c>
      <c r="Y459" s="93">
        <v>0</v>
      </c>
      <c r="Z459" s="94">
        <v>0</v>
      </c>
    </row>
    <row r="460" spans="1:26" ht="12.75" customHeight="1" x14ac:dyDescent="0.25">
      <c r="B460" t="s">
        <v>112</v>
      </c>
      <c r="C460" t="s">
        <v>70</v>
      </c>
      <c r="E460" s="89"/>
      <c r="F460" s="371">
        <v>0</v>
      </c>
      <c r="G460" s="90">
        <v>0</v>
      </c>
      <c r="H460" s="90">
        <v>0</v>
      </c>
      <c r="I460" s="90">
        <v>0</v>
      </c>
      <c r="J460" s="90">
        <v>0</v>
      </c>
      <c r="K460" s="90">
        <v>0</v>
      </c>
      <c r="L460" s="90">
        <v>0</v>
      </c>
      <c r="M460" s="90">
        <v>0</v>
      </c>
      <c r="N460" s="90">
        <v>0</v>
      </c>
      <c r="O460" s="90">
        <v>0</v>
      </c>
      <c r="P460" s="90">
        <v>0</v>
      </c>
      <c r="Q460" s="90">
        <v>0</v>
      </c>
      <c r="R460" s="90">
        <v>0</v>
      </c>
      <c r="S460" s="9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90">
        <v>0</v>
      </c>
      <c r="Z460">
        <v>0</v>
      </c>
    </row>
    <row r="461" spans="1:26" s="458" customFormat="1" x14ac:dyDescent="0.25">
      <c r="A461" s="458" t="s">
        <v>186</v>
      </c>
      <c r="B461" s="459" t="s">
        <v>70</v>
      </c>
      <c r="C461" s="459"/>
      <c r="F461" s="460">
        <v>0</v>
      </c>
      <c r="G461" s="460">
        <v>0</v>
      </c>
      <c r="H461" s="460">
        <v>0</v>
      </c>
      <c r="I461" s="460">
        <v>0</v>
      </c>
      <c r="J461" s="460">
        <v>0</v>
      </c>
      <c r="K461" s="460">
        <v>0</v>
      </c>
      <c r="L461" s="460">
        <v>0</v>
      </c>
      <c r="M461" s="460">
        <v>0</v>
      </c>
      <c r="N461" s="460">
        <v>0</v>
      </c>
      <c r="O461" s="460">
        <v>0</v>
      </c>
      <c r="P461" s="460">
        <v>0</v>
      </c>
      <c r="Q461" s="460">
        <v>0</v>
      </c>
      <c r="R461" s="460">
        <v>0</v>
      </c>
      <c r="S461" s="460">
        <v>0</v>
      </c>
      <c r="T461" s="460">
        <v>0</v>
      </c>
      <c r="U461" s="460">
        <v>0</v>
      </c>
      <c r="V461" s="460">
        <v>0</v>
      </c>
      <c r="W461" s="460">
        <v>0</v>
      </c>
      <c r="X461" s="460">
        <v>0</v>
      </c>
      <c r="Y461" s="460">
        <v>0</v>
      </c>
      <c r="Z461" s="460">
        <v>0</v>
      </c>
    </row>
    <row r="462" spans="1:26" ht="12.75" customHeight="1" x14ac:dyDescent="0.25">
      <c r="E462" s="89" t="s">
        <v>72</v>
      </c>
      <c r="F462" s="90">
        <v>0</v>
      </c>
      <c r="G462" s="90">
        <v>0</v>
      </c>
      <c r="H462" s="90">
        <v>0</v>
      </c>
      <c r="I462" s="90">
        <v>0</v>
      </c>
      <c r="J462" s="90">
        <v>0</v>
      </c>
      <c r="K462" s="90">
        <v>0</v>
      </c>
      <c r="L462" s="90">
        <v>0</v>
      </c>
      <c r="M462" s="90">
        <v>0</v>
      </c>
      <c r="N462" s="90">
        <v>0</v>
      </c>
      <c r="O462" s="90">
        <v>0</v>
      </c>
      <c r="P462" s="90">
        <v>0</v>
      </c>
      <c r="Q462" s="90">
        <v>0</v>
      </c>
      <c r="R462" s="90">
        <v>0</v>
      </c>
      <c r="S462" s="90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90">
        <v>0</v>
      </c>
      <c r="Z462">
        <v>0</v>
      </c>
    </row>
    <row r="463" spans="1:26" ht="12.75" customHeight="1" x14ac:dyDescent="0.25">
      <c r="E463" s="89" t="s">
        <v>81</v>
      </c>
      <c r="F463" s="90">
        <v>0</v>
      </c>
      <c r="G463" s="90">
        <v>0</v>
      </c>
      <c r="H463" s="90">
        <v>0</v>
      </c>
      <c r="I463" s="90">
        <v>0</v>
      </c>
      <c r="J463" s="90">
        <v>0</v>
      </c>
      <c r="K463" s="90">
        <v>0</v>
      </c>
      <c r="L463" s="90">
        <v>0</v>
      </c>
      <c r="M463" s="90">
        <v>0</v>
      </c>
      <c r="N463" s="90">
        <v>0</v>
      </c>
      <c r="O463" s="90">
        <v>0</v>
      </c>
      <c r="P463" s="90">
        <v>0</v>
      </c>
      <c r="Q463" s="90">
        <v>0</v>
      </c>
      <c r="R463" s="90">
        <v>0</v>
      </c>
      <c r="S463" s="90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90">
        <v>0</v>
      </c>
      <c r="Z463">
        <v>0</v>
      </c>
    </row>
    <row r="464" spans="1:26" ht="12.75" customHeight="1" x14ac:dyDescent="0.25">
      <c r="D464" t="s">
        <v>156</v>
      </c>
      <c r="E464" s="89" t="s">
        <v>70</v>
      </c>
      <c r="F464" s="90">
        <v>0</v>
      </c>
      <c r="G464" s="90">
        <v>0</v>
      </c>
      <c r="H464" s="90">
        <v>0</v>
      </c>
      <c r="I464" s="90">
        <v>0</v>
      </c>
      <c r="J464" s="90">
        <v>0</v>
      </c>
      <c r="K464" s="90">
        <v>0</v>
      </c>
      <c r="L464" s="90">
        <v>0</v>
      </c>
      <c r="M464" s="90">
        <v>0</v>
      </c>
      <c r="N464" s="90">
        <v>0</v>
      </c>
      <c r="O464" s="90">
        <v>0</v>
      </c>
      <c r="P464" s="90">
        <v>0</v>
      </c>
      <c r="Q464" s="90">
        <v>0</v>
      </c>
      <c r="R464" s="90">
        <v>0</v>
      </c>
      <c r="S464" s="90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90">
        <v>0</v>
      </c>
      <c r="Z464">
        <v>0</v>
      </c>
    </row>
    <row r="465" spans="3:26" s="656" customFormat="1" ht="12.75" customHeight="1" x14ac:dyDescent="0.25">
      <c r="C465" s="656" t="s">
        <v>155</v>
      </c>
      <c r="D465" s="657" t="s">
        <v>70</v>
      </c>
      <c r="E465" s="657"/>
      <c r="F465" s="658">
        <v>0</v>
      </c>
      <c r="G465" s="658">
        <v>0</v>
      </c>
      <c r="H465" s="658">
        <v>0</v>
      </c>
      <c r="I465" s="658">
        <v>0</v>
      </c>
      <c r="J465" s="658">
        <v>0</v>
      </c>
      <c r="K465" s="658">
        <v>0</v>
      </c>
      <c r="L465" s="658">
        <v>0</v>
      </c>
      <c r="M465" s="658">
        <v>0</v>
      </c>
      <c r="N465" s="658">
        <v>0</v>
      </c>
      <c r="O465" s="658">
        <v>0</v>
      </c>
      <c r="P465" s="658">
        <v>0</v>
      </c>
      <c r="Q465" s="658">
        <v>0</v>
      </c>
      <c r="R465" s="658">
        <v>0</v>
      </c>
      <c r="S465" s="658">
        <v>0</v>
      </c>
      <c r="T465" s="656">
        <v>0</v>
      </c>
      <c r="U465" s="656">
        <v>0</v>
      </c>
      <c r="V465" s="656">
        <v>0</v>
      </c>
      <c r="W465" s="656">
        <v>0</v>
      </c>
      <c r="X465" s="656">
        <v>0</v>
      </c>
      <c r="Y465" s="658">
        <v>0</v>
      </c>
      <c r="Z465" s="656">
        <v>0</v>
      </c>
    </row>
    <row r="466" spans="3:26" ht="12.75" customHeight="1" x14ac:dyDescent="0.25">
      <c r="D466" s="89"/>
      <c r="E466" s="89" t="s">
        <v>72</v>
      </c>
      <c r="F466" s="371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 s="90">
        <v>0</v>
      </c>
      <c r="S466" s="90">
        <v>0</v>
      </c>
      <c r="T466" s="90">
        <v>0</v>
      </c>
      <c r="U466" s="90">
        <v>0</v>
      </c>
      <c r="V466" s="90">
        <v>0</v>
      </c>
      <c r="W466" s="90">
        <v>0</v>
      </c>
      <c r="X466">
        <v>0</v>
      </c>
      <c r="Y466">
        <v>0</v>
      </c>
      <c r="Z466">
        <v>0</v>
      </c>
    </row>
    <row r="467" spans="3:26" ht="12.75" customHeight="1" x14ac:dyDescent="0.25">
      <c r="D467" s="89"/>
      <c r="E467" s="89" t="s">
        <v>81</v>
      </c>
      <c r="F467" s="371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 s="90">
        <v>0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>
        <v>0</v>
      </c>
      <c r="Y467">
        <v>0</v>
      </c>
      <c r="Z467">
        <v>0</v>
      </c>
    </row>
    <row r="468" spans="3:26" ht="12.75" customHeight="1" x14ac:dyDescent="0.25">
      <c r="D468" s="89" t="s">
        <v>115</v>
      </c>
      <c r="E468" s="89" t="s">
        <v>70</v>
      </c>
      <c r="F468" s="371">
        <v>0</v>
      </c>
      <c r="G468" s="90">
        <v>0</v>
      </c>
      <c r="H468" s="90">
        <v>0</v>
      </c>
      <c r="I468" s="90">
        <v>0</v>
      </c>
      <c r="J468" s="90">
        <v>0</v>
      </c>
      <c r="K468" s="90">
        <v>0</v>
      </c>
      <c r="L468" s="90">
        <v>0</v>
      </c>
      <c r="M468" s="90">
        <v>0</v>
      </c>
      <c r="N468" s="90">
        <v>0</v>
      </c>
      <c r="O468" s="90">
        <v>0</v>
      </c>
      <c r="P468" s="90">
        <v>0</v>
      </c>
      <c r="Q468" s="90">
        <v>0</v>
      </c>
      <c r="R468" s="90">
        <v>0</v>
      </c>
      <c r="S468" s="90">
        <v>0</v>
      </c>
      <c r="T468" s="90">
        <v>0</v>
      </c>
      <c r="U468" s="90">
        <v>0</v>
      </c>
      <c r="V468" s="90">
        <v>0</v>
      </c>
      <c r="W468" s="90">
        <v>0</v>
      </c>
      <c r="X468">
        <v>0</v>
      </c>
      <c r="Y468">
        <v>0</v>
      </c>
      <c r="Z468">
        <v>0</v>
      </c>
    </row>
    <row r="469" spans="3:26" ht="12.75" customHeight="1" x14ac:dyDescent="0.25">
      <c r="D469" s="89"/>
      <c r="E469" s="89" t="s">
        <v>72</v>
      </c>
      <c r="F469" s="371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>
        <v>0</v>
      </c>
      <c r="Y469">
        <v>0</v>
      </c>
      <c r="Z469">
        <v>0</v>
      </c>
    </row>
    <row r="470" spans="3:26" ht="12.75" customHeight="1" x14ac:dyDescent="0.25">
      <c r="D470" s="89"/>
      <c r="E470" s="89" t="s">
        <v>81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 s="90">
        <v>0</v>
      </c>
      <c r="S470" s="90">
        <v>0</v>
      </c>
      <c r="T470" s="90">
        <v>0</v>
      </c>
      <c r="U470" s="90">
        <v>0</v>
      </c>
      <c r="V470" s="90">
        <v>0</v>
      </c>
      <c r="W470" s="90">
        <v>0</v>
      </c>
      <c r="X470">
        <v>0</v>
      </c>
      <c r="Y470">
        <v>0</v>
      </c>
      <c r="Z470">
        <v>0</v>
      </c>
    </row>
    <row r="471" spans="3:26" ht="12.75" customHeight="1" x14ac:dyDescent="0.25">
      <c r="D471" t="s">
        <v>116</v>
      </c>
      <c r="E471" s="89" t="s">
        <v>70</v>
      </c>
      <c r="F471" s="90">
        <v>0</v>
      </c>
      <c r="G471" s="90">
        <v>0</v>
      </c>
      <c r="H471" s="90">
        <v>0</v>
      </c>
      <c r="I471" s="90">
        <v>0</v>
      </c>
      <c r="J471" s="90">
        <v>0</v>
      </c>
      <c r="K471" s="90">
        <v>0</v>
      </c>
      <c r="L471" s="90">
        <v>0</v>
      </c>
      <c r="M471" s="90">
        <v>0</v>
      </c>
      <c r="N471" s="90">
        <v>0</v>
      </c>
      <c r="O471" s="90">
        <v>0</v>
      </c>
      <c r="P471" s="90">
        <v>0</v>
      </c>
      <c r="Q471" s="90">
        <v>0</v>
      </c>
      <c r="R471" s="90">
        <v>0</v>
      </c>
      <c r="S471" s="90">
        <v>0</v>
      </c>
      <c r="T471" s="90">
        <v>0</v>
      </c>
      <c r="U471" s="90">
        <v>0</v>
      </c>
      <c r="V471" s="90">
        <v>0</v>
      </c>
      <c r="W471" s="90">
        <v>0</v>
      </c>
      <c r="X471">
        <v>0</v>
      </c>
      <c r="Y471">
        <v>0</v>
      </c>
      <c r="Z471">
        <v>0</v>
      </c>
    </row>
    <row r="472" spans="3:26" ht="12.75" customHeight="1" x14ac:dyDescent="0.25">
      <c r="D472" s="89"/>
      <c r="E472" s="89" t="s">
        <v>72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 s="90">
        <v>0</v>
      </c>
      <c r="S472" s="90">
        <v>0</v>
      </c>
      <c r="T472" s="90">
        <v>0</v>
      </c>
      <c r="U472" s="90">
        <v>0</v>
      </c>
      <c r="V472" s="90">
        <v>0</v>
      </c>
      <c r="W472" s="90">
        <v>0</v>
      </c>
      <c r="X472">
        <v>0</v>
      </c>
      <c r="Y472">
        <v>0</v>
      </c>
      <c r="Z472">
        <v>0</v>
      </c>
    </row>
    <row r="473" spans="3:26" ht="12.75" customHeight="1" x14ac:dyDescent="0.25">
      <c r="E473" s="89" t="s">
        <v>81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 s="90">
        <v>0</v>
      </c>
      <c r="S473" s="90">
        <v>0</v>
      </c>
      <c r="T473" s="90">
        <v>0</v>
      </c>
      <c r="U473" s="90">
        <v>0</v>
      </c>
      <c r="V473" s="90">
        <v>0</v>
      </c>
      <c r="W473" s="90">
        <v>0</v>
      </c>
      <c r="X473">
        <v>0</v>
      </c>
      <c r="Y473">
        <v>0</v>
      </c>
      <c r="Z473">
        <v>0</v>
      </c>
    </row>
    <row r="474" spans="3:26" ht="12.75" customHeight="1" x14ac:dyDescent="0.25">
      <c r="D474" t="s">
        <v>118</v>
      </c>
      <c r="E474" s="89" t="s">
        <v>70</v>
      </c>
      <c r="F474" s="90">
        <v>0</v>
      </c>
      <c r="G474" s="90">
        <v>0</v>
      </c>
      <c r="H474" s="90">
        <v>0</v>
      </c>
      <c r="I474" s="90">
        <v>0</v>
      </c>
      <c r="J474" s="90">
        <v>0</v>
      </c>
      <c r="K474" s="90">
        <v>0</v>
      </c>
      <c r="L474" s="90">
        <v>0</v>
      </c>
      <c r="M474" s="90">
        <v>0</v>
      </c>
      <c r="N474" s="90">
        <v>0</v>
      </c>
      <c r="O474" s="90">
        <v>0</v>
      </c>
      <c r="P474" s="90">
        <v>0</v>
      </c>
      <c r="Q474" s="90">
        <v>0</v>
      </c>
      <c r="R474" s="90">
        <v>0</v>
      </c>
      <c r="S474" s="90">
        <v>0</v>
      </c>
      <c r="T474" s="90">
        <v>0</v>
      </c>
      <c r="U474" s="90">
        <v>0</v>
      </c>
      <c r="V474" s="90">
        <v>0</v>
      </c>
      <c r="W474" s="90">
        <v>0</v>
      </c>
      <c r="X474">
        <v>0</v>
      </c>
      <c r="Y474">
        <v>0</v>
      </c>
      <c r="Z474">
        <v>0</v>
      </c>
    </row>
    <row r="475" spans="3:26" s="224" customFormat="1" ht="12.75" customHeight="1" x14ac:dyDescent="0.25">
      <c r="C475" s="223" t="s">
        <v>120</v>
      </c>
      <c r="D475" s="223" t="s">
        <v>70</v>
      </c>
      <c r="F475" s="225">
        <v>0</v>
      </c>
      <c r="G475" s="225">
        <v>0</v>
      </c>
      <c r="H475" s="225">
        <v>0</v>
      </c>
      <c r="I475" s="225">
        <v>0</v>
      </c>
      <c r="J475" s="225">
        <v>0</v>
      </c>
      <c r="K475" s="225">
        <v>0</v>
      </c>
      <c r="L475" s="225">
        <v>0</v>
      </c>
      <c r="M475" s="225">
        <v>0</v>
      </c>
      <c r="N475" s="225">
        <v>0</v>
      </c>
      <c r="O475" s="225">
        <v>0</v>
      </c>
      <c r="P475" s="225">
        <v>0</v>
      </c>
      <c r="Q475" s="225">
        <v>0</v>
      </c>
      <c r="R475" s="225">
        <v>0</v>
      </c>
      <c r="S475" s="225">
        <v>0</v>
      </c>
      <c r="T475" s="224">
        <v>0</v>
      </c>
      <c r="U475" s="224">
        <v>0</v>
      </c>
      <c r="V475" s="224">
        <v>0</v>
      </c>
      <c r="W475" s="224">
        <v>0</v>
      </c>
      <c r="X475" s="224">
        <v>0</v>
      </c>
      <c r="Y475" s="225">
        <v>0</v>
      </c>
      <c r="Z475" s="224">
        <v>0</v>
      </c>
    </row>
    <row r="476" spans="3:26" ht="12.75" customHeight="1" x14ac:dyDescent="0.25">
      <c r="E476" s="89" t="s">
        <v>72</v>
      </c>
      <c r="F476" s="371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 s="90">
        <v>0</v>
      </c>
      <c r="S476" s="90">
        <v>0</v>
      </c>
      <c r="T476" s="90">
        <v>0</v>
      </c>
      <c r="U476" s="90">
        <v>0</v>
      </c>
      <c r="V476" s="90">
        <v>0</v>
      </c>
      <c r="W476" s="90">
        <v>0</v>
      </c>
      <c r="X476">
        <v>0</v>
      </c>
      <c r="Y476">
        <v>0</v>
      </c>
      <c r="Z476">
        <v>0</v>
      </c>
    </row>
    <row r="477" spans="3:26" ht="12.75" customHeight="1" x14ac:dyDescent="0.25">
      <c r="E477" s="89" t="s">
        <v>81</v>
      </c>
      <c r="F477" s="371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 s="90">
        <v>0</v>
      </c>
      <c r="S477" s="90">
        <v>0</v>
      </c>
      <c r="T477" s="90">
        <v>0</v>
      </c>
      <c r="U477" s="90">
        <v>0</v>
      </c>
      <c r="V477" s="90">
        <v>0</v>
      </c>
      <c r="W477" s="90">
        <v>0</v>
      </c>
      <c r="X477">
        <v>0</v>
      </c>
      <c r="Y477">
        <v>0</v>
      </c>
      <c r="Z477">
        <v>0</v>
      </c>
    </row>
    <row r="478" spans="3:26" ht="12.75" customHeight="1" x14ac:dyDescent="0.25">
      <c r="D478" t="s">
        <v>82</v>
      </c>
      <c r="E478" s="89" t="s">
        <v>70</v>
      </c>
      <c r="F478" s="371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 s="90">
        <v>0</v>
      </c>
      <c r="S478" s="90">
        <v>0</v>
      </c>
      <c r="T478" s="90">
        <v>0</v>
      </c>
      <c r="U478" s="90">
        <v>0</v>
      </c>
      <c r="V478" s="90">
        <v>0</v>
      </c>
      <c r="W478" s="90">
        <v>0</v>
      </c>
      <c r="X478">
        <v>0</v>
      </c>
      <c r="Y478">
        <v>0</v>
      </c>
      <c r="Z478">
        <v>0</v>
      </c>
    </row>
    <row r="479" spans="3:26" ht="12.75" customHeight="1" x14ac:dyDescent="0.25">
      <c r="E479" s="89" t="s">
        <v>72</v>
      </c>
      <c r="F479" s="371">
        <v>0</v>
      </c>
      <c r="G479" s="90">
        <v>0</v>
      </c>
      <c r="H479" s="90">
        <v>0</v>
      </c>
      <c r="I479" s="90">
        <v>0</v>
      </c>
      <c r="J479" s="90">
        <v>0</v>
      </c>
      <c r="K479" s="90">
        <v>0</v>
      </c>
      <c r="L479" s="90">
        <v>0</v>
      </c>
      <c r="M479" s="90">
        <v>0</v>
      </c>
      <c r="N479" s="90">
        <v>0</v>
      </c>
      <c r="O479" s="90">
        <v>0</v>
      </c>
      <c r="P479" s="90">
        <v>0</v>
      </c>
      <c r="Q479" s="90">
        <v>0</v>
      </c>
      <c r="R479" s="90">
        <v>0</v>
      </c>
      <c r="S479" s="90">
        <v>0</v>
      </c>
      <c r="T479" s="90">
        <v>0</v>
      </c>
      <c r="U479" s="90">
        <v>0</v>
      </c>
      <c r="V479" s="90">
        <v>0</v>
      </c>
      <c r="W479" s="90">
        <v>0</v>
      </c>
      <c r="X479">
        <v>0</v>
      </c>
      <c r="Y479">
        <v>0</v>
      </c>
      <c r="Z479">
        <v>0</v>
      </c>
    </row>
    <row r="480" spans="3:26" ht="12.75" customHeight="1" x14ac:dyDescent="0.25">
      <c r="E480" s="89" t="s">
        <v>81</v>
      </c>
      <c r="F480" s="371">
        <v>0</v>
      </c>
      <c r="G480" s="90">
        <v>0</v>
      </c>
      <c r="H480" s="90">
        <v>0</v>
      </c>
      <c r="I480" s="90">
        <v>0</v>
      </c>
      <c r="J480" s="90">
        <v>0</v>
      </c>
      <c r="K480" s="90">
        <v>0</v>
      </c>
      <c r="L480" s="90">
        <v>0</v>
      </c>
      <c r="M480" s="90">
        <v>0</v>
      </c>
      <c r="N480" s="90">
        <v>0</v>
      </c>
      <c r="O480" s="90">
        <v>0</v>
      </c>
      <c r="P480" s="90">
        <v>0</v>
      </c>
      <c r="Q480" s="90">
        <v>0</v>
      </c>
      <c r="R480" s="90">
        <v>0</v>
      </c>
      <c r="S480" s="90">
        <v>0</v>
      </c>
      <c r="T480" s="90">
        <v>0</v>
      </c>
      <c r="U480" s="90">
        <v>0</v>
      </c>
      <c r="V480" s="90">
        <v>0</v>
      </c>
      <c r="W480" s="90">
        <v>0</v>
      </c>
      <c r="X480">
        <v>0</v>
      </c>
      <c r="Y480">
        <v>0</v>
      </c>
      <c r="Z480">
        <v>0</v>
      </c>
    </row>
    <row r="481" spans="2:26" ht="12.75" customHeight="1" x14ac:dyDescent="0.25">
      <c r="D481" t="s">
        <v>86</v>
      </c>
      <c r="E481" s="89" t="s">
        <v>70</v>
      </c>
      <c r="F481" s="371">
        <v>0</v>
      </c>
      <c r="G481" s="90">
        <v>0</v>
      </c>
      <c r="H481" s="90">
        <v>0</v>
      </c>
      <c r="I481" s="90">
        <v>0</v>
      </c>
      <c r="J481" s="90">
        <v>0</v>
      </c>
      <c r="K481" s="90">
        <v>0</v>
      </c>
      <c r="L481" s="90">
        <v>0</v>
      </c>
      <c r="M481" s="90">
        <v>0</v>
      </c>
      <c r="N481" s="90">
        <v>0</v>
      </c>
      <c r="O481" s="90">
        <v>0</v>
      </c>
      <c r="P481" s="90">
        <v>0</v>
      </c>
      <c r="Q481" s="90">
        <v>0</v>
      </c>
      <c r="R481" s="90">
        <v>0</v>
      </c>
      <c r="S481" s="90">
        <v>0</v>
      </c>
      <c r="T481" s="90">
        <v>0</v>
      </c>
      <c r="U481" s="90">
        <v>0</v>
      </c>
      <c r="V481" s="90">
        <v>0</v>
      </c>
      <c r="W481" s="90">
        <v>0</v>
      </c>
      <c r="X481">
        <v>0</v>
      </c>
      <c r="Y481">
        <v>0</v>
      </c>
      <c r="Z481">
        <v>0</v>
      </c>
    </row>
    <row r="482" spans="2:26" ht="12.75" customHeight="1" x14ac:dyDescent="0.25">
      <c r="E482" s="89" t="s">
        <v>72</v>
      </c>
      <c r="F482" s="371">
        <v>0</v>
      </c>
      <c r="G482" s="90">
        <v>0</v>
      </c>
      <c r="H482" s="90">
        <v>0</v>
      </c>
      <c r="I482" s="90">
        <v>0</v>
      </c>
      <c r="J482" s="90">
        <v>0</v>
      </c>
      <c r="K482" s="90">
        <v>0</v>
      </c>
      <c r="L482" s="90">
        <v>0</v>
      </c>
      <c r="M482" s="90">
        <v>0</v>
      </c>
      <c r="N482" s="90">
        <v>0</v>
      </c>
      <c r="O482" s="90">
        <v>0</v>
      </c>
      <c r="P482" s="90">
        <v>0</v>
      </c>
      <c r="Q482" s="90">
        <v>0</v>
      </c>
      <c r="R482" s="90">
        <v>0</v>
      </c>
      <c r="S482" s="90">
        <v>0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</row>
    <row r="483" spans="2:26" x14ac:dyDescent="0.25">
      <c r="E483" t="s">
        <v>81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  <c r="S483" s="90">
        <v>0</v>
      </c>
      <c r="T483" s="90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s="90">
        <v>0</v>
      </c>
    </row>
    <row r="484" spans="2:26" ht="12.75" customHeight="1" x14ac:dyDescent="0.25">
      <c r="D484" t="s">
        <v>87</v>
      </c>
      <c r="E484" s="89" t="s">
        <v>70</v>
      </c>
      <c r="F484" s="371">
        <v>0</v>
      </c>
      <c r="G484" s="90">
        <v>0</v>
      </c>
      <c r="H484" s="90">
        <v>0</v>
      </c>
      <c r="I484" s="90">
        <v>0</v>
      </c>
      <c r="J484" s="90">
        <v>0</v>
      </c>
      <c r="K484" s="90">
        <v>0</v>
      </c>
      <c r="L484" s="90">
        <v>0</v>
      </c>
      <c r="M484" s="90">
        <v>0</v>
      </c>
      <c r="N484" s="90">
        <v>0</v>
      </c>
      <c r="O484" s="90">
        <v>0</v>
      </c>
      <c r="P484" s="90">
        <v>0</v>
      </c>
      <c r="Q484" s="90">
        <v>0</v>
      </c>
      <c r="R484" s="90">
        <v>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</row>
    <row r="485" spans="2:26" s="94" customFormat="1" ht="12.75" customHeight="1" x14ac:dyDescent="0.25">
      <c r="C485" s="94" t="s">
        <v>119</v>
      </c>
      <c r="D485" s="94" t="s">
        <v>70</v>
      </c>
      <c r="E485" s="101"/>
      <c r="F485" s="93">
        <v>0</v>
      </c>
      <c r="G485" s="93">
        <v>0</v>
      </c>
      <c r="H485" s="93">
        <v>0</v>
      </c>
      <c r="I485" s="93">
        <v>0</v>
      </c>
      <c r="J485" s="93">
        <v>0</v>
      </c>
      <c r="K485" s="93">
        <v>0</v>
      </c>
      <c r="L485" s="93">
        <v>0</v>
      </c>
      <c r="M485" s="93">
        <v>0</v>
      </c>
      <c r="N485" s="93">
        <v>0</v>
      </c>
      <c r="O485" s="93">
        <v>0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4">
        <v>0</v>
      </c>
      <c r="Y485" s="94">
        <v>0</v>
      </c>
      <c r="Z485" s="94">
        <v>0</v>
      </c>
    </row>
    <row r="486" spans="2:26" s="378" customFormat="1" ht="12.75" customHeight="1" x14ac:dyDescent="0.25">
      <c r="B486" s="378" t="s">
        <v>122</v>
      </c>
      <c r="C486" s="378" t="s">
        <v>70</v>
      </c>
      <c r="E486" s="376"/>
      <c r="F486" s="377">
        <v>0</v>
      </c>
      <c r="G486" s="377">
        <v>0</v>
      </c>
      <c r="H486" s="377">
        <v>0</v>
      </c>
      <c r="I486" s="377">
        <v>0</v>
      </c>
      <c r="J486" s="377">
        <v>0</v>
      </c>
      <c r="K486" s="377">
        <v>0</v>
      </c>
      <c r="L486" s="377">
        <v>0</v>
      </c>
      <c r="M486" s="377">
        <v>0</v>
      </c>
      <c r="N486" s="377">
        <v>0</v>
      </c>
      <c r="O486" s="377">
        <v>0</v>
      </c>
      <c r="P486" s="377">
        <v>0</v>
      </c>
      <c r="Q486" s="377">
        <v>0</v>
      </c>
      <c r="R486" s="377">
        <v>0</v>
      </c>
      <c r="S486" s="377">
        <v>0</v>
      </c>
      <c r="T486" s="378">
        <v>0</v>
      </c>
      <c r="U486" s="378">
        <v>0</v>
      </c>
      <c r="V486" s="378">
        <v>0</v>
      </c>
      <c r="W486" s="378">
        <v>0</v>
      </c>
      <c r="X486" s="378">
        <v>0</v>
      </c>
      <c r="Y486" s="377">
        <v>0</v>
      </c>
      <c r="Z486" s="378">
        <v>0</v>
      </c>
    </row>
    <row r="487" spans="2:26" ht="12.75" customHeight="1" x14ac:dyDescent="0.25">
      <c r="E487" s="89" t="s">
        <v>72</v>
      </c>
      <c r="F487" s="90">
        <v>0</v>
      </c>
      <c r="G487" s="90">
        <v>0</v>
      </c>
      <c r="H487" s="90">
        <v>0</v>
      </c>
      <c r="I487" s="90">
        <v>0</v>
      </c>
      <c r="J487" s="90">
        <v>0</v>
      </c>
      <c r="K487" s="90">
        <v>0</v>
      </c>
      <c r="L487" s="90">
        <v>0</v>
      </c>
      <c r="M487" s="90">
        <v>0</v>
      </c>
      <c r="N487" s="90">
        <v>0</v>
      </c>
      <c r="O487" s="90">
        <v>0</v>
      </c>
      <c r="P487" s="90">
        <v>0</v>
      </c>
      <c r="Q487" s="90">
        <v>0</v>
      </c>
      <c r="R487" s="90">
        <v>0</v>
      </c>
      <c r="S487" s="90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90">
        <v>0</v>
      </c>
      <c r="Z487">
        <v>0</v>
      </c>
    </row>
    <row r="488" spans="2:26" ht="12.75" customHeight="1" x14ac:dyDescent="0.25">
      <c r="E488" s="89" t="s">
        <v>81</v>
      </c>
      <c r="F488" s="371">
        <v>0</v>
      </c>
      <c r="G488" s="90">
        <v>0</v>
      </c>
      <c r="H488" s="90">
        <v>0</v>
      </c>
      <c r="I488" s="90">
        <v>0</v>
      </c>
      <c r="J488" s="90">
        <v>0</v>
      </c>
      <c r="K488" s="90">
        <v>0</v>
      </c>
      <c r="L488" s="90">
        <v>0</v>
      </c>
      <c r="M488" s="90">
        <v>0</v>
      </c>
      <c r="N488" s="90">
        <v>0</v>
      </c>
      <c r="O488" s="90">
        <v>0</v>
      </c>
      <c r="P488" s="90">
        <v>0</v>
      </c>
      <c r="Q488" s="90">
        <v>0</v>
      </c>
      <c r="R488" s="90">
        <v>0</v>
      </c>
      <c r="S488" s="90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90">
        <v>0</v>
      </c>
      <c r="Z488">
        <v>0</v>
      </c>
    </row>
    <row r="489" spans="2:26" ht="12.75" customHeight="1" x14ac:dyDescent="0.25">
      <c r="D489" t="s">
        <v>156</v>
      </c>
      <c r="E489" s="89" t="s">
        <v>70</v>
      </c>
      <c r="F489" s="90">
        <v>0</v>
      </c>
      <c r="G489" s="90">
        <v>0</v>
      </c>
      <c r="H489" s="90">
        <v>0</v>
      </c>
      <c r="I489" s="90">
        <v>0</v>
      </c>
      <c r="J489" s="90">
        <v>0</v>
      </c>
      <c r="K489" s="90">
        <v>0</v>
      </c>
      <c r="L489" s="90">
        <v>0</v>
      </c>
      <c r="M489" s="90">
        <v>0</v>
      </c>
      <c r="N489" s="90">
        <v>0</v>
      </c>
      <c r="O489" s="90">
        <v>0</v>
      </c>
      <c r="P489" s="90">
        <v>0</v>
      </c>
      <c r="Q489" s="90">
        <v>0</v>
      </c>
      <c r="R489" s="90">
        <v>0</v>
      </c>
      <c r="S489" s="90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90">
        <v>0</v>
      </c>
      <c r="Z489">
        <v>0</v>
      </c>
    </row>
    <row r="490" spans="2:26" s="656" customFormat="1" ht="12.75" customHeight="1" x14ac:dyDescent="0.25">
      <c r="C490" s="656" t="s">
        <v>155</v>
      </c>
      <c r="D490" s="657" t="s">
        <v>70</v>
      </c>
      <c r="E490" s="657"/>
      <c r="F490" s="658">
        <v>0</v>
      </c>
      <c r="G490" s="658">
        <v>0</v>
      </c>
      <c r="H490" s="658">
        <v>0</v>
      </c>
      <c r="I490" s="658">
        <v>0</v>
      </c>
      <c r="J490" s="658">
        <v>0</v>
      </c>
      <c r="K490" s="658">
        <v>0</v>
      </c>
      <c r="L490" s="658">
        <v>0</v>
      </c>
      <c r="M490" s="658">
        <v>0</v>
      </c>
      <c r="N490" s="658">
        <v>0</v>
      </c>
      <c r="O490" s="658">
        <v>0</v>
      </c>
      <c r="P490" s="658">
        <v>0</v>
      </c>
      <c r="Q490" s="658">
        <v>0</v>
      </c>
      <c r="R490" s="658">
        <v>0</v>
      </c>
      <c r="S490" s="658">
        <v>0</v>
      </c>
      <c r="T490" s="656">
        <v>0</v>
      </c>
      <c r="U490" s="656">
        <v>0</v>
      </c>
      <c r="V490" s="656">
        <v>0</v>
      </c>
      <c r="W490" s="656">
        <v>0</v>
      </c>
      <c r="X490" s="656">
        <v>0</v>
      </c>
      <c r="Y490" s="658">
        <v>0</v>
      </c>
      <c r="Z490" s="656">
        <v>0</v>
      </c>
    </row>
    <row r="491" spans="2:26" ht="12.75" customHeight="1" x14ac:dyDescent="0.25">
      <c r="D491" s="89"/>
      <c r="E491" s="89" t="s">
        <v>72</v>
      </c>
      <c r="F491" s="371">
        <v>0</v>
      </c>
      <c r="G491" s="90">
        <v>0</v>
      </c>
      <c r="H491" s="90">
        <v>0</v>
      </c>
      <c r="I491" s="90">
        <v>0</v>
      </c>
      <c r="J491" s="90">
        <v>0</v>
      </c>
      <c r="K491" s="90">
        <v>0</v>
      </c>
      <c r="L491" s="90">
        <v>0</v>
      </c>
      <c r="M491" s="90">
        <v>0</v>
      </c>
      <c r="N491" s="90">
        <v>0</v>
      </c>
      <c r="O491" s="90">
        <v>0</v>
      </c>
      <c r="P491" s="90">
        <v>0</v>
      </c>
      <c r="Q491" s="90">
        <v>0</v>
      </c>
      <c r="R491" s="90">
        <v>0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90">
        <v>0</v>
      </c>
      <c r="Z491">
        <v>0</v>
      </c>
    </row>
    <row r="492" spans="2:26" ht="12.75" customHeight="1" x14ac:dyDescent="0.25">
      <c r="D492" s="89"/>
      <c r="E492" s="89" t="s">
        <v>81</v>
      </c>
      <c r="F492" s="371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90">
        <v>0</v>
      </c>
      <c r="M492" s="90">
        <v>0</v>
      </c>
      <c r="N492" s="90">
        <v>0</v>
      </c>
      <c r="O492" s="90">
        <v>0</v>
      </c>
      <c r="P492" s="90">
        <v>0</v>
      </c>
      <c r="Q492" s="90">
        <v>0</v>
      </c>
      <c r="R492" s="90">
        <v>0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90">
        <v>0</v>
      </c>
      <c r="Z492">
        <v>0</v>
      </c>
    </row>
    <row r="493" spans="2:26" ht="12.75" customHeight="1" x14ac:dyDescent="0.25">
      <c r="D493" s="89" t="s">
        <v>115</v>
      </c>
      <c r="E493" s="89" t="s">
        <v>70</v>
      </c>
      <c r="F493" s="371">
        <v>0</v>
      </c>
      <c r="G493" s="90">
        <v>0</v>
      </c>
      <c r="H493" s="90">
        <v>0</v>
      </c>
      <c r="I493" s="90">
        <v>0</v>
      </c>
      <c r="J493" s="90">
        <v>0</v>
      </c>
      <c r="K493" s="90">
        <v>0</v>
      </c>
      <c r="L493" s="90">
        <v>0</v>
      </c>
      <c r="M493" s="90">
        <v>0</v>
      </c>
      <c r="N493" s="90">
        <v>0</v>
      </c>
      <c r="O493" s="90">
        <v>0</v>
      </c>
      <c r="P493" s="90">
        <v>0</v>
      </c>
      <c r="Q493" s="90">
        <v>0</v>
      </c>
      <c r="R493" s="90">
        <v>0</v>
      </c>
      <c r="S493" s="90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90">
        <v>0</v>
      </c>
      <c r="Z493">
        <v>0</v>
      </c>
    </row>
    <row r="494" spans="2:26" ht="12.75" customHeight="1" x14ac:dyDescent="0.25">
      <c r="C494" s="89"/>
      <c r="D494" s="89"/>
      <c r="E494" t="s">
        <v>72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90">
        <v>0</v>
      </c>
      <c r="M494" s="90">
        <v>0</v>
      </c>
      <c r="N494" s="90">
        <v>0</v>
      </c>
      <c r="O494" s="90">
        <v>0</v>
      </c>
      <c r="P494" s="90">
        <v>0</v>
      </c>
      <c r="Q494" s="90">
        <v>0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90">
        <v>0</v>
      </c>
      <c r="Z494">
        <v>0</v>
      </c>
    </row>
    <row r="495" spans="2:26" ht="12.75" customHeight="1" x14ac:dyDescent="0.25">
      <c r="E495" s="89" t="s">
        <v>81</v>
      </c>
      <c r="F495" s="90">
        <v>0</v>
      </c>
      <c r="G495" s="90">
        <v>0</v>
      </c>
      <c r="H495" s="90">
        <v>0</v>
      </c>
      <c r="I495" s="90">
        <v>0</v>
      </c>
      <c r="J495" s="90">
        <v>0</v>
      </c>
      <c r="K495" s="90">
        <v>0</v>
      </c>
      <c r="L495" s="90">
        <v>0</v>
      </c>
      <c r="M495" s="90">
        <v>0</v>
      </c>
      <c r="N495" s="90">
        <v>0</v>
      </c>
      <c r="O495" s="90">
        <v>0</v>
      </c>
      <c r="P495" s="90">
        <v>0</v>
      </c>
      <c r="Q495" s="90">
        <v>0</v>
      </c>
      <c r="R495" s="90">
        <v>0</v>
      </c>
      <c r="S495" s="90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90">
        <v>0</v>
      </c>
      <c r="Z495">
        <v>0</v>
      </c>
    </row>
    <row r="496" spans="2:26" ht="12.75" customHeight="1" x14ac:dyDescent="0.25">
      <c r="D496" s="773">
        <v>2</v>
      </c>
      <c r="E496" s="89" t="s">
        <v>70</v>
      </c>
      <c r="F496" s="90">
        <v>0</v>
      </c>
      <c r="G496" s="90">
        <v>0</v>
      </c>
      <c r="H496" s="90">
        <v>0</v>
      </c>
      <c r="I496" s="90">
        <v>0</v>
      </c>
      <c r="J496" s="90">
        <v>0</v>
      </c>
      <c r="K496" s="90">
        <v>0</v>
      </c>
      <c r="L496" s="90">
        <v>0</v>
      </c>
      <c r="M496" s="90">
        <v>0</v>
      </c>
      <c r="N496" s="90">
        <v>0</v>
      </c>
      <c r="O496" s="90">
        <v>0</v>
      </c>
      <c r="P496" s="90">
        <v>0</v>
      </c>
      <c r="Q496" s="90">
        <v>0</v>
      </c>
      <c r="R496" s="90">
        <v>0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90">
        <v>0</v>
      </c>
      <c r="Z496">
        <v>0</v>
      </c>
    </row>
    <row r="497" spans="1:26" ht="12.75" customHeight="1" x14ac:dyDescent="0.25">
      <c r="C497" s="89"/>
      <c r="D497" s="89"/>
      <c r="E497" t="s">
        <v>72</v>
      </c>
      <c r="F497" s="90">
        <v>0</v>
      </c>
      <c r="G497" s="90">
        <v>0</v>
      </c>
      <c r="H497" s="90">
        <v>0</v>
      </c>
      <c r="I497" s="90">
        <v>0</v>
      </c>
      <c r="J497" s="90">
        <v>0</v>
      </c>
      <c r="K497" s="90">
        <v>0</v>
      </c>
      <c r="L497" s="90">
        <v>0</v>
      </c>
      <c r="M497" s="90">
        <v>0</v>
      </c>
      <c r="N497" s="90">
        <v>0</v>
      </c>
      <c r="O497" s="90">
        <v>0</v>
      </c>
      <c r="P497" s="90">
        <v>0</v>
      </c>
      <c r="Q497" s="90">
        <v>0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90">
        <v>0</v>
      </c>
      <c r="Z497">
        <v>0</v>
      </c>
    </row>
    <row r="498" spans="1:26" ht="12.75" customHeight="1" x14ac:dyDescent="0.25">
      <c r="E498" s="89" t="s">
        <v>81</v>
      </c>
      <c r="F498" s="90">
        <v>0</v>
      </c>
      <c r="G498" s="90">
        <v>0</v>
      </c>
      <c r="H498" s="90">
        <v>0</v>
      </c>
      <c r="I498" s="90">
        <v>0</v>
      </c>
      <c r="J498" s="90">
        <v>0</v>
      </c>
      <c r="K498" s="90">
        <v>0</v>
      </c>
      <c r="L498" s="90">
        <v>0</v>
      </c>
      <c r="M498" s="90">
        <v>0</v>
      </c>
      <c r="N498" s="90">
        <v>0</v>
      </c>
      <c r="O498" s="90">
        <v>0</v>
      </c>
      <c r="P498" s="90">
        <v>0</v>
      </c>
      <c r="Q498" s="90">
        <v>0</v>
      </c>
      <c r="R498" s="90">
        <v>0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90">
        <v>0</v>
      </c>
      <c r="Z498">
        <v>0</v>
      </c>
    </row>
    <row r="499" spans="1:26" ht="12.75" customHeight="1" x14ac:dyDescent="0.25">
      <c r="D499" t="s">
        <v>118</v>
      </c>
      <c r="E499" s="89" t="s">
        <v>70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90">
        <v>0</v>
      </c>
      <c r="M499" s="90">
        <v>0</v>
      </c>
      <c r="N499" s="90">
        <v>0</v>
      </c>
      <c r="O499" s="90">
        <v>0</v>
      </c>
      <c r="P499" s="90">
        <v>0</v>
      </c>
      <c r="Q499" s="90">
        <v>0</v>
      </c>
      <c r="R499" s="90">
        <v>0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90">
        <v>0</v>
      </c>
      <c r="Z499">
        <v>0</v>
      </c>
    </row>
    <row r="500" spans="1:26" s="224" customFormat="1" ht="12.75" customHeight="1" x14ac:dyDescent="0.25">
      <c r="C500" s="223" t="s">
        <v>120</v>
      </c>
      <c r="D500" s="223" t="s">
        <v>70</v>
      </c>
      <c r="F500" s="225">
        <v>0</v>
      </c>
      <c r="G500" s="225">
        <v>0</v>
      </c>
      <c r="H500" s="225">
        <v>0</v>
      </c>
      <c r="I500" s="225">
        <v>0</v>
      </c>
      <c r="J500" s="225">
        <v>0</v>
      </c>
      <c r="K500" s="225">
        <v>0</v>
      </c>
      <c r="L500" s="225">
        <v>0</v>
      </c>
      <c r="M500" s="225">
        <v>0</v>
      </c>
      <c r="N500" s="225">
        <v>0</v>
      </c>
      <c r="O500" s="225">
        <v>0</v>
      </c>
      <c r="P500" s="225">
        <v>0</v>
      </c>
      <c r="Q500" s="225">
        <v>0</v>
      </c>
      <c r="R500" s="225">
        <v>0</v>
      </c>
      <c r="S500" s="225">
        <v>0</v>
      </c>
      <c r="T500" s="224">
        <v>0</v>
      </c>
      <c r="U500" s="224">
        <v>0</v>
      </c>
      <c r="V500" s="224">
        <v>0</v>
      </c>
      <c r="W500" s="224">
        <v>0</v>
      </c>
      <c r="X500" s="224">
        <v>0</v>
      </c>
      <c r="Y500" s="225">
        <v>0</v>
      </c>
      <c r="Z500" s="224">
        <v>0</v>
      </c>
    </row>
    <row r="501" spans="1:26" ht="12.75" customHeight="1" x14ac:dyDescent="0.25">
      <c r="E501" s="89" t="s">
        <v>72</v>
      </c>
      <c r="F501" s="90">
        <v>0</v>
      </c>
      <c r="G501" s="90">
        <v>0</v>
      </c>
      <c r="H501" s="90">
        <v>0</v>
      </c>
      <c r="I501" s="90">
        <v>0</v>
      </c>
      <c r="J501" s="90">
        <v>0</v>
      </c>
      <c r="K501" s="90">
        <v>0</v>
      </c>
      <c r="L501" s="90">
        <v>0</v>
      </c>
      <c r="M501" s="90">
        <v>0</v>
      </c>
      <c r="N501" s="90">
        <v>0</v>
      </c>
      <c r="O501" s="90">
        <v>0</v>
      </c>
      <c r="P501" s="90">
        <v>0</v>
      </c>
      <c r="Q501" s="90">
        <v>0</v>
      </c>
      <c r="R501" s="90">
        <v>0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90">
        <v>0</v>
      </c>
      <c r="Z501">
        <v>0</v>
      </c>
    </row>
    <row r="502" spans="1:26" ht="12.75" customHeight="1" x14ac:dyDescent="0.25">
      <c r="D502" s="89"/>
      <c r="E502" s="89" t="s">
        <v>81</v>
      </c>
      <c r="F502" s="90">
        <v>0</v>
      </c>
      <c r="G502" s="90">
        <v>0</v>
      </c>
      <c r="H502" s="90">
        <v>0</v>
      </c>
      <c r="I502" s="90">
        <v>0</v>
      </c>
      <c r="J502" s="90">
        <v>0</v>
      </c>
      <c r="K502" s="90">
        <v>0</v>
      </c>
      <c r="L502" s="90">
        <v>0</v>
      </c>
      <c r="M502" s="90">
        <v>0</v>
      </c>
      <c r="N502" s="90">
        <v>0</v>
      </c>
      <c r="O502" s="90">
        <v>0</v>
      </c>
      <c r="P502" s="90">
        <v>0</v>
      </c>
      <c r="Q502" s="90">
        <v>0</v>
      </c>
      <c r="R502" s="90">
        <v>0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90">
        <v>0</v>
      </c>
      <c r="Z502">
        <v>0</v>
      </c>
    </row>
    <row r="503" spans="1:26" ht="12.75" customHeight="1" x14ac:dyDescent="0.25">
      <c r="D503" t="s">
        <v>82</v>
      </c>
      <c r="E503" s="89" t="s">
        <v>70</v>
      </c>
      <c r="F503" s="90">
        <v>0</v>
      </c>
      <c r="G503" s="90">
        <v>0</v>
      </c>
      <c r="H503" s="90">
        <v>0</v>
      </c>
      <c r="I503" s="90">
        <v>0</v>
      </c>
      <c r="J503" s="90">
        <v>0</v>
      </c>
      <c r="K503" s="90">
        <v>0</v>
      </c>
      <c r="L503" s="90">
        <v>0</v>
      </c>
      <c r="M503" s="90">
        <v>0</v>
      </c>
      <c r="N503" s="90">
        <v>0</v>
      </c>
      <c r="O503" s="90">
        <v>0</v>
      </c>
      <c r="P503" s="90">
        <v>0</v>
      </c>
      <c r="Q503" s="90">
        <v>0</v>
      </c>
      <c r="R503" s="90">
        <v>0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90">
        <v>0</v>
      </c>
      <c r="Z503">
        <v>0</v>
      </c>
    </row>
    <row r="504" spans="1:26" ht="12.75" customHeight="1" x14ac:dyDescent="0.25">
      <c r="E504" s="89" t="s">
        <v>72</v>
      </c>
      <c r="F504" s="90">
        <v>0</v>
      </c>
      <c r="G504" s="90">
        <v>0</v>
      </c>
      <c r="H504" s="90">
        <v>0</v>
      </c>
      <c r="I504" s="90">
        <v>0</v>
      </c>
      <c r="J504" s="90">
        <v>0</v>
      </c>
      <c r="K504" s="90">
        <v>0</v>
      </c>
      <c r="L504" s="90">
        <v>0</v>
      </c>
      <c r="M504" s="90">
        <v>0</v>
      </c>
      <c r="N504" s="90">
        <v>0</v>
      </c>
      <c r="O504" s="90">
        <v>0</v>
      </c>
      <c r="P504" s="90">
        <v>0</v>
      </c>
      <c r="Q504" s="90">
        <v>0</v>
      </c>
      <c r="R504" s="90">
        <v>0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90">
        <v>0</v>
      </c>
      <c r="Z504">
        <v>0</v>
      </c>
    </row>
    <row r="505" spans="1:26" ht="12.75" customHeight="1" x14ac:dyDescent="0.25">
      <c r="D505" s="89"/>
      <c r="E505" s="89" t="s">
        <v>81</v>
      </c>
      <c r="F505" s="90">
        <v>0</v>
      </c>
      <c r="G505" s="90">
        <v>0</v>
      </c>
      <c r="H505" s="90">
        <v>0</v>
      </c>
      <c r="I505" s="90">
        <v>0</v>
      </c>
      <c r="J505" s="90">
        <v>0</v>
      </c>
      <c r="K505" s="90">
        <v>0</v>
      </c>
      <c r="L505" s="90">
        <v>0</v>
      </c>
      <c r="M505" s="90">
        <v>0</v>
      </c>
      <c r="N505" s="90">
        <v>0</v>
      </c>
      <c r="O505" s="90">
        <v>0</v>
      </c>
      <c r="P505" s="90">
        <v>0</v>
      </c>
      <c r="Q505" s="90">
        <v>0</v>
      </c>
      <c r="R505" s="90">
        <v>0</v>
      </c>
      <c r="S505" s="90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90">
        <v>0</v>
      </c>
      <c r="Z505">
        <v>0</v>
      </c>
    </row>
    <row r="506" spans="1:26" ht="12.75" customHeight="1" x14ac:dyDescent="0.25">
      <c r="C506" s="89"/>
      <c r="D506" s="89" t="s">
        <v>86</v>
      </c>
      <c r="E506" t="s">
        <v>70</v>
      </c>
      <c r="F506" s="90">
        <v>0</v>
      </c>
      <c r="G506" s="90">
        <v>0</v>
      </c>
      <c r="H506" s="90">
        <v>0</v>
      </c>
      <c r="I506" s="90">
        <v>0</v>
      </c>
      <c r="J506" s="90">
        <v>0</v>
      </c>
      <c r="K506" s="90">
        <v>0</v>
      </c>
      <c r="L506" s="90">
        <v>0</v>
      </c>
      <c r="M506" s="90">
        <v>0</v>
      </c>
      <c r="N506" s="90">
        <v>0</v>
      </c>
      <c r="O506" s="90">
        <v>0</v>
      </c>
      <c r="P506" s="90">
        <v>0</v>
      </c>
      <c r="Q506" s="90">
        <v>0</v>
      </c>
      <c r="R506" s="90">
        <v>0</v>
      </c>
      <c r="S506" s="90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90">
        <v>0</v>
      </c>
      <c r="Z506">
        <v>0</v>
      </c>
    </row>
    <row r="507" spans="1:26" ht="12.75" customHeight="1" x14ac:dyDescent="0.25">
      <c r="B507" s="89"/>
      <c r="C507" s="89"/>
      <c r="E507" t="s">
        <v>72</v>
      </c>
      <c r="F507" s="90">
        <v>0</v>
      </c>
      <c r="G507" s="90">
        <v>0</v>
      </c>
      <c r="H507" s="90">
        <v>0</v>
      </c>
      <c r="I507" s="90">
        <v>0</v>
      </c>
      <c r="J507" s="90">
        <v>0</v>
      </c>
      <c r="K507" s="90">
        <v>0</v>
      </c>
      <c r="L507" s="90">
        <v>0</v>
      </c>
      <c r="M507" s="90">
        <v>0</v>
      </c>
      <c r="N507" s="90">
        <v>0</v>
      </c>
      <c r="O507" s="90">
        <v>0</v>
      </c>
      <c r="P507" s="90">
        <v>0</v>
      </c>
      <c r="Q507" s="90">
        <v>0</v>
      </c>
      <c r="R507" s="90">
        <v>0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90">
        <v>0</v>
      </c>
      <c r="Z507">
        <v>0</v>
      </c>
    </row>
    <row r="508" spans="1:26" ht="12.75" customHeight="1" x14ac:dyDescent="0.25">
      <c r="A508" s="89"/>
      <c r="B508" s="89"/>
      <c r="E508" t="s">
        <v>81</v>
      </c>
      <c r="F508" s="90">
        <v>0</v>
      </c>
      <c r="G508" s="90">
        <v>0</v>
      </c>
      <c r="H508" s="90">
        <v>0</v>
      </c>
      <c r="I508" s="90">
        <v>0</v>
      </c>
      <c r="J508" s="90">
        <v>0</v>
      </c>
      <c r="K508" s="90">
        <v>0</v>
      </c>
      <c r="L508" s="90">
        <v>0</v>
      </c>
      <c r="M508" s="90">
        <v>0</v>
      </c>
      <c r="N508" s="90">
        <v>0</v>
      </c>
      <c r="O508" s="90">
        <v>0</v>
      </c>
      <c r="P508" s="90">
        <v>0</v>
      </c>
      <c r="Q508" s="90">
        <v>0</v>
      </c>
      <c r="R508" s="90">
        <v>0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90">
        <v>0</v>
      </c>
      <c r="Z508">
        <v>0</v>
      </c>
    </row>
    <row r="509" spans="1:26" ht="12.75" customHeight="1" x14ac:dyDescent="0.25">
      <c r="A509" s="89"/>
      <c r="B509" s="89"/>
      <c r="D509" t="s">
        <v>87</v>
      </c>
      <c r="E509" t="s">
        <v>70</v>
      </c>
      <c r="F509" s="371">
        <v>0</v>
      </c>
      <c r="G509" s="90">
        <v>0</v>
      </c>
      <c r="H509" s="90">
        <v>0</v>
      </c>
      <c r="I509" s="90">
        <v>0</v>
      </c>
      <c r="J509" s="90">
        <v>0</v>
      </c>
      <c r="K509" s="90">
        <v>0</v>
      </c>
      <c r="L509" s="90">
        <v>0</v>
      </c>
      <c r="M509" s="90">
        <v>0</v>
      </c>
      <c r="N509" s="90">
        <v>0</v>
      </c>
      <c r="O509" s="90">
        <v>0</v>
      </c>
      <c r="P509" s="90">
        <v>0</v>
      </c>
      <c r="Q509" s="90">
        <v>0</v>
      </c>
      <c r="R509" s="90">
        <v>0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90">
        <v>0</v>
      </c>
      <c r="Z509">
        <v>0</v>
      </c>
    </row>
    <row r="510" spans="1:26" s="94" customFormat="1" ht="12.75" customHeight="1" x14ac:dyDescent="0.25">
      <c r="C510" s="101" t="s">
        <v>119</v>
      </c>
      <c r="D510" s="101" t="s">
        <v>70</v>
      </c>
      <c r="F510" s="93">
        <v>0</v>
      </c>
      <c r="G510" s="93">
        <v>0</v>
      </c>
      <c r="H510" s="93">
        <v>0</v>
      </c>
      <c r="I510" s="93">
        <v>0</v>
      </c>
      <c r="J510" s="93">
        <v>0</v>
      </c>
      <c r="K510" s="93">
        <v>0</v>
      </c>
      <c r="L510" s="93">
        <v>0</v>
      </c>
      <c r="M510" s="93">
        <v>0</v>
      </c>
      <c r="N510" s="93">
        <v>0</v>
      </c>
      <c r="O510" s="93">
        <v>0</v>
      </c>
      <c r="P510" s="93">
        <v>0</v>
      </c>
      <c r="Q510" s="93">
        <v>0</v>
      </c>
      <c r="R510" s="93">
        <v>0</v>
      </c>
      <c r="S510" s="93">
        <v>0</v>
      </c>
      <c r="T510" s="94">
        <v>0</v>
      </c>
      <c r="U510" s="94">
        <v>0</v>
      </c>
      <c r="V510" s="94">
        <v>0</v>
      </c>
      <c r="W510" s="94">
        <v>0</v>
      </c>
      <c r="X510" s="94">
        <v>0</v>
      </c>
      <c r="Y510" s="93">
        <v>0</v>
      </c>
      <c r="Z510" s="94">
        <v>0</v>
      </c>
    </row>
    <row r="511" spans="1:26" s="226" customFormat="1" ht="12.75" customHeight="1" x14ac:dyDescent="0.25">
      <c r="B511" s="98" t="s">
        <v>112</v>
      </c>
      <c r="C511" s="98" t="s">
        <v>70</v>
      </c>
      <c r="F511" s="100">
        <v>0</v>
      </c>
      <c r="G511" s="100">
        <v>0</v>
      </c>
      <c r="H511" s="100">
        <v>0</v>
      </c>
      <c r="I511" s="100">
        <v>0</v>
      </c>
      <c r="J511" s="100">
        <v>0</v>
      </c>
      <c r="K511" s="100">
        <v>0</v>
      </c>
      <c r="L511" s="100">
        <v>0</v>
      </c>
      <c r="M511" s="100">
        <v>0</v>
      </c>
      <c r="N511" s="100">
        <v>0</v>
      </c>
      <c r="O511" s="100">
        <v>0</v>
      </c>
      <c r="P511" s="100">
        <v>0</v>
      </c>
      <c r="Q511" s="100">
        <v>0</v>
      </c>
      <c r="R511" s="100">
        <v>0</v>
      </c>
      <c r="S511" s="100">
        <v>0</v>
      </c>
      <c r="T511" s="226">
        <v>0</v>
      </c>
      <c r="U511" s="226">
        <v>0</v>
      </c>
      <c r="V511" s="226">
        <v>0</v>
      </c>
      <c r="W511" s="226">
        <v>0</v>
      </c>
      <c r="X511" s="226">
        <v>0</v>
      </c>
      <c r="Y511" s="100">
        <v>0</v>
      </c>
      <c r="Z511" s="226">
        <v>0</v>
      </c>
    </row>
    <row r="512" spans="1:26" ht="12" customHeight="1" x14ac:dyDescent="0.25">
      <c r="A512" s="89" t="s">
        <v>78</v>
      </c>
      <c r="B512" s="89" t="s">
        <v>70</v>
      </c>
      <c r="F512" s="371">
        <v>0</v>
      </c>
      <c r="G512" s="90">
        <v>0</v>
      </c>
      <c r="H512" s="90">
        <v>0</v>
      </c>
      <c r="I512" s="90">
        <v>0</v>
      </c>
      <c r="J512" s="90">
        <v>0</v>
      </c>
      <c r="K512" s="90">
        <v>0</v>
      </c>
      <c r="L512" s="90">
        <v>0</v>
      </c>
      <c r="M512" s="90">
        <v>0</v>
      </c>
      <c r="N512" s="90">
        <v>0</v>
      </c>
      <c r="O512" s="90">
        <v>0</v>
      </c>
      <c r="P512" s="90">
        <v>0</v>
      </c>
      <c r="Q512" s="90">
        <v>0</v>
      </c>
      <c r="R512" s="90">
        <v>0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90">
        <v>0</v>
      </c>
      <c r="Z512">
        <v>0</v>
      </c>
    </row>
    <row r="513" spans="2:26" ht="12.75" customHeight="1" x14ac:dyDescent="0.25">
      <c r="B513" s="89"/>
      <c r="C513" s="89"/>
      <c r="E513" t="s">
        <v>73</v>
      </c>
      <c r="F513" s="90">
        <v>0</v>
      </c>
      <c r="G513" s="90">
        <v>0</v>
      </c>
      <c r="H513" s="90">
        <v>0</v>
      </c>
      <c r="I513" s="90">
        <v>0</v>
      </c>
      <c r="J513" s="90">
        <v>0</v>
      </c>
      <c r="K513" s="90">
        <v>0</v>
      </c>
      <c r="L513" s="90">
        <v>0</v>
      </c>
      <c r="M513" s="90">
        <v>0</v>
      </c>
      <c r="N513" s="90">
        <v>0</v>
      </c>
      <c r="O513" s="90">
        <v>0</v>
      </c>
      <c r="P513" s="90">
        <v>0</v>
      </c>
      <c r="Q513" s="90">
        <v>0</v>
      </c>
      <c r="R513" s="90">
        <v>0</v>
      </c>
      <c r="S513" s="90">
        <v>0</v>
      </c>
      <c r="T513" s="90">
        <v>0</v>
      </c>
      <c r="U513" s="90">
        <v>0</v>
      </c>
      <c r="V513" s="90">
        <v>0</v>
      </c>
      <c r="W513" s="90">
        <v>0</v>
      </c>
      <c r="X513">
        <v>0</v>
      </c>
      <c r="Y513">
        <v>0</v>
      </c>
      <c r="Z513">
        <v>0</v>
      </c>
    </row>
    <row r="514" spans="2:26" ht="12.75" customHeight="1" x14ac:dyDescent="0.25">
      <c r="B514" s="89"/>
      <c r="C514" s="89"/>
      <c r="D514" t="s">
        <v>156</v>
      </c>
      <c r="E514" t="s">
        <v>70</v>
      </c>
      <c r="F514" s="90">
        <v>0</v>
      </c>
      <c r="G514" s="90">
        <v>0</v>
      </c>
      <c r="H514" s="90">
        <v>0</v>
      </c>
      <c r="I514" s="90">
        <v>0</v>
      </c>
      <c r="J514" s="90">
        <v>0</v>
      </c>
      <c r="K514" s="90">
        <v>0</v>
      </c>
      <c r="L514" s="90">
        <v>0</v>
      </c>
      <c r="M514" s="90">
        <v>0</v>
      </c>
      <c r="N514" s="90">
        <v>0</v>
      </c>
      <c r="O514" s="90">
        <v>0</v>
      </c>
      <c r="P514" s="90">
        <v>0</v>
      </c>
      <c r="Q514" s="90">
        <v>0</v>
      </c>
      <c r="R514" s="90">
        <v>0</v>
      </c>
      <c r="S514" s="90">
        <v>0</v>
      </c>
      <c r="T514" s="90">
        <v>0</v>
      </c>
      <c r="U514" s="90">
        <v>0</v>
      </c>
      <c r="V514" s="90">
        <v>0</v>
      </c>
      <c r="W514" s="90">
        <v>0</v>
      </c>
      <c r="X514">
        <v>0</v>
      </c>
      <c r="Y514">
        <v>0</v>
      </c>
      <c r="Z514">
        <v>0</v>
      </c>
    </row>
    <row r="515" spans="2:26" s="656" customFormat="1" ht="12.75" customHeight="1" x14ac:dyDescent="0.25">
      <c r="C515" s="656" t="s">
        <v>155</v>
      </c>
      <c r="D515" s="657" t="s">
        <v>70</v>
      </c>
      <c r="E515" s="657"/>
      <c r="F515" s="658">
        <v>0</v>
      </c>
      <c r="G515" s="658">
        <v>0</v>
      </c>
      <c r="H515" s="658">
        <v>0</v>
      </c>
      <c r="I515" s="658">
        <v>0</v>
      </c>
      <c r="J515" s="658">
        <v>0</v>
      </c>
      <c r="K515" s="658">
        <v>0</v>
      </c>
      <c r="L515" s="658">
        <v>0</v>
      </c>
      <c r="M515" s="658">
        <v>0</v>
      </c>
      <c r="N515" s="658">
        <v>0</v>
      </c>
      <c r="O515" s="658">
        <v>0</v>
      </c>
      <c r="P515" s="658">
        <v>0</v>
      </c>
      <c r="Q515" s="658">
        <v>0</v>
      </c>
      <c r="R515" s="658">
        <v>0</v>
      </c>
      <c r="S515" s="658">
        <v>0</v>
      </c>
      <c r="T515" s="658">
        <v>0</v>
      </c>
      <c r="U515" s="658">
        <v>0</v>
      </c>
      <c r="V515" s="658">
        <v>0</v>
      </c>
      <c r="W515" s="658">
        <v>0</v>
      </c>
      <c r="X515" s="656">
        <v>0</v>
      </c>
      <c r="Y515" s="656">
        <v>0</v>
      </c>
      <c r="Z515" s="656">
        <v>0</v>
      </c>
    </row>
    <row r="516" spans="2:26" ht="12.75" customHeight="1" x14ac:dyDescent="0.25">
      <c r="E516" s="89" t="s">
        <v>73</v>
      </c>
      <c r="F516" s="90">
        <v>0</v>
      </c>
      <c r="G516" s="90">
        <v>0</v>
      </c>
      <c r="H516" s="90">
        <v>0</v>
      </c>
      <c r="I516" s="90">
        <v>0</v>
      </c>
      <c r="J516" s="90">
        <v>0</v>
      </c>
      <c r="K516" s="90">
        <v>0</v>
      </c>
      <c r="L516" s="90">
        <v>0</v>
      </c>
      <c r="M516" s="90">
        <v>0</v>
      </c>
      <c r="N516" s="90">
        <v>0</v>
      </c>
      <c r="O516" s="90">
        <v>0</v>
      </c>
      <c r="P516" s="90">
        <v>0</v>
      </c>
      <c r="Q516" s="90">
        <v>0</v>
      </c>
      <c r="R516" s="90">
        <v>0</v>
      </c>
      <c r="S516" s="90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90">
        <v>0</v>
      </c>
      <c r="Z516">
        <v>0</v>
      </c>
    </row>
    <row r="517" spans="2:26" ht="12.75" customHeight="1" x14ac:dyDescent="0.25">
      <c r="D517" t="s">
        <v>115</v>
      </c>
      <c r="E517" s="89" t="s">
        <v>70</v>
      </c>
      <c r="F517" s="371">
        <v>0</v>
      </c>
      <c r="G517" s="90">
        <v>0</v>
      </c>
      <c r="H517" s="90">
        <v>0</v>
      </c>
      <c r="I517" s="90">
        <v>0</v>
      </c>
      <c r="J517" s="90">
        <v>0</v>
      </c>
      <c r="K517" s="90">
        <v>0</v>
      </c>
      <c r="L517" s="90">
        <v>0</v>
      </c>
      <c r="M517" s="90">
        <v>0</v>
      </c>
      <c r="N517" s="90">
        <v>0</v>
      </c>
      <c r="O517" s="90">
        <v>0</v>
      </c>
      <c r="P517" s="90">
        <v>0</v>
      </c>
      <c r="Q517" s="90">
        <v>0</v>
      </c>
      <c r="R517" s="90">
        <v>0</v>
      </c>
      <c r="S517" s="90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90">
        <v>0</v>
      </c>
      <c r="Z517">
        <v>0</v>
      </c>
    </row>
    <row r="518" spans="2:26" ht="12.75" customHeight="1" x14ac:dyDescent="0.25">
      <c r="E518" s="89" t="s">
        <v>73</v>
      </c>
      <c r="F518" s="371">
        <v>0</v>
      </c>
      <c r="G518" s="90">
        <v>0</v>
      </c>
      <c r="H518" s="90">
        <v>0</v>
      </c>
      <c r="I518" s="90">
        <v>0</v>
      </c>
      <c r="J518" s="90">
        <v>0</v>
      </c>
      <c r="K518" s="90">
        <v>0</v>
      </c>
      <c r="L518" s="90">
        <v>0</v>
      </c>
      <c r="M518" s="90">
        <v>0</v>
      </c>
      <c r="N518" s="90">
        <v>0</v>
      </c>
      <c r="O518" s="90">
        <v>0</v>
      </c>
      <c r="P518" s="90">
        <v>0</v>
      </c>
      <c r="Q518" s="90">
        <v>0</v>
      </c>
      <c r="R518" s="90">
        <v>0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90">
        <v>0</v>
      </c>
      <c r="Z518">
        <v>0</v>
      </c>
    </row>
    <row r="519" spans="2:26" ht="12.75" customHeight="1" x14ac:dyDescent="0.25">
      <c r="D519" s="772">
        <v>2</v>
      </c>
      <c r="E519" s="89" t="s">
        <v>70</v>
      </c>
      <c r="F519" s="371">
        <v>0</v>
      </c>
      <c r="G519" s="90">
        <v>0</v>
      </c>
      <c r="H519" s="90">
        <v>0</v>
      </c>
      <c r="I519" s="90">
        <v>0</v>
      </c>
      <c r="J519" s="90">
        <v>0</v>
      </c>
      <c r="K519" s="90">
        <v>0</v>
      </c>
      <c r="L519" s="90">
        <v>0</v>
      </c>
      <c r="M519" s="90">
        <v>0</v>
      </c>
      <c r="N519" s="90">
        <v>0</v>
      </c>
      <c r="O519" s="90">
        <v>0</v>
      </c>
      <c r="P519" s="90">
        <v>0</v>
      </c>
      <c r="Q519" s="90">
        <v>0</v>
      </c>
      <c r="R519" s="90">
        <v>0</v>
      </c>
      <c r="S519" s="90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90">
        <v>0</v>
      </c>
      <c r="Z519">
        <v>0</v>
      </c>
    </row>
    <row r="520" spans="2:26" ht="12.75" customHeight="1" x14ac:dyDescent="0.25">
      <c r="E520" s="89" t="s">
        <v>73</v>
      </c>
      <c r="F520" s="371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  <c r="N520" s="90">
        <v>0</v>
      </c>
      <c r="O520" s="90">
        <v>0</v>
      </c>
      <c r="P520" s="90">
        <v>0</v>
      </c>
      <c r="Q520" s="90">
        <v>0</v>
      </c>
      <c r="R520" s="90">
        <v>0</v>
      </c>
      <c r="S520" s="9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90">
        <v>0</v>
      </c>
      <c r="Z520">
        <v>0</v>
      </c>
    </row>
    <row r="521" spans="2:26" ht="12.75" customHeight="1" x14ac:dyDescent="0.25">
      <c r="D521" t="s">
        <v>118</v>
      </c>
      <c r="E521" s="89" t="s">
        <v>70</v>
      </c>
      <c r="F521" s="371">
        <v>0</v>
      </c>
      <c r="G521" s="90">
        <v>0</v>
      </c>
      <c r="H521" s="90">
        <v>0</v>
      </c>
      <c r="I521" s="90">
        <v>0</v>
      </c>
      <c r="J521" s="90">
        <v>0</v>
      </c>
      <c r="K521" s="90">
        <v>0</v>
      </c>
      <c r="L521" s="90">
        <v>0</v>
      </c>
      <c r="M521" s="90">
        <v>0</v>
      </c>
      <c r="N521" s="90">
        <v>0</v>
      </c>
      <c r="O521" s="90">
        <v>0</v>
      </c>
      <c r="P521" s="90">
        <v>0</v>
      </c>
      <c r="Q521" s="90">
        <v>0</v>
      </c>
      <c r="R521" s="90">
        <v>0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90">
        <v>0</v>
      </c>
      <c r="Z521">
        <v>0</v>
      </c>
    </row>
    <row r="522" spans="2:26" s="224" customFormat="1" ht="12.75" customHeight="1" x14ac:dyDescent="0.25">
      <c r="C522" s="223" t="s">
        <v>120</v>
      </c>
      <c r="D522" s="223" t="s">
        <v>70</v>
      </c>
      <c r="F522" s="225">
        <v>0</v>
      </c>
      <c r="G522" s="225">
        <v>0</v>
      </c>
      <c r="H522" s="225">
        <v>0</v>
      </c>
      <c r="I522" s="225">
        <v>0</v>
      </c>
      <c r="J522" s="225">
        <v>0</v>
      </c>
      <c r="K522" s="225">
        <v>0</v>
      </c>
      <c r="L522" s="225">
        <v>0</v>
      </c>
      <c r="M522" s="225">
        <v>0</v>
      </c>
      <c r="N522" s="225">
        <v>0</v>
      </c>
      <c r="O522" s="225">
        <v>0</v>
      </c>
      <c r="P522" s="225">
        <v>0</v>
      </c>
      <c r="Q522" s="225">
        <v>0</v>
      </c>
      <c r="R522" s="225">
        <v>0</v>
      </c>
      <c r="S522" s="225">
        <v>0</v>
      </c>
      <c r="T522" s="224">
        <v>0</v>
      </c>
      <c r="U522" s="224">
        <v>0</v>
      </c>
      <c r="V522" s="224">
        <v>0</v>
      </c>
      <c r="W522" s="224">
        <v>0</v>
      </c>
      <c r="X522" s="224">
        <v>0</v>
      </c>
      <c r="Y522" s="225">
        <v>0</v>
      </c>
      <c r="Z522" s="224">
        <v>0</v>
      </c>
    </row>
    <row r="523" spans="2:26" ht="12.75" customHeight="1" x14ac:dyDescent="0.25">
      <c r="D523" s="89"/>
      <c r="E523" s="89" t="s">
        <v>73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2:26" ht="12.75" customHeight="1" x14ac:dyDescent="0.25">
      <c r="D524" s="89" t="s">
        <v>82</v>
      </c>
      <c r="E524" s="89" t="s">
        <v>70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2:26" ht="12.75" customHeight="1" x14ac:dyDescent="0.25">
      <c r="D525" s="89"/>
      <c r="E525" s="89" t="s">
        <v>73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2:26" ht="12.75" customHeight="1" x14ac:dyDescent="0.25">
      <c r="D526" s="89" t="s">
        <v>86</v>
      </c>
      <c r="E526" s="89" t="s">
        <v>70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2:26" x14ac:dyDescent="0.25">
      <c r="E527" t="s">
        <v>73</v>
      </c>
      <c r="F527" s="90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90">
        <v>0</v>
      </c>
    </row>
    <row r="528" spans="2:26" x14ac:dyDescent="0.25">
      <c r="D528" t="s">
        <v>87</v>
      </c>
      <c r="E528" t="s">
        <v>70</v>
      </c>
      <c r="F528" s="90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90">
        <v>0</v>
      </c>
    </row>
    <row r="529" spans="2:26" s="94" customFormat="1" ht="12.75" customHeight="1" x14ac:dyDescent="0.25">
      <c r="C529" s="94" t="s">
        <v>119</v>
      </c>
      <c r="D529" s="94" t="s">
        <v>70</v>
      </c>
      <c r="E529" s="101"/>
      <c r="F529" s="93">
        <v>0</v>
      </c>
      <c r="G529" s="93">
        <v>0</v>
      </c>
      <c r="H529" s="93">
        <v>0</v>
      </c>
      <c r="I529" s="93">
        <v>0</v>
      </c>
      <c r="J529" s="93">
        <v>0</v>
      </c>
      <c r="K529" s="93">
        <v>0</v>
      </c>
      <c r="L529" s="93">
        <v>0</v>
      </c>
      <c r="M529" s="93">
        <v>0</v>
      </c>
      <c r="N529" s="93">
        <v>0</v>
      </c>
      <c r="O529" s="93">
        <v>0</v>
      </c>
      <c r="P529" s="93">
        <v>0</v>
      </c>
      <c r="Q529" s="93">
        <v>0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  <c r="W529" s="93">
        <v>0</v>
      </c>
      <c r="X529" s="94">
        <v>0</v>
      </c>
      <c r="Y529" s="94">
        <v>0</v>
      </c>
      <c r="Z529" s="94">
        <v>0</v>
      </c>
    </row>
    <row r="530" spans="2:26" s="378" customFormat="1" ht="12.75" customHeight="1" x14ac:dyDescent="0.25">
      <c r="B530" s="378" t="s">
        <v>122</v>
      </c>
      <c r="C530" s="378" t="s">
        <v>70</v>
      </c>
      <c r="E530" s="376"/>
      <c r="F530" s="377">
        <v>0</v>
      </c>
      <c r="G530" s="377">
        <v>0</v>
      </c>
      <c r="H530" s="377">
        <v>0</v>
      </c>
      <c r="I530" s="377">
        <v>0</v>
      </c>
      <c r="J530" s="377">
        <v>0</v>
      </c>
      <c r="K530" s="377">
        <v>0</v>
      </c>
      <c r="L530" s="377">
        <v>0</v>
      </c>
      <c r="M530" s="377">
        <v>0</v>
      </c>
      <c r="N530" s="377">
        <v>0</v>
      </c>
      <c r="O530" s="377">
        <v>0</v>
      </c>
      <c r="P530" s="377">
        <v>0</v>
      </c>
      <c r="Q530" s="377">
        <v>0</v>
      </c>
      <c r="R530" s="377">
        <v>0</v>
      </c>
      <c r="S530" s="377">
        <v>0</v>
      </c>
      <c r="T530" s="378">
        <v>0</v>
      </c>
      <c r="U530" s="378">
        <v>0</v>
      </c>
      <c r="V530" s="378">
        <v>0</v>
      </c>
      <c r="W530" s="378">
        <v>0</v>
      </c>
      <c r="X530" s="378">
        <v>0</v>
      </c>
      <c r="Y530" s="377">
        <v>0</v>
      </c>
      <c r="Z530" s="378">
        <v>0</v>
      </c>
    </row>
    <row r="531" spans="2:26" ht="12.75" customHeight="1" x14ac:dyDescent="0.25">
      <c r="E531" s="89" t="s">
        <v>73</v>
      </c>
      <c r="F531" s="90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90">
        <v>0</v>
      </c>
      <c r="Z531">
        <v>0</v>
      </c>
    </row>
    <row r="532" spans="2:26" ht="12.75" customHeight="1" x14ac:dyDescent="0.25">
      <c r="D532" s="89" t="s">
        <v>156</v>
      </c>
      <c r="E532" s="89" t="s">
        <v>70</v>
      </c>
      <c r="F532" s="90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90">
        <v>0</v>
      </c>
      <c r="Z532">
        <v>0</v>
      </c>
    </row>
    <row r="533" spans="2:26" s="656" customFormat="1" ht="12.75" customHeight="1" x14ac:dyDescent="0.25">
      <c r="C533" s="656" t="s">
        <v>155</v>
      </c>
      <c r="D533" s="657" t="s">
        <v>70</v>
      </c>
      <c r="E533" s="657"/>
      <c r="F533" s="738">
        <v>0</v>
      </c>
      <c r="G533" s="658">
        <v>0</v>
      </c>
      <c r="H533" s="658">
        <v>0</v>
      </c>
      <c r="I533" s="658">
        <v>0</v>
      </c>
      <c r="J533" s="658">
        <v>0</v>
      </c>
      <c r="K533" s="658">
        <v>0</v>
      </c>
      <c r="L533" s="658">
        <v>0</v>
      </c>
      <c r="M533" s="658">
        <v>0</v>
      </c>
      <c r="N533" s="658">
        <v>0</v>
      </c>
      <c r="O533" s="658">
        <v>0</v>
      </c>
      <c r="P533" s="658">
        <v>0</v>
      </c>
      <c r="Q533" s="658">
        <v>0</v>
      </c>
      <c r="R533" s="658">
        <v>0</v>
      </c>
      <c r="S533" s="658">
        <v>0</v>
      </c>
      <c r="T533" s="656">
        <v>0</v>
      </c>
      <c r="U533" s="656">
        <v>0</v>
      </c>
      <c r="V533" s="656">
        <v>0</v>
      </c>
      <c r="W533" s="656">
        <v>0</v>
      </c>
      <c r="X533" s="656">
        <v>0</v>
      </c>
      <c r="Y533" s="658">
        <v>0</v>
      </c>
      <c r="Z533" s="656">
        <v>0</v>
      </c>
    </row>
    <row r="534" spans="2:26" ht="12.75" customHeight="1" x14ac:dyDescent="0.25">
      <c r="D534" s="89"/>
      <c r="E534" s="89" t="s">
        <v>73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90">
        <v>0</v>
      </c>
      <c r="Z534">
        <v>0</v>
      </c>
    </row>
    <row r="535" spans="2:26" ht="12.6" customHeight="1" x14ac:dyDescent="0.25">
      <c r="D535" s="89" t="s">
        <v>115</v>
      </c>
      <c r="E535" s="89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90">
        <v>0</v>
      </c>
      <c r="Z535">
        <v>0</v>
      </c>
    </row>
    <row r="536" spans="2:26" ht="12.75" customHeight="1" x14ac:dyDescent="0.25">
      <c r="E536" s="89" t="s">
        <v>73</v>
      </c>
      <c r="F536" s="90">
        <v>0</v>
      </c>
      <c r="G536" s="90">
        <v>0</v>
      </c>
      <c r="H536" s="90">
        <v>0</v>
      </c>
      <c r="I536" s="90">
        <v>0</v>
      </c>
      <c r="J536" s="90">
        <v>0</v>
      </c>
      <c r="K536" s="90">
        <v>0</v>
      </c>
      <c r="L536" s="90">
        <v>0</v>
      </c>
      <c r="M536" s="90">
        <v>0</v>
      </c>
      <c r="N536" s="90">
        <v>0</v>
      </c>
      <c r="O536" s="90">
        <v>0</v>
      </c>
      <c r="P536" s="90">
        <v>0</v>
      </c>
      <c r="Q536" s="90">
        <v>0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90">
        <v>0</v>
      </c>
      <c r="Z536">
        <v>0</v>
      </c>
    </row>
    <row r="537" spans="2:26" ht="12.75" customHeight="1" x14ac:dyDescent="0.25">
      <c r="D537" s="773">
        <v>2</v>
      </c>
      <c r="E537" s="89" t="s">
        <v>70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90">
        <v>0</v>
      </c>
      <c r="Z537">
        <v>0</v>
      </c>
    </row>
    <row r="538" spans="2:26" ht="12.75" customHeight="1" x14ac:dyDescent="0.25">
      <c r="E538" s="89" t="s">
        <v>73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90">
        <v>0</v>
      </c>
      <c r="Z538">
        <v>0</v>
      </c>
    </row>
    <row r="539" spans="2:26" ht="12.75" customHeight="1" x14ac:dyDescent="0.25">
      <c r="D539" s="89" t="s">
        <v>118</v>
      </c>
      <c r="E539" s="89" t="s">
        <v>70</v>
      </c>
      <c r="F539" s="90">
        <v>0</v>
      </c>
      <c r="G539" s="90">
        <v>0</v>
      </c>
      <c r="H539" s="90">
        <v>0</v>
      </c>
      <c r="I539" s="90">
        <v>0</v>
      </c>
      <c r="J539" s="90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90">
        <v>0</v>
      </c>
      <c r="Z539">
        <v>0</v>
      </c>
    </row>
    <row r="540" spans="2:26" s="224" customFormat="1" ht="12.75" customHeight="1" x14ac:dyDescent="0.25">
      <c r="C540" s="223" t="s">
        <v>120</v>
      </c>
      <c r="D540" s="223" t="s">
        <v>70</v>
      </c>
      <c r="F540" s="225">
        <v>0</v>
      </c>
      <c r="G540" s="225">
        <v>0</v>
      </c>
      <c r="H540" s="225">
        <v>0</v>
      </c>
      <c r="I540" s="225">
        <v>0</v>
      </c>
      <c r="J540" s="225">
        <v>0</v>
      </c>
      <c r="K540" s="225">
        <v>0</v>
      </c>
      <c r="L540" s="225">
        <v>0</v>
      </c>
      <c r="M540" s="225">
        <v>0</v>
      </c>
      <c r="N540" s="225">
        <v>0</v>
      </c>
      <c r="O540" s="225">
        <v>0</v>
      </c>
      <c r="P540" s="225">
        <v>0</v>
      </c>
      <c r="Q540" s="225">
        <v>0</v>
      </c>
      <c r="R540" s="225">
        <v>0</v>
      </c>
      <c r="S540" s="225">
        <v>0</v>
      </c>
      <c r="T540" s="224">
        <v>0</v>
      </c>
      <c r="U540" s="224">
        <v>0</v>
      </c>
      <c r="V540" s="224">
        <v>0</v>
      </c>
      <c r="W540" s="224">
        <v>0</v>
      </c>
      <c r="X540" s="224">
        <v>0</v>
      </c>
      <c r="Y540" s="225">
        <v>0</v>
      </c>
      <c r="Z540" s="224">
        <v>0</v>
      </c>
    </row>
    <row r="541" spans="2:26" ht="12.75" customHeight="1" x14ac:dyDescent="0.25">
      <c r="E541" s="89" t="s">
        <v>73</v>
      </c>
      <c r="F541" s="90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90">
        <v>0</v>
      </c>
      <c r="Z541">
        <v>0</v>
      </c>
    </row>
    <row r="542" spans="2:26" ht="12.75" customHeight="1" x14ac:dyDescent="0.25">
      <c r="D542" s="89" t="s">
        <v>82</v>
      </c>
      <c r="E542" s="89" t="s">
        <v>70</v>
      </c>
      <c r="F542" s="90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90">
        <v>0</v>
      </c>
      <c r="Z542">
        <v>0</v>
      </c>
    </row>
    <row r="543" spans="2:26" ht="12.75" customHeight="1" x14ac:dyDescent="0.25">
      <c r="E543" s="89" t="s">
        <v>73</v>
      </c>
      <c r="F543" s="90">
        <v>0</v>
      </c>
      <c r="G543" s="90">
        <v>0</v>
      </c>
      <c r="H543" s="90">
        <v>0</v>
      </c>
      <c r="I543" s="90">
        <v>0</v>
      </c>
      <c r="J543" s="90">
        <v>0</v>
      </c>
      <c r="K543" s="90">
        <v>0</v>
      </c>
      <c r="L543" s="90">
        <v>0</v>
      </c>
      <c r="M543" s="90">
        <v>0</v>
      </c>
      <c r="N543" s="90">
        <v>0</v>
      </c>
      <c r="O543" s="90">
        <v>0</v>
      </c>
      <c r="P543" s="90">
        <v>0</v>
      </c>
      <c r="Q543" s="90">
        <v>0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90">
        <v>0</v>
      </c>
      <c r="Z543">
        <v>0</v>
      </c>
    </row>
    <row r="544" spans="2:26" ht="12.75" customHeight="1" x14ac:dyDescent="0.25">
      <c r="D544" s="89" t="s">
        <v>86</v>
      </c>
      <c r="E544" s="89" t="s">
        <v>70</v>
      </c>
      <c r="F544" s="90">
        <v>0</v>
      </c>
      <c r="G544" s="90">
        <v>0</v>
      </c>
      <c r="H544" s="90">
        <v>0</v>
      </c>
      <c r="I544" s="90">
        <v>0</v>
      </c>
      <c r="J544" s="90">
        <v>0</v>
      </c>
      <c r="K544" s="90">
        <v>0</v>
      </c>
      <c r="L544" s="90">
        <v>0</v>
      </c>
      <c r="M544" s="90">
        <v>0</v>
      </c>
      <c r="N544" s="90">
        <v>0</v>
      </c>
      <c r="O544" s="90">
        <v>0</v>
      </c>
      <c r="P544" s="90">
        <v>0</v>
      </c>
      <c r="Q544" s="90">
        <v>0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ht="12.75" customHeight="1" x14ac:dyDescent="0.25">
      <c r="E545" s="89" t="s">
        <v>73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0</v>
      </c>
      <c r="N545" s="90">
        <v>0</v>
      </c>
      <c r="O545" s="90">
        <v>0</v>
      </c>
      <c r="P545" s="90">
        <v>0</v>
      </c>
      <c r="Q545" s="90">
        <v>0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90">
        <v>0</v>
      </c>
      <c r="Z545">
        <v>0</v>
      </c>
    </row>
    <row r="546" spans="1:26" ht="12.75" customHeight="1" x14ac:dyDescent="0.25">
      <c r="D546" s="89" t="s">
        <v>87</v>
      </c>
      <c r="E546" s="89" t="s">
        <v>70</v>
      </c>
      <c r="F546" s="90">
        <v>0</v>
      </c>
      <c r="G546" s="90">
        <v>0</v>
      </c>
      <c r="H546" s="90">
        <v>0</v>
      </c>
      <c r="I546" s="90">
        <v>0</v>
      </c>
      <c r="J546" s="90">
        <v>0</v>
      </c>
      <c r="K546" s="90">
        <v>0</v>
      </c>
      <c r="L546" s="90">
        <v>0</v>
      </c>
      <c r="M546" s="90">
        <v>0</v>
      </c>
      <c r="N546" s="90">
        <v>0</v>
      </c>
      <c r="O546" s="90">
        <v>0</v>
      </c>
      <c r="P546" s="90">
        <v>0</v>
      </c>
      <c r="Q546" s="90">
        <v>0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s="94" customFormat="1" ht="12.75" customHeight="1" x14ac:dyDescent="0.25">
      <c r="C547" s="101" t="s">
        <v>119</v>
      </c>
      <c r="D547" s="101" t="s">
        <v>70</v>
      </c>
      <c r="F547" s="93">
        <v>0</v>
      </c>
      <c r="G547" s="93">
        <v>0</v>
      </c>
      <c r="H547" s="93">
        <v>0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3">
        <v>0</v>
      </c>
      <c r="Z547" s="94">
        <v>0</v>
      </c>
    </row>
    <row r="548" spans="1:26" s="226" customFormat="1" ht="12.75" customHeight="1" x14ac:dyDescent="0.25">
      <c r="B548" s="98" t="s">
        <v>112</v>
      </c>
      <c r="C548" s="98" t="s">
        <v>70</v>
      </c>
      <c r="F548" s="100">
        <v>0</v>
      </c>
      <c r="G548" s="100">
        <v>0</v>
      </c>
      <c r="H548" s="100">
        <v>0</v>
      </c>
      <c r="I548" s="100">
        <v>0</v>
      </c>
      <c r="J548" s="100">
        <v>0</v>
      </c>
      <c r="K548" s="100">
        <v>0</v>
      </c>
      <c r="L548" s="100">
        <v>0</v>
      </c>
      <c r="M548" s="100">
        <v>0</v>
      </c>
      <c r="N548" s="100">
        <v>0</v>
      </c>
      <c r="O548" s="100">
        <v>0</v>
      </c>
      <c r="P548" s="100">
        <v>0</v>
      </c>
      <c r="Q548" s="100">
        <v>0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100">
        <v>0</v>
      </c>
      <c r="Z548" s="226">
        <v>0</v>
      </c>
    </row>
    <row r="549" spans="1:26" ht="12.75" customHeight="1" x14ac:dyDescent="0.25">
      <c r="A549" s="89" t="s">
        <v>79</v>
      </c>
      <c r="B549" s="89" t="s">
        <v>70</v>
      </c>
      <c r="F549" s="90">
        <v>0</v>
      </c>
      <c r="G549" s="90">
        <v>0</v>
      </c>
      <c r="H549" s="90">
        <v>0</v>
      </c>
      <c r="I549" s="90">
        <v>0</v>
      </c>
      <c r="J549" s="90">
        <v>0</v>
      </c>
      <c r="K549" s="90">
        <v>0</v>
      </c>
      <c r="L549" s="90">
        <v>0</v>
      </c>
      <c r="M549" s="90">
        <v>0</v>
      </c>
      <c r="N549" s="90">
        <v>0</v>
      </c>
      <c r="O549" s="90">
        <v>0</v>
      </c>
      <c r="P549" s="90">
        <v>0</v>
      </c>
      <c r="Q549" s="90">
        <v>0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90">
        <v>0</v>
      </c>
      <c r="Z549">
        <v>0</v>
      </c>
    </row>
    <row r="550" spans="1:26" ht="12.75" customHeight="1" x14ac:dyDescent="0.25">
      <c r="A550" s="89" t="s">
        <v>70</v>
      </c>
      <c r="F550" s="90">
        <v>0</v>
      </c>
      <c r="G550" s="90">
        <v>0</v>
      </c>
      <c r="H550" s="90">
        <v>0</v>
      </c>
      <c r="I550" s="90">
        <v>0</v>
      </c>
      <c r="J550" s="90">
        <v>0</v>
      </c>
      <c r="K550" s="90">
        <v>0</v>
      </c>
      <c r="L550" s="90">
        <v>0</v>
      </c>
      <c r="M550" s="90">
        <v>0</v>
      </c>
      <c r="N550" s="90">
        <v>0</v>
      </c>
      <c r="O550" s="90">
        <v>0</v>
      </c>
      <c r="P550" s="90">
        <v>0</v>
      </c>
      <c r="Q550" s="90">
        <v>0</v>
      </c>
      <c r="R550" s="90">
        <v>0</v>
      </c>
      <c r="S550" s="9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90">
        <v>0</v>
      </c>
      <c r="Z550">
        <v>0</v>
      </c>
    </row>
    <row r="551" spans="1:26" ht="12.75" customHeight="1" x14ac:dyDescent="0.25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6" ht="12.75" hidden="1" customHeight="1" x14ac:dyDescent="0.25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26" ht="12.75" hidden="1" customHeight="1" x14ac:dyDescent="0.25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26" ht="12.75" hidden="1" customHeight="1" x14ac:dyDescent="0.25">
      <c r="A554" s="89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spans="1:26" ht="12.75" hidden="1" customHeight="1" x14ac:dyDescent="0.25">
      <c r="A555" s="89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26" ht="12.75" hidden="1" customHeight="1" x14ac:dyDescent="0.25">
      <c r="A556" s="89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26" ht="12.75" hidden="1" customHeight="1" x14ac:dyDescent="0.25">
      <c r="A557" s="89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26" ht="12.75" hidden="1" customHeight="1" x14ac:dyDescent="0.25">
      <c r="A558" s="89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26" ht="12.75" hidden="1" customHeight="1" x14ac:dyDescent="0.25">
      <c r="A559" s="89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26" ht="12.75" hidden="1" customHeight="1" x14ac:dyDescent="0.25">
      <c r="A560" s="89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hidden="1" customHeight="1" x14ac:dyDescent="0.25">
      <c r="A561" s="89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spans="1:41" ht="12.75" hidden="1" customHeight="1" x14ac:dyDescent="0.25">
      <c r="A562" s="89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hidden="1" customHeight="1" x14ac:dyDescent="0.25">
      <c r="A563" s="89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hidden="1" customHeight="1" x14ac:dyDescent="0.25">
      <c r="A564" s="89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spans="1:41" ht="12.75" hidden="1" customHeight="1" x14ac:dyDescent="0.25">
      <c r="A565" s="89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hidden="1" customHeight="1" x14ac:dyDescent="0.25">
      <c r="A566" s="89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spans="1:41" ht="12.75" customHeight="1" x14ac:dyDescent="0.25">
      <c r="A567" s="89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5">
      <c r="C568" s="777" t="s">
        <v>2</v>
      </c>
      <c r="D568" s="775" t="s">
        <v>132</v>
      </c>
      <c r="E568" s="98" t="s">
        <v>70</v>
      </c>
      <c r="F568" s="100">
        <f>F511+F548+F460-L460-L511</f>
        <v>0</v>
      </c>
      <c r="G568" s="100">
        <f>G511+G460</f>
        <v>0</v>
      </c>
      <c r="H568" s="100">
        <f t="shared" ref="H568:AO568" si="23">H511+H460</f>
        <v>0</v>
      </c>
      <c r="I568" s="100">
        <f t="shared" si="23"/>
        <v>0</v>
      </c>
      <c r="J568" s="100">
        <f t="shared" si="23"/>
        <v>0</v>
      </c>
      <c r="K568" s="100">
        <f t="shared" si="23"/>
        <v>0</v>
      </c>
      <c r="L568" s="100">
        <f t="shared" si="23"/>
        <v>0</v>
      </c>
      <c r="M568" s="100">
        <f t="shared" si="23"/>
        <v>0</v>
      </c>
      <c r="N568" s="100">
        <f t="shared" si="23"/>
        <v>0</v>
      </c>
      <c r="O568" s="100">
        <f t="shared" si="23"/>
        <v>0</v>
      </c>
      <c r="P568" s="100">
        <f t="shared" si="23"/>
        <v>0</v>
      </c>
      <c r="Q568" s="100">
        <f t="shared" si="23"/>
        <v>0</v>
      </c>
      <c r="R568" s="100">
        <f t="shared" si="23"/>
        <v>0</v>
      </c>
      <c r="S568" s="100">
        <f t="shared" si="23"/>
        <v>0</v>
      </c>
      <c r="T568" s="100">
        <f t="shared" si="23"/>
        <v>0</v>
      </c>
      <c r="U568" s="100">
        <f t="shared" si="23"/>
        <v>0</v>
      </c>
      <c r="V568" s="100">
        <f t="shared" si="23"/>
        <v>0</v>
      </c>
      <c r="W568" s="100">
        <f t="shared" si="23"/>
        <v>0</v>
      </c>
      <c r="X568" s="100">
        <f t="shared" si="23"/>
        <v>0</v>
      </c>
      <c r="Y568" s="100">
        <f t="shared" si="23"/>
        <v>0</v>
      </c>
      <c r="Z568" s="100">
        <f t="shared" si="23"/>
        <v>0</v>
      </c>
      <c r="AA568" s="100">
        <f t="shared" si="23"/>
        <v>0</v>
      </c>
      <c r="AB568" s="100">
        <f t="shared" si="23"/>
        <v>0</v>
      </c>
      <c r="AC568" s="100">
        <f t="shared" si="23"/>
        <v>0</v>
      </c>
      <c r="AD568" s="100">
        <f t="shared" si="23"/>
        <v>0</v>
      </c>
      <c r="AE568" s="100">
        <f t="shared" si="23"/>
        <v>0</v>
      </c>
      <c r="AF568" s="100">
        <f t="shared" si="23"/>
        <v>0</v>
      </c>
      <c r="AG568" s="100">
        <f t="shared" si="23"/>
        <v>0</v>
      </c>
      <c r="AH568" s="100">
        <f t="shared" si="23"/>
        <v>0</v>
      </c>
      <c r="AI568" s="100">
        <f t="shared" si="23"/>
        <v>0</v>
      </c>
      <c r="AJ568" s="100">
        <f t="shared" si="23"/>
        <v>0</v>
      </c>
      <c r="AK568" s="100">
        <f t="shared" si="23"/>
        <v>0</v>
      </c>
      <c r="AL568" s="100">
        <f t="shared" si="23"/>
        <v>0</v>
      </c>
      <c r="AM568" s="100">
        <f t="shared" si="23"/>
        <v>0</v>
      </c>
      <c r="AN568" s="100">
        <f t="shared" si="23"/>
        <v>0</v>
      </c>
      <c r="AO568" s="100">
        <f t="shared" si="23"/>
        <v>0</v>
      </c>
    </row>
    <row r="569" spans="1:41" ht="12.75" customHeight="1" x14ac:dyDescent="0.25">
      <c r="C569" s="777"/>
      <c r="D569" s="775"/>
      <c r="E569" s="98" t="s">
        <v>73</v>
      </c>
      <c r="F569" s="100">
        <f>F548</f>
        <v>0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spans="1:41" ht="12.75" customHeight="1" x14ac:dyDescent="0.25">
      <c r="C570" s="777"/>
      <c r="D570" s="775" t="s">
        <v>133</v>
      </c>
      <c r="E570" s="233" t="s">
        <v>70</v>
      </c>
      <c r="F570" s="234">
        <f>F530+F486-L486</f>
        <v>0</v>
      </c>
      <c r="G570" s="234">
        <f t="shared" ref="G570:AA570" si="24">G486</f>
        <v>0</v>
      </c>
      <c r="H570" s="234">
        <f t="shared" si="24"/>
        <v>0</v>
      </c>
      <c r="I570" s="234">
        <f t="shared" si="24"/>
        <v>0</v>
      </c>
      <c r="J570" s="234">
        <f t="shared" si="24"/>
        <v>0</v>
      </c>
      <c r="K570" s="234">
        <f t="shared" si="24"/>
        <v>0</v>
      </c>
      <c r="L570" s="234">
        <f t="shared" si="24"/>
        <v>0</v>
      </c>
      <c r="M570" s="234">
        <f t="shared" si="24"/>
        <v>0</v>
      </c>
      <c r="N570" s="234">
        <f t="shared" si="24"/>
        <v>0</v>
      </c>
      <c r="O570" s="234">
        <f t="shared" si="24"/>
        <v>0</v>
      </c>
      <c r="P570" s="234">
        <f t="shared" si="24"/>
        <v>0</v>
      </c>
      <c r="Q570" s="234">
        <f t="shared" si="24"/>
        <v>0</v>
      </c>
      <c r="R570" s="234">
        <f t="shared" si="24"/>
        <v>0</v>
      </c>
      <c r="S570" s="234">
        <f t="shared" si="24"/>
        <v>0</v>
      </c>
      <c r="T570" s="234">
        <f t="shared" si="24"/>
        <v>0</v>
      </c>
      <c r="U570" s="234">
        <f t="shared" si="24"/>
        <v>0</v>
      </c>
      <c r="V570" s="234">
        <f t="shared" si="24"/>
        <v>0</v>
      </c>
      <c r="W570" s="234">
        <f t="shared" si="24"/>
        <v>0</v>
      </c>
      <c r="X570" s="234">
        <f t="shared" si="24"/>
        <v>0</v>
      </c>
      <c r="Y570" s="234">
        <f t="shared" si="24"/>
        <v>0</v>
      </c>
      <c r="Z570" s="234">
        <f t="shared" si="24"/>
        <v>0</v>
      </c>
      <c r="AA570" s="234">
        <f t="shared" si="24"/>
        <v>0</v>
      </c>
    </row>
    <row r="571" spans="1:41" ht="12.75" customHeight="1" x14ac:dyDescent="0.25">
      <c r="C571" s="777"/>
      <c r="D571" s="775"/>
      <c r="E571" s="233" t="s">
        <v>73</v>
      </c>
      <c r="F571" s="234">
        <f>F530</f>
        <v>0</v>
      </c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25">
      <c r="A572" s="89"/>
      <c r="C572" s="9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5">
      <c r="C573" s="777" t="s">
        <v>160</v>
      </c>
      <c r="D573" s="775" t="s">
        <v>132</v>
      </c>
      <c r="E573" s="223" t="s">
        <v>70</v>
      </c>
      <c r="F573" s="225">
        <f>F540+F500-L500</f>
        <v>0</v>
      </c>
      <c r="G573" s="225">
        <f t="shared" ref="G573:AO573" si="25">G500</f>
        <v>0</v>
      </c>
      <c r="H573" s="225">
        <f t="shared" si="25"/>
        <v>0</v>
      </c>
      <c r="I573" s="225">
        <f t="shared" si="25"/>
        <v>0</v>
      </c>
      <c r="J573" s="225">
        <f t="shared" si="25"/>
        <v>0</v>
      </c>
      <c r="K573" s="225">
        <f t="shared" si="25"/>
        <v>0</v>
      </c>
      <c r="L573" s="225">
        <f t="shared" si="25"/>
        <v>0</v>
      </c>
      <c r="M573" s="225">
        <f t="shared" si="25"/>
        <v>0</v>
      </c>
      <c r="N573" s="225">
        <f t="shared" si="25"/>
        <v>0</v>
      </c>
      <c r="O573" s="225">
        <f t="shared" si="25"/>
        <v>0</v>
      </c>
      <c r="P573" s="225">
        <f t="shared" si="25"/>
        <v>0</v>
      </c>
      <c r="Q573" s="225">
        <f t="shared" si="25"/>
        <v>0</v>
      </c>
      <c r="R573" s="225">
        <f t="shared" si="25"/>
        <v>0</v>
      </c>
      <c r="S573" s="225">
        <f t="shared" si="25"/>
        <v>0</v>
      </c>
      <c r="T573" s="225">
        <f t="shared" si="25"/>
        <v>0</v>
      </c>
      <c r="U573" s="225">
        <f t="shared" si="25"/>
        <v>0</v>
      </c>
      <c r="V573" s="225">
        <f t="shared" si="25"/>
        <v>0</v>
      </c>
      <c r="W573" s="225">
        <f t="shared" si="25"/>
        <v>0</v>
      </c>
      <c r="X573" s="225">
        <f t="shared" si="25"/>
        <v>0</v>
      </c>
      <c r="Y573" s="225">
        <f t="shared" si="25"/>
        <v>0</v>
      </c>
      <c r="Z573" s="225">
        <f t="shared" si="25"/>
        <v>0</v>
      </c>
      <c r="AA573" s="225">
        <f t="shared" si="25"/>
        <v>0</v>
      </c>
      <c r="AB573" s="225">
        <f t="shared" si="25"/>
        <v>0</v>
      </c>
      <c r="AC573" s="225">
        <f t="shared" si="25"/>
        <v>0</v>
      </c>
      <c r="AD573" s="225">
        <f t="shared" si="25"/>
        <v>0</v>
      </c>
      <c r="AE573" s="225">
        <f t="shared" si="25"/>
        <v>0</v>
      </c>
      <c r="AF573" s="225">
        <f t="shared" si="25"/>
        <v>0</v>
      </c>
      <c r="AG573" s="225">
        <f t="shared" si="25"/>
        <v>0</v>
      </c>
      <c r="AH573" s="225">
        <f t="shared" si="25"/>
        <v>0</v>
      </c>
      <c r="AI573" s="225">
        <f t="shared" si="25"/>
        <v>0</v>
      </c>
      <c r="AJ573" s="225">
        <f t="shared" si="25"/>
        <v>0</v>
      </c>
      <c r="AK573" s="225">
        <f t="shared" si="25"/>
        <v>0</v>
      </c>
      <c r="AL573" s="225">
        <f t="shared" si="25"/>
        <v>0</v>
      </c>
      <c r="AM573" s="225">
        <f t="shared" si="25"/>
        <v>0</v>
      </c>
      <c r="AN573" s="225">
        <f t="shared" si="25"/>
        <v>0</v>
      </c>
      <c r="AO573" s="225">
        <f t="shared" si="25"/>
        <v>0</v>
      </c>
    </row>
    <row r="574" spans="1:41" ht="12.75" customHeight="1" x14ac:dyDescent="0.25">
      <c r="C574" s="777"/>
      <c r="D574" s="775"/>
      <c r="E574" s="223" t="s">
        <v>73</v>
      </c>
      <c r="F574" s="225">
        <f>F540</f>
        <v>0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spans="1:41" ht="12.75" customHeight="1" x14ac:dyDescent="0.25">
      <c r="C575" s="777"/>
      <c r="D575" s="775" t="s">
        <v>133</v>
      </c>
      <c r="E575" s="227" t="s">
        <v>70</v>
      </c>
      <c r="F575" s="228">
        <f>F522+F475-L475</f>
        <v>0</v>
      </c>
      <c r="G575" s="228">
        <f t="shared" ref="G575:Z575" si="26">G475</f>
        <v>0</v>
      </c>
      <c r="H575" s="228">
        <f t="shared" si="26"/>
        <v>0</v>
      </c>
      <c r="I575" s="228">
        <f t="shared" si="26"/>
        <v>0</v>
      </c>
      <c r="J575" s="228">
        <f t="shared" si="26"/>
        <v>0</v>
      </c>
      <c r="K575" s="228">
        <f t="shared" si="26"/>
        <v>0</v>
      </c>
      <c r="L575" s="228">
        <f t="shared" si="26"/>
        <v>0</v>
      </c>
      <c r="M575" s="228">
        <f t="shared" si="26"/>
        <v>0</v>
      </c>
      <c r="N575" s="228">
        <f t="shared" si="26"/>
        <v>0</v>
      </c>
      <c r="O575" s="228">
        <f t="shared" si="26"/>
        <v>0</v>
      </c>
      <c r="P575" s="228">
        <f t="shared" si="26"/>
        <v>0</v>
      </c>
      <c r="Q575" s="228">
        <f t="shared" si="26"/>
        <v>0</v>
      </c>
      <c r="R575" s="228">
        <f t="shared" si="26"/>
        <v>0</v>
      </c>
      <c r="S575" s="228">
        <f t="shared" si="26"/>
        <v>0</v>
      </c>
      <c r="T575" s="228">
        <f t="shared" si="26"/>
        <v>0</v>
      </c>
      <c r="U575" s="228">
        <f t="shared" si="26"/>
        <v>0</v>
      </c>
      <c r="V575" s="228">
        <f t="shared" si="26"/>
        <v>0</v>
      </c>
      <c r="W575" s="228">
        <f t="shared" si="26"/>
        <v>0</v>
      </c>
      <c r="X575" s="228">
        <f t="shared" si="26"/>
        <v>0</v>
      </c>
      <c r="Y575" s="228">
        <f t="shared" si="26"/>
        <v>0</v>
      </c>
      <c r="Z575" s="228">
        <f t="shared" si="26"/>
        <v>0</v>
      </c>
    </row>
    <row r="576" spans="1:41" ht="12.75" customHeight="1" x14ac:dyDescent="0.25">
      <c r="C576" s="777"/>
      <c r="D576" s="775"/>
      <c r="E576" s="227" t="s">
        <v>73</v>
      </c>
      <c r="F576" s="228">
        <f>F522</f>
        <v>0</v>
      </c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</row>
    <row r="577" spans="1:41" ht="12.75" customHeight="1" x14ac:dyDescent="0.25">
      <c r="A577" s="89"/>
      <c r="C577" s="97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spans="1:41" ht="12.75" customHeight="1" x14ac:dyDescent="0.25">
      <c r="C578" s="777" t="s">
        <v>155</v>
      </c>
      <c r="D578" s="775" t="s">
        <v>132</v>
      </c>
      <c r="E578" s="221" t="s">
        <v>70</v>
      </c>
      <c r="F578" s="222">
        <f>F533+F490+F452-L452-L490</f>
        <v>0</v>
      </c>
      <c r="G578" s="222">
        <f t="shared" ref="G578:Z578" si="27">G490+G452</f>
        <v>0</v>
      </c>
      <c r="H578" s="222">
        <f t="shared" si="27"/>
        <v>0</v>
      </c>
      <c r="I578" s="222">
        <f t="shared" si="27"/>
        <v>0</v>
      </c>
      <c r="J578" s="222">
        <f t="shared" si="27"/>
        <v>0</v>
      </c>
      <c r="K578" s="222">
        <f t="shared" si="27"/>
        <v>0</v>
      </c>
      <c r="L578" s="222">
        <f t="shared" si="27"/>
        <v>0</v>
      </c>
      <c r="M578" s="222">
        <f t="shared" si="27"/>
        <v>0</v>
      </c>
      <c r="N578" s="222">
        <f t="shared" si="27"/>
        <v>0</v>
      </c>
      <c r="O578" s="222">
        <f t="shared" si="27"/>
        <v>0</v>
      </c>
      <c r="P578" s="222">
        <f t="shared" si="27"/>
        <v>0</v>
      </c>
      <c r="Q578" s="222">
        <f t="shared" si="27"/>
        <v>0</v>
      </c>
      <c r="R578" s="222">
        <f t="shared" si="27"/>
        <v>0</v>
      </c>
      <c r="S578" s="222">
        <f t="shared" si="27"/>
        <v>0</v>
      </c>
      <c r="T578" s="222">
        <f t="shared" si="27"/>
        <v>0</v>
      </c>
      <c r="U578" s="222">
        <f t="shared" si="27"/>
        <v>0</v>
      </c>
      <c r="V578" s="222">
        <f t="shared" si="27"/>
        <v>0</v>
      </c>
      <c r="W578" s="222">
        <f t="shared" si="27"/>
        <v>0</v>
      </c>
      <c r="X578" s="222">
        <f t="shared" si="27"/>
        <v>0</v>
      </c>
      <c r="Y578" s="222">
        <f t="shared" si="27"/>
        <v>0</v>
      </c>
      <c r="Z578" s="222">
        <f t="shared" si="27"/>
        <v>0</v>
      </c>
    </row>
    <row r="579" spans="1:41" ht="12.75" customHeight="1" x14ac:dyDescent="0.25">
      <c r="C579" s="777"/>
      <c r="D579" s="775"/>
      <c r="E579" s="221" t="s">
        <v>73</v>
      </c>
      <c r="F579" s="222">
        <f>F533</f>
        <v>0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spans="1:41" ht="12.75" customHeight="1" x14ac:dyDescent="0.25">
      <c r="C580" s="777"/>
      <c r="D580" s="775" t="s">
        <v>133</v>
      </c>
      <c r="E580" s="229" t="s">
        <v>70</v>
      </c>
      <c r="F580" s="230">
        <f>F515+F465-L465</f>
        <v>0</v>
      </c>
      <c r="G580" s="230">
        <f t="shared" ref="G580:Z580" si="28">G465</f>
        <v>0</v>
      </c>
      <c r="H580" s="230">
        <f t="shared" si="28"/>
        <v>0</v>
      </c>
      <c r="I580" s="230">
        <f t="shared" si="28"/>
        <v>0</v>
      </c>
      <c r="J580" s="230">
        <f t="shared" si="28"/>
        <v>0</v>
      </c>
      <c r="K580" s="230">
        <f t="shared" si="28"/>
        <v>0</v>
      </c>
      <c r="L580" s="230">
        <f t="shared" si="28"/>
        <v>0</v>
      </c>
      <c r="M580" s="230">
        <f t="shared" si="28"/>
        <v>0</v>
      </c>
      <c r="N580" s="230">
        <f t="shared" si="28"/>
        <v>0</v>
      </c>
      <c r="O580" s="230">
        <f t="shared" si="28"/>
        <v>0</v>
      </c>
      <c r="P580" s="230">
        <f t="shared" si="28"/>
        <v>0</v>
      </c>
      <c r="Q580" s="230">
        <f t="shared" si="28"/>
        <v>0</v>
      </c>
      <c r="R580" s="230">
        <f t="shared" si="28"/>
        <v>0</v>
      </c>
      <c r="S580" s="230">
        <f t="shared" si="28"/>
        <v>0</v>
      </c>
      <c r="T580" s="230">
        <f t="shared" si="28"/>
        <v>0</v>
      </c>
      <c r="U580" s="230">
        <f t="shared" si="28"/>
        <v>0</v>
      </c>
      <c r="V580" s="230">
        <f t="shared" si="28"/>
        <v>0</v>
      </c>
      <c r="W580" s="230">
        <f t="shared" si="28"/>
        <v>0</v>
      </c>
      <c r="X580" s="230">
        <f t="shared" si="28"/>
        <v>0</v>
      </c>
      <c r="Y580" s="230">
        <f t="shared" si="28"/>
        <v>0</v>
      </c>
      <c r="Z580" s="230">
        <f t="shared" si="28"/>
        <v>0</v>
      </c>
    </row>
    <row r="581" spans="1:41" ht="12.75" customHeight="1" x14ac:dyDescent="0.25">
      <c r="C581" s="777"/>
      <c r="D581" s="775"/>
      <c r="E581" s="229" t="s">
        <v>73</v>
      </c>
      <c r="F581" s="230">
        <f>F515</f>
        <v>0</v>
      </c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1:41" ht="12.75" customHeight="1" x14ac:dyDescent="0.25">
      <c r="A582" s="89"/>
      <c r="C582" s="9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41" ht="12.75" customHeight="1" x14ac:dyDescent="0.25">
      <c r="C583" s="778" t="s">
        <v>326</v>
      </c>
      <c r="D583" s="775" t="s">
        <v>132</v>
      </c>
      <c r="E583" s="373" t="s">
        <v>70</v>
      </c>
      <c r="F583" s="374">
        <v>0</v>
      </c>
      <c r="G583" s="374">
        <v>0</v>
      </c>
      <c r="H583" s="374">
        <v>0</v>
      </c>
      <c r="I583" s="374">
        <v>0</v>
      </c>
      <c r="J583" s="374">
        <v>0</v>
      </c>
      <c r="K583" s="374">
        <v>0</v>
      </c>
      <c r="L583" s="374">
        <v>0</v>
      </c>
      <c r="M583" s="374">
        <v>0</v>
      </c>
      <c r="N583" s="374">
        <v>0</v>
      </c>
      <c r="O583" s="374">
        <v>0</v>
      </c>
      <c r="P583" s="374">
        <v>0</v>
      </c>
      <c r="Q583" s="374">
        <v>0</v>
      </c>
      <c r="R583" s="374">
        <v>0</v>
      </c>
      <c r="S583" s="374">
        <v>0</v>
      </c>
      <c r="T583" s="374">
        <v>0</v>
      </c>
      <c r="U583" s="374">
        <v>0</v>
      </c>
      <c r="V583" s="374">
        <v>0</v>
      </c>
      <c r="W583" s="374">
        <v>0</v>
      </c>
      <c r="X583" s="374">
        <v>0</v>
      </c>
      <c r="Y583" s="374">
        <v>0</v>
      </c>
      <c r="Z583" s="374">
        <v>0</v>
      </c>
      <c r="AA583" s="374">
        <v>0</v>
      </c>
      <c r="AB583" s="374">
        <v>0</v>
      </c>
      <c r="AC583" s="374">
        <v>0</v>
      </c>
      <c r="AD583" s="374">
        <v>0</v>
      </c>
      <c r="AE583" s="374">
        <v>0</v>
      </c>
      <c r="AF583" s="374">
        <v>0</v>
      </c>
      <c r="AG583" s="374">
        <v>0</v>
      </c>
      <c r="AH583" s="374">
        <v>0</v>
      </c>
      <c r="AI583" s="374">
        <v>0</v>
      </c>
      <c r="AJ583" s="374">
        <v>0</v>
      </c>
      <c r="AK583" s="374">
        <v>0</v>
      </c>
      <c r="AL583" s="374">
        <v>0</v>
      </c>
      <c r="AM583" s="374">
        <v>0</v>
      </c>
      <c r="AN583" s="374">
        <v>0</v>
      </c>
      <c r="AO583" s="374">
        <v>0</v>
      </c>
    </row>
    <row r="584" spans="1:41" ht="12.75" customHeight="1" x14ac:dyDescent="0.25">
      <c r="C584" s="778"/>
      <c r="D584" s="775"/>
      <c r="E584" s="373" t="s">
        <v>73</v>
      </c>
      <c r="F584" s="374">
        <v>0</v>
      </c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41" ht="12.75" customHeight="1" x14ac:dyDescent="0.25">
      <c r="C585" s="778"/>
      <c r="D585" s="775" t="s">
        <v>133</v>
      </c>
      <c r="E585" s="242" t="s">
        <v>70</v>
      </c>
      <c r="F585" s="243">
        <v>0</v>
      </c>
      <c r="G585" s="243">
        <v>0</v>
      </c>
      <c r="H585" s="243">
        <v>0</v>
      </c>
      <c r="I585" s="243">
        <v>0</v>
      </c>
      <c r="J585" s="243">
        <v>0</v>
      </c>
      <c r="K585" s="243">
        <v>0</v>
      </c>
      <c r="L585" s="243">
        <v>0</v>
      </c>
      <c r="M585" s="243">
        <v>0</v>
      </c>
      <c r="N585" s="243">
        <v>0</v>
      </c>
      <c r="O585" s="243">
        <v>0</v>
      </c>
      <c r="P585" s="243">
        <v>0</v>
      </c>
      <c r="Q585" s="243">
        <v>0</v>
      </c>
      <c r="R585" s="243">
        <v>0</v>
      </c>
      <c r="S585" s="243">
        <v>0</v>
      </c>
      <c r="T585" s="243">
        <v>0</v>
      </c>
      <c r="U585" s="243">
        <v>0</v>
      </c>
      <c r="V585" s="243">
        <v>0</v>
      </c>
      <c r="W585" s="243">
        <v>0</v>
      </c>
      <c r="X585" s="243">
        <v>0</v>
      </c>
      <c r="Y585" s="243">
        <v>0</v>
      </c>
      <c r="Z585" s="243">
        <v>0</v>
      </c>
      <c r="AA585" s="243">
        <v>0</v>
      </c>
      <c r="AB585" s="243">
        <v>0</v>
      </c>
      <c r="AC585" s="243">
        <v>0</v>
      </c>
      <c r="AD585" s="243">
        <v>0</v>
      </c>
      <c r="AE585" s="243">
        <v>0</v>
      </c>
      <c r="AF585" s="243">
        <v>0</v>
      </c>
      <c r="AG585" s="243">
        <v>0</v>
      </c>
      <c r="AH585" s="243">
        <v>0</v>
      </c>
      <c r="AI585" s="243">
        <v>0</v>
      </c>
      <c r="AJ585" s="243">
        <v>0</v>
      </c>
      <c r="AK585" s="243">
        <v>0</v>
      </c>
      <c r="AL585" s="243">
        <v>0</v>
      </c>
      <c r="AM585" s="243">
        <v>0</v>
      </c>
      <c r="AN585" s="243">
        <v>0</v>
      </c>
      <c r="AO585" s="243">
        <v>0</v>
      </c>
    </row>
    <row r="586" spans="1:41" ht="12.75" customHeight="1" x14ac:dyDescent="0.25">
      <c r="C586" s="778"/>
      <c r="D586" s="775"/>
      <c r="E586" s="242" t="s">
        <v>73</v>
      </c>
      <c r="F586" s="243">
        <v>0</v>
      </c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</row>
    <row r="587" spans="1:41" ht="12.75" customHeight="1" x14ac:dyDescent="0.25">
      <c r="A587" s="89"/>
      <c r="C587" s="97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 spans="1:41" ht="12.75" customHeight="1" x14ac:dyDescent="0.25">
      <c r="C588" s="777" t="s">
        <v>119</v>
      </c>
      <c r="D588" s="775" t="s">
        <v>132</v>
      </c>
      <c r="E588" s="101" t="s">
        <v>70</v>
      </c>
      <c r="F588" s="93">
        <f>F547+F510+F459-L459-L510</f>
        <v>0</v>
      </c>
      <c r="G588" s="93">
        <f t="shared" ref="G588:AO588" si="29">G510+G459</f>
        <v>0</v>
      </c>
      <c r="H588" s="93">
        <f t="shared" si="29"/>
        <v>0</v>
      </c>
      <c r="I588" s="93">
        <f t="shared" si="29"/>
        <v>0</v>
      </c>
      <c r="J588" s="93">
        <f t="shared" si="29"/>
        <v>0</v>
      </c>
      <c r="K588" s="93">
        <f t="shared" si="29"/>
        <v>0</v>
      </c>
      <c r="L588" s="93">
        <f t="shared" si="29"/>
        <v>0</v>
      </c>
      <c r="M588" s="93">
        <f t="shared" si="29"/>
        <v>0</v>
      </c>
      <c r="N588" s="93">
        <f t="shared" si="29"/>
        <v>0</v>
      </c>
      <c r="O588" s="93">
        <f t="shared" si="29"/>
        <v>0</v>
      </c>
      <c r="P588" s="93">
        <f t="shared" si="29"/>
        <v>0</v>
      </c>
      <c r="Q588" s="93">
        <f t="shared" si="29"/>
        <v>0</v>
      </c>
      <c r="R588" s="93">
        <f t="shared" si="29"/>
        <v>0</v>
      </c>
      <c r="S588" s="93">
        <f t="shared" si="29"/>
        <v>0</v>
      </c>
      <c r="T588" s="93">
        <f t="shared" si="29"/>
        <v>0</v>
      </c>
      <c r="U588" s="93">
        <f t="shared" si="29"/>
        <v>0</v>
      </c>
      <c r="V588" s="93">
        <f t="shared" si="29"/>
        <v>0</v>
      </c>
      <c r="W588" s="93">
        <f t="shared" si="29"/>
        <v>0</v>
      </c>
      <c r="X588" s="93">
        <f t="shared" si="29"/>
        <v>0</v>
      </c>
      <c r="Y588" s="93">
        <f t="shared" si="29"/>
        <v>0</v>
      </c>
      <c r="Z588" s="93">
        <f t="shared" si="29"/>
        <v>0</v>
      </c>
      <c r="AA588" s="93">
        <f t="shared" si="29"/>
        <v>0</v>
      </c>
      <c r="AB588" s="93">
        <f t="shared" si="29"/>
        <v>0</v>
      </c>
      <c r="AC588" s="93">
        <f t="shared" si="29"/>
        <v>0</v>
      </c>
      <c r="AD588" s="93">
        <f t="shared" si="29"/>
        <v>0</v>
      </c>
      <c r="AE588" s="93">
        <f t="shared" si="29"/>
        <v>0</v>
      </c>
      <c r="AF588" s="93">
        <f t="shared" si="29"/>
        <v>0</v>
      </c>
      <c r="AG588" s="93">
        <f t="shared" si="29"/>
        <v>0</v>
      </c>
      <c r="AH588" s="93">
        <f t="shared" si="29"/>
        <v>0</v>
      </c>
      <c r="AI588" s="93">
        <f t="shared" si="29"/>
        <v>0</v>
      </c>
      <c r="AJ588" s="93">
        <f t="shared" si="29"/>
        <v>0</v>
      </c>
      <c r="AK588" s="93">
        <f t="shared" si="29"/>
        <v>0</v>
      </c>
      <c r="AL588" s="93">
        <f t="shared" si="29"/>
        <v>0</v>
      </c>
      <c r="AM588" s="93">
        <f t="shared" si="29"/>
        <v>0</v>
      </c>
      <c r="AN588" s="93">
        <f t="shared" si="29"/>
        <v>0</v>
      </c>
      <c r="AO588" s="93">
        <f t="shared" si="29"/>
        <v>0</v>
      </c>
    </row>
    <row r="589" spans="1:41" ht="12.75" customHeight="1" x14ac:dyDescent="0.25">
      <c r="C589" s="777"/>
      <c r="D589" s="775"/>
      <c r="E589" s="101" t="s">
        <v>73</v>
      </c>
      <c r="F589" s="93">
        <f>F547</f>
        <v>0</v>
      </c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 spans="1:41" ht="12.75" customHeight="1" x14ac:dyDescent="0.25">
      <c r="C590" s="777"/>
      <c r="D590" s="775" t="s">
        <v>133</v>
      </c>
      <c r="E590" s="235" t="s">
        <v>70</v>
      </c>
      <c r="F590" s="236">
        <f>F529+F485-L485</f>
        <v>0</v>
      </c>
      <c r="G590" s="236">
        <f t="shared" ref="G590:Z590" si="30">G485</f>
        <v>0</v>
      </c>
      <c r="H590" s="236">
        <f t="shared" si="30"/>
        <v>0</v>
      </c>
      <c r="I590" s="236">
        <f t="shared" si="30"/>
        <v>0</v>
      </c>
      <c r="J590" s="236">
        <f t="shared" si="30"/>
        <v>0</v>
      </c>
      <c r="K590" s="236">
        <f t="shared" si="30"/>
        <v>0</v>
      </c>
      <c r="L590" s="236">
        <f t="shared" si="30"/>
        <v>0</v>
      </c>
      <c r="M590" s="236">
        <f t="shared" si="30"/>
        <v>0</v>
      </c>
      <c r="N590" s="236">
        <f t="shared" si="30"/>
        <v>0</v>
      </c>
      <c r="O590" s="236">
        <f t="shared" si="30"/>
        <v>0</v>
      </c>
      <c r="P590" s="236">
        <f t="shared" si="30"/>
        <v>0</v>
      </c>
      <c r="Q590" s="236">
        <f t="shared" si="30"/>
        <v>0</v>
      </c>
      <c r="R590" s="236">
        <f t="shared" si="30"/>
        <v>0</v>
      </c>
      <c r="S590" s="236">
        <f t="shared" si="30"/>
        <v>0</v>
      </c>
      <c r="T590" s="236">
        <f t="shared" si="30"/>
        <v>0</v>
      </c>
      <c r="U590" s="236">
        <f t="shared" si="30"/>
        <v>0</v>
      </c>
      <c r="V590" s="236">
        <f t="shared" si="30"/>
        <v>0</v>
      </c>
      <c r="W590" s="236">
        <f t="shared" si="30"/>
        <v>0</v>
      </c>
      <c r="X590" s="236">
        <f t="shared" si="30"/>
        <v>0</v>
      </c>
      <c r="Y590" s="236">
        <f t="shared" si="30"/>
        <v>0</v>
      </c>
      <c r="Z590" s="236">
        <f t="shared" si="30"/>
        <v>0</v>
      </c>
    </row>
    <row r="591" spans="1:41" ht="12.75" customHeight="1" x14ac:dyDescent="0.25">
      <c r="C591" s="777"/>
      <c r="D591" s="775"/>
      <c r="E591" s="235" t="s">
        <v>73</v>
      </c>
      <c r="F591" s="236">
        <f>F529</f>
        <v>0</v>
      </c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</row>
    <row r="592" spans="1:41" ht="12.75" customHeight="1" x14ac:dyDescent="0.25">
      <c r="A592" s="89"/>
      <c r="C592" s="97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 spans="1:41" ht="12.75" customHeight="1" x14ac:dyDescent="0.25">
      <c r="C593" s="776" t="s">
        <v>161</v>
      </c>
      <c r="D593" s="775" t="s">
        <v>132</v>
      </c>
      <c r="E593" s="231" t="s">
        <v>70</v>
      </c>
      <c r="F593" s="232">
        <v>0</v>
      </c>
      <c r="G593" s="232">
        <v>0</v>
      </c>
      <c r="H593" s="232">
        <v>0</v>
      </c>
      <c r="I593" s="232">
        <v>0</v>
      </c>
      <c r="J593" s="232">
        <v>0</v>
      </c>
      <c r="K593" s="232">
        <v>0</v>
      </c>
      <c r="L593" s="232">
        <v>0</v>
      </c>
      <c r="M593" s="232">
        <v>0</v>
      </c>
      <c r="N593" s="232">
        <v>0</v>
      </c>
      <c r="O593" s="232">
        <v>0</v>
      </c>
      <c r="P593" s="232">
        <v>0</v>
      </c>
      <c r="Q593" s="232">
        <v>0</v>
      </c>
      <c r="R593" s="232">
        <v>0</v>
      </c>
      <c r="S593" s="232">
        <v>0</v>
      </c>
      <c r="T593" s="232">
        <v>0</v>
      </c>
      <c r="U593" s="232">
        <v>0</v>
      </c>
      <c r="V593" s="232">
        <v>0</v>
      </c>
      <c r="W593" s="232">
        <v>0</v>
      </c>
      <c r="X593" s="232">
        <v>0</v>
      </c>
      <c r="Y593" s="232">
        <v>0</v>
      </c>
      <c r="Z593" s="232">
        <v>0</v>
      </c>
      <c r="AA593" s="232">
        <v>0</v>
      </c>
      <c r="AB593" s="232">
        <v>0</v>
      </c>
      <c r="AC593" s="232">
        <v>0</v>
      </c>
      <c r="AD593" s="232">
        <v>0</v>
      </c>
      <c r="AE593" s="232">
        <v>0</v>
      </c>
      <c r="AF593" s="232">
        <v>0</v>
      </c>
      <c r="AG593" s="232">
        <v>0</v>
      </c>
      <c r="AH593" s="232">
        <v>0</v>
      </c>
      <c r="AI593" s="232">
        <v>0</v>
      </c>
      <c r="AJ593" s="232">
        <v>0</v>
      </c>
      <c r="AK593" s="232">
        <v>0</v>
      </c>
      <c r="AL593" s="232">
        <v>0</v>
      </c>
      <c r="AM593" s="232">
        <v>0</v>
      </c>
      <c r="AN593" s="232">
        <v>0</v>
      </c>
      <c r="AO593" s="232">
        <v>0</v>
      </c>
    </row>
    <row r="594" spans="1:41" ht="12.75" customHeight="1" x14ac:dyDescent="0.25">
      <c r="C594" s="776"/>
      <c r="D594" s="775"/>
      <c r="E594" s="231" t="s">
        <v>73</v>
      </c>
      <c r="F594" s="232">
        <v>0</v>
      </c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 spans="1:41" ht="12.75" customHeight="1" x14ac:dyDescent="0.25">
      <c r="C595" s="776"/>
      <c r="E595" s="148" t="s">
        <v>70</v>
      </c>
      <c r="F595" s="149">
        <v>0</v>
      </c>
      <c r="G595" s="149">
        <v>0</v>
      </c>
      <c r="H595" s="149">
        <v>0</v>
      </c>
      <c r="I595" s="149">
        <v>0</v>
      </c>
      <c r="J595" s="149">
        <v>0</v>
      </c>
      <c r="K595" s="149">
        <v>0</v>
      </c>
      <c r="L595" s="149">
        <v>0</v>
      </c>
      <c r="M595" s="149">
        <v>0</v>
      </c>
      <c r="N595" s="149">
        <v>0</v>
      </c>
      <c r="O595" s="149">
        <v>0</v>
      </c>
      <c r="P595" s="149">
        <v>0</v>
      </c>
      <c r="Q595" s="149">
        <v>0</v>
      </c>
      <c r="R595" s="149">
        <v>0</v>
      </c>
      <c r="S595" s="149">
        <v>0</v>
      </c>
      <c r="T595" s="149">
        <v>0</v>
      </c>
      <c r="U595" s="149">
        <v>0</v>
      </c>
      <c r="V595" s="149">
        <v>0</v>
      </c>
      <c r="W595" s="149">
        <v>0</v>
      </c>
      <c r="X595" s="149">
        <v>0</v>
      </c>
      <c r="Y595" s="149">
        <v>0</v>
      </c>
      <c r="Z595" s="149">
        <v>0</v>
      </c>
    </row>
    <row r="596" spans="1:41" ht="12.75" customHeight="1" x14ac:dyDescent="0.25">
      <c r="C596" s="776"/>
      <c r="D596" s="220" t="s">
        <v>132</v>
      </c>
      <c r="E596" s="148" t="s">
        <v>73</v>
      </c>
      <c r="F596" s="149">
        <v>0</v>
      </c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</row>
    <row r="597" spans="1:41" ht="12.75" customHeight="1" x14ac:dyDescent="0.25">
      <c r="C597" s="388"/>
      <c r="D597" s="220"/>
      <c r="E597" s="89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</row>
    <row r="598" spans="1:41" ht="12.75" customHeight="1" x14ac:dyDescent="0.25">
      <c r="D598" s="458" t="s">
        <v>186</v>
      </c>
      <c r="E598" s="459" t="s">
        <v>70</v>
      </c>
      <c r="F598" s="460">
        <f>F460</f>
        <v>0</v>
      </c>
      <c r="G598" s="460">
        <f t="shared" ref="G598:Z598" si="31">G460</f>
        <v>0</v>
      </c>
      <c r="H598" s="460">
        <f t="shared" si="31"/>
        <v>0</v>
      </c>
      <c r="I598" s="460">
        <f t="shared" si="31"/>
        <v>0</v>
      </c>
      <c r="J598" s="460">
        <f t="shared" si="31"/>
        <v>0</v>
      </c>
      <c r="K598" s="460">
        <f t="shared" si="31"/>
        <v>0</v>
      </c>
      <c r="L598" s="460">
        <f t="shared" si="31"/>
        <v>0</v>
      </c>
      <c r="M598" s="460">
        <f t="shared" si="31"/>
        <v>0</v>
      </c>
      <c r="N598" s="460">
        <f t="shared" si="31"/>
        <v>0</v>
      </c>
      <c r="O598" s="460">
        <f t="shared" si="31"/>
        <v>0</v>
      </c>
      <c r="P598" s="460">
        <f t="shared" si="31"/>
        <v>0</v>
      </c>
      <c r="Q598" s="460">
        <f t="shared" si="31"/>
        <v>0</v>
      </c>
      <c r="R598" s="460">
        <f t="shared" si="31"/>
        <v>0</v>
      </c>
      <c r="S598" s="460">
        <f t="shared" si="31"/>
        <v>0</v>
      </c>
      <c r="T598" s="460">
        <f t="shared" si="31"/>
        <v>0</v>
      </c>
      <c r="U598" s="460">
        <f t="shared" si="31"/>
        <v>0</v>
      </c>
      <c r="V598" s="460">
        <f t="shared" si="31"/>
        <v>0</v>
      </c>
      <c r="W598" s="460">
        <f t="shared" si="31"/>
        <v>0</v>
      </c>
      <c r="X598" s="460">
        <f t="shared" si="31"/>
        <v>0</v>
      </c>
      <c r="Y598" s="460">
        <f t="shared" si="31"/>
        <v>0</v>
      </c>
      <c r="Z598" s="460">
        <f t="shared" si="31"/>
        <v>0</v>
      </c>
    </row>
    <row r="599" spans="1:41" ht="12.75" customHeight="1" x14ac:dyDescent="0.25">
      <c r="C599" s="388"/>
      <c r="D599" s="220"/>
      <c r="E599" s="89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</row>
    <row r="600" spans="1:41" s="238" customFormat="1" ht="12.75" customHeight="1" x14ac:dyDescent="0.25">
      <c r="D600" s="239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</row>
    <row r="601" spans="1:41" ht="12.6" customHeight="1" x14ac:dyDescent="0.25">
      <c r="A601" s="89"/>
      <c r="B601" s="97" t="s">
        <v>93</v>
      </c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</row>
    <row r="602" spans="1:41" ht="12.75" customHeight="1" x14ac:dyDescent="0.25">
      <c r="F602" s="89" t="s">
        <v>70</v>
      </c>
      <c r="G602" s="89" t="s">
        <v>64</v>
      </c>
      <c r="H602" s="89" t="s">
        <v>65</v>
      </c>
      <c r="I602" s="218" t="s">
        <v>164</v>
      </c>
      <c r="J602" s="89" t="s">
        <v>69</v>
      </c>
      <c r="K602" s="89" t="s">
        <v>68</v>
      </c>
      <c r="L602" s="89" t="s">
        <v>71</v>
      </c>
      <c r="M602" s="89" t="s">
        <v>66</v>
      </c>
      <c r="N602" s="89" t="s">
        <v>63</v>
      </c>
      <c r="O602" s="89" t="s">
        <v>61</v>
      </c>
      <c r="P602" s="89" t="s">
        <v>62</v>
      </c>
      <c r="Q602" s="89" t="s">
        <v>67</v>
      </c>
      <c r="R602" s="89" t="s">
        <v>77</v>
      </c>
      <c r="S602" s="89" t="s">
        <v>80</v>
      </c>
      <c r="T602" s="89" t="s">
        <v>135</v>
      </c>
      <c r="U602" s="89" t="s">
        <v>173</v>
      </c>
      <c r="V602" s="89" t="s">
        <v>222</v>
      </c>
      <c r="W602" s="89" t="s">
        <v>173</v>
      </c>
      <c r="X602" t="s">
        <v>173</v>
      </c>
      <c r="Y602" s="89" t="s">
        <v>135</v>
      </c>
      <c r="Z602" t="s">
        <v>167</v>
      </c>
    </row>
    <row r="603" spans="1:41" x14ac:dyDescent="0.25">
      <c r="E603" t="s">
        <v>72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s="90">
        <v>0</v>
      </c>
    </row>
    <row r="604" spans="1:41" x14ac:dyDescent="0.25">
      <c r="D604" t="s">
        <v>156</v>
      </c>
      <c r="E604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90">
        <v>0</v>
      </c>
    </row>
    <row r="605" spans="1:41" s="286" customFormat="1" x14ac:dyDescent="0.25">
      <c r="C605" s="286" t="s">
        <v>155</v>
      </c>
      <c r="D605" s="286" t="s">
        <v>70</v>
      </c>
      <c r="F605" s="230">
        <v>0</v>
      </c>
      <c r="G605" s="230">
        <v>0</v>
      </c>
      <c r="H605" s="230">
        <v>0</v>
      </c>
      <c r="I605" s="230">
        <v>0</v>
      </c>
      <c r="J605" s="230">
        <v>0</v>
      </c>
      <c r="K605" s="230">
        <v>0</v>
      </c>
      <c r="L605" s="230">
        <v>0</v>
      </c>
      <c r="M605" s="230">
        <v>0</v>
      </c>
      <c r="N605" s="230">
        <v>0</v>
      </c>
      <c r="O605" s="230">
        <v>0</v>
      </c>
      <c r="P605" s="230">
        <v>0</v>
      </c>
      <c r="Q605" s="230">
        <v>0</v>
      </c>
      <c r="R605" s="230">
        <v>0</v>
      </c>
      <c r="S605" s="230">
        <v>0</v>
      </c>
      <c r="T605" s="230">
        <v>0</v>
      </c>
      <c r="U605" s="286">
        <v>0</v>
      </c>
      <c r="V605" s="286">
        <v>0</v>
      </c>
      <c r="W605" s="286">
        <v>0</v>
      </c>
      <c r="X605" s="286">
        <v>0</v>
      </c>
      <c r="Y605" s="286">
        <v>0</v>
      </c>
      <c r="Z605" s="230">
        <v>0</v>
      </c>
    </row>
    <row r="606" spans="1:41" ht="12.75" customHeight="1" x14ac:dyDescent="0.25">
      <c r="E606" s="89" t="s">
        <v>72</v>
      </c>
      <c r="F606" s="371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</row>
    <row r="607" spans="1:41" ht="12.75" customHeight="1" x14ac:dyDescent="0.25">
      <c r="D607" t="s">
        <v>82</v>
      </c>
      <c r="E607" s="89" t="s">
        <v>70</v>
      </c>
      <c r="F607" s="371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</row>
    <row r="608" spans="1:41" ht="12.75" customHeight="1" x14ac:dyDescent="0.25">
      <c r="E608" s="89" t="s">
        <v>72</v>
      </c>
      <c r="F608" s="371">
        <v>0</v>
      </c>
      <c r="G608" s="90">
        <v>0</v>
      </c>
      <c r="H608" s="90">
        <v>0</v>
      </c>
      <c r="I608" s="90">
        <v>0</v>
      </c>
      <c r="J608" s="90">
        <v>0</v>
      </c>
      <c r="K608" s="90">
        <v>0</v>
      </c>
      <c r="L608" s="90">
        <v>0</v>
      </c>
      <c r="M608" s="90">
        <v>0</v>
      </c>
      <c r="N608" s="90">
        <v>0</v>
      </c>
      <c r="O608" s="90">
        <v>0</v>
      </c>
      <c r="P608" s="90">
        <v>0</v>
      </c>
      <c r="Q608" s="90">
        <v>0</v>
      </c>
      <c r="R608" s="90">
        <v>0</v>
      </c>
      <c r="S608" s="90">
        <v>0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</row>
    <row r="609" spans="1:26" ht="12.75" customHeight="1" x14ac:dyDescent="0.25">
      <c r="D609" t="s">
        <v>86</v>
      </c>
      <c r="E609" s="89" t="s">
        <v>70</v>
      </c>
      <c r="F609" s="371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</row>
    <row r="610" spans="1:26" ht="12.75" customHeight="1" x14ac:dyDescent="0.25">
      <c r="E610" s="89" t="s">
        <v>72</v>
      </c>
      <c r="F610" s="371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</row>
    <row r="611" spans="1:26" ht="12.75" customHeight="1" x14ac:dyDescent="0.25">
      <c r="D611" t="s">
        <v>87</v>
      </c>
      <c r="E611" s="89" t="s">
        <v>70</v>
      </c>
      <c r="F611" s="371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</row>
    <row r="612" spans="1:26" s="94" customFormat="1" ht="12.75" customHeight="1" x14ac:dyDescent="0.25">
      <c r="C612" s="101" t="s">
        <v>119</v>
      </c>
      <c r="D612" s="101" t="s">
        <v>70</v>
      </c>
      <c r="F612" s="93">
        <v>0</v>
      </c>
      <c r="G612" s="93">
        <v>0</v>
      </c>
      <c r="H612" s="93">
        <v>0</v>
      </c>
      <c r="I612" s="93">
        <v>0</v>
      </c>
      <c r="J612" s="93">
        <v>0</v>
      </c>
      <c r="K612" s="93">
        <v>0</v>
      </c>
      <c r="L612" s="93">
        <v>0</v>
      </c>
      <c r="M612" s="93">
        <v>0</v>
      </c>
      <c r="N612" s="93">
        <v>0</v>
      </c>
      <c r="O612" s="93">
        <v>0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0</v>
      </c>
      <c r="X612" s="93">
        <v>0</v>
      </c>
      <c r="Y612" s="93">
        <v>0</v>
      </c>
      <c r="Z612" s="93">
        <v>0</v>
      </c>
    </row>
    <row r="613" spans="1:26" ht="12.75" customHeight="1" x14ac:dyDescent="0.25">
      <c r="B613" t="s">
        <v>112</v>
      </c>
      <c r="C613" t="s">
        <v>70</v>
      </c>
      <c r="E613" s="89"/>
      <c r="F613" s="371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</row>
    <row r="614" spans="1:26" s="458" customFormat="1" ht="12.75" customHeight="1" x14ac:dyDescent="0.25">
      <c r="A614" s="458" t="s">
        <v>186</v>
      </c>
      <c r="B614" s="458" t="s">
        <v>70</v>
      </c>
      <c r="F614" s="458">
        <v>0</v>
      </c>
      <c r="G614" s="458">
        <v>0</v>
      </c>
      <c r="H614" s="458">
        <v>0</v>
      </c>
      <c r="I614" s="458">
        <v>0</v>
      </c>
      <c r="J614" s="458">
        <v>0</v>
      </c>
      <c r="K614" s="458">
        <v>0</v>
      </c>
      <c r="L614" s="458">
        <v>0</v>
      </c>
      <c r="M614" s="458">
        <v>0</v>
      </c>
      <c r="N614" s="458">
        <v>0</v>
      </c>
      <c r="O614" s="458">
        <v>0</v>
      </c>
      <c r="P614" s="458">
        <v>0</v>
      </c>
      <c r="Q614" s="458">
        <v>0</v>
      </c>
      <c r="R614" s="458">
        <v>0</v>
      </c>
      <c r="S614" s="458">
        <v>0</v>
      </c>
      <c r="T614" s="458">
        <v>0</v>
      </c>
      <c r="U614" s="458">
        <v>0</v>
      </c>
      <c r="V614" s="458">
        <v>0</v>
      </c>
      <c r="W614" s="458">
        <v>0</v>
      </c>
      <c r="X614" s="458">
        <v>0</v>
      </c>
      <c r="Y614" s="458">
        <v>0</v>
      </c>
      <c r="Z614" s="458">
        <v>0</v>
      </c>
    </row>
    <row r="615" spans="1:26" x14ac:dyDescent="0.25"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 s="90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90">
        <v>0</v>
      </c>
    </row>
    <row r="616" spans="1:26" x14ac:dyDescent="0.25"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 s="90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s="90">
        <v>0</v>
      </c>
    </row>
    <row r="617" spans="1:26" x14ac:dyDescent="0.25">
      <c r="D617" t="s">
        <v>156</v>
      </c>
      <c r="E617" t="s">
        <v>70</v>
      </c>
      <c r="F617" s="90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 s="90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s="90">
        <v>0</v>
      </c>
    </row>
    <row r="618" spans="1:26" s="286" customFormat="1" x14ac:dyDescent="0.25">
      <c r="C618" s="286" t="s">
        <v>155</v>
      </c>
      <c r="D618" s="286" t="s">
        <v>70</v>
      </c>
      <c r="F618" s="230">
        <v>0</v>
      </c>
      <c r="G618" s="230">
        <v>0</v>
      </c>
      <c r="H618" s="230">
        <v>0</v>
      </c>
      <c r="I618" s="230">
        <v>0</v>
      </c>
      <c r="J618" s="230">
        <v>0</v>
      </c>
      <c r="K618" s="230">
        <v>0</v>
      </c>
      <c r="L618" s="230">
        <v>0</v>
      </c>
      <c r="M618" s="230">
        <v>0</v>
      </c>
      <c r="N618" s="230">
        <v>0</v>
      </c>
      <c r="O618" s="230">
        <v>0</v>
      </c>
      <c r="P618" s="230">
        <v>0</v>
      </c>
      <c r="Q618" s="230">
        <v>0</v>
      </c>
      <c r="R618" s="230">
        <v>0</v>
      </c>
      <c r="S618" s="230">
        <v>0</v>
      </c>
      <c r="T618" s="230">
        <v>0</v>
      </c>
      <c r="U618" s="286">
        <v>0</v>
      </c>
      <c r="V618" s="286">
        <v>0</v>
      </c>
      <c r="W618" s="286">
        <v>0</v>
      </c>
      <c r="X618" s="286">
        <v>0</v>
      </c>
      <c r="Y618" s="286">
        <v>0</v>
      </c>
      <c r="Z618" s="230">
        <v>0</v>
      </c>
    </row>
    <row r="619" spans="1:26" x14ac:dyDescent="0.25">
      <c r="E619" t="s">
        <v>72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0</v>
      </c>
      <c r="N619" s="90">
        <v>0</v>
      </c>
      <c r="O619" s="90">
        <v>0</v>
      </c>
      <c r="P619" s="90">
        <v>0</v>
      </c>
      <c r="Q619" s="90">
        <v>370.08</v>
      </c>
      <c r="R619" s="90">
        <v>-1.95</v>
      </c>
      <c r="S619" s="90">
        <v>0</v>
      </c>
      <c r="T619" s="90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90">
        <v>0</v>
      </c>
    </row>
    <row r="620" spans="1:26" x14ac:dyDescent="0.25">
      <c r="E620" t="s">
        <v>81</v>
      </c>
      <c r="F620" s="90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7.0000000000000007E-2</v>
      </c>
      <c r="R620" s="90">
        <v>0</v>
      </c>
      <c r="S620" s="90">
        <v>0</v>
      </c>
      <c r="T620" s="9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s="90">
        <v>0</v>
      </c>
    </row>
    <row r="621" spans="1:26" x14ac:dyDescent="0.25">
      <c r="D621" t="s">
        <v>82</v>
      </c>
      <c r="E621" t="s">
        <v>70</v>
      </c>
      <c r="F621" s="90">
        <v>0</v>
      </c>
      <c r="G621" s="90">
        <v>0</v>
      </c>
      <c r="H621" s="90">
        <v>0</v>
      </c>
      <c r="I621" s="90">
        <v>0</v>
      </c>
      <c r="J621" s="90">
        <v>0</v>
      </c>
      <c r="K621" s="90">
        <v>0</v>
      </c>
      <c r="L621" s="90">
        <v>0</v>
      </c>
      <c r="M621" s="90">
        <v>0</v>
      </c>
      <c r="N621" s="90">
        <v>0</v>
      </c>
      <c r="O621" s="90">
        <v>0</v>
      </c>
      <c r="P621" s="90">
        <v>0</v>
      </c>
      <c r="Q621" s="90">
        <v>370.15</v>
      </c>
      <c r="R621" s="90">
        <v>-1.95</v>
      </c>
      <c r="S621" s="90">
        <v>0</v>
      </c>
      <c r="T621" s="90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90">
        <v>0</v>
      </c>
    </row>
    <row r="622" spans="1:26" x14ac:dyDescent="0.25">
      <c r="E622" t="s">
        <v>72</v>
      </c>
      <c r="F622" s="90">
        <v>0</v>
      </c>
      <c r="G622" s="90">
        <v>0</v>
      </c>
      <c r="H622" s="90">
        <v>0</v>
      </c>
      <c r="I622" s="90">
        <v>0</v>
      </c>
      <c r="J622" s="90">
        <v>0</v>
      </c>
      <c r="K622" s="90">
        <v>0</v>
      </c>
      <c r="L622" s="90">
        <v>0</v>
      </c>
      <c r="M622" s="90">
        <v>0</v>
      </c>
      <c r="N622" s="90">
        <v>0</v>
      </c>
      <c r="O622" s="90">
        <v>0</v>
      </c>
      <c r="P622" s="90">
        <v>0</v>
      </c>
      <c r="Q622" s="90">
        <v>370.08</v>
      </c>
      <c r="R622" s="90">
        <v>-1.95</v>
      </c>
      <c r="S622" s="90">
        <v>0</v>
      </c>
      <c r="T622" s="90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90">
        <v>0</v>
      </c>
    </row>
    <row r="623" spans="1:26" x14ac:dyDescent="0.25">
      <c r="E623" t="s">
        <v>81</v>
      </c>
      <c r="F623" s="90">
        <v>0</v>
      </c>
      <c r="G623" s="90">
        <v>0</v>
      </c>
      <c r="H623" s="90">
        <v>0</v>
      </c>
      <c r="I623" s="90">
        <v>0</v>
      </c>
      <c r="J623" s="90">
        <v>0</v>
      </c>
      <c r="K623" s="90">
        <v>0</v>
      </c>
      <c r="L623" s="90">
        <v>0</v>
      </c>
      <c r="M623" s="90">
        <v>0</v>
      </c>
      <c r="N623" s="90">
        <v>0</v>
      </c>
      <c r="O623" s="90">
        <v>0</v>
      </c>
      <c r="P623" s="90">
        <v>0</v>
      </c>
      <c r="Q623" s="90">
        <v>7.0000000000000007E-2</v>
      </c>
      <c r="R623" s="90">
        <v>0</v>
      </c>
      <c r="S623" s="90">
        <v>0</v>
      </c>
      <c r="T623" s="90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90">
        <v>0</v>
      </c>
    </row>
    <row r="624" spans="1:26" x14ac:dyDescent="0.25">
      <c r="D624" t="s">
        <v>86</v>
      </c>
      <c r="E624" t="s">
        <v>70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370.15</v>
      </c>
      <c r="R624" s="90">
        <v>-1.95</v>
      </c>
      <c r="S624" s="90">
        <v>0</v>
      </c>
      <c r="T624" s="90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90">
        <v>0</v>
      </c>
    </row>
    <row r="625" spans="1:26" ht="12.75" customHeight="1" x14ac:dyDescent="0.25">
      <c r="E625" s="89" t="s">
        <v>72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 s="90">
        <v>0</v>
      </c>
      <c r="U625" s="90">
        <v>0</v>
      </c>
      <c r="V625" s="90">
        <v>0</v>
      </c>
      <c r="W625" s="90">
        <v>0</v>
      </c>
      <c r="X625" s="90">
        <v>0</v>
      </c>
      <c r="Y625" s="90">
        <v>0</v>
      </c>
      <c r="Z625" s="90">
        <v>0</v>
      </c>
    </row>
    <row r="626" spans="1:26" x14ac:dyDescent="0.25">
      <c r="E626" t="s">
        <v>81</v>
      </c>
      <c r="F626" s="90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 s="90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90">
        <v>0</v>
      </c>
    </row>
    <row r="627" spans="1:26" ht="12.75" customHeight="1" x14ac:dyDescent="0.25">
      <c r="D627" t="s">
        <v>87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 s="90">
        <v>0</v>
      </c>
      <c r="U627" s="90">
        <v>0</v>
      </c>
      <c r="V627" s="90">
        <v>0</v>
      </c>
      <c r="W627" s="90">
        <v>0</v>
      </c>
      <c r="X627" s="90">
        <v>0</v>
      </c>
      <c r="Y627" s="90">
        <v>0</v>
      </c>
      <c r="Z627" s="90">
        <v>0</v>
      </c>
    </row>
    <row r="628" spans="1:26" s="94" customFormat="1" ht="12.75" customHeight="1" x14ac:dyDescent="0.25">
      <c r="C628" s="101" t="s">
        <v>119</v>
      </c>
      <c r="D628" s="101" t="s">
        <v>70</v>
      </c>
      <c r="F628" s="93">
        <v>0</v>
      </c>
      <c r="G628" s="93">
        <v>0</v>
      </c>
      <c r="H628" s="93">
        <v>0</v>
      </c>
      <c r="I628" s="93">
        <v>0</v>
      </c>
      <c r="J628" s="93">
        <v>0</v>
      </c>
      <c r="K628" s="93">
        <v>0</v>
      </c>
      <c r="L628" s="93">
        <v>0</v>
      </c>
      <c r="M628" s="93">
        <v>0</v>
      </c>
      <c r="N628" s="93">
        <v>0</v>
      </c>
      <c r="O628" s="93">
        <v>0</v>
      </c>
      <c r="P628" s="93">
        <v>0</v>
      </c>
      <c r="Q628" s="93">
        <v>0</v>
      </c>
      <c r="R628" s="93">
        <v>0</v>
      </c>
      <c r="S628" s="93">
        <v>0</v>
      </c>
      <c r="T628" s="93">
        <v>0</v>
      </c>
      <c r="U628" s="93">
        <v>0</v>
      </c>
      <c r="V628" s="93">
        <v>0</v>
      </c>
      <c r="W628" s="93">
        <v>0</v>
      </c>
      <c r="X628" s="93">
        <v>0</v>
      </c>
      <c r="Y628" s="93">
        <v>0</v>
      </c>
      <c r="Z628" s="93">
        <v>0</v>
      </c>
    </row>
    <row r="629" spans="1:26" s="378" customFormat="1" ht="12.75" customHeight="1" x14ac:dyDescent="0.25">
      <c r="B629" s="378" t="s">
        <v>122</v>
      </c>
      <c r="C629" s="378" t="s">
        <v>70</v>
      </c>
      <c r="E629" s="376"/>
      <c r="F629" s="710">
        <v>0</v>
      </c>
      <c r="G629" s="377">
        <v>0</v>
      </c>
      <c r="H629" s="377">
        <v>0</v>
      </c>
      <c r="I629" s="377">
        <v>0</v>
      </c>
      <c r="J629" s="377">
        <v>0</v>
      </c>
      <c r="K629" s="377">
        <v>0</v>
      </c>
      <c r="L629" s="377">
        <v>0</v>
      </c>
      <c r="M629" s="377">
        <v>0</v>
      </c>
      <c r="N629" s="377">
        <v>0</v>
      </c>
      <c r="O629" s="377">
        <v>0</v>
      </c>
      <c r="P629" s="377">
        <v>0</v>
      </c>
      <c r="Q629" s="377">
        <v>0</v>
      </c>
      <c r="R629" s="377">
        <v>0</v>
      </c>
      <c r="S629" s="377">
        <v>0</v>
      </c>
      <c r="T629" s="377">
        <v>0</v>
      </c>
      <c r="U629" s="377">
        <v>0</v>
      </c>
      <c r="V629" s="377">
        <v>0</v>
      </c>
      <c r="W629" s="377">
        <v>0</v>
      </c>
      <c r="X629" s="377">
        <v>0</v>
      </c>
      <c r="Y629" s="377">
        <v>0</v>
      </c>
      <c r="Z629" s="377">
        <v>0</v>
      </c>
    </row>
    <row r="630" spans="1:26" ht="12.75" customHeight="1" x14ac:dyDescent="0.25">
      <c r="C630" s="89"/>
      <c r="D630" s="89"/>
      <c r="E630" t="s">
        <v>72</v>
      </c>
      <c r="F630" s="371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ht="12.75" customHeight="1" x14ac:dyDescent="0.25">
      <c r="C631" s="89"/>
      <c r="D631" s="89"/>
      <c r="E631" t="s">
        <v>81</v>
      </c>
      <c r="F631" s="90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ht="12.75" customHeight="1" x14ac:dyDescent="0.25">
      <c r="D632" t="s">
        <v>156</v>
      </c>
      <c r="E632" s="89" t="s">
        <v>70</v>
      </c>
      <c r="F632" s="90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s="656" customFormat="1" ht="12.75" customHeight="1" x14ac:dyDescent="0.25">
      <c r="A633" s="657"/>
      <c r="B633" s="657"/>
      <c r="C633" s="656" t="s">
        <v>155</v>
      </c>
      <c r="D633" s="656" t="s">
        <v>70</v>
      </c>
      <c r="F633" s="658">
        <v>0</v>
      </c>
      <c r="G633" s="658">
        <v>0</v>
      </c>
      <c r="H633" s="658">
        <v>0</v>
      </c>
      <c r="I633" s="658">
        <v>0</v>
      </c>
      <c r="J633" s="658">
        <v>0</v>
      </c>
      <c r="K633" s="658">
        <v>0</v>
      </c>
      <c r="L633" s="658">
        <v>0</v>
      </c>
      <c r="M633" s="658">
        <v>0</v>
      </c>
      <c r="N633" s="658">
        <v>0</v>
      </c>
      <c r="O633" s="658">
        <v>0</v>
      </c>
      <c r="P633" s="658">
        <v>0</v>
      </c>
      <c r="Q633" s="658">
        <v>0</v>
      </c>
      <c r="R633" s="658">
        <v>0</v>
      </c>
      <c r="S633" s="658">
        <v>0</v>
      </c>
      <c r="T633" s="656">
        <v>0</v>
      </c>
      <c r="U633" s="656">
        <v>0</v>
      </c>
      <c r="V633" s="656">
        <v>0</v>
      </c>
      <c r="W633" s="656">
        <v>0</v>
      </c>
      <c r="X633" s="656">
        <v>0</v>
      </c>
      <c r="Y633" s="656">
        <v>0</v>
      </c>
      <c r="Z633" s="656">
        <v>0</v>
      </c>
    </row>
    <row r="634" spans="1:26" ht="12.75" customHeight="1" x14ac:dyDescent="0.25">
      <c r="E634" s="89" t="s">
        <v>72</v>
      </c>
      <c r="F634" s="90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ht="12.75" customHeight="1" x14ac:dyDescent="0.25">
      <c r="E635" s="89" t="s">
        <v>81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ht="12.75" customHeight="1" x14ac:dyDescent="0.25">
      <c r="D636" t="s">
        <v>156</v>
      </c>
      <c r="E636" s="89" t="s">
        <v>70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s="739" customFormat="1" ht="12.75" customHeight="1" x14ac:dyDescent="0.25">
      <c r="C637" s="739" t="s">
        <v>326</v>
      </c>
      <c r="D637" s="739" t="s">
        <v>70</v>
      </c>
      <c r="E637" s="231"/>
      <c r="F637" s="740">
        <v>0</v>
      </c>
      <c r="G637" s="232">
        <v>0</v>
      </c>
      <c r="H637" s="232">
        <v>0</v>
      </c>
      <c r="I637" s="232">
        <v>0</v>
      </c>
      <c r="J637" s="232">
        <v>0</v>
      </c>
      <c r="K637" s="232">
        <v>0</v>
      </c>
      <c r="L637" s="232">
        <v>0</v>
      </c>
      <c r="M637" s="232">
        <v>0</v>
      </c>
      <c r="N637" s="232">
        <v>0</v>
      </c>
      <c r="O637" s="232">
        <v>0</v>
      </c>
      <c r="P637" s="232">
        <v>0</v>
      </c>
      <c r="Q637" s="232">
        <v>0</v>
      </c>
      <c r="R637" s="232">
        <v>0</v>
      </c>
      <c r="S637" s="232">
        <v>0</v>
      </c>
      <c r="T637" s="739">
        <v>0</v>
      </c>
      <c r="U637" s="739">
        <v>0</v>
      </c>
      <c r="V637" s="739">
        <v>0</v>
      </c>
      <c r="W637" s="739">
        <v>0</v>
      </c>
      <c r="X637" s="739">
        <v>0</v>
      </c>
      <c r="Y637" s="739">
        <v>0</v>
      </c>
      <c r="Z637" s="739">
        <v>0</v>
      </c>
    </row>
    <row r="638" spans="1:26" ht="12.75" customHeight="1" x14ac:dyDescent="0.25">
      <c r="E638" s="89" t="s">
        <v>72</v>
      </c>
      <c r="F638" s="371">
        <v>0</v>
      </c>
      <c r="G638" s="90">
        <v>0</v>
      </c>
      <c r="H638" s="90">
        <v>0</v>
      </c>
      <c r="I638" s="90">
        <v>0</v>
      </c>
      <c r="J638" s="90">
        <v>0</v>
      </c>
      <c r="K638" s="90">
        <v>0</v>
      </c>
      <c r="L638" s="90">
        <v>0</v>
      </c>
      <c r="M638" s="90">
        <v>0</v>
      </c>
      <c r="N638" s="90">
        <v>0</v>
      </c>
      <c r="O638" s="90">
        <v>0</v>
      </c>
      <c r="P638" s="90">
        <v>0</v>
      </c>
      <c r="Q638" s="90">
        <v>0</v>
      </c>
      <c r="R638" s="90">
        <v>0</v>
      </c>
      <c r="S638" s="90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ht="12.75" customHeight="1" x14ac:dyDescent="0.25">
      <c r="E639" s="89" t="s">
        <v>81</v>
      </c>
      <c r="F639" s="90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ht="12.75" customHeight="1" x14ac:dyDescent="0.25">
      <c r="D640" s="89" t="s">
        <v>82</v>
      </c>
      <c r="E640" s="89" t="s">
        <v>70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ht="12.75" customHeight="1" x14ac:dyDescent="0.25">
      <c r="C641" s="89"/>
      <c r="D641" s="89"/>
      <c r="E641" t="s">
        <v>72</v>
      </c>
      <c r="F641" s="90">
        <v>0</v>
      </c>
      <c r="G641" s="90">
        <v>0</v>
      </c>
      <c r="H641" s="90">
        <v>0</v>
      </c>
      <c r="I641" s="90">
        <v>0</v>
      </c>
      <c r="J641" s="90">
        <v>0</v>
      </c>
      <c r="K641" s="90">
        <v>0</v>
      </c>
      <c r="L641" s="90">
        <v>0</v>
      </c>
      <c r="M641" s="90">
        <v>0</v>
      </c>
      <c r="N641" s="90">
        <v>0</v>
      </c>
      <c r="O641" s="90">
        <v>0</v>
      </c>
      <c r="P641" s="90">
        <v>0</v>
      </c>
      <c r="Q641" s="90">
        <v>0</v>
      </c>
      <c r="R641" s="90">
        <v>0</v>
      </c>
      <c r="S641" s="90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ht="12.75" customHeight="1" x14ac:dyDescent="0.25">
      <c r="B642" s="89"/>
      <c r="C642" s="89"/>
      <c r="E642" t="s">
        <v>81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  <c r="N642" s="90">
        <v>0</v>
      </c>
      <c r="O642" s="90">
        <v>0</v>
      </c>
      <c r="P642" s="90">
        <v>0</v>
      </c>
      <c r="Q642" s="90">
        <v>0</v>
      </c>
      <c r="R642" s="90">
        <v>0</v>
      </c>
      <c r="S642" s="90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ht="12.75" customHeight="1" x14ac:dyDescent="0.25">
      <c r="A643" s="89"/>
      <c r="B643" s="89"/>
      <c r="D643" t="s">
        <v>86</v>
      </c>
      <c r="E643" t="s">
        <v>70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ht="12.75" customHeight="1" x14ac:dyDescent="0.25">
      <c r="E644" s="89" t="s">
        <v>72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ht="12.75" customHeight="1" x14ac:dyDescent="0.25">
      <c r="A645" s="89"/>
      <c r="B645" s="89"/>
      <c r="E645" t="s">
        <v>81</v>
      </c>
      <c r="F645" s="90">
        <v>0</v>
      </c>
      <c r="G645" s="90">
        <v>0</v>
      </c>
      <c r="H645" s="90">
        <v>0</v>
      </c>
      <c r="I645" s="90">
        <v>0</v>
      </c>
      <c r="J645" s="90">
        <v>0</v>
      </c>
      <c r="K645" s="90">
        <v>0</v>
      </c>
      <c r="L645" s="90">
        <v>0</v>
      </c>
      <c r="M645" s="90">
        <v>0</v>
      </c>
      <c r="N645" s="90">
        <v>0</v>
      </c>
      <c r="O645" s="90">
        <v>0</v>
      </c>
      <c r="P645" s="90">
        <v>0</v>
      </c>
      <c r="Q645" s="90">
        <v>0</v>
      </c>
      <c r="R645" s="90">
        <v>0</v>
      </c>
      <c r="S645" s="90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t="12.75" customHeight="1" x14ac:dyDescent="0.25">
      <c r="D646" t="s">
        <v>87</v>
      </c>
      <c r="E646" s="89" t="s">
        <v>70</v>
      </c>
      <c r="F646" s="90">
        <v>0</v>
      </c>
      <c r="G646" s="90">
        <v>0</v>
      </c>
      <c r="H646" s="90">
        <v>0</v>
      </c>
      <c r="I646" s="90">
        <v>0</v>
      </c>
      <c r="J646" s="90">
        <v>0</v>
      </c>
      <c r="K646" s="90">
        <v>0</v>
      </c>
      <c r="L646" s="90">
        <v>0</v>
      </c>
      <c r="M646" s="90">
        <v>0</v>
      </c>
      <c r="N646" s="90">
        <v>0</v>
      </c>
      <c r="O646" s="90">
        <v>0</v>
      </c>
      <c r="P646" s="90">
        <v>0</v>
      </c>
      <c r="Q646" s="90">
        <v>0</v>
      </c>
      <c r="R646" s="90">
        <v>0</v>
      </c>
      <c r="S646" s="90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s="94" customFormat="1" ht="12.75" customHeight="1" x14ac:dyDescent="0.25">
      <c r="A647" s="101"/>
      <c r="B647" s="101"/>
      <c r="C647" s="94" t="s">
        <v>119</v>
      </c>
      <c r="D647" s="94" t="s">
        <v>70</v>
      </c>
      <c r="F647" s="93">
        <v>0</v>
      </c>
      <c r="G647" s="93">
        <v>0</v>
      </c>
      <c r="H647" s="93">
        <v>0</v>
      </c>
      <c r="I647" s="93">
        <v>0</v>
      </c>
      <c r="J647" s="93">
        <v>0</v>
      </c>
      <c r="K647" s="93">
        <v>0</v>
      </c>
      <c r="L647" s="93">
        <v>0</v>
      </c>
      <c r="M647" s="93">
        <v>0</v>
      </c>
      <c r="N647" s="93">
        <v>0</v>
      </c>
      <c r="O647" s="93">
        <v>0</v>
      </c>
      <c r="P647" s="93">
        <v>0</v>
      </c>
      <c r="Q647" s="93">
        <v>0</v>
      </c>
      <c r="R647" s="93">
        <v>0</v>
      </c>
      <c r="S647" s="93">
        <v>0</v>
      </c>
      <c r="T647" s="94">
        <v>0</v>
      </c>
      <c r="U647" s="94">
        <v>0</v>
      </c>
      <c r="V647" s="94">
        <v>0</v>
      </c>
      <c r="W647" s="94">
        <v>0</v>
      </c>
      <c r="X647" s="94">
        <v>0</v>
      </c>
      <c r="Y647" s="94">
        <v>0</v>
      </c>
      <c r="Z647" s="94">
        <v>0</v>
      </c>
    </row>
    <row r="648" spans="1:26" s="226" customFormat="1" ht="12.75" customHeight="1" x14ac:dyDescent="0.25">
      <c r="B648" s="226" t="s">
        <v>112</v>
      </c>
      <c r="C648" s="226" t="s">
        <v>70</v>
      </c>
      <c r="E648" s="98"/>
      <c r="F648" s="100">
        <v>0</v>
      </c>
      <c r="G648" s="100">
        <v>0</v>
      </c>
      <c r="H648" s="100">
        <v>0</v>
      </c>
      <c r="I648" s="100">
        <v>0</v>
      </c>
      <c r="J648" s="100">
        <v>0</v>
      </c>
      <c r="K648" s="100">
        <v>0</v>
      </c>
      <c r="L648" s="100">
        <v>0</v>
      </c>
      <c r="M648" s="100">
        <v>0</v>
      </c>
      <c r="N648" s="100">
        <v>0</v>
      </c>
      <c r="O648" s="100">
        <v>0</v>
      </c>
      <c r="P648" s="100">
        <v>0</v>
      </c>
      <c r="Q648" s="100">
        <v>0</v>
      </c>
      <c r="R648" s="100">
        <v>0</v>
      </c>
      <c r="S648" s="100">
        <v>0</v>
      </c>
      <c r="T648" s="226">
        <v>0</v>
      </c>
      <c r="U648" s="226">
        <v>0</v>
      </c>
      <c r="V648" s="226">
        <v>0</v>
      </c>
      <c r="W648" s="226">
        <v>0</v>
      </c>
      <c r="X648" s="226">
        <v>0</v>
      </c>
      <c r="Y648" s="226">
        <v>0</v>
      </c>
      <c r="Z648" s="226">
        <v>0</v>
      </c>
    </row>
    <row r="649" spans="1:26" ht="13.5" customHeight="1" x14ac:dyDescent="0.25">
      <c r="A649" t="s">
        <v>78</v>
      </c>
      <c r="B649" t="s">
        <v>70</v>
      </c>
      <c r="E649" s="89"/>
      <c r="F649" s="90">
        <v>13359789539.23</v>
      </c>
      <c r="G649" s="90">
        <v>697483550.35000002</v>
      </c>
      <c r="H649" s="90">
        <v>388259624.73000002</v>
      </c>
      <c r="I649" s="90">
        <v>206453897.28999999</v>
      </c>
      <c r="J649" s="90">
        <v>3256933254.8000002</v>
      </c>
      <c r="K649" s="90">
        <v>106089721.18000001</v>
      </c>
      <c r="L649" s="90">
        <v>12154250.720000001</v>
      </c>
      <c r="M649" s="90">
        <v>930507799.59000003</v>
      </c>
      <c r="N649" s="90">
        <v>903844784.82000005</v>
      </c>
      <c r="O649" s="90">
        <v>4612204182.5699997</v>
      </c>
      <c r="P649" s="90">
        <v>2072913975.9400001</v>
      </c>
      <c r="Q649" s="90">
        <v>173121721.61000001</v>
      </c>
      <c r="R649" s="90">
        <v>-177200.85</v>
      </c>
      <c r="S649" s="90">
        <v>191.97</v>
      </c>
      <c r="T649">
        <v>6.64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-222.13</v>
      </c>
    </row>
    <row r="650" spans="1:26" x14ac:dyDescent="0.25">
      <c r="E650" t="s">
        <v>73</v>
      </c>
      <c r="F650" s="90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90">
        <v>0</v>
      </c>
    </row>
    <row r="651" spans="1:26" x14ac:dyDescent="0.25">
      <c r="D651" t="s">
        <v>156</v>
      </c>
      <c r="E651" t="s">
        <v>70</v>
      </c>
      <c r="F651" s="90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90">
        <v>0</v>
      </c>
    </row>
    <row r="652" spans="1:26" s="286" customFormat="1" ht="12.75" customHeight="1" x14ac:dyDescent="0.25">
      <c r="C652" s="286" t="s">
        <v>155</v>
      </c>
      <c r="D652" s="286" t="s">
        <v>70</v>
      </c>
      <c r="E652" s="229"/>
      <c r="F652" s="229">
        <v>0</v>
      </c>
      <c r="G652" s="230">
        <v>0</v>
      </c>
      <c r="H652" s="230">
        <v>0</v>
      </c>
      <c r="I652" s="230">
        <v>0</v>
      </c>
      <c r="J652" s="230">
        <v>0</v>
      </c>
      <c r="K652" s="230">
        <v>0</v>
      </c>
      <c r="L652" s="230">
        <v>0</v>
      </c>
      <c r="M652" s="230">
        <v>0</v>
      </c>
      <c r="N652" s="230">
        <v>0</v>
      </c>
      <c r="O652" s="230">
        <v>0</v>
      </c>
      <c r="P652" s="230">
        <v>0</v>
      </c>
      <c r="Q652" s="230">
        <v>0</v>
      </c>
      <c r="R652" s="230">
        <v>0</v>
      </c>
      <c r="S652" s="230">
        <v>0</v>
      </c>
      <c r="T652" s="230">
        <v>0</v>
      </c>
      <c r="U652" s="230">
        <v>0</v>
      </c>
      <c r="V652" s="230">
        <v>0</v>
      </c>
      <c r="W652" s="230">
        <v>0</v>
      </c>
      <c r="X652" s="230">
        <v>0</v>
      </c>
      <c r="Y652" s="230">
        <v>0</v>
      </c>
      <c r="Z652" s="230">
        <v>0</v>
      </c>
    </row>
    <row r="653" spans="1:26" x14ac:dyDescent="0.25">
      <c r="E653" t="s">
        <v>73</v>
      </c>
      <c r="F653" s="90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90">
        <v>0</v>
      </c>
    </row>
    <row r="654" spans="1:26" x14ac:dyDescent="0.25">
      <c r="D654" t="s">
        <v>82</v>
      </c>
      <c r="E654" t="s">
        <v>70</v>
      </c>
      <c r="F654" s="90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90">
        <v>0</v>
      </c>
    </row>
    <row r="655" spans="1:26" x14ac:dyDescent="0.25">
      <c r="E655" t="s">
        <v>73</v>
      </c>
      <c r="F655" s="90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90">
        <v>0</v>
      </c>
    </row>
    <row r="656" spans="1:26" x14ac:dyDescent="0.25">
      <c r="D656" t="s">
        <v>86</v>
      </c>
      <c r="E656" t="s">
        <v>70</v>
      </c>
      <c r="F656" s="90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s="90">
        <v>0</v>
      </c>
    </row>
    <row r="657" spans="1:26" x14ac:dyDescent="0.25">
      <c r="E657" t="s">
        <v>73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90">
        <v>0</v>
      </c>
    </row>
    <row r="658" spans="1:26" x14ac:dyDescent="0.25">
      <c r="D658" t="s">
        <v>87</v>
      </c>
      <c r="E658" t="s">
        <v>70</v>
      </c>
      <c r="F658" s="90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90">
        <v>0</v>
      </c>
    </row>
    <row r="659" spans="1:26" s="94" customFormat="1" ht="12.75" customHeight="1" x14ac:dyDescent="0.25">
      <c r="C659" s="101" t="s">
        <v>119</v>
      </c>
      <c r="D659" s="101" t="s">
        <v>70</v>
      </c>
      <c r="F659" s="93">
        <v>0</v>
      </c>
      <c r="G659" s="93">
        <v>0</v>
      </c>
      <c r="H659" s="93">
        <v>0</v>
      </c>
      <c r="I659" s="93">
        <v>0</v>
      </c>
      <c r="J659" s="93">
        <v>0</v>
      </c>
      <c r="K659" s="93">
        <v>0</v>
      </c>
      <c r="L659" s="93">
        <v>0</v>
      </c>
      <c r="M659" s="93">
        <v>0</v>
      </c>
      <c r="N659" s="93">
        <v>0</v>
      </c>
      <c r="O659" s="93">
        <v>0</v>
      </c>
      <c r="P659" s="93">
        <v>0</v>
      </c>
      <c r="Q659" s="93">
        <v>0</v>
      </c>
      <c r="R659" s="93">
        <v>0</v>
      </c>
      <c r="S659" s="93">
        <v>0</v>
      </c>
      <c r="T659" s="93">
        <v>0</v>
      </c>
      <c r="U659" s="93">
        <v>0</v>
      </c>
      <c r="V659" s="93">
        <v>0</v>
      </c>
      <c r="W659" s="93">
        <v>0</v>
      </c>
      <c r="X659" s="93">
        <v>0</v>
      </c>
      <c r="Y659" s="93">
        <v>0</v>
      </c>
      <c r="Z659" s="93">
        <v>0</v>
      </c>
    </row>
    <row r="660" spans="1:26" s="378" customFormat="1" ht="12.75" customHeight="1" x14ac:dyDescent="0.25">
      <c r="B660" s="378" t="s">
        <v>122</v>
      </c>
      <c r="C660" s="378" t="s">
        <v>70</v>
      </c>
      <c r="E660" s="376"/>
      <c r="F660" s="710">
        <v>0</v>
      </c>
      <c r="G660" s="377">
        <v>0</v>
      </c>
      <c r="H660" s="377">
        <v>0</v>
      </c>
      <c r="I660" s="377">
        <v>0</v>
      </c>
      <c r="J660" s="377">
        <v>0</v>
      </c>
      <c r="K660" s="377">
        <v>0</v>
      </c>
      <c r="L660" s="377">
        <v>0</v>
      </c>
      <c r="M660" s="377">
        <v>0</v>
      </c>
      <c r="N660" s="377">
        <v>0</v>
      </c>
      <c r="O660" s="377">
        <v>0</v>
      </c>
      <c r="P660" s="377">
        <v>0</v>
      </c>
      <c r="Q660" s="377">
        <v>0</v>
      </c>
      <c r="R660" s="377">
        <v>0</v>
      </c>
      <c r="S660" s="377">
        <v>0</v>
      </c>
      <c r="T660" s="377">
        <v>0</v>
      </c>
      <c r="U660" s="377">
        <v>0</v>
      </c>
      <c r="V660" s="377">
        <v>0</v>
      </c>
      <c r="W660" s="377">
        <v>0</v>
      </c>
      <c r="X660" s="377">
        <v>0</v>
      </c>
      <c r="Y660" s="377">
        <v>0</v>
      </c>
      <c r="Z660" s="377">
        <v>0</v>
      </c>
    </row>
    <row r="661" spans="1:26" ht="12.75" customHeight="1" x14ac:dyDescent="0.25">
      <c r="E661" s="89" t="s">
        <v>73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ht="12.75" customHeight="1" x14ac:dyDescent="0.25">
      <c r="D662" t="s">
        <v>156</v>
      </c>
      <c r="E662" s="89" t="s">
        <v>70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s="656" customFormat="1" ht="12.75" customHeight="1" x14ac:dyDescent="0.25">
      <c r="A663" s="657"/>
      <c r="B663" s="657"/>
      <c r="C663" s="656" t="s">
        <v>155</v>
      </c>
      <c r="D663" s="656" t="s">
        <v>70</v>
      </c>
      <c r="F663" s="658">
        <v>0</v>
      </c>
      <c r="G663" s="658">
        <v>0</v>
      </c>
      <c r="H663" s="658">
        <v>0</v>
      </c>
      <c r="I663" s="658">
        <v>0</v>
      </c>
      <c r="J663" s="658">
        <v>0</v>
      </c>
      <c r="K663" s="658">
        <v>0</v>
      </c>
      <c r="L663" s="658">
        <v>0</v>
      </c>
      <c r="M663" s="658">
        <v>0</v>
      </c>
      <c r="N663" s="658">
        <v>0</v>
      </c>
      <c r="O663" s="658">
        <v>0</v>
      </c>
      <c r="P663" s="658">
        <v>0</v>
      </c>
      <c r="Q663" s="658">
        <v>0</v>
      </c>
      <c r="R663" s="658">
        <v>0</v>
      </c>
      <c r="S663" s="658">
        <v>0</v>
      </c>
      <c r="T663" s="656">
        <v>0</v>
      </c>
      <c r="U663" s="656">
        <v>0</v>
      </c>
      <c r="V663" s="656">
        <v>0</v>
      </c>
      <c r="W663" s="656">
        <v>0</v>
      </c>
      <c r="X663" s="656">
        <v>0</v>
      </c>
      <c r="Y663" s="656">
        <v>0</v>
      </c>
      <c r="Z663" s="656">
        <v>0</v>
      </c>
    </row>
    <row r="664" spans="1:26" ht="12.75" customHeight="1" x14ac:dyDescent="0.25">
      <c r="E664" s="89" t="s">
        <v>73</v>
      </c>
      <c r="F664" s="371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0</v>
      </c>
      <c r="N664" s="90">
        <v>0</v>
      </c>
      <c r="O664" s="90">
        <v>0</v>
      </c>
      <c r="P664" s="90">
        <v>0</v>
      </c>
      <c r="Q664" s="90">
        <v>0</v>
      </c>
      <c r="R664" s="90">
        <v>0</v>
      </c>
      <c r="S664" s="90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ht="12.75" customHeight="1" x14ac:dyDescent="0.25">
      <c r="D665" t="s">
        <v>156</v>
      </c>
      <c r="E665" s="89" t="s">
        <v>70</v>
      </c>
      <c r="F665" s="371">
        <v>0</v>
      </c>
      <c r="G665" s="90">
        <v>0</v>
      </c>
      <c r="H665" s="90">
        <v>0</v>
      </c>
      <c r="I665" s="90">
        <v>0</v>
      </c>
      <c r="J665" s="90">
        <v>0</v>
      </c>
      <c r="K665" s="90">
        <v>0</v>
      </c>
      <c r="L665" s="90">
        <v>0</v>
      </c>
      <c r="M665" s="90">
        <v>0</v>
      </c>
      <c r="N665" s="90">
        <v>0</v>
      </c>
      <c r="O665" s="90">
        <v>0</v>
      </c>
      <c r="P665" s="90">
        <v>0</v>
      </c>
      <c r="Q665" s="90">
        <v>0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s="739" customFormat="1" ht="12.75" customHeight="1" x14ac:dyDescent="0.25">
      <c r="C666" s="739" t="s">
        <v>326</v>
      </c>
      <c r="D666" s="739" t="s">
        <v>70</v>
      </c>
      <c r="E666" s="231"/>
      <c r="F666" s="740">
        <v>0</v>
      </c>
      <c r="G666" s="232">
        <v>0</v>
      </c>
      <c r="H666" s="232">
        <v>0</v>
      </c>
      <c r="I666" s="232">
        <v>0</v>
      </c>
      <c r="J666" s="232">
        <v>0</v>
      </c>
      <c r="K666" s="232">
        <v>0</v>
      </c>
      <c r="L666" s="232">
        <v>0</v>
      </c>
      <c r="M666" s="232">
        <v>0</v>
      </c>
      <c r="N666" s="232">
        <v>0</v>
      </c>
      <c r="O666" s="232">
        <v>0</v>
      </c>
      <c r="P666" s="232">
        <v>0</v>
      </c>
      <c r="Q666" s="232">
        <v>0</v>
      </c>
      <c r="R666" s="232">
        <v>0</v>
      </c>
      <c r="S666" s="232">
        <v>0</v>
      </c>
      <c r="T666" s="739">
        <v>0</v>
      </c>
      <c r="U666" s="739">
        <v>0</v>
      </c>
      <c r="V666" s="739">
        <v>0</v>
      </c>
      <c r="W666" s="739">
        <v>0</v>
      </c>
      <c r="X666" s="739">
        <v>0</v>
      </c>
      <c r="Y666" s="739">
        <v>0</v>
      </c>
      <c r="Z666" s="739">
        <v>0</v>
      </c>
    </row>
    <row r="667" spans="1:26" ht="12.75" customHeight="1" x14ac:dyDescent="0.25">
      <c r="E667" s="89" t="s">
        <v>73</v>
      </c>
      <c r="F667" s="371">
        <v>0</v>
      </c>
      <c r="G667" s="90">
        <v>0</v>
      </c>
      <c r="H667" s="90">
        <v>0</v>
      </c>
      <c r="I667" s="90">
        <v>0</v>
      </c>
      <c r="J667" s="90">
        <v>0</v>
      </c>
      <c r="K667" s="90">
        <v>0</v>
      </c>
      <c r="L667" s="90">
        <v>0</v>
      </c>
      <c r="M667" s="90">
        <v>0</v>
      </c>
      <c r="N667" s="90">
        <v>0</v>
      </c>
      <c r="O667" s="90">
        <v>0</v>
      </c>
      <c r="P667" s="90">
        <v>0</v>
      </c>
      <c r="Q667" s="90">
        <v>0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ht="12.75" customHeight="1" x14ac:dyDescent="0.25">
      <c r="D668" s="89" t="s">
        <v>82</v>
      </c>
      <c r="E668" s="89" t="s">
        <v>70</v>
      </c>
      <c r="F668" s="90">
        <v>0</v>
      </c>
      <c r="G668" s="90">
        <v>0</v>
      </c>
      <c r="H668" s="90">
        <v>0</v>
      </c>
      <c r="I668" s="90">
        <v>0</v>
      </c>
      <c r="J668" s="90">
        <v>0</v>
      </c>
      <c r="K668" s="90">
        <v>0</v>
      </c>
      <c r="L668" s="90">
        <v>0</v>
      </c>
      <c r="M668" s="90">
        <v>0</v>
      </c>
      <c r="N668" s="90">
        <v>0</v>
      </c>
      <c r="O668" s="90">
        <v>0</v>
      </c>
      <c r="P668" s="90">
        <v>0</v>
      </c>
      <c r="Q668" s="90">
        <v>0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ht="12.75" customHeight="1" x14ac:dyDescent="0.25">
      <c r="E669" s="89" t="s">
        <v>73</v>
      </c>
      <c r="F669" s="90">
        <v>0</v>
      </c>
      <c r="G669" s="90">
        <v>0</v>
      </c>
      <c r="H669" s="90">
        <v>0</v>
      </c>
      <c r="I669" s="90">
        <v>0</v>
      </c>
      <c r="J669" s="90">
        <v>0</v>
      </c>
      <c r="K669" s="90">
        <v>0</v>
      </c>
      <c r="L669" s="90">
        <v>0</v>
      </c>
      <c r="M669" s="90">
        <v>0</v>
      </c>
      <c r="N669" s="90">
        <v>0</v>
      </c>
      <c r="O669" s="90">
        <v>0</v>
      </c>
      <c r="P669" s="90">
        <v>0</v>
      </c>
      <c r="Q669" s="90">
        <v>0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t="12.75" customHeight="1" x14ac:dyDescent="0.25">
      <c r="D670" s="89" t="s">
        <v>86</v>
      </c>
      <c r="E670" s="89" t="s">
        <v>70</v>
      </c>
      <c r="F670" s="90">
        <v>0</v>
      </c>
      <c r="G670" s="90">
        <v>0</v>
      </c>
      <c r="H670" s="90">
        <v>0</v>
      </c>
      <c r="I670" s="90">
        <v>0</v>
      </c>
      <c r="J670" s="90">
        <v>0</v>
      </c>
      <c r="K670" s="90">
        <v>0</v>
      </c>
      <c r="L670" s="90">
        <v>0</v>
      </c>
      <c r="M670" s="90">
        <v>0</v>
      </c>
      <c r="N670" s="90">
        <v>0</v>
      </c>
      <c r="O670" s="90">
        <v>0</v>
      </c>
      <c r="P670" s="90">
        <v>0</v>
      </c>
      <c r="Q670" s="90">
        <v>0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ht="12.75" customHeight="1" x14ac:dyDescent="0.25">
      <c r="E671" s="89" t="s">
        <v>73</v>
      </c>
      <c r="F671" s="90">
        <v>0</v>
      </c>
      <c r="G671" s="90">
        <v>0</v>
      </c>
      <c r="H671" s="90">
        <v>0</v>
      </c>
      <c r="I671" s="90">
        <v>0</v>
      </c>
      <c r="J671" s="90">
        <v>0</v>
      </c>
      <c r="K671" s="90">
        <v>0</v>
      </c>
      <c r="L671" s="90">
        <v>0</v>
      </c>
      <c r="M671" s="90">
        <v>0</v>
      </c>
      <c r="N671" s="90">
        <v>0</v>
      </c>
      <c r="O671" s="90">
        <v>0</v>
      </c>
      <c r="P671" s="90">
        <v>0</v>
      </c>
      <c r="Q671" s="90">
        <v>0</v>
      </c>
      <c r="R671" s="90">
        <v>0</v>
      </c>
      <c r="S671" s="90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t="12.75" customHeight="1" x14ac:dyDescent="0.25">
      <c r="D672" s="89" t="s">
        <v>87</v>
      </c>
      <c r="E672" s="89" t="s">
        <v>70</v>
      </c>
      <c r="F672" s="90">
        <v>0</v>
      </c>
      <c r="G672" s="90">
        <v>0</v>
      </c>
      <c r="H672" s="90">
        <v>0</v>
      </c>
      <c r="I672" s="90">
        <v>0</v>
      </c>
      <c r="J672" s="90">
        <v>0</v>
      </c>
      <c r="K672" s="90">
        <v>0</v>
      </c>
      <c r="L672" s="90">
        <v>0</v>
      </c>
      <c r="M672" s="90">
        <v>0</v>
      </c>
      <c r="N672" s="90">
        <v>0</v>
      </c>
      <c r="O672" s="90">
        <v>0</v>
      </c>
      <c r="P672" s="90">
        <v>0</v>
      </c>
      <c r="Q672" s="90">
        <v>0</v>
      </c>
      <c r="R672" s="90">
        <v>0</v>
      </c>
      <c r="S672" s="90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41" s="94" customFormat="1" ht="12.75" customHeight="1" x14ac:dyDescent="0.25">
      <c r="C673" s="94" t="s">
        <v>119</v>
      </c>
      <c r="D673" s="94" t="s">
        <v>70</v>
      </c>
      <c r="E673" s="101"/>
      <c r="F673" s="93">
        <v>0</v>
      </c>
      <c r="G673" s="93">
        <v>0</v>
      </c>
      <c r="H673" s="93">
        <v>0</v>
      </c>
      <c r="I673" s="93">
        <v>0</v>
      </c>
      <c r="J673" s="93">
        <v>0</v>
      </c>
      <c r="K673" s="93">
        <v>0</v>
      </c>
      <c r="L673" s="93">
        <v>0</v>
      </c>
      <c r="M673" s="93">
        <v>0</v>
      </c>
      <c r="N673" s="93">
        <v>0</v>
      </c>
      <c r="O673" s="93">
        <v>0</v>
      </c>
      <c r="P673" s="93">
        <v>0</v>
      </c>
      <c r="Q673" s="93">
        <v>0</v>
      </c>
      <c r="R673" s="93">
        <v>0</v>
      </c>
      <c r="S673" s="93">
        <v>0</v>
      </c>
      <c r="T673" s="94">
        <v>0</v>
      </c>
      <c r="U673" s="94">
        <v>0</v>
      </c>
      <c r="V673" s="94">
        <v>0</v>
      </c>
      <c r="W673" s="94">
        <v>0</v>
      </c>
      <c r="X673" s="94">
        <v>0</v>
      </c>
      <c r="Y673" s="94">
        <v>0</v>
      </c>
      <c r="Z673" s="94">
        <v>0</v>
      </c>
    </row>
    <row r="674" spans="1:41" s="226" customFormat="1" ht="12.75" customHeight="1" x14ac:dyDescent="0.25">
      <c r="B674" s="98" t="s">
        <v>112</v>
      </c>
      <c r="C674" s="98" t="s">
        <v>70</v>
      </c>
      <c r="F674" s="100">
        <v>0</v>
      </c>
      <c r="G674" s="100">
        <v>0</v>
      </c>
      <c r="H674" s="100">
        <v>0</v>
      </c>
      <c r="I674" s="100">
        <v>0</v>
      </c>
      <c r="J674" s="100">
        <v>0</v>
      </c>
      <c r="K674" s="100">
        <v>0</v>
      </c>
      <c r="L674" s="100">
        <v>0</v>
      </c>
      <c r="M674" s="100">
        <v>0</v>
      </c>
      <c r="N674" s="100">
        <v>0</v>
      </c>
      <c r="O674" s="100">
        <v>0</v>
      </c>
      <c r="P674" s="100">
        <v>0</v>
      </c>
      <c r="Q674" s="100">
        <v>0</v>
      </c>
      <c r="R674" s="100">
        <v>0</v>
      </c>
      <c r="S674" s="100">
        <v>0</v>
      </c>
      <c r="T674" s="226">
        <v>0</v>
      </c>
      <c r="U674" s="226">
        <v>0</v>
      </c>
      <c r="V674" s="226">
        <v>0</v>
      </c>
      <c r="W674" s="226">
        <v>0</v>
      </c>
      <c r="X674" s="226">
        <v>0</v>
      </c>
      <c r="Y674" s="226">
        <v>0</v>
      </c>
      <c r="Z674" s="226">
        <v>0</v>
      </c>
    </row>
    <row r="675" spans="1:41" ht="12.75" customHeight="1" x14ac:dyDescent="0.25">
      <c r="A675" s="89" t="s">
        <v>79</v>
      </c>
      <c r="B675" s="89" t="s">
        <v>70</v>
      </c>
      <c r="F675" s="90">
        <v>0</v>
      </c>
      <c r="G675" s="90">
        <v>0</v>
      </c>
      <c r="H675" s="90">
        <v>0</v>
      </c>
      <c r="I675" s="90">
        <v>0</v>
      </c>
      <c r="J675" s="90">
        <v>0</v>
      </c>
      <c r="K675" s="90">
        <v>0</v>
      </c>
      <c r="L675" s="90">
        <v>0</v>
      </c>
      <c r="M675" s="90">
        <v>0</v>
      </c>
      <c r="N675" s="90">
        <v>0</v>
      </c>
      <c r="O675" s="90">
        <v>0</v>
      </c>
      <c r="P675" s="90">
        <v>0</v>
      </c>
      <c r="Q675" s="90">
        <v>0</v>
      </c>
      <c r="R675" s="90">
        <v>0</v>
      </c>
      <c r="S675" s="90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41" ht="12.75" customHeight="1" x14ac:dyDescent="0.25">
      <c r="A676" s="89" t="s">
        <v>70</v>
      </c>
      <c r="F676" s="90">
        <v>0</v>
      </c>
      <c r="G676" s="90">
        <v>0</v>
      </c>
      <c r="H676" s="90">
        <v>0</v>
      </c>
      <c r="I676" s="90">
        <v>0</v>
      </c>
      <c r="J676" s="90">
        <v>0</v>
      </c>
      <c r="K676" s="90">
        <v>0</v>
      </c>
      <c r="L676" s="90">
        <v>0</v>
      </c>
      <c r="M676" s="90">
        <v>0</v>
      </c>
      <c r="N676" s="90">
        <v>0</v>
      </c>
      <c r="O676" s="90">
        <v>0</v>
      </c>
      <c r="P676" s="90">
        <v>0</v>
      </c>
      <c r="Q676" s="90">
        <v>0</v>
      </c>
      <c r="R676" s="90">
        <v>0</v>
      </c>
      <c r="S676" s="90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41" ht="12.75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150"/>
    </row>
    <row r="678" spans="1:41" ht="12.75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41" ht="12.75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41" ht="12.75" customHeight="1" x14ac:dyDescent="0.25">
      <c r="C680" s="777" t="s">
        <v>2</v>
      </c>
      <c r="D680" s="775" t="s">
        <v>132</v>
      </c>
      <c r="E680" s="98" t="s">
        <v>70</v>
      </c>
      <c r="F680" s="100">
        <f>F674+F648+F613-L613-L648</f>
        <v>0</v>
      </c>
      <c r="G680" s="100">
        <f t="shared" ref="G680:AO680" si="32">G648+G613</f>
        <v>0</v>
      </c>
      <c r="H680" s="100">
        <f t="shared" si="32"/>
        <v>0</v>
      </c>
      <c r="I680" s="100">
        <f t="shared" si="32"/>
        <v>0</v>
      </c>
      <c r="J680" s="100">
        <f t="shared" si="32"/>
        <v>0</v>
      </c>
      <c r="K680" s="100">
        <f t="shared" si="32"/>
        <v>0</v>
      </c>
      <c r="L680" s="100">
        <f t="shared" si="32"/>
        <v>0</v>
      </c>
      <c r="M680" s="100">
        <f t="shared" si="32"/>
        <v>0</v>
      </c>
      <c r="N680" s="100">
        <f t="shared" si="32"/>
        <v>0</v>
      </c>
      <c r="O680" s="100">
        <f t="shared" si="32"/>
        <v>0</v>
      </c>
      <c r="P680" s="100">
        <f t="shared" si="32"/>
        <v>0</v>
      </c>
      <c r="Q680" s="100">
        <f t="shared" si="32"/>
        <v>0</v>
      </c>
      <c r="R680" s="100">
        <f t="shared" si="32"/>
        <v>0</v>
      </c>
      <c r="S680" s="100">
        <f t="shared" si="32"/>
        <v>0</v>
      </c>
      <c r="T680" s="100">
        <f t="shared" si="32"/>
        <v>0</v>
      </c>
      <c r="U680" s="100">
        <f t="shared" si="32"/>
        <v>0</v>
      </c>
      <c r="V680" s="100">
        <f t="shared" si="32"/>
        <v>0</v>
      </c>
      <c r="W680" s="100">
        <f t="shared" si="32"/>
        <v>0</v>
      </c>
      <c r="X680" s="100">
        <f t="shared" si="32"/>
        <v>0</v>
      </c>
      <c r="Y680" s="100">
        <f t="shared" si="32"/>
        <v>0</v>
      </c>
      <c r="Z680" s="100">
        <f t="shared" si="32"/>
        <v>0</v>
      </c>
      <c r="AA680" s="100">
        <f t="shared" si="32"/>
        <v>0</v>
      </c>
      <c r="AB680" s="100">
        <f t="shared" si="32"/>
        <v>0</v>
      </c>
      <c r="AC680" s="100">
        <f t="shared" si="32"/>
        <v>0</v>
      </c>
      <c r="AD680" s="100">
        <f t="shared" si="32"/>
        <v>0</v>
      </c>
      <c r="AE680" s="100">
        <f t="shared" si="32"/>
        <v>0</v>
      </c>
      <c r="AF680" s="100">
        <f t="shared" si="32"/>
        <v>0</v>
      </c>
      <c r="AG680" s="100">
        <f t="shared" si="32"/>
        <v>0</v>
      </c>
      <c r="AH680" s="100">
        <f t="shared" si="32"/>
        <v>0</v>
      </c>
      <c r="AI680" s="100">
        <f t="shared" si="32"/>
        <v>0</v>
      </c>
      <c r="AJ680" s="100">
        <f t="shared" si="32"/>
        <v>0</v>
      </c>
      <c r="AK680" s="100">
        <f t="shared" si="32"/>
        <v>0</v>
      </c>
      <c r="AL680" s="100">
        <f t="shared" si="32"/>
        <v>0</v>
      </c>
      <c r="AM680" s="100">
        <f t="shared" si="32"/>
        <v>0</v>
      </c>
      <c r="AN680" s="100">
        <f t="shared" si="32"/>
        <v>0</v>
      </c>
      <c r="AO680" s="100">
        <f t="shared" si="32"/>
        <v>0</v>
      </c>
    </row>
    <row r="681" spans="1:41" ht="12.75" customHeight="1" x14ac:dyDescent="0.25">
      <c r="C681" s="777"/>
      <c r="D681" s="775"/>
      <c r="E681" s="98" t="s">
        <v>73</v>
      </c>
      <c r="F681" s="100">
        <f>F674</f>
        <v>0</v>
      </c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41" ht="12.75" customHeight="1" x14ac:dyDescent="0.25">
      <c r="C682" s="777"/>
      <c r="D682" s="775" t="s">
        <v>133</v>
      </c>
      <c r="E682" s="233" t="s">
        <v>70</v>
      </c>
      <c r="F682" s="234">
        <v>0</v>
      </c>
      <c r="G682" s="234">
        <v>0</v>
      </c>
      <c r="H682" s="234">
        <v>0</v>
      </c>
      <c r="I682" s="234">
        <v>0</v>
      </c>
      <c r="J682" s="234">
        <v>0</v>
      </c>
      <c r="K682" s="234">
        <v>0</v>
      </c>
      <c r="L682" s="234">
        <v>0</v>
      </c>
      <c r="M682" s="234">
        <v>0</v>
      </c>
      <c r="N682" s="234">
        <v>0</v>
      </c>
      <c r="O682" s="234">
        <v>0</v>
      </c>
      <c r="P682" s="234">
        <v>0</v>
      </c>
      <c r="Q682" s="234">
        <v>0</v>
      </c>
      <c r="R682" s="234">
        <v>0</v>
      </c>
      <c r="S682" s="234">
        <v>0</v>
      </c>
      <c r="T682" s="234">
        <v>0</v>
      </c>
      <c r="U682" s="234">
        <v>0</v>
      </c>
      <c r="V682" s="234">
        <v>0</v>
      </c>
      <c r="W682" s="234">
        <v>0</v>
      </c>
      <c r="X682" s="234">
        <v>0</v>
      </c>
      <c r="Y682" s="234">
        <v>0</v>
      </c>
      <c r="Z682" s="234">
        <v>0</v>
      </c>
      <c r="AA682" s="234">
        <v>0</v>
      </c>
      <c r="AB682" s="234">
        <v>0</v>
      </c>
      <c r="AC682" s="234">
        <v>0</v>
      </c>
      <c r="AD682" s="234">
        <v>0</v>
      </c>
      <c r="AE682" s="234">
        <v>0</v>
      </c>
      <c r="AF682" s="234">
        <v>0</v>
      </c>
      <c r="AG682" s="234">
        <v>0</v>
      </c>
      <c r="AH682" s="234">
        <v>0</v>
      </c>
      <c r="AI682" s="234">
        <v>0</v>
      </c>
      <c r="AJ682" s="234">
        <v>0</v>
      </c>
      <c r="AK682" s="234">
        <v>0</v>
      </c>
      <c r="AL682" s="234">
        <v>0</v>
      </c>
      <c r="AM682" s="234">
        <v>0</v>
      </c>
      <c r="AN682" s="234">
        <v>0</v>
      </c>
      <c r="AO682" s="234">
        <v>0</v>
      </c>
    </row>
    <row r="683" spans="1:41" ht="12.75" customHeight="1" x14ac:dyDescent="0.25">
      <c r="C683" s="777"/>
      <c r="D683" s="775"/>
      <c r="E683" s="233" t="s">
        <v>73</v>
      </c>
      <c r="F683" s="234">
        <v>0</v>
      </c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</row>
    <row r="684" spans="1:41" ht="12.75" customHeight="1" x14ac:dyDescent="0.25">
      <c r="A684" s="89"/>
      <c r="C684" s="97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41" ht="12.75" customHeight="1" x14ac:dyDescent="0.25">
      <c r="C685" s="777" t="s">
        <v>160</v>
      </c>
      <c r="D685" s="775" t="s">
        <v>132</v>
      </c>
      <c r="E685" s="223" t="s">
        <v>70</v>
      </c>
      <c r="F685" s="225">
        <v>0</v>
      </c>
      <c r="G685" s="225">
        <v>0</v>
      </c>
      <c r="H685" s="225">
        <v>0</v>
      </c>
      <c r="I685" s="225">
        <v>0</v>
      </c>
      <c r="J685" s="225">
        <v>0</v>
      </c>
      <c r="K685" s="225">
        <v>0</v>
      </c>
      <c r="L685" s="225">
        <v>0</v>
      </c>
      <c r="M685" s="225">
        <v>0</v>
      </c>
      <c r="N685" s="225">
        <v>0</v>
      </c>
      <c r="O685" s="225">
        <v>0</v>
      </c>
      <c r="P685" s="225">
        <v>0</v>
      </c>
      <c r="Q685" s="225">
        <v>0</v>
      </c>
      <c r="R685" s="225">
        <v>0</v>
      </c>
      <c r="S685" s="225">
        <v>0</v>
      </c>
      <c r="T685" s="225">
        <v>0</v>
      </c>
      <c r="U685" s="225"/>
      <c r="V685" s="225"/>
      <c r="W685" s="225"/>
      <c r="X685" s="225">
        <v>0</v>
      </c>
      <c r="Y685" s="225">
        <v>0</v>
      </c>
      <c r="Z685" s="225">
        <v>0</v>
      </c>
      <c r="AA685" s="225">
        <v>0</v>
      </c>
      <c r="AB685" s="225">
        <v>0</v>
      </c>
      <c r="AC685" s="225">
        <v>0</v>
      </c>
      <c r="AD685" s="225">
        <v>0</v>
      </c>
      <c r="AE685" s="225">
        <v>0</v>
      </c>
      <c r="AF685" s="225">
        <v>0</v>
      </c>
      <c r="AG685" s="225">
        <v>0</v>
      </c>
      <c r="AH685" s="225">
        <v>0</v>
      </c>
      <c r="AI685" s="225">
        <v>0</v>
      </c>
      <c r="AJ685" s="225">
        <v>0</v>
      </c>
      <c r="AK685" s="225">
        <v>0</v>
      </c>
      <c r="AL685" s="225">
        <v>0</v>
      </c>
      <c r="AM685" s="225">
        <v>0</v>
      </c>
      <c r="AN685" s="225">
        <v>0</v>
      </c>
      <c r="AO685" s="225">
        <v>0</v>
      </c>
    </row>
    <row r="686" spans="1:41" ht="12.75" customHeight="1" x14ac:dyDescent="0.25">
      <c r="C686" s="777"/>
      <c r="D686" s="775"/>
      <c r="E686" s="223" t="s">
        <v>73</v>
      </c>
      <c r="F686" s="225">
        <v>0</v>
      </c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41" ht="12.75" customHeight="1" x14ac:dyDescent="0.25">
      <c r="C687" s="777"/>
      <c r="D687" s="775" t="s">
        <v>133</v>
      </c>
      <c r="E687" s="227" t="s">
        <v>70</v>
      </c>
      <c r="F687" s="228">
        <v>0</v>
      </c>
      <c r="G687" s="228">
        <v>0</v>
      </c>
      <c r="H687" s="228">
        <v>0</v>
      </c>
      <c r="I687" s="228">
        <v>0</v>
      </c>
      <c r="J687" s="228">
        <v>0</v>
      </c>
      <c r="K687" s="228">
        <v>0</v>
      </c>
      <c r="L687" s="228">
        <v>0</v>
      </c>
      <c r="M687" s="228">
        <v>0</v>
      </c>
      <c r="N687" s="228">
        <v>0</v>
      </c>
      <c r="O687" s="228">
        <v>0</v>
      </c>
      <c r="P687" s="228">
        <v>0</v>
      </c>
      <c r="Q687" s="228">
        <v>0</v>
      </c>
      <c r="R687" s="228">
        <v>0</v>
      </c>
      <c r="S687" s="228">
        <v>0</v>
      </c>
      <c r="T687" s="228">
        <v>0</v>
      </c>
      <c r="U687" s="228"/>
      <c r="V687" s="228"/>
      <c r="W687" s="228"/>
      <c r="X687" s="228">
        <v>0</v>
      </c>
      <c r="Y687" s="228">
        <v>0</v>
      </c>
      <c r="Z687" s="228">
        <v>0</v>
      </c>
      <c r="AA687" s="228">
        <v>0</v>
      </c>
      <c r="AB687" s="228">
        <v>0</v>
      </c>
      <c r="AC687" s="228">
        <v>0</v>
      </c>
      <c r="AD687" s="228">
        <v>0</v>
      </c>
      <c r="AE687" s="228">
        <v>0</v>
      </c>
      <c r="AF687" s="228">
        <v>0</v>
      </c>
      <c r="AG687" s="228">
        <v>0</v>
      </c>
      <c r="AH687" s="228">
        <v>0</v>
      </c>
      <c r="AI687" s="228">
        <v>0</v>
      </c>
      <c r="AJ687" s="228">
        <v>0</v>
      </c>
      <c r="AK687" s="228">
        <v>0</v>
      </c>
      <c r="AL687" s="228">
        <v>0</v>
      </c>
      <c r="AM687" s="228">
        <v>0</v>
      </c>
      <c r="AN687" s="228">
        <v>0</v>
      </c>
      <c r="AO687" s="228">
        <v>0</v>
      </c>
    </row>
    <row r="688" spans="1:41" ht="12.75" customHeight="1" x14ac:dyDescent="0.25">
      <c r="C688" s="777"/>
      <c r="D688" s="775"/>
      <c r="E688" s="227" t="s">
        <v>73</v>
      </c>
      <c r="F688" s="228">
        <v>0</v>
      </c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</row>
    <row r="689" spans="1:41" ht="12.75" customHeight="1" x14ac:dyDescent="0.25">
      <c r="A689" s="89"/>
      <c r="C689" s="97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customHeight="1" x14ac:dyDescent="0.25">
      <c r="C690" s="777" t="s">
        <v>155</v>
      </c>
      <c r="D690" s="775" t="s">
        <v>132</v>
      </c>
      <c r="E690" s="221" t="s">
        <v>70</v>
      </c>
      <c r="F690" s="222">
        <f>F663+F633-L633</f>
        <v>0</v>
      </c>
      <c r="G690" s="222">
        <f>G633</f>
        <v>0</v>
      </c>
      <c r="H690" s="222">
        <f t="shared" ref="H690:AO690" si="33">H633</f>
        <v>0</v>
      </c>
      <c r="I690" s="222">
        <f t="shared" si="33"/>
        <v>0</v>
      </c>
      <c r="J690" s="222">
        <f t="shared" si="33"/>
        <v>0</v>
      </c>
      <c r="K690" s="222">
        <f t="shared" si="33"/>
        <v>0</v>
      </c>
      <c r="L690" s="222">
        <f t="shared" si="33"/>
        <v>0</v>
      </c>
      <c r="M690" s="222">
        <f t="shared" si="33"/>
        <v>0</v>
      </c>
      <c r="N690" s="222">
        <f t="shared" si="33"/>
        <v>0</v>
      </c>
      <c r="O690" s="222">
        <f t="shared" si="33"/>
        <v>0</v>
      </c>
      <c r="P690" s="222">
        <f t="shared" si="33"/>
        <v>0</v>
      </c>
      <c r="Q690" s="222">
        <f t="shared" si="33"/>
        <v>0</v>
      </c>
      <c r="R690" s="222">
        <f t="shared" si="33"/>
        <v>0</v>
      </c>
      <c r="S690" s="222">
        <f t="shared" si="33"/>
        <v>0</v>
      </c>
      <c r="T690" s="222">
        <f t="shared" si="33"/>
        <v>0</v>
      </c>
      <c r="U690" s="222">
        <f t="shared" si="33"/>
        <v>0</v>
      </c>
      <c r="V690" s="222">
        <f t="shared" si="33"/>
        <v>0</v>
      </c>
      <c r="W690" s="222">
        <f t="shared" si="33"/>
        <v>0</v>
      </c>
      <c r="X690" s="222">
        <f t="shared" si="33"/>
        <v>0</v>
      </c>
      <c r="Y690" s="222">
        <f t="shared" si="33"/>
        <v>0</v>
      </c>
      <c r="Z690" s="222">
        <f t="shared" si="33"/>
        <v>0</v>
      </c>
      <c r="AA690" s="222">
        <f t="shared" si="33"/>
        <v>0</v>
      </c>
      <c r="AB690" s="222">
        <f t="shared" si="33"/>
        <v>0</v>
      </c>
      <c r="AC690" s="222">
        <f t="shared" si="33"/>
        <v>0</v>
      </c>
      <c r="AD690" s="222">
        <f t="shared" si="33"/>
        <v>0</v>
      </c>
      <c r="AE690" s="222">
        <f t="shared" si="33"/>
        <v>0</v>
      </c>
      <c r="AF690" s="222">
        <f t="shared" si="33"/>
        <v>0</v>
      </c>
      <c r="AG690" s="222">
        <f t="shared" si="33"/>
        <v>0</v>
      </c>
      <c r="AH690" s="222">
        <f t="shared" si="33"/>
        <v>0</v>
      </c>
      <c r="AI690" s="222">
        <f t="shared" si="33"/>
        <v>0</v>
      </c>
      <c r="AJ690" s="222">
        <f t="shared" si="33"/>
        <v>0</v>
      </c>
      <c r="AK690" s="222">
        <f t="shared" si="33"/>
        <v>0</v>
      </c>
      <c r="AL690" s="222">
        <f t="shared" si="33"/>
        <v>0</v>
      </c>
      <c r="AM690" s="222">
        <f t="shared" si="33"/>
        <v>0</v>
      </c>
      <c r="AN690" s="222">
        <f t="shared" si="33"/>
        <v>0</v>
      </c>
      <c r="AO690" s="222">
        <f t="shared" si="33"/>
        <v>0</v>
      </c>
    </row>
    <row r="691" spans="1:41" ht="12.75" customHeight="1" x14ac:dyDescent="0.25">
      <c r="C691" s="777"/>
      <c r="D691" s="775"/>
      <c r="E691" s="221" t="s">
        <v>73</v>
      </c>
      <c r="F691" s="222">
        <f>F663</f>
        <v>0</v>
      </c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7"/>
      <c r="D692" s="775" t="s">
        <v>133</v>
      </c>
      <c r="E692" s="242" t="s">
        <v>70</v>
      </c>
      <c r="F692" s="243">
        <v>0</v>
      </c>
      <c r="G692" s="243">
        <v>0</v>
      </c>
      <c r="H692" s="243">
        <v>0</v>
      </c>
      <c r="I692" s="243">
        <v>0</v>
      </c>
      <c r="J692" s="243">
        <v>0</v>
      </c>
      <c r="K692" s="243">
        <v>0</v>
      </c>
      <c r="L692" s="243">
        <v>0</v>
      </c>
      <c r="M692" s="243">
        <v>0</v>
      </c>
      <c r="N692" s="243">
        <v>0</v>
      </c>
      <c r="O692" s="243">
        <v>0</v>
      </c>
      <c r="P692" s="243">
        <v>0</v>
      </c>
      <c r="Q692" s="243">
        <v>0</v>
      </c>
      <c r="R692" s="243">
        <v>0</v>
      </c>
      <c r="S692" s="243">
        <v>0</v>
      </c>
      <c r="T692" s="243">
        <v>0</v>
      </c>
      <c r="U692" s="243">
        <v>0</v>
      </c>
      <c r="V692" s="243">
        <v>0</v>
      </c>
      <c r="W692" s="243">
        <v>0</v>
      </c>
      <c r="X692" s="243">
        <v>0</v>
      </c>
      <c r="Y692" s="243">
        <v>0</v>
      </c>
      <c r="Z692" s="243">
        <v>0</v>
      </c>
      <c r="AA692" s="243">
        <v>0</v>
      </c>
      <c r="AB692" s="243">
        <v>0</v>
      </c>
      <c r="AC692" s="243">
        <v>0</v>
      </c>
      <c r="AD692" s="243">
        <v>0</v>
      </c>
      <c r="AE692" s="243">
        <v>0</v>
      </c>
      <c r="AF692" s="243">
        <v>0</v>
      </c>
      <c r="AG692" s="243">
        <v>0</v>
      </c>
      <c r="AH692" s="243">
        <v>0</v>
      </c>
      <c r="AI692" s="243">
        <v>0</v>
      </c>
      <c r="AJ692" s="243">
        <v>0</v>
      </c>
      <c r="AK692" s="243">
        <v>0</v>
      </c>
      <c r="AL692" s="243">
        <v>0</v>
      </c>
      <c r="AM692" s="243">
        <v>0</v>
      </c>
      <c r="AN692" s="243">
        <v>0</v>
      </c>
      <c r="AO692" s="243">
        <v>0</v>
      </c>
    </row>
    <row r="693" spans="1:41" ht="12.75" customHeight="1" x14ac:dyDescent="0.25">
      <c r="C693" s="777"/>
      <c r="D693" s="775"/>
      <c r="E693" s="242" t="s">
        <v>73</v>
      </c>
      <c r="F693" s="243"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</row>
    <row r="694" spans="1:41" ht="12.75" customHeight="1" x14ac:dyDescent="0.25">
      <c r="A694" s="89"/>
      <c r="C694" s="97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 spans="1:41" ht="12.75" customHeight="1" x14ac:dyDescent="0.25">
      <c r="C695" s="778" t="s">
        <v>326</v>
      </c>
      <c r="D695" s="775" t="s">
        <v>132</v>
      </c>
      <c r="E695" s="373" t="s">
        <v>70</v>
      </c>
      <c r="F695" s="374">
        <f>F666+F637-L637</f>
        <v>0</v>
      </c>
      <c r="G695" s="374">
        <f>G637</f>
        <v>0</v>
      </c>
      <c r="H695" s="374">
        <f t="shared" ref="H695:AO695" si="34">H637</f>
        <v>0</v>
      </c>
      <c r="I695" s="374">
        <f t="shared" si="34"/>
        <v>0</v>
      </c>
      <c r="J695" s="374">
        <f t="shared" si="34"/>
        <v>0</v>
      </c>
      <c r="K695" s="374">
        <f t="shared" si="34"/>
        <v>0</v>
      </c>
      <c r="L695" s="374">
        <f>L637</f>
        <v>0</v>
      </c>
      <c r="M695" s="374">
        <f t="shared" si="34"/>
        <v>0</v>
      </c>
      <c r="N695" s="374">
        <f t="shared" si="34"/>
        <v>0</v>
      </c>
      <c r="O695" s="374">
        <f t="shared" si="34"/>
        <v>0</v>
      </c>
      <c r="P695" s="374">
        <f t="shared" si="34"/>
        <v>0</v>
      </c>
      <c r="Q695" s="374">
        <f t="shared" si="34"/>
        <v>0</v>
      </c>
      <c r="R695" s="374">
        <f t="shared" si="34"/>
        <v>0</v>
      </c>
      <c r="S695" s="374">
        <f t="shared" si="34"/>
        <v>0</v>
      </c>
      <c r="T695" s="374">
        <f t="shared" si="34"/>
        <v>0</v>
      </c>
      <c r="U695" s="374">
        <f t="shared" si="34"/>
        <v>0</v>
      </c>
      <c r="V695" s="374">
        <f t="shared" si="34"/>
        <v>0</v>
      </c>
      <c r="W695" s="374">
        <f t="shared" si="34"/>
        <v>0</v>
      </c>
      <c r="X695" s="374">
        <f t="shared" si="34"/>
        <v>0</v>
      </c>
      <c r="Y695" s="374">
        <f t="shared" si="34"/>
        <v>0</v>
      </c>
      <c r="Z695" s="374">
        <f t="shared" si="34"/>
        <v>0</v>
      </c>
      <c r="AA695" s="374">
        <f t="shared" si="34"/>
        <v>0</v>
      </c>
      <c r="AB695" s="374">
        <f t="shared" si="34"/>
        <v>0</v>
      </c>
      <c r="AC695" s="374">
        <f t="shared" si="34"/>
        <v>0</v>
      </c>
      <c r="AD695" s="374">
        <f t="shared" si="34"/>
        <v>0</v>
      </c>
      <c r="AE695" s="374">
        <f t="shared" si="34"/>
        <v>0</v>
      </c>
      <c r="AF695" s="374">
        <f t="shared" si="34"/>
        <v>0</v>
      </c>
      <c r="AG695" s="374">
        <f t="shared" si="34"/>
        <v>0</v>
      </c>
      <c r="AH695" s="374">
        <f t="shared" si="34"/>
        <v>0</v>
      </c>
      <c r="AI695" s="374">
        <f t="shared" si="34"/>
        <v>0</v>
      </c>
      <c r="AJ695" s="374">
        <f t="shared" si="34"/>
        <v>0</v>
      </c>
      <c r="AK695" s="374">
        <f t="shared" si="34"/>
        <v>0</v>
      </c>
      <c r="AL695" s="374">
        <f t="shared" si="34"/>
        <v>0</v>
      </c>
      <c r="AM695" s="374">
        <f t="shared" si="34"/>
        <v>0</v>
      </c>
      <c r="AN695" s="374">
        <f t="shared" si="34"/>
        <v>0</v>
      </c>
      <c r="AO695" s="374">
        <f t="shared" si="34"/>
        <v>0</v>
      </c>
    </row>
    <row r="696" spans="1:41" ht="12.75" customHeight="1" x14ac:dyDescent="0.25">
      <c r="C696" s="778"/>
      <c r="D696" s="775"/>
      <c r="E696" s="373" t="s">
        <v>73</v>
      </c>
      <c r="F696" s="374">
        <f>F666</f>
        <v>0</v>
      </c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/>
      <c r="D697" s="775" t="s">
        <v>133</v>
      </c>
      <c r="E697" s="242" t="s">
        <v>70</v>
      </c>
      <c r="F697" s="243">
        <v>0</v>
      </c>
      <c r="G697" s="243">
        <v>0</v>
      </c>
      <c r="H697" s="243">
        <v>0</v>
      </c>
      <c r="I697" s="243">
        <v>0</v>
      </c>
      <c r="J697" s="243">
        <v>0</v>
      </c>
      <c r="K697" s="243">
        <v>0</v>
      </c>
      <c r="L697" s="243">
        <v>0</v>
      </c>
      <c r="M697" s="243">
        <v>0</v>
      </c>
      <c r="N697" s="243">
        <v>0</v>
      </c>
      <c r="O697" s="243">
        <v>0</v>
      </c>
      <c r="P697" s="243">
        <v>0</v>
      </c>
      <c r="Q697" s="243">
        <v>0</v>
      </c>
      <c r="R697" s="243">
        <v>0</v>
      </c>
      <c r="S697" s="243">
        <v>0</v>
      </c>
      <c r="T697" s="243">
        <v>0</v>
      </c>
      <c r="U697" s="243">
        <v>0</v>
      </c>
      <c r="V697" s="243">
        <v>0</v>
      </c>
      <c r="W697" s="243">
        <v>0</v>
      </c>
      <c r="X697" s="243">
        <v>0</v>
      </c>
      <c r="Y697" s="243">
        <v>0</v>
      </c>
      <c r="Z697" s="243">
        <v>0</v>
      </c>
      <c r="AA697" s="243">
        <v>0</v>
      </c>
      <c r="AB697" s="243">
        <v>0</v>
      </c>
      <c r="AC697" s="243">
        <v>0</v>
      </c>
      <c r="AD697" s="243">
        <v>0</v>
      </c>
      <c r="AE697" s="243">
        <v>0</v>
      </c>
      <c r="AF697" s="243">
        <v>0</v>
      </c>
      <c r="AG697" s="243">
        <v>0</v>
      </c>
      <c r="AH697" s="243">
        <v>0</v>
      </c>
      <c r="AI697" s="243">
        <v>0</v>
      </c>
      <c r="AJ697" s="243">
        <v>0</v>
      </c>
      <c r="AK697" s="243">
        <v>0</v>
      </c>
      <c r="AL697" s="243">
        <v>0</v>
      </c>
      <c r="AM697" s="243">
        <v>0</v>
      </c>
      <c r="AN697" s="243">
        <v>0</v>
      </c>
      <c r="AO697" s="243">
        <v>0</v>
      </c>
    </row>
    <row r="698" spans="1:41" ht="12.75" customHeight="1" x14ac:dyDescent="0.25">
      <c r="C698" s="778"/>
      <c r="D698" s="775"/>
      <c r="E698" s="242" t="s">
        <v>73</v>
      </c>
      <c r="F698" s="243"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</row>
    <row r="699" spans="1:41" ht="12.75" customHeight="1" x14ac:dyDescent="0.25">
      <c r="C699" s="719"/>
      <c r="D699" s="220"/>
      <c r="E699" s="89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</row>
    <row r="700" spans="1:41" ht="12.75" customHeight="1" x14ac:dyDescent="0.25">
      <c r="C700" s="777" t="s">
        <v>119</v>
      </c>
      <c r="D700" s="775" t="s">
        <v>132</v>
      </c>
      <c r="E700" s="101" t="s">
        <v>70</v>
      </c>
      <c r="F700" s="93">
        <f>F647+F673+F612-L612-L647</f>
        <v>0</v>
      </c>
      <c r="G700" s="93">
        <f t="shared" ref="G700:AO700" si="35">G647+G612</f>
        <v>0</v>
      </c>
      <c r="H700" s="93">
        <f t="shared" si="35"/>
        <v>0</v>
      </c>
      <c r="I700" s="93">
        <f t="shared" si="35"/>
        <v>0</v>
      </c>
      <c r="J700" s="93">
        <f t="shared" si="35"/>
        <v>0</v>
      </c>
      <c r="K700" s="93">
        <f t="shared" si="35"/>
        <v>0</v>
      </c>
      <c r="L700" s="93">
        <f t="shared" si="35"/>
        <v>0</v>
      </c>
      <c r="M700" s="93">
        <f t="shared" si="35"/>
        <v>0</v>
      </c>
      <c r="N700" s="93">
        <f t="shared" si="35"/>
        <v>0</v>
      </c>
      <c r="O700" s="93">
        <f t="shared" si="35"/>
        <v>0</v>
      </c>
      <c r="P700" s="93">
        <f t="shared" si="35"/>
        <v>0</v>
      </c>
      <c r="Q700" s="93">
        <f t="shared" si="35"/>
        <v>0</v>
      </c>
      <c r="R700" s="93">
        <f t="shared" si="35"/>
        <v>0</v>
      </c>
      <c r="S700" s="93">
        <f t="shared" si="35"/>
        <v>0</v>
      </c>
      <c r="T700" s="93">
        <f t="shared" si="35"/>
        <v>0</v>
      </c>
      <c r="U700" s="93">
        <f t="shared" si="35"/>
        <v>0</v>
      </c>
      <c r="V700" s="93">
        <f t="shared" si="35"/>
        <v>0</v>
      </c>
      <c r="W700" s="93">
        <f t="shared" si="35"/>
        <v>0</v>
      </c>
      <c r="X700" s="93">
        <f t="shared" si="35"/>
        <v>0</v>
      </c>
      <c r="Y700" s="93">
        <f t="shared" si="35"/>
        <v>0</v>
      </c>
      <c r="Z700" s="93">
        <f t="shared" si="35"/>
        <v>0</v>
      </c>
      <c r="AA700" s="93">
        <f t="shared" si="35"/>
        <v>0</v>
      </c>
      <c r="AB700" s="93">
        <f t="shared" si="35"/>
        <v>0</v>
      </c>
      <c r="AC700" s="93">
        <f t="shared" si="35"/>
        <v>0</v>
      </c>
      <c r="AD700" s="93">
        <f t="shared" si="35"/>
        <v>0</v>
      </c>
      <c r="AE700" s="93">
        <f t="shared" si="35"/>
        <v>0</v>
      </c>
      <c r="AF700" s="93">
        <f t="shared" si="35"/>
        <v>0</v>
      </c>
      <c r="AG700" s="93">
        <f t="shared" si="35"/>
        <v>0</v>
      </c>
      <c r="AH700" s="93">
        <f t="shared" si="35"/>
        <v>0</v>
      </c>
      <c r="AI700" s="93">
        <f t="shared" si="35"/>
        <v>0</v>
      </c>
      <c r="AJ700" s="93">
        <f t="shared" si="35"/>
        <v>0</v>
      </c>
      <c r="AK700" s="93">
        <f t="shared" si="35"/>
        <v>0</v>
      </c>
      <c r="AL700" s="93">
        <f t="shared" si="35"/>
        <v>0</v>
      </c>
      <c r="AM700" s="93">
        <f t="shared" si="35"/>
        <v>0</v>
      </c>
      <c r="AN700" s="93">
        <f t="shared" si="35"/>
        <v>0</v>
      </c>
      <c r="AO700" s="93">
        <f t="shared" si="35"/>
        <v>0</v>
      </c>
    </row>
    <row r="701" spans="1:41" ht="12.75" customHeight="1" x14ac:dyDescent="0.25">
      <c r="C701" s="777"/>
      <c r="D701" s="775"/>
      <c r="E701" s="101" t="s">
        <v>73</v>
      </c>
      <c r="F701" s="93">
        <f>F673</f>
        <v>0</v>
      </c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7"/>
      <c r="D702" s="775" t="s">
        <v>133</v>
      </c>
      <c r="E702" s="235" t="s">
        <v>70</v>
      </c>
      <c r="F702" s="236">
        <v>0</v>
      </c>
      <c r="G702" s="236">
        <v>0</v>
      </c>
      <c r="H702" s="236">
        <v>0</v>
      </c>
      <c r="I702" s="236">
        <v>0</v>
      </c>
      <c r="J702" s="236">
        <v>0</v>
      </c>
      <c r="K702" s="236">
        <v>0</v>
      </c>
      <c r="L702" s="236">
        <v>0</v>
      </c>
      <c r="M702" s="236">
        <v>0</v>
      </c>
      <c r="N702" s="236">
        <v>0</v>
      </c>
      <c r="O702" s="236">
        <v>0</v>
      </c>
      <c r="P702" s="236">
        <v>0</v>
      </c>
      <c r="Q702" s="236">
        <v>0</v>
      </c>
      <c r="R702" s="236">
        <v>0</v>
      </c>
      <c r="S702" s="236">
        <v>0</v>
      </c>
      <c r="T702" s="236">
        <v>0</v>
      </c>
      <c r="U702" s="236">
        <v>0</v>
      </c>
      <c r="V702" s="236">
        <v>0</v>
      </c>
      <c r="W702" s="236">
        <v>0</v>
      </c>
      <c r="X702" s="236">
        <v>0</v>
      </c>
      <c r="Y702" s="236">
        <v>0</v>
      </c>
      <c r="Z702" s="236">
        <v>0</v>
      </c>
      <c r="AA702" s="236">
        <v>0</v>
      </c>
      <c r="AB702" s="236">
        <v>0</v>
      </c>
      <c r="AC702" s="236">
        <v>0</v>
      </c>
      <c r="AD702" s="236">
        <v>0</v>
      </c>
      <c r="AE702" s="236">
        <v>0</v>
      </c>
      <c r="AF702" s="236">
        <v>0</v>
      </c>
      <c r="AG702" s="236">
        <v>0</v>
      </c>
      <c r="AH702" s="236">
        <v>0</v>
      </c>
      <c r="AI702" s="236">
        <v>0</v>
      </c>
      <c r="AJ702" s="236">
        <v>0</v>
      </c>
      <c r="AK702" s="236">
        <v>0</v>
      </c>
      <c r="AL702" s="236">
        <v>0</v>
      </c>
      <c r="AM702" s="236">
        <v>0</v>
      </c>
      <c r="AN702" s="236">
        <v>0</v>
      </c>
      <c r="AO702" s="236">
        <v>0</v>
      </c>
    </row>
    <row r="703" spans="1:41" ht="12.75" customHeight="1" x14ac:dyDescent="0.25">
      <c r="C703" s="777"/>
      <c r="D703" s="775"/>
      <c r="E703" s="235" t="s">
        <v>73</v>
      </c>
      <c r="F703" s="236">
        <v>0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</row>
    <row r="704" spans="1:41" ht="12.75" customHeight="1" x14ac:dyDescent="0.25">
      <c r="A704" s="89"/>
      <c r="C704" s="97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 spans="3:41" ht="12.75" customHeight="1" x14ac:dyDescent="0.25">
      <c r="C705" s="776" t="s">
        <v>161</v>
      </c>
      <c r="D705" s="775" t="s">
        <v>132</v>
      </c>
      <c r="E705" s="231" t="s">
        <v>70</v>
      </c>
      <c r="F705" s="232">
        <v>0</v>
      </c>
      <c r="G705" s="232">
        <v>0</v>
      </c>
      <c r="H705" s="232">
        <v>0</v>
      </c>
      <c r="I705" s="232">
        <v>0</v>
      </c>
      <c r="J705" s="232">
        <v>0</v>
      </c>
      <c r="K705" s="232">
        <v>0</v>
      </c>
      <c r="L705" s="232">
        <v>0</v>
      </c>
      <c r="M705" s="232">
        <v>0</v>
      </c>
      <c r="N705" s="232">
        <v>0</v>
      </c>
      <c r="O705" s="232">
        <v>0</v>
      </c>
      <c r="P705" s="232">
        <v>0</v>
      </c>
      <c r="Q705" s="232">
        <v>0</v>
      </c>
      <c r="R705" s="232">
        <v>0</v>
      </c>
      <c r="S705" s="232">
        <v>0</v>
      </c>
      <c r="T705" s="232">
        <v>0</v>
      </c>
      <c r="U705" s="232"/>
      <c r="V705" s="232"/>
      <c r="W705" s="232"/>
      <c r="X705" s="232">
        <v>0</v>
      </c>
      <c r="Y705" s="232">
        <v>0</v>
      </c>
      <c r="Z705" s="232">
        <v>0</v>
      </c>
      <c r="AA705" s="232">
        <v>0</v>
      </c>
      <c r="AB705" s="232">
        <v>0</v>
      </c>
      <c r="AC705" s="232">
        <v>0</v>
      </c>
      <c r="AD705" s="232">
        <v>0</v>
      </c>
      <c r="AE705" s="232">
        <v>0</v>
      </c>
      <c r="AF705" s="232">
        <v>0</v>
      </c>
      <c r="AG705" s="232">
        <v>0</v>
      </c>
      <c r="AH705" s="232">
        <v>0</v>
      </c>
      <c r="AI705" s="232">
        <v>0</v>
      </c>
      <c r="AJ705" s="232">
        <v>0</v>
      </c>
      <c r="AK705" s="232">
        <v>0</v>
      </c>
      <c r="AL705" s="232">
        <v>0</v>
      </c>
      <c r="AM705" s="232">
        <v>0</v>
      </c>
      <c r="AN705" s="232">
        <v>0</v>
      </c>
      <c r="AO705" s="232">
        <v>0</v>
      </c>
    </row>
    <row r="706" spans="3:41" ht="12.75" customHeight="1" x14ac:dyDescent="0.25">
      <c r="C706" s="776"/>
      <c r="D706" s="775"/>
      <c r="E706" s="231" t="s">
        <v>73</v>
      </c>
      <c r="F706" s="232">
        <v>0</v>
      </c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3:41" ht="12.75" customHeight="1" x14ac:dyDescent="0.25">
      <c r="C707" s="776"/>
      <c r="E707" s="148" t="s">
        <v>70</v>
      </c>
      <c r="F707" s="149">
        <v>0</v>
      </c>
      <c r="G707" s="149">
        <v>0</v>
      </c>
      <c r="H707" s="149">
        <v>0</v>
      </c>
      <c r="I707" s="149">
        <v>0</v>
      </c>
      <c r="J707" s="149">
        <v>0</v>
      </c>
      <c r="K707" s="149">
        <v>0</v>
      </c>
      <c r="L707" s="149">
        <v>0</v>
      </c>
      <c r="M707" s="149">
        <v>0</v>
      </c>
      <c r="N707" s="149">
        <v>0</v>
      </c>
      <c r="O707" s="149">
        <v>0</v>
      </c>
      <c r="P707" s="149">
        <v>0</v>
      </c>
      <c r="Q707" s="149">
        <v>0</v>
      </c>
      <c r="R707" s="149">
        <v>0</v>
      </c>
      <c r="S707" s="149">
        <v>0</v>
      </c>
      <c r="T707" s="149">
        <v>0</v>
      </c>
      <c r="U707" s="149"/>
      <c r="V707" s="149"/>
      <c r="W707" s="149"/>
      <c r="X707" s="149">
        <v>0</v>
      </c>
      <c r="Y707" s="149">
        <v>0</v>
      </c>
      <c r="Z707" s="149">
        <v>0</v>
      </c>
      <c r="AA707" s="149">
        <v>0</v>
      </c>
    </row>
    <row r="708" spans="3:41" ht="12.75" customHeight="1" x14ac:dyDescent="0.25">
      <c r="C708" s="776"/>
      <c r="D708" s="220" t="s">
        <v>132</v>
      </c>
      <c r="E708" s="148" t="s">
        <v>73</v>
      </c>
      <c r="F708" s="149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</row>
    <row r="709" spans="3:41" ht="12.75" customHeight="1" x14ac:dyDescent="0.25">
      <c r="C709" s="388"/>
      <c r="D709" s="220"/>
      <c r="E709" s="89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</row>
    <row r="710" spans="3:41" ht="12.75" customHeight="1" x14ac:dyDescent="0.25">
      <c r="D710" s="458" t="s">
        <v>186</v>
      </c>
      <c r="E710" s="459" t="s">
        <v>70</v>
      </c>
      <c r="F710" s="460">
        <f>F614</f>
        <v>0</v>
      </c>
      <c r="G710" s="460">
        <f t="shared" ref="G710:AA710" si="36">G614</f>
        <v>0</v>
      </c>
      <c r="H710" s="460">
        <f t="shared" si="36"/>
        <v>0</v>
      </c>
      <c r="I710" s="460">
        <f t="shared" si="36"/>
        <v>0</v>
      </c>
      <c r="J710" s="460">
        <f t="shared" si="36"/>
        <v>0</v>
      </c>
      <c r="K710" s="460">
        <f t="shared" si="36"/>
        <v>0</v>
      </c>
      <c r="L710" s="460">
        <f t="shared" si="36"/>
        <v>0</v>
      </c>
      <c r="M710" s="460">
        <f t="shared" si="36"/>
        <v>0</v>
      </c>
      <c r="N710" s="460">
        <f t="shared" si="36"/>
        <v>0</v>
      </c>
      <c r="O710" s="460">
        <f t="shared" si="36"/>
        <v>0</v>
      </c>
      <c r="P710" s="460">
        <f t="shared" si="36"/>
        <v>0</v>
      </c>
      <c r="Q710" s="460">
        <f t="shared" si="36"/>
        <v>0</v>
      </c>
      <c r="R710" s="460">
        <f t="shared" si="36"/>
        <v>0</v>
      </c>
      <c r="S710" s="460">
        <f t="shared" si="36"/>
        <v>0</v>
      </c>
      <c r="T710" s="460">
        <f t="shared" si="36"/>
        <v>0</v>
      </c>
      <c r="U710" s="460">
        <f t="shared" si="36"/>
        <v>0</v>
      </c>
      <c r="V710" s="460">
        <f t="shared" si="36"/>
        <v>0</v>
      </c>
      <c r="W710" s="460">
        <f t="shared" si="36"/>
        <v>0</v>
      </c>
      <c r="X710" s="460">
        <f t="shared" si="36"/>
        <v>0</v>
      </c>
      <c r="Y710" s="460">
        <f t="shared" si="36"/>
        <v>0</v>
      </c>
      <c r="Z710" s="460">
        <f t="shared" si="36"/>
        <v>0</v>
      </c>
      <c r="AA710" s="460">
        <f t="shared" si="36"/>
        <v>0</v>
      </c>
    </row>
    <row r="711" spans="3:41" ht="12.75" customHeight="1" x14ac:dyDescent="0.25">
      <c r="C711" s="388"/>
      <c r="D711" s="220"/>
      <c r="E711" s="89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</row>
    <row r="712" spans="3:41" s="238" customFormat="1" ht="12.75" customHeight="1" x14ac:dyDescent="0.25">
      <c r="D712" s="239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</row>
  </sheetData>
  <mergeCells count="87">
    <mergeCell ref="D430:D431"/>
    <mergeCell ref="D432:D433"/>
    <mergeCell ref="C269:C272"/>
    <mergeCell ref="D269:D270"/>
    <mergeCell ref="D271:D272"/>
    <mergeCell ref="C279:C282"/>
    <mergeCell ref="D279:D280"/>
    <mergeCell ref="C415:C418"/>
    <mergeCell ref="D415:D416"/>
    <mergeCell ref="D417:D418"/>
    <mergeCell ref="C705:C708"/>
    <mergeCell ref="C680:C683"/>
    <mergeCell ref="D680:D681"/>
    <mergeCell ref="D682:D683"/>
    <mergeCell ref="C685:C688"/>
    <mergeCell ref="D685:D686"/>
    <mergeCell ref="D687:D688"/>
    <mergeCell ref="C690:C693"/>
    <mergeCell ref="D690:D691"/>
    <mergeCell ref="D692:D693"/>
    <mergeCell ref="C700:C703"/>
    <mergeCell ref="D700:D701"/>
    <mergeCell ref="D702:D703"/>
    <mergeCell ref="D705:D706"/>
    <mergeCell ref="C695:C698"/>
    <mergeCell ref="D695:D696"/>
    <mergeCell ref="D266:D267"/>
    <mergeCell ref="D276:D277"/>
    <mergeCell ref="C100:C103"/>
    <mergeCell ref="D100:D101"/>
    <mergeCell ref="D102:D103"/>
    <mergeCell ref="C254:C257"/>
    <mergeCell ref="D254:D255"/>
    <mergeCell ref="D256:D257"/>
    <mergeCell ref="C259:C262"/>
    <mergeCell ref="D259:D260"/>
    <mergeCell ref="D264:D265"/>
    <mergeCell ref="C264:C267"/>
    <mergeCell ref="C274:C277"/>
    <mergeCell ref="D274:D275"/>
    <mergeCell ref="D97:D98"/>
    <mergeCell ref="C80:C83"/>
    <mergeCell ref="C85:C88"/>
    <mergeCell ref="D261:D262"/>
    <mergeCell ref="C75:C78"/>
    <mergeCell ref="D75:D76"/>
    <mergeCell ref="D77:D78"/>
    <mergeCell ref="C95:C98"/>
    <mergeCell ref="D80:D81"/>
    <mergeCell ref="D82:D83"/>
    <mergeCell ref="D85:D86"/>
    <mergeCell ref="D87:D88"/>
    <mergeCell ref="D95:D96"/>
    <mergeCell ref="C90:C93"/>
    <mergeCell ref="D90:D91"/>
    <mergeCell ref="D92:D93"/>
    <mergeCell ref="C568:C571"/>
    <mergeCell ref="D568:D569"/>
    <mergeCell ref="D570:D571"/>
    <mergeCell ref="C420:C423"/>
    <mergeCell ref="D420:D421"/>
    <mergeCell ref="D422:D423"/>
    <mergeCell ref="C425:C428"/>
    <mergeCell ref="D425:D426"/>
    <mergeCell ref="D427:D428"/>
    <mergeCell ref="C435:C438"/>
    <mergeCell ref="D435:D436"/>
    <mergeCell ref="D437:D438"/>
    <mergeCell ref="C440:C443"/>
    <mergeCell ref="D440:D441"/>
    <mergeCell ref="D442:D443"/>
    <mergeCell ref="C430:C433"/>
    <mergeCell ref="D697:D698"/>
    <mergeCell ref="C593:C596"/>
    <mergeCell ref="C573:C576"/>
    <mergeCell ref="D573:D574"/>
    <mergeCell ref="D575:D576"/>
    <mergeCell ref="C578:C581"/>
    <mergeCell ref="D578:D579"/>
    <mergeCell ref="D580:D581"/>
    <mergeCell ref="C588:C591"/>
    <mergeCell ref="D588:D589"/>
    <mergeCell ref="D590:D591"/>
    <mergeCell ref="D593:D594"/>
    <mergeCell ref="C583:C586"/>
    <mergeCell ref="D583:D584"/>
    <mergeCell ref="D585:D586"/>
  </mergeCells>
  <pageMargins left="0.7" right="0.7" top="0.75" bottom="0.75" header="0.3" footer="0.3"/>
  <pageSetup orientation="portrait" r:id="rId1"/>
  <ignoredErrors>
    <ignoredError sqref="D153 D156 D159 D177 D181 D493 D499 D535 D53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63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8" x14ac:dyDescent="0.25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8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8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8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8" s="739" customFormat="1" ht="12.75" customHeight="1" x14ac:dyDescent="0.25">
      <c r="B6" s="739" t="s">
        <v>85</v>
      </c>
      <c r="C6" s="739" t="s">
        <v>70</v>
      </c>
      <c r="D6" s="231"/>
      <c r="E6" s="740">
        <v>0</v>
      </c>
      <c r="F6" s="232">
        <v>0</v>
      </c>
      <c r="G6" s="232">
        <v>0</v>
      </c>
      <c r="H6" s="232">
        <v>0</v>
      </c>
      <c r="I6" s="232">
        <v>0</v>
      </c>
      <c r="J6" s="232">
        <v>0</v>
      </c>
      <c r="K6" s="232">
        <v>0</v>
      </c>
      <c r="L6" s="232">
        <v>0</v>
      </c>
      <c r="M6" s="232">
        <v>0</v>
      </c>
      <c r="N6" s="232">
        <v>0</v>
      </c>
      <c r="O6" s="232">
        <v>0</v>
      </c>
      <c r="P6" s="232">
        <v>0</v>
      </c>
      <c r="Q6" s="232">
        <v>0</v>
      </c>
      <c r="R6" s="739">
        <v>0</v>
      </c>
    </row>
    <row r="7" spans="2:18" ht="12.75" customHeight="1" x14ac:dyDescent="0.25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8" ht="12.75" customHeight="1" x14ac:dyDescent="0.25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8" ht="12.75" customHeight="1" x14ac:dyDescent="0.25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8" s="286" customFormat="1" ht="12.75" customHeight="1" x14ac:dyDescent="0.25">
      <c r="B10" s="286" t="s">
        <v>155</v>
      </c>
      <c r="C10" s="286" t="s">
        <v>70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8" ht="12.75" customHeight="1" x14ac:dyDescent="0.25">
      <c r="B11" s="142"/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8" ht="12.75" customHeight="1" x14ac:dyDescent="0.25">
      <c r="B12" s="142"/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8" ht="12.75" customHeight="1" x14ac:dyDescent="0.25">
      <c r="B13" s="142"/>
      <c r="C13" t="s">
        <v>82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8" ht="12.75" customHeight="1" x14ac:dyDescent="0.25">
      <c r="B14" s="142"/>
      <c r="D14" t="s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2:18" ht="12.75" customHeight="1" x14ac:dyDescent="0.25">
      <c r="B15" s="142"/>
      <c r="D15" t="s">
        <v>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8" ht="12.75" customHeight="1" x14ac:dyDescent="0.25">
      <c r="B16" s="142"/>
      <c r="C16" t="s">
        <v>86</v>
      </c>
      <c r="D16" t="s">
        <v>70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5">
      <c r="B17" s="142"/>
      <c r="D17" t="s">
        <v>72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5">
      <c r="B18" s="142"/>
      <c r="D18" t="s">
        <v>81</v>
      </c>
      <c r="E18" s="142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5">
      <c r="B19" s="142"/>
      <c r="C19" s="89" t="s">
        <v>87</v>
      </c>
      <c r="D19" s="89" t="s">
        <v>70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>
        <v>0</v>
      </c>
    </row>
    <row r="20" spans="1:18" s="94" customFormat="1" ht="12.75" customHeight="1" x14ac:dyDescent="0.25">
      <c r="B20" s="101" t="s">
        <v>119</v>
      </c>
      <c r="C20" s="101" t="s">
        <v>70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4">
        <v>0</v>
      </c>
    </row>
    <row r="21" spans="1:18" s="226" customFormat="1" ht="12.75" customHeight="1" x14ac:dyDescent="0.25">
      <c r="A21" s="98" t="s">
        <v>78</v>
      </c>
      <c r="B21" s="98" t="s">
        <v>70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100">
        <v>0</v>
      </c>
      <c r="O21" s="100">
        <v>0</v>
      </c>
      <c r="P21" s="100">
        <v>0</v>
      </c>
      <c r="Q21" s="100">
        <v>0</v>
      </c>
      <c r="R21" s="226">
        <v>0</v>
      </c>
    </row>
    <row r="22" spans="1:18" ht="12.75" customHeight="1" x14ac:dyDescent="0.25">
      <c r="D22" s="89" t="s">
        <v>73</v>
      </c>
      <c r="E22" s="371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>
        <v>0</v>
      </c>
    </row>
    <row r="23" spans="1:18" ht="12.75" customHeight="1" x14ac:dyDescent="0.25">
      <c r="C23" s="89" t="s">
        <v>156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286" customFormat="1" ht="12.75" customHeight="1" x14ac:dyDescent="0.25">
      <c r="B24" s="286" t="s">
        <v>155</v>
      </c>
      <c r="C24" s="286" t="s">
        <v>70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</row>
    <row r="25" spans="1:18" ht="12.75" customHeight="1" x14ac:dyDescent="0.25">
      <c r="D25" s="89" t="s">
        <v>73</v>
      </c>
      <c r="E25" s="371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>
        <v>0</v>
      </c>
    </row>
    <row r="26" spans="1:18" ht="12.75" customHeight="1" x14ac:dyDescent="0.25">
      <c r="C26" s="89" t="s">
        <v>82</v>
      </c>
      <c r="D26" s="89" t="s">
        <v>70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D27" s="89" t="s">
        <v>73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ht="12.75" customHeight="1" x14ac:dyDescent="0.25">
      <c r="C28" s="89" t="s">
        <v>86</v>
      </c>
      <c r="D28" s="89" t="s">
        <v>70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>
        <v>0</v>
      </c>
    </row>
    <row r="29" spans="1:18" ht="12.75" customHeight="1" x14ac:dyDescent="0.25">
      <c r="D29" s="89" t="s">
        <v>73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5">
      <c r="C30" s="89" t="s">
        <v>87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94" customFormat="1" ht="12.75" customHeight="1" x14ac:dyDescent="0.25">
      <c r="B31" s="101" t="s">
        <v>119</v>
      </c>
      <c r="C31" s="101" t="s">
        <v>70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4">
        <v>0</v>
      </c>
    </row>
    <row r="32" spans="1:18" s="226" customFormat="1" ht="12.75" customHeight="1" x14ac:dyDescent="0.25">
      <c r="A32" s="98" t="s">
        <v>79</v>
      </c>
      <c r="B32" s="98" t="s">
        <v>70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0</v>
      </c>
      <c r="R32" s="226">
        <v>0</v>
      </c>
    </row>
    <row r="33" spans="1:19" ht="12.75" customHeight="1" x14ac:dyDescent="0.25">
      <c r="A33" s="89" t="s">
        <v>70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144">
        <v>0</v>
      </c>
    </row>
    <row r="34" spans="1:19" ht="12.75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hidden="1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hidden="1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hidden="1" customHeight="1" x14ac:dyDescent="0.25">
      <c r="A43" s="8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</row>
    <row r="44" spans="1:19" ht="12.75" hidden="1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customHeight="1" x14ac:dyDescent="0.25">
      <c r="B47" s="777" t="s">
        <v>2</v>
      </c>
      <c r="C47" s="775" t="s">
        <v>132</v>
      </c>
      <c r="D47" s="98" t="s">
        <v>70</v>
      </c>
      <c r="E47" s="100">
        <f>E21+E32-K21</f>
        <v>0</v>
      </c>
      <c r="F47" s="100">
        <f>F21</f>
        <v>0</v>
      </c>
      <c r="G47" s="100">
        <f t="shared" ref="G47:S47" si="0">G21</f>
        <v>0</v>
      </c>
      <c r="H47" s="100">
        <f t="shared" si="0"/>
        <v>0</v>
      </c>
      <c r="I47" s="100">
        <f t="shared" si="0"/>
        <v>0</v>
      </c>
      <c r="J47" s="100">
        <f t="shared" si="0"/>
        <v>0</v>
      </c>
      <c r="K47" s="100">
        <f t="shared" si="0"/>
        <v>0</v>
      </c>
      <c r="L47" s="100">
        <f t="shared" si="0"/>
        <v>0</v>
      </c>
      <c r="M47" s="100">
        <f t="shared" si="0"/>
        <v>0</v>
      </c>
      <c r="N47" s="100">
        <f t="shared" si="0"/>
        <v>0</v>
      </c>
      <c r="O47" s="100">
        <f t="shared" si="0"/>
        <v>0</v>
      </c>
      <c r="P47" s="100">
        <f t="shared" si="0"/>
        <v>0</v>
      </c>
      <c r="Q47" s="100">
        <f t="shared" si="0"/>
        <v>0</v>
      </c>
      <c r="R47" s="100">
        <f t="shared" si="0"/>
        <v>0</v>
      </c>
      <c r="S47" s="100">
        <f t="shared" si="0"/>
        <v>0</v>
      </c>
    </row>
    <row r="48" spans="1:19" ht="12.75" customHeight="1" x14ac:dyDescent="0.25">
      <c r="B48" s="777"/>
      <c r="C48" s="775"/>
      <c r="D48" s="98" t="s">
        <v>73</v>
      </c>
      <c r="E48" s="100">
        <f>E32</f>
        <v>0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A49" s="89"/>
      <c r="B49" s="97"/>
      <c r="E49" s="371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25">
      <c r="B50" s="777" t="s">
        <v>160</v>
      </c>
      <c r="C50" s="775" t="s">
        <v>132</v>
      </c>
      <c r="D50" s="223" t="s">
        <v>70</v>
      </c>
      <c r="E50" s="225">
        <v>0</v>
      </c>
      <c r="F50" s="225">
        <v>0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225">
        <v>0</v>
      </c>
      <c r="P50" s="225">
        <v>0</v>
      </c>
      <c r="Q50" s="225">
        <v>0</v>
      </c>
      <c r="R50" s="225">
        <v>0</v>
      </c>
      <c r="S50" s="225">
        <v>0</v>
      </c>
    </row>
    <row r="51" spans="1:19" ht="12.75" customHeight="1" x14ac:dyDescent="0.25">
      <c r="B51" s="777"/>
      <c r="C51" s="775"/>
      <c r="D51" s="223" t="s">
        <v>73</v>
      </c>
      <c r="E51" s="225">
        <v>0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A52" s="89"/>
      <c r="B52" s="97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19" ht="12.75" customHeight="1" x14ac:dyDescent="0.25">
      <c r="B53" s="777" t="s">
        <v>155</v>
      </c>
      <c r="C53" s="775" t="s">
        <v>132</v>
      </c>
      <c r="D53" s="221" t="s">
        <v>70</v>
      </c>
      <c r="E53" s="222">
        <f>E24+E10+E6-K6-K10</f>
        <v>0</v>
      </c>
      <c r="F53" s="222">
        <f>F10+F6</f>
        <v>0</v>
      </c>
      <c r="G53" s="222">
        <f t="shared" ref="G53:S53" si="1">G10+G6</f>
        <v>0</v>
      </c>
      <c r="H53" s="222">
        <f t="shared" si="1"/>
        <v>0</v>
      </c>
      <c r="I53" s="222">
        <f t="shared" si="1"/>
        <v>0</v>
      </c>
      <c r="J53" s="222">
        <f t="shared" si="1"/>
        <v>0</v>
      </c>
      <c r="K53" s="222">
        <f t="shared" si="1"/>
        <v>0</v>
      </c>
      <c r="L53" s="222">
        <f t="shared" si="1"/>
        <v>0</v>
      </c>
      <c r="M53" s="222">
        <f t="shared" si="1"/>
        <v>0</v>
      </c>
      <c r="N53" s="222">
        <f t="shared" si="1"/>
        <v>0</v>
      </c>
      <c r="O53" s="222">
        <f t="shared" si="1"/>
        <v>0</v>
      </c>
      <c r="P53" s="222">
        <f t="shared" si="1"/>
        <v>0</v>
      </c>
      <c r="Q53" s="222">
        <f t="shared" si="1"/>
        <v>0</v>
      </c>
      <c r="R53" s="222">
        <f t="shared" si="1"/>
        <v>0</v>
      </c>
      <c r="S53" s="222">
        <f t="shared" si="1"/>
        <v>0</v>
      </c>
    </row>
    <row r="54" spans="1:19" ht="12.75" customHeight="1" x14ac:dyDescent="0.25">
      <c r="B54" s="777"/>
      <c r="C54" s="775"/>
      <c r="D54" s="221" t="s">
        <v>73</v>
      </c>
      <c r="E54" s="222">
        <f>E24</f>
        <v>0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A55" s="89"/>
      <c r="B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25">
      <c r="B56" s="778" t="s">
        <v>326</v>
      </c>
      <c r="C56" s="775" t="s">
        <v>132</v>
      </c>
      <c r="D56" s="373" t="s">
        <v>70</v>
      </c>
      <c r="E56" s="374">
        <v>0</v>
      </c>
      <c r="F56" s="374">
        <v>0</v>
      </c>
      <c r="G56" s="374">
        <v>0</v>
      </c>
      <c r="H56" s="374">
        <v>0</v>
      </c>
      <c r="I56" s="374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4">
        <v>0</v>
      </c>
      <c r="Q56" s="374">
        <v>0</v>
      </c>
      <c r="R56" s="374">
        <v>0</v>
      </c>
    </row>
    <row r="57" spans="1:19" ht="12.75" customHeight="1" x14ac:dyDescent="0.25">
      <c r="B57" s="778"/>
      <c r="C57" s="775"/>
      <c r="D57" s="373" t="s">
        <v>73</v>
      </c>
      <c r="E57" s="374">
        <v>0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9" ht="12.75" customHeight="1" x14ac:dyDescent="0.25">
      <c r="A58" s="89"/>
      <c r="B58" s="97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B59" s="777" t="s">
        <v>119</v>
      </c>
      <c r="C59" s="775" t="s">
        <v>132</v>
      </c>
      <c r="D59" s="101" t="s">
        <v>70</v>
      </c>
      <c r="E59" s="93">
        <f>E20+E31-K20</f>
        <v>0</v>
      </c>
      <c r="F59" s="93">
        <f>F20</f>
        <v>0</v>
      </c>
      <c r="G59" s="93">
        <f t="shared" ref="G59:S59" si="2">G20</f>
        <v>0</v>
      </c>
      <c r="H59" s="93">
        <f t="shared" si="2"/>
        <v>0</v>
      </c>
      <c r="I59" s="93">
        <f t="shared" si="2"/>
        <v>0</v>
      </c>
      <c r="J59" s="93">
        <f t="shared" si="2"/>
        <v>0</v>
      </c>
      <c r="K59" s="93">
        <f t="shared" si="2"/>
        <v>0</v>
      </c>
      <c r="L59" s="93">
        <f t="shared" si="2"/>
        <v>0</v>
      </c>
      <c r="M59" s="93">
        <f t="shared" si="2"/>
        <v>0</v>
      </c>
      <c r="N59" s="93">
        <f t="shared" si="2"/>
        <v>0</v>
      </c>
      <c r="O59" s="93">
        <f t="shared" si="2"/>
        <v>0</v>
      </c>
      <c r="P59" s="93">
        <f t="shared" si="2"/>
        <v>0</v>
      </c>
      <c r="Q59" s="93">
        <f t="shared" si="2"/>
        <v>0</v>
      </c>
      <c r="R59" s="93">
        <f t="shared" si="2"/>
        <v>0</v>
      </c>
      <c r="S59" s="93">
        <f t="shared" si="2"/>
        <v>0</v>
      </c>
    </row>
    <row r="60" spans="1:19" ht="12.75" customHeight="1" x14ac:dyDescent="0.25">
      <c r="B60" s="777"/>
      <c r="C60" s="775"/>
      <c r="D60" s="101" t="s">
        <v>73</v>
      </c>
      <c r="E60" s="93">
        <f>E31</f>
        <v>0</v>
      </c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19" ht="12.75" customHeight="1" x14ac:dyDescent="0.25">
      <c r="A61" s="89"/>
      <c r="B61" s="97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B62" s="776" t="s">
        <v>161</v>
      </c>
      <c r="C62" s="775" t="s">
        <v>132</v>
      </c>
      <c r="D62" s="231" t="s">
        <v>70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</row>
    <row r="63" spans="1:19" ht="12.75" customHeight="1" x14ac:dyDescent="0.25">
      <c r="B63" s="776"/>
      <c r="C63" s="775"/>
      <c r="D63" s="231" t="s">
        <v>73</v>
      </c>
      <c r="E63" s="232">
        <v>0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19" s="238" customFormat="1" x14ac:dyDescent="0.25"/>
    <row r="65" spans="2:18" x14ac:dyDescent="0.25">
      <c r="B65" s="97" t="s">
        <v>75</v>
      </c>
    </row>
    <row r="66" spans="2:18" ht="12.75" customHeight="1" x14ac:dyDescent="0.25">
      <c r="E66" s="89" t="s">
        <v>70</v>
      </c>
      <c r="F66" s="89" t="s">
        <v>64</v>
      </c>
      <c r="G66" s="89" t="s">
        <v>65</v>
      </c>
      <c r="H66" s="219" t="s">
        <v>164</v>
      </c>
      <c r="I66" s="89" t="s">
        <v>69</v>
      </c>
      <c r="J66" s="89" t="s">
        <v>68</v>
      </c>
      <c r="K66" s="89" t="s">
        <v>83</v>
      </c>
      <c r="L66" s="89" t="s">
        <v>66</v>
      </c>
      <c r="M66" s="89" t="s">
        <v>63</v>
      </c>
      <c r="N66" s="89" t="s">
        <v>61</v>
      </c>
      <c r="O66" s="89" t="s">
        <v>62</v>
      </c>
      <c r="P66" s="89" t="s">
        <v>67</v>
      </c>
      <c r="Q66" s="89" t="s">
        <v>84</v>
      </c>
      <c r="R66" s="384" t="s">
        <v>225</v>
      </c>
    </row>
    <row r="67" spans="2:18" ht="12.75" customHeight="1" x14ac:dyDescent="0.25">
      <c r="D67" s="89" t="s">
        <v>72</v>
      </c>
      <c r="E67" s="371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>
        <v>0</v>
      </c>
    </row>
    <row r="68" spans="2:18" ht="12.75" customHeight="1" x14ac:dyDescent="0.25">
      <c r="D68" t="s">
        <v>81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 ht="12.75" customHeight="1" x14ac:dyDescent="0.25">
      <c r="C69" t="s">
        <v>332</v>
      </c>
      <c r="D69" s="89" t="s">
        <v>70</v>
      </c>
      <c r="E69" s="371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>
        <v>0</v>
      </c>
    </row>
    <row r="70" spans="2:18" s="739" customFormat="1" ht="12.75" customHeight="1" x14ac:dyDescent="0.25">
      <c r="B70" s="739" t="s">
        <v>85</v>
      </c>
      <c r="C70" s="739" t="s">
        <v>70</v>
      </c>
      <c r="D70" s="231"/>
      <c r="E70" s="740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739">
        <v>0</v>
      </c>
    </row>
    <row r="71" spans="2:18" ht="12.75" customHeight="1" x14ac:dyDescent="0.25">
      <c r="B71" s="142"/>
      <c r="D71" s="89" t="s">
        <v>72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>
        <v>0</v>
      </c>
    </row>
    <row r="72" spans="2:18" ht="12.75" customHeight="1" x14ac:dyDescent="0.25">
      <c r="B72" s="142"/>
      <c r="D72" s="89" t="s">
        <v>81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>
        <v>0</v>
      </c>
    </row>
    <row r="73" spans="2:18" ht="12.75" customHeight="1" x14ac:dyDescent="0.25">
      <c r="B73" s="142"/>
      <c r="C73" t="s">
        <v>156</v>
      </c>
      <c r="D73" s="89" t="s">
        <v>70</v>
      </c>
      <c r="E73" s="371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>
        <v>0</v>
      </c>
    </row>
    <row r="74" spans="2:18" s="286" customFormat="1" ht="12.75" customHeight="1" x14ac:dyDescent="0.25">
      <c r="B74" s="751" t="s">
        <v>155</v>
      </c>
      <c r="C74" s="286" t="s">
        <v>70</v>
      </c>
      <c r="D74" s="229"/>
      <c r="E74" s="752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86">
        <v>0</v>
      </c>
    </row>
    <row r="75" spans="2:18" ht="12.6" customHeight="1" x14ac:dyDescent="0.25">
      <c r="B75" s="142"/>
      <c r="D75" s="89" t="s">
        <v>72</v>
      </c>
      <c r="E75" s="371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>
        <v>0</v>
      </c>
    </row>
    <row r="76" spans="2:18" ht="12.75" customHeight="1" x14ac:dyDescent="0.25">
      <c r="B76" s="142"/>
      <c r="D76" s="89" t="s">
        <v>81</v>
      </c>
      <c r="E76" s="371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>
        <v>0</v>
      </c>
    </row>
    <row r="77" spans="2:18" ht="12.75" customHeight="1" x14ac:dyDescent="0.25">
      <c r="B77" s="142"/>
      <c r="C77" t="s">
        <v>115</v>
      </c>
      <c r="D77" s="89" t="s">
        <v>70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2:18" ht="12.75" customHeight="1" x14ac:dyDescent="0.25">
      <c r="B78" s="142"/>
      <c r="C78" s="89"/>
      <c r="D78" s="89" t="s">
        <v>72</v>
      </c>
      <c r="E78" s="371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>
        <v>0</v>
      </c>
    </row>
    <row r="79" spans="2:18" ht="12.75" customHeight="1" x14ac:dyDescent="0.25">
      <c r="B79" s="142"/>
      <c r="C79" s="89" t="s">
        <v>116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2:18" ht="12.75" customHeight="1" x14ac:dyDescent="0.25">
      <c r="B80" s="142"/>
      <c r="C80" s="89"/>
      <c r="D80" s="89" t="s">
        <v>72</v>
      </c>
      <c r="E80" s="371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>
        <v>0</v>
      </c>
    </row>
    <row r="81" spans="1:18" ht="12.75" customHeight="1" x14ac:dyDescent="0.25">
      <c r="B81" s="142"/>
      <c r="C81" s="89"/>
      <c r="D81" s="89" t="s">
        <v>81</v>
      </c>
      <c r="E81" s="371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1:18" ht="12.75" customHeight="1" x14ac:dyDescent="0.25">
      <c r="B82" s="142"/>
      <c r="C82" s="89" t="s">
        <v>118</v>
      </c>
      <c r="D82" s="89" t="s">
        <v>70</v>
      </c>
      <c r="E82" s="371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1:18" s="224" customFormat="1" ht="12.75" customHeight="1" x14ac:dyDescent="0.25">
      <c r="B83" s="224" t="s">
        <v>120</v>
      </c>
      <c r="C83" s="224" t="s">
        <v>70</v>
      </c>
      <c r="E83" s="224">
        <v>0</v>
      </c>
      <c r="F83" s="224">
        <v>0</v>
      </c>
      <c r="G83" s="224">
        <v>0</v>
      </c>
      <c r="H83" s="224">
        <v>0</v>
      </c>
      <c r="I83" s="224">
        <v>0</v>
      </c>
      <c r="J83" s="224">
        <v>0</v>
      </c>
      <c r="K83" s="224">
        <v>0</v>
      </c>
      <c r="L83" s="224">
        <v>0</v>
      </c>
      <c r="M83" s="224">
        <v>0</v>
      </c>
      <c r="N83" s="224">
        <v>0</v>
      </c>
      <c r="O83" s="224">
        <v>0</v>
      </c>
      <c r="P83" s="224">
        <v>0</v>
      </c>
      <c r="Q83" s="224">
        <v>0</v>
      </c>
      <c r="R83" s="224">
        <v>0</v>
      </c>
    </row>
    <row r="84" spans="1:18" ht="12.75" customHeight="1" x14ac:dyDescent="0.25">
      <c r="D84" t="s">
        <v>72</v>
      </c>
      <c r="E84" s="142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2.75" customHeight="1" x14ac:dyDescent="0.25">
      <c r="D85" t="s">
        <v>81</v>
      </c>
      <c r="E85" s="142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ht="12.75" customHeight="1" x14ac:dyDescent="0.25">
      <c r="C86" t="s">
        <v>82</v>
      </c>
      <c r="D86" t="s">
        <v>70</v>
      </c>
      <c r="E86" s="142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ht="12.75" customHeight="1" x14ac:dyDescent="0.25">
      <c r="D87" t="s">
        <v>72</v>
      </c>
      <c r="E87" s="142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ht="12.75" customHeight="1" x14ac:dyDescent="0.25">
      <c r="D88" t="s">
        <v>81</v>
      </c>
      <c r="E88" s="142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ht="12.75" customHeight="1" x14ac:dyDescent="0.25">
      <c r="C89" t="s">
        <v>86</v>
      </c>
      <c r="D89" t="s">
        <v>70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ht="12.75" customHeight="1" x14ac:dyDescent="0.25">
      <c r="D90" t="s">
        <v>72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ht="12.75" customHeight="1" x14ac:dyDescent="0.25">
      <c r="D91" t="s">
        <v>81</v>
      </c>
      <c r="E91" s="142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ht="12.75" customHeight="1" x14ac:dyDescent="0.25">
      <c r="C92" s="89" t="s">
        <v>87</v>
      </c>
      <c r="D92" s="89" t="s">
        <v>70</v>
      </c>
      <c r="E92" s="90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1:18" s="94" customFormat="1" ht="12.75" customHeight="1" x14ac:dyDescent="0.25">
      <c r="B93" s="94" t="s">
        <v>119</v>
      </c>
      <c r="C93" s="101" t="s">
        <v>70</v>
      </c>
      <c r="D93" s="101"/>
      <c r="E93" s="93">
        <v>0</v>
      </c>
      <c r="F93" s="93">
        <v>0</v>
      </c>
      <c r="G93" s="93">
        <v>0</v>
      </c>
      <c r="H93" s="93">
        <v>0</v>
      </c>
      <c r="I93" s="93">
        <v>0</v>
      </c>
      <c r="J93" s="93">
        <v>0</v>
      </c>
      <c r="K93" s="93">
        <v>0</v>
      </c>
      <c r="L93" s="93">
        <v>0</v>
      </c>
      <c r="M93" s="93">
        <v>0</v>
      </c>
      <c r="N93" s="93">
        <v>0</v>
      </c>
      <c r="O93" s="93">
        <v>0</v>
      </c>
      <c r="P93" s="93">
        <v>0</v>
      </c>
      <c r="Q93" s="93">
        <v>0</v>
      </c>
      <c r="R93" s="94">
        <v>0</v>
      </c>
    </row>
    <row r="94" spans="1:18" s="226" customFormat="1" ht="12.75" customHeight="1" x14ac:dyDescent="0.25">
      <c r="A94" s="98" t="s">
        <v>78</v>
      </c>
      <c r="B94" s="98" t="s">
        <v>70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100">
        <v>0</v>
      </c>
      <c r="R94" s="226">
        <v>0</v>
      </c>
    </row>
    <row r="95" spans="1:18" ht="12.75" customHeight="1" x14ac:dyDescent="0.25">
      <c r="C95" s="89"/>
      <c r="D95" s="89" t="s">
        <v>73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1:18" ht="12.75" customHeight="1" x14ac:dyDescent="0.25">
      <c r="C96" s="89" t="s">
        <v>156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1:18" s="286" customFormat="1" ht="12.75" customHeight="1" x14ac:dyDescent="0.25">
      <c r="B97" s="286" t="s">
        <v>155</v>
      </c>
      <c r="C97" s="229" t="s">
        <v>70</v>
      </c>
      <c r="D97" s="229"/>
      <c r="E97" s="752">
        <v>0</v>
      </c>
      <c r="F97" s="230">
        <v>0</v>
      </c>
      <c r="G97" s="230">
        <v>0</v>
      </c>
      <c r="H97" s="230">
        <v>0</v>
      </c>
      <c r="I97" s="230">
        <v>0</v>
      </c>
      <c r="J97" s="230">
        <v>0</v>
      </c>
      <c r="K97" s="230">
        <v>0</v>
      </c>
      <c r="L97" s="230">
        <v>0</v>
      </c>
      <c r="M97" s="230">
        <v>0</v>
      </c>
      <c r="N97" s="230">
        <v>0</v>
      </c>
      <c r="O97" s="230">
        <v>0</v>
      </c>
      <c r="P97" s="230">
        <v>0</v>
      </c>
      <c r="Q97" s="230">
        <v>0</v>
      </c>
      <c r="R97" s="286">
        <v>0</v>
      </c>
    </row>
    <row r="98" spans="1:18" ht="12.75" customHeight="1" x14ac:dyDescent="0.25">
      <c r="C98" s="89"/>
      <c r="D98" s="89" t="s">
        <v>73</v>
      </c>
      <c r="E98" s="371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>
        <v>0</v>
      </c>
    </row>
    <row r="99" spans="1:18" ht="12.75" customHeight="1" x14ac:dyDescent="0.25">
      <c r="C99" s="89" t="s">
        <v>115</v>
      </c>
      <c r="D99" s="89" t="s">
        <v>70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1:18" ht="12.75" customHeight="1" x14ac:dyDescent="0.25">
      <c r="C100" s="89"/>
      <c r="D100" s="89" t="s">
        <v>73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1:18" ht="12.75" customHeight="1" x14ac:dyDescent="0.25">
      <c r="C101" s="89" t="s">
        <v>116</v>
      </c>
      <c r="D101" s="89" t="s">
        <v>70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1:18" ht="12.75" customHeight="1" x14ac:dyDescent="0.25">
      <c r="C102" s="89"/>
      <c r="D102" s="89" t="s">
        <v>73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1:18" ht="12.75" customHeight="1" x14ac:dyDescent="0.25">
      <c r="C103" s="89" t="s">
        <v>118</v>
      </c>
      <c r="D103" s="89" t="s">
        <v>70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1:18" s="224" customFormat="1" ht="12.75" customHeight="1" x14ac:dyDescent="0.25">
      <c r="B104" s="223" t="s">
        <v>120</v>
      </c>
      <c r="C104" s="223" t="s">
        <v>70</v>
      </c>
      <c r="E104" s="225">
        <v>0</v>
      </c>
      <c r="F104" s="225">
        <v>0</v>
      </c>
      <c r="G104" s="225">
        <v>0</v>
      </c>
      <c r="H104" s="225">
        <v>0</v>
      </c>
      <c r="I104" s="225">
        <v>0</v>
      </c>
      <c r="J104" s="225">
        <v>0</v>
      </c>
      <c r="K104" s="225">
        <v>0</v>
      </c>
      <c r="L104" s="225">
        <v>0</v>
      </c>
      <c r="M104" s="225">
        <v>0</v>
      </c>
      <c r="N104" s="225">
        <v>0</v>
      </c>
      <c r="O104" s="225">
        <v>0</v>
      </c>
      <c r="P104" s="225">
        <v>0</v>
      </c>
      <c r="Q104" s="225">
        <v>0</v>
      </c>
      <c r="R104" s="224">
        <v>0</v>
      </c>
    </row>
    <row r="105" spans="1:18" ht="12.75" customHeight="1" x14ac:dyDescent="0.25">
      <c r="D105" s="89" t="s">
        <v>73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1:18" ht="12.75" customHeight="1" x14ac:dyDescent="0.25">
      <c r="C106" t="s">
        <v>82</v>
      </c>
      <c r="D106" s="89" t="s">
        <v>70</v>
      </c>
      <c r="E106" s="371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>
        <v>0</v>
      </c>
    </row>
    <row r="107" spans="1:18" ht="12.75" customHeight="1" x14ac:dyDescent="0.25">
      <c r="D107" s="89" t="s">
        <v>73</v>
      </c>
      <c r="E107" s="371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>
        <v>0</v>
      </c>
    </row>
    <row r="108" spans="1:18" ht="12.75" customHeight="1" x14ac:dyDescent="0.25">
      <c r="C108" t="s">
        <v>86</v>
      </c>
      <c r="D108" s="89" t="s">
        <v>70</v>
      </c>
      <c r="E108" s="371">
        <v>0</v>
      </c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>
        <v>0</v>
      </c>
    </row>
    <row r="109" spans="1:18" ht="12.75" customHeight="1" x14ac:dyDescent="0.25">
      <c r="D109" s="89" t="s">
        <v>73</v>
      </c>
      <c r="E109" s="371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>
        <v>0</v>
      </c>
    </row>
    <row r="110" spans="1:18" ht="12.75" customHeight="1" x14ac:dyDescent="0.25">
      <c r="C110" t="s">
        <v>87</v>
      </c>
      <c r="D110" s="89" t="s">
        <v>70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>
        <v>0</v>
      </c>
    </row>
    <row r="111" spans="1:18" s="94" customFormat="1" ht="12.75" customHeight="1" x14ac:dyDescent="0.25">
      <c r="B111" s="101" t="s">
        <v>119</v>
      </c>
      <c r="C111" s="101" t="s">
        <v>70</v>
      </c>
      <c r="E111" s="93">
        <v>0</v>
      </c>
      <c r="F111" s="93">
        <v>0</v>
      </c>
      <c r="G111" s="93">
        <v>0</v>
      </c>
      <c r="H111" s="93">
        <v>0</v>
      </c>
      <c r="I111" s="93">
        <v>0</v>
      </c>
      <c r="J111" s="93">
        <v>0</v>
      </c>
      <c r="K111" s="93">
        <v>0</v>
      </c>
      <c r="L111" s="93">
        <v>0</v>
      </c>
      <c r="M111" s="93">
        <v>0</v>
      </c>
      <c r="N111" s="93">
        <v>0</v>
      </c>
      <c r="O111" s="93">
        <v>0</v>
      </c>
      <c r="P111" s="93">
        <v>0</v>
      </c>
      <c r="Q111" s="93">
        <v>0</v>
      </c>
      <c r="R111" s="94">
        <v>0</v>
      </c>
    </row>
    <row r="112" spans="1:18" s="226" customFormat="1" ht="12.75" customHeight="1" x14ac:dyDescent="0.25">
      <c r="A112" s="98" t="s">
        <v>79</v>
      </c>
      <c r="B112" s="98" t="s">
        <v>70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0">
        <v>0</v>
      </c>
      <c r="P112" s="100">
        <v>0</v>
      </c>
      <c r="Q112" s="100">
        <v>0</v>
      </c>
      <c r="R112" s="226">
        <v>0</v>
      </c>
    </row>
    <row r="113" spans="1:19" ht="12.75" customHeight="1" x14ac:dyDescent="0.25">
      <c r="A113" s="89" t="s">
        <v>70</v>
      </c>
      <c r="E113" s="90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>
        <v>0</v>
      </c>
    </row>
    <row r="114" spans="1:19" ht="12.75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hidden="1" customHeight="1" x14ac:dyDescent="0.25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hidden="1" customHeight="1" x14ac:dyDescent="0.25">
      <c r="A140" s="89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19" ht="12.75" hidden="1" customHeight="1" x14ac:dyDescent="0.25">
      <c r="A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19" ht="12.75" hidden="1" customHeight="1" x14ac:dyDescent="0.25">
      <c r="A142" s="89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19" ht="12.75" customHeight="1" x14ac:dyDescent="0.25">
      <c r="A143" s="89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19" ht="12.75" customHeight="1" x14ac:dyDescent="0.25">
      <c r="B144" s="777" t="s">
        <v>2</v>
      </c>
      <c r="C144" s="775" t="s">
        <v>132</v>
      </c>
      <c r="D144" s="98" t="s">
        <v>70</v>
      </c>
      <c r="E144" s="100">
        <f>E94+E112-K94</f>
        <v>0</v>
      </c>
      <c r="F144" s="100">
        <f t="shared" ref="F144:R144" si="3">F94</f>
        <v>0</v>
      </c>
      <c r="G144" s="100">
        <f t="shared" si="3"/>
        <v>0</v>
      </c>
      <c r="H144" s="100">
        <f t="shared" si="3"/>
        <v>0</v>
      </c>
      <c r="I144" s="100">
        <f t="shared" si="3"/>
        <v>0</v>
      </c>
      <c r="J144" s="100">
        <f t="shared" si="3"/>
        <v>0</v>
      </c>
      <c r="K144" s="100">
        <f t="shared" si="3"/>
        <v>0</v>
      </c>
      <c r="L144" s="100">
        <f t="shared" si="3"/>
        <v>0</v>
      </c>
      <c r="M144" s="100">
        <f t="shared" si="3"/>
        <v>0</v>
      </c>
      <c r="N144" s="100">
        <f t="shared" si="3"/>
        <v>0</v>
      </c>
      <c r="O144" s="100">
        <f t="shared" si="3"/>
        <v>0</v>
      </c>
      <c r="P144" s="100">
        <f t="shared" si="3"/>
        <v>0</v>
      </c>
      <c r="Q144" s="100">
        <f t="shared" si="3"/>
        <v>0</v>
      </c>
      <c r="R144" s="100">
        <f t="shared" si="3"/>
        <v>0</v>
      </c>
    </row>
    <row r="145" spans="1:18" ht="12.75" customHeight="1" x14ac:dyDescent="0.25">
      <c r="B145" s="777"/>
      <c r="C145" s="775"/>
      <c r="D145" s="98" t="s">
        <v>73</v>
      </c>
      <c r="E145" s="100">
        <f>E112</f>
        <v>0</v>
      </c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spans="1:18" ht="12.75" customHeight="1" x14ac:dyDescent="0.25">
      <c r="A146" s="89"/>
      <c r="B146" s="97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spans="1:18" ht="12.75" customHeight="1" x14ac:dyDescent="0.25">
      <c r="B147" s="777" t="s">
        <v>160</v>
      </c>
      <c r="C147" s="775" t="s">
        <v>132</v>
      </c>
      <c r="D147" s="223" t="s">
        <v>70</v>
      </c>
      <c r="E147" s="225">
        <f>E104+E83+E70-K70-K83</f>
        <v>0</v>
      </c>
      <c r="F147" s="225">
        <f>F83+F70</f>
        <v>0</v>
      </c>
      <c r="G147" s="225">
        <f t="shared" ref="G147:R147" si="4">G83+G70</f>
        <v>0</v>
      </c>
      <c r="H147" s="225">
        <f t="shared" si="4"/>
        <v>0</v>
      </c>
      <c r="I147" s="225">
        <f t="shared" si="4"/>
        <v>0</v>
      </c>
      <c r="J147" s="225">
        <f t="shared" si="4"/>
        <v>0</v>
      </c>
      <c r="K147" s="225">
        <f t="shared" si="4"/>
        <v>0</v>
      </c>
      <c r="L147" s="225">
        <f t="shared" si="4"/>
        <v>0</v>
      </c>
      <c r="M147" s="225">
        <f t="shared" si="4"/>
        <v>0</v>
      </c>
      <c r="N147" s="225">
        <f t="shared" si="4"/>
        <v>0</v>
      </c>
      <c r="O147" s="225">
        <f t="shared" si="4"/>
        <v>0</v>
      </c>
      <c r="P147" s="225">
        <f t="shared" si="4"/>
        <v>0</v>
      </c>
      <c r="Q147" s="225">
        <f t="shared" si="4"/>
        <v>0</v>
      </c>
      <c r="R147" s="225">
        <f t="shared" si="4"/>
        <v>0</v>
      </c>
    </row>
    <row r="148" spans="1:18" ht="12.75" customHeight="1" x14ac:dyDescent="0.25">
      <c r="B148" s="777"/>
      <c r="C148" s="775"/>
      <c r="D148" s="223" t="s">
        <v>73</v>
      </c>
      <c r="E148" s="225">
        <f>E104</f>
        <v>0</v>
      </c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8" ht="12.6" customHeight="1" x14ac:dyDescent="0.25">
      <c r="A149" s="89"/>
      <c r="B149" s="97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spans="1:18" ht="12.75" customHeight="1" x14ac:dyDescent="0.25">
      <c r="B150" s="777" t="s">
        <v>155</v>
      </c>
      <c r="C150" s="775" t="s">
        <v>132</v>
      </c>
      <c r="D150" s="221" t="s">
        <v>70</v>
      </c>
      <c r="E150" s="222">
        <f>E97+E74-K74</f>
        <v>0</v>
      </c>
      <c r="F150" s="222">
        <f t="shared" ref="F150:R150" si="5">F74</f>
        <v>0</v>
      </c>
      <c r="G150" s="222">
        <f t="shared" si="5"/>
        <v>0</v>
      </c>
      <c r="H150" s="222">
        <f t="shared" si="5"/>
        <v>0</v>
      </c>
      <c r="I150" s="222">
        <f t="shared" si="5"/>
        <v>0</v>
      </c>
      <c r="J150" s="222">
        <f t="shared" si="5"/>
        <v>0</v>
      </c>
      <c r="K150" s="222">
        <f t="shared" si="5"/>
        <v>0</v>
      </c>
      <c r="L150" s="222">
        <f t="shared" si="5"/>
        <v>0</v>
      </c>
      <c r="M150" s="222">
        <f t="shared" si="5"/>
        <v>0</v>
      </c>
      <c r="N150" s="222">
        <f t="shared" si="5"/>
        <v>0</v>
      </c>
      <c r="O150" s="222">
        <f t="shared" si="5"/>
        <v>0</v>
      </c>
      <c r="P150" s="222">
        <f t="shared" si="5"/>
        <v>0</v>
      </c>
      <c r="Q150" s="222">
        <f t="shared" si="5"/>
        <v>0</v>
      </c>
      <c r="R150" s="222">
        <f t="shared" si="5"/>
        <v>0</v>
      </c>
    </row>
    <row r="151" spans="1:18" ht="12.75" customHeight="1" x14ac:dyDescent="0.25">
      <c r="B151" s="777"/>
      <c r="C151" s="775"/>
      <c r="D151" s="221" t="s">
        <v>73</v>
      </c>
      <c r="E151" s="222">
        <f>E97</f>
        <v>0</v>
      </c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8" ht="12.75" customHeight="1" x14ac:dyDescent="0.25">
      <c r="A152" s="89"/>
      <c r="B152" s="97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</row>
    <row r="153" spans="1:18" ht="12.75" customHeight="1" x14ac:dyDescent="0.25">
      <c r="B153" s="778" t="s">
        <v>326</v>
      </c>
      <c r="C153" s="775" t="s">
        <v>132</v>
      </c>
      <c r="D153" s="373" t="s">
        <v>70</v>
      </c>
      <c r="E153" s="374">
        <v>0</v>
      </c>
      <c r="F153" s="374">
        <v>0</v>
      </c>
      <c r="G153" s="374">
        <v>0</v>
      </c>
      <c r="H153" s="374">
        <v>0</v>
      </c>
      <c r="I153" s="374">
        <v>0</v>
      </c>
      <c r="J153" s="374">
        <v>0</v>
      </c>
      <c r="K153" s="374">
        <v>0</v>
      </c>
      <c r="L153" s="374">
        <v>0</v>
      </c>
      <c r="M153" s="374">
        <v>0</v>
      </c>
      <c r="N153" s="374">
        <v>0</v>
      </c>
      <c r="O153" s="374">
        <v>0</v>
      </c>
      <c r="P153" s="374">
        <v>0</v>
      </c>
      <c r="Q153" s="374">
        <v>0</v>
      </c>
      <c r="R153" s="374">
        <v>0</v>
      </c>
    </row>
    <row r="154" spans="1:18" ht="12.75" customHeight="1" x14ac:dyDescent="0.25">
      <c r="B154" s="778"/>
      <c r="C154" s="775"/>
      <c r="D154" s="373" t="s">
        <v>73</v>
      </c>
      <c r="E154" s="374">
        <v>0</v>
      </c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spans="1:18" ht="12.75" customHeight="1" x14ac:dyDescent="0.25">
      <c r="A155" s="89"/>
      <c r="B155" s="97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</row>
    <row r="156" spans="1:18" ht="12.75" customHeight="1" x14ac:dyDescent="0.25">
      <c r="B156" s="777" t="s">
        <v>119</v>
      </c>
      <c r="C156" s="775" t="s">
        <v>132</v>
      </c>
      <c r="D156" s="101" t="s">
        <v>70</v>
      </c>
      <c r="E156" s="93">
        <f>E93+E111-K93</f>
        <v>0</v>
      </c>
      <c r="F156" s="93">
        <f t="shared" ref="F156:R156" si="6">F93</f>
        <v>0</v>
      </c>
      <c r="G156" s="93">
        <f t="shared" si="6"/>
        <v>0</v>
      </c>
      <c r="H156" s="93">
        <f t="shared" si="6"/>
        <v>0</v>
      </c>
      <c r="I156" s="93">
        <f t="shared" si="6"/>
        <v>0</v>
      </c>
      <c r="J156" s="93">
        <f t="shared" si="6"/>
        <v>0</v>
      </c>
      <c r="K156" s="93">
        <f t="shared" si="6"/>
        <v>0</v>
      </c>
      <c r="L156" s="93">
        <f t="shared" si="6"/>
        <v>0</v>
      </c>
      <c r="M156" s="93">
        <f t="shared" si="6"/>
        <v>0</v>
      </c>
      <c r="N156" s="93">
        <f t="shared" si="6"/>
        <v>0</v>
      </c>
      <c r="O156" s="93">
        <f t="shared" si="6"/>
        <v>0</v>
      </c>
      <c r="P156" s="93">
        <f t="shared" si="6"/>
        <v>0</v>
      </c>
      <c r="Q156" s="93">
        <f t="shared" si="6"/>
        <v>0</v>
      </c>
      <c r="R156" s="93">
        <f t="shared" si="6"/>
        <v>0</v>
      </c>
    </row>
    <row r="157" spans="1:18" ht="12.75" customHeight="1" x14ac:dyDescent="0.25">
      <c r="B157" s="777"/>
      <c r="C157" s="775"/>
      <c r="D157" s="101" t="s">
        <v>73</v>
      </c>
      <c r="E157" s="93">
        <f>E111</f>
        <v>0</v>
      </c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1:18" ht="12.75" customHeight="1" x14ac:dyDescent="0.25">
      <c r="A158" s="89"/>
      <c r="B158" s="97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</row>
    <row r="159" spans="1:18" ht="12.75" customHeight="1" x14ac:dyDescent="0.25">
      <c r="B159" s="776" t="s">
        <v>161</v>
      </c>
      <c r="C159" s="775" t="s">
        <v>132</v>
      </c>
      <c r="D159" s="231" t="s">
        <v>70</v>
      </c>
      <c r="E159" s="232">
        <v>0</v>
      </c>
      <c r="F159" s="232">
        <v>0</v>
      </c>
      <c r="G159" s="232">
        <v>0</v>
      </c>
      <c r="H159" s="232">
        <v>0</v>
      </c>
      <c r="I159" s="232">
        <v>0</v>
      </c>
      <c r="J159" s="232">
        <v>0</v>
      </c>
      <c r="K159" s="232">
        <v>0</v>
      </c>
      <c r="L159" s="232">
        <v>0</v>
      </c>
      <c r="M159" s="232">
        <v>0</v>
      </c>
      <c r="N159" s="232">
        <v>0</v>
      </c>
      <c r="O159" s="232">
        <v>0</v>
      </c>
      <c r="P159" s="232">
        <v>0</v>
      </c>
      <c r="Q159" s="232">
        <v>0</v>
      </c>
      <c r="R159" s="232">
        <v>0</v>
      </c>
    </row>
    <row r="160" spans="1:18" ht="12.75" customHeight="1" x14ac:dyDescent="0.25">
      <c r="B160" s="776"/>
      <c r="C160" s="775"/>
      <c r="D160" s="231" t="s">
        <v>73</v>
      </c>
      <c r="E160" s="232">
        <v>0</v>
      </c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spans="2:18" s="238" customFormat="1" x14ac:dyDescent="0.25"/>
    <row r="162" spans="2:18" x14ac:dyDescent="0.25">
      <c r="B162" s="97" t="s">
        <v>76</v>
      </c>
    </row>
    <row r="163" spans="2:18" ht="12.6" customHeight="1" x14ac:dyDescent="0.25">
      <c r="E163" s="89" t="s">
        <v>70</v>
      </c>
      <c r="F163" s="89" t="s">
        <v>64</v>
      </c>
      <c r="G163" s="89" t="s">
        <v>65</v>
      </c>
      <c r="H163" s="219" t="s">
        <v>164</v>
      </c>
      <c r="I163" s="89" t="s">
        <v>69</v>
      </c>
      <c r="J163" s="89" t="s">
        <v>68</v>
      </c>
      <c r="K163" s="89" t="s">
        <v>83</v>
      </c>
      <c r="L163" s="89" t="s">
        <v>66</v>
      </c>
      <c r="M163" s="89" t="s">
        <v>63</v>
      </c>
      <c r="N163" s="89" t="s">
        <v>61</v>
      </c>
      <c r="O163" s="89" t="s">
        <v>62</v>
      </c>
      <c r="P163" s="89" t="s">
        <v>67</v>
      </c>
      <c r="Q163" s="89" t="s">
        <v>84</v>
      </c>
      <c r="R163" s="384" t="s">
        <v>225</v>
      </c>
    </row>
    <row r="164" spans="2:18" ht="12.75" customHeight="1" x14ac:dyDescent="0.25">
      <c r="D164" s="89" t="s">
        <v>72</v>
      </c>
      <c r="E164" s="371">
        <v>0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>
        <v>0</v>
      </c>
    </row>
    <row r="165" spans="2:18" ht="12.75" customHeight="1" x14ac:dyDescent="0.25">
      <c r="D165" t="s">
        <v>81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2:18" ht="12.75" customHeight="1" x14ac:dyDescent="0.25">
      <c r="C166" t="s">
        <v>332</v>
      </c>
      <c r="D166" s="89" t="s">
        <v>70</v>
      </c>
      <c r="E166" s="371">
        <v>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>
        <v>0</v>
      </c>
    </row>
    <row r="167" spans="2:18" s="739" customFormat="1" ht="12.75" customHeight="1" x14ac:dyDescent="0.25">
      <c r="B167" s="739" t="s">
        <v>85</v>
      </c>
      <c r="C167" s="739" t="s">
        <v>70</v>
      </c>
      <c r="D167" s="231"/>
      <c r="E167" s="740">
        <v>0</v>
      </c>
      <c r="F167" s="232">
        <v>0</v>
      </c>
      <c r="G167" s="232">
        <v>0</v>
      </c>
      <c r="H167" s="232">
        <v>0</v>
      </c>
      <c r="I167" s="232">
        <v>0</v>
      </c>
      <c r="J167" s="232">
        <v>0</v>
      </c>
      <c r="K167" s="232">
        <v>0</v>
      </c>
      <c r="L167" s="232">
        <v>0</v>
      </c>
      <c r="M167" s="232">
        <v>0</v>
      </c>
      <c r="N167" s="232">
        <v>0</v>
      </c>
      <c r="O167" s="232">
        <v>0</v>
      </c>
      <c r="P167" s="232">
        <v>0</v>
      </c>
      <c r="Q167" s="232">
        <v>0</v>
      </c>
      <c r="R167" s="739">
        <v>0</v>
      </c>
    </row>
    <row r="168" spans="2:18" ht="12.6" customHeight="1" x14ac:dyDescent="0.25">
      <c r="D168" t="s">
        <v>72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2:18" ht="12.75" customHeight="1" x14ac:dyDescent="0.25">
      <c r="D169" t="s">
        <v>81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2:18" ht="12.75" customHeight="1" x14ac:dyDescent="0.25">
      <c r="C170" t="s">
        <v>156</v>
      </c>
      <c r="D170" s="89" t="s">
        <v>70</v>
      </c>
      <c r="E170" s="371">
        <v>0</v>
      </c>
      <c r="F170" s="90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>
        <v>0</v>
      </c>
    </row>
    <row r="171" spans="2:18" s="656" customFormat="1" ht="12.75" customHeight="1" x14ac:dyDescent="0.25">
      <c r="B171" s="656" t="s">
        <v>155</v>
      </c>
      <c r="C171" s="656" t="s">
        <v>70</v>
      </c>
      <c r="E171" s="741">
        <v>0</v>
      </c>
      <c r="F171" s="656">
        <v>0</v>
      </c>
      <c r="G171" s="656">
        <v>0</v>
      </c>
      <c r="H171" s="656">
        <v>0</v>
      </c>
      <c r="I171" s="656">
        <v>0</v>
      </c>
      <c r="J171" s="656">
        <v>0</v>
      </c>
      <c r="K171" s="656">
        <v>0</v>
      </c>
      <c r="L171" s="656">
        <v>0</v>
      </c>
      <c r="M171" s="656">
        <v>0</v>
      </c>
      <c r="N171" s="656">
        <v>0</v>
      </c>
      <c r="O171" s="656">
        <v>0</v>
      </c>
      <c r="P171" s="656">
        <v>0</v>
      </c>
      <c r="Q171" s="656">
        <v>0</v>
      </c>
      <c r="R171" s="656">
        <v>0</v>
      </c>
    </row>
    <row r="172" spans="2:18" ht="12.75" customHeight="1" x14ac:dyDescent="0.25">
      <c r="D172" t="s">
        <v>72</v>
      </c>
      <c r="E172" s="14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2:18" ht="12.75" customHeight="1" x14ac:dyDescent="0.25">
      <c r="D173" t="s">
        <v>81</v>
      </c>
      <c r="E173" s="142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2:18" ht="12.75" customHeight="1" x14ac:dyDescent="0.25">
      <c r="C174" t="s">
        <v>82</v>
      </c>
      <c r="D174" t="s">
        <v>70</v>
      </c>
      <c r="E174" s="142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2:18" ht="12.75" customHeight="1" x14ac:dyDescent="0.25">
      <c r="D175" t="s">
        <v>72</v>
      </c>
      <c r="E175" s="142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2:18" ht="12.75" customHeight="1" x14ac:dyDescent="0.25">
      <c r="D176" t="s">
        <v>81</v>
      </c>
      <c r="E176" s="142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2.75" customHeight="1" x14ac:dyDescent="0.25">
      <c r="C177" t="s">
        <v>86</v>
      </c>
      <c r="D177" t="s">
        <v>70</v>
      </c>
      <c r="E177" s="142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ht="12.75" customHeight="1" x14ac:dyDescent="0.25">
      <c r="D178" t="s">
        <v>72</v>
      </c>
      <c r="E178" s="142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ht="12.75" customHeight="1" x14ac:dyDescent="0.25">
      <c r="D179" t="s">
        <v>81</v>
      </c>
      <c r="E179" s="142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2.75" customHeight="1" x14ac:dyDescent="0.25">
      <c r="A180" s="89"/>
      <c r="B180" s="89"/>
      <c r="C180" t="s">
        <v>87</v>
      </c>
      <c r="D180" t="s">
        <v>70</v>
      </c>
      <c r="E180" s="90">
        <v>0</v>
      </c>
      <c r="F180" s="90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>
        <v>0</v>
      </c>
    </row>
    <row r="181" spans="1:18" s="94" customFormat="1" ht="12.75" customHeight="1" x14ac:dyDescent="0.25">
      <c r="A181" s="101"/>
      <c r="B181" s="101" t="s">
        <v>119</v>
      </c>
      <c r="C181" s="94" t="s">
        <v>70</v>
      </c>
      <c r="E181" s="93">
        <v>0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  <c r="L181" s="93">
        <v>0</v>
      </c>
      <c r="M181" s="93">
        <v>0</v>
      </c>
      <c r="N181" s="93">
        <v>0</v>
      </c>
      <c r="O181" s="93">
        <v>0</v>
      </c>
      <c r="P181" s="93">
        <v>0</v>
      </c>
      <c r="Q181" s="93">
        <v>0</v>
      </c>
      <c r="R181" s="94">
        <v>0</v>
      </c>
    </row>
    <row r="182" spans="1:18" s="226" customFormat="1" ht="12.75" customHeight="1" x14ac:dyDescent="0.25">
      <c r="A182" s="226" t="s">
        <v>78</v>
      </c>
      <c r="B182" s="226" t="s">
        <v>70</v>
      </c>
      <c r="D182" s="98"/>
      <c r="E182" s="100">
        <v>0</v>
      </c>
      <c r="F182" s="100">
        <v>0</v>
      </c>
      <c r="G182" s="100">
        <v>0</v>
      </c>
      <c r="H182" s="100">
        <v>0</v>
      </c>
      <c r="I182" s="100">
        <v>0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0</v>
      </c>
      <c r="P182" s="100">
        <v>0</v>
      </c>
      <c r="Q182" s="100">
        <v>0</v>
      </c>
      <c r="R182" s="226">
        <v>0</v>
      </c>
    </row>
    <row r="183" spans="1:18" ht="12.75" customHeight="1" x14ac:dyDescent="0.25">
      <c r="C183" s="89"/>
      <c r="D183" s="89" t="s">
        <v>73</v>
      </c>
      <c r="E183" s="371">
        <v>0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>
        <v>0</v>
      </c>
    </row>
    <row r="184" spans="1:18" ht="12.75" customHeight="1" x14ac:dyDescent="0.25">
      <c r="C184" s="89" t="s">
        <v>156</v>
      </c>
      <c r="D184" s="89" t="s">
        <v>70</v>
      </c>
      <c r="E184" s="371">
        <v>0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>
        <v>0</v>
      </c>
    </row>
    <row r="185" spans="1:18" s="237" customFormat="1" ht="12.75" customHeight="1" x14ac:dyDescent="0.25">
      <c r="B185" s="237" t="s">
        <v>155</v>
      </c>
      <c r="C185" s="221" t="s">
        <v>70</v>
      </c>
      <c r="D185" s="221"/>
      <c r="E185" s="566">
        <v>0</v>
      </c>
      <c r="F185" s="222">
        <v>0</v>
      </c>
      <c r="G185" s="222">
        <v>0</v>
      </c>
      <c r="H185" s="222">
        <v>0</v>
      </c>
      <c r="I185" s="222">
        <v>0</v>
      </c>
      <c r="J185" s="222">
        <v>0</v>
      </c>
      <c r="K185" s="222">
        <v>0</v>
      </c>
      <c r="L185" s="222">
        <v>0</v>
      </c>
      <c r="M185" s="222">
        <v>0</v>
      </c>
      <c r="N185" s="222">
        <v>0</v>
      </c>
      <c r="O185" s="222">
        <v>0</v>
      </c>
      <c r="P185" s="222">
        <v>0</v>
      </c>
      <c r="Q185" s="222">
        <v>0</v>
      </c>
      <c r="R185" s="237">
        <v>0</v>
      </c>
    </row>
    <row r="186" spans="1:18" ht="12.75" customHeight="1" x14ac:dyDescent="0.25">
      <c r="C186" s="89"/>
      <c r="D186" s="89" t="s">
        <v>73</v>
      </c>
      <c r="E186" s="371">
        <v>0</v>
      </c>
      <c r="F186" s="90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>
        <v>0</v>
      </c>
    </row>
    <row r="187" spans="1:18" ht="12.75" customHeight="1" x14ac:dyDescent="0.25">
      <c r="C187" t="s">
        <v>82</v>
      </c>
      <c r="D187" t="s">
        <v>70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2.75" customHeight="1" x14ac:dyDescent="0.25">
      <c r="D188" t="s">
        <v>73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2.75" customHeight="1" x14ac:dyDescent="0.25">
      <c r="C189" t="s">
        <v>86</v>
      </c>
      <c r="D189" t="s">
        <v>70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2.75" customHeight="1" x14ac:dyDescent="0.25">
      <c r="D190" s="89" t="s">
        <v>73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0</v>
      </c>
      <c r="Q190" s="90">
        <v>0</v>
      </c>
      <c r="R190">
        <v>0</v>
      </c>
    </row>
    <row r="191" spans="1:18" ht="12.75" customHeight="1" x14ac:dyDescent="0.25">
      <c r="C191" t="s">
        <v>87</v>
      </c>
      <c r="D191" s="89" t="s">
        <v>70</v>
      </c>
      <c r="E191" s="90">
        <v>0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>
        <v>0</v>
      </c>
    </row>
    <row r="192" spans="1:18" s="94" customFormat="1" ht="12.75" customHeight="1" x14ac:dyDescent="0.25">
      <c r="B192" s="101" t="s">
        <v>119</v>
      </c>
      <c r="C192" s="101" t="s">
        <v>70</v>
      </c>
      <c r="E192" s="93">
        <v>0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4">
        <v>0</v>
      </c>
    </row>
    <row r="193" spans="1:18" s="226" customFormat="1" ht="12.75" customHeight="1" x14ac:dyDescent="0.25">
      <c r="A193" s="98" t="s">
        <v>79</v>
      </c>
      <c r="B193" s="98" t="s">
        <v>70</v>
      </c>
      <c r="E193" s="100">
        <v>0</v>
      </c>
      <c r="F193" s="100">
        <v>0</v>
      </c>
      <c r="G193" s="100">
        <v>0</v>
      </c>
      <c r="H193" s="100">
        <v>0</v>
      </c>
      <c r="I193" s="100">
        <v>0</v>
      </c>
      <c r="J193" s="100">
        <v>0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100">
        <v>0</v>
      </c>
      <c r="R193" s="226">
        <v>0</v>
      </c>
    </row>
    <row r="194" spans="1:18" ht="12.75" customHeight="1" x14ac:dyDescent="0.25">
      <c r="A194" s="89" t="s">
        <v>70</v>
      </c>
      <c r="E194" s="90">
        <v>0</v>
      </c>
      <c r="F194" s="90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>
        <v>0</v>
      </c>
    </row>
    <row r="195" spans="1:18" ht="12.75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8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8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8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8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8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8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8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8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8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8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8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8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8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7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7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7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7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7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7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7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7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7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7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7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7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7" ht="12.75" hidden="1" customHeight="1" x14ac:dyDescent="0.25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7" ht="12.75" hidden="1" customHeight="1" x14ac:dyDescent="0.25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7" ht="12.75" hidden="1" customHeight="1" x14ac:dyDescent="0.25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7" ht="12.75" hidden="1" customHeight="1" x14ac:dyDescent="0.25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8" ht="12.75" hidden="1" customHeight="1" x14ac:dyDescent="0.25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8" ht="12.75" customHeight="1" x14ac:dyDescent="0.25">
      <c r="C226" s="89"/>
      <c r="D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spans="1:18" ht="12.75" hidden="1" customHeight="1" x14ac:dyDescent="0.25">
      <c r="D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spans="1:18" ht="12.75" hidden="1" customHeight="1" x14ac:dyDescent="0.25">
      <c r="C228" s="89"/>
      <c r="D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spans="1:18" ht="12.75" hidden="1" customHeight="1" x14ac:dyDescent="0.25">
      <c r="D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1:18" ht="12.75" hidden="1" customHeight="1" x14ac:dyDescent="0.25">
      <c r="C230" s="89"/>
      <c r="D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</row>
    <row r="231" spans="1:18" ht="12.75" hidden="1" customHeight="1" x14ac:dyDescent="0.25">
      <c r="B231" s="89"/>
      <c r="C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</row>
    <row r="232" spans="1:18" ht="12.75" hidden="1" customHeight="1" x14ac:dyDescent="0.25">
      <c r="A232" s="89"/>
      <c r="B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customHeight="1" x14ac:dyDescent="0.25">
      <c r="B262" s="777" t="s">
        <v>2</v>
      </c>
      <c r="C262" s="775" t="s">
        <v>132</v>
      </c>
      <c r="D262" s="98" t="s">
        <v>70</v>
      </c>
      <c r="E262" s="100">
        <f>E182+E193-K182</f>
        <v>0</v>
      </c>
      <c r="F262" s="100">
        <f>F182</f>
        <v>0</v>
      </c>
      <c r="G262" s="100">
        <f t="shared" ref="G262:R262" si="7">G182</f>
        <v>0</v>
      </c>
      <c r="H262" s="100">
        <f t="shared" si="7"/>
        <v>0</v>
      </c>
      <c r="I262" s="100">
        <f t="shared" si="7"/>
        <v>0</v>
      </c>
      <c r="J262" s="100">
        <f t="shared" si="7"/>
        <v>0</v>
      </c>
      <c r="K262" s="100">
        <f t="shared" si="7"/>
        <v>0</v>
      </c>
      <c r="L262" s="100">
        <f t="shared" si="7"/>
        <v>0</v>
      </c>
      <c r="M262" s="100">
        <f t="shared" si="7"/>
        <v>0</v>
      </c>
      <c r="N262" s="100">
        <f t="shared" si="7"/>
        <v>0</v>
      </c>
      <c r="O262" s="100">
        <f t="shared" si="7"/>
        <v>0</v>
      </c>
      <c r="P262" s="100">
        <f t="shared" si="7"/>
        <v>0</v>
      </c>
      <c r="Q262" s="100">
        <f t="shared" si="7"/>
        <v>0</v>
      </c>
      <c r="R262" s="100">
        <f t="shared" si="7"/>
        <v>0</v>
      </c>
    </row>
    <row r="263" spans="1:18" ht="12.75" customHeight="1" x14ac:dyDescent="0.25">
      <c r="B263" s="777"/>
      <c r="C263" s="775"/>
      <c r="D263" s="98" t="s">
        <v>73</v>
      </c>
      <c r="E263" s="100">
        <f>E193</f>
        <v>0</v>
      </c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customHeight="1" x14ac:dyDescent="0.25">
      <c r="A264" s="89"/>
      <c r="B264" s="97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77" t="s">
        <v>160</v>
      </c>
      <c r="C265" s="775" t="s">
        <v>132</v>
      </c>
      <c r="D265" s="223" t="s">
        <v>70</v>
      </c>
      <c r="E265" s="225">
        <v>0</v>
      </c>
      <c r="F265" s="225">
        <v>0</v>
      </c>
      <c r="G265" s="225">
        <v>0</v>
      </c>
      <c r="H265" s="225">
        <v>0</v>
      </c>
      <c r="I265" s="225">
        <v>0</v>
      </c>
      <c r="J265" s="225">
        <v>0</v>
      </c>
      <c r="K265" s="225">
        <v>0</v>
      </c>
      <c r="L265" s="225">
        <v>0</v>
      </c>
      <c r="M265" s="225">
        <v>0</v>
      </c>
      <c r="N265" s="225">
        <v>0</v>
      </c>
      <c r="O265" s="225">
        <v>0</v>
      </c>
      <c r="P265" s="225">
        <v>0</v>
      </c>
      <c r="Q265" s="225">
        <v>0</v>
      </c>
      <c r="R265" s="225">
        <v>0</v>
      </c>
    </row>
    <row r="266" spans="1:18" ht="12.75" customHeight="1" x14ac:dyDescent="0.25">
      <c r="B266" s="777"/>
      <c r="C266" s="775"/>
      <c r="D266" s="223" t="s">
        <v>73</v>
      </c>
      <c r="E266" s="225">
        <v>0</v>
      </c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customHeight="1" x14ac:dyDescent="0.25">
      <c r="A267" s="89"/>
      <c r="B267" s="97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77" t="s">
        <v>155</v>
      </c>
      <c r="C268" s="775" t="s">
        <v>132</v>
      </c>
      <c r="D268" s="221" t="s">
        <v>70</v>
      </c>
      <c r="E268" s="222">
        <f>E185+E171+E167-K171-K167</f>
        <v>0</v>
      </c>
      <c r="F268" s="222">
        <f>F167+F171</f>
        <v>0</v>
      </c>
      <c r="G268" s="222">
        <f t="shared" ref="G268:R268" si="8">G167+G171</f>
        <v>0</v>
      </c>
      <c r="H268" s="222">
        <f t="shared" si="8"/>
        <v>0</v>
      </c>
      <c r="I268" s="222">
        <f t="shared" si="8"/>
        <v>0</v>
      </c>
      <c r="J268" s="222">
        <f t="shared" si="8"/>
        <v>0</v>
      </c>
      <c r="K268" s="222">
        <f t="shared" si="8"/>
        <v>0</v>
      </c>
      <c r="L268" s="222">
        <f t="shared" si="8"/>
        <v>0</v>
      </c>
      <c r="M268" s="222">
        <f t="shared" si="8"/>
        <v>0</v>
      </c>
      <c r="N268" s="222">
        <f t="shared" si="8"/>
        <v>0</v>
      </c>
      <c r="O268" s="222">
        <f t="shared" si="8"/>
        <v>0</v>
      </c>
      <c r="P268" s="222">
        <f t="shared" si="8"/>
        <v>0</v>
      </c>
      <c r="Q268" s="222">
        <f t="shared" si="8"/>
        <v>0</v>
      </c>
      <c r="R268" s="222">
        <f t="shared" si="8"/>
        <v>0</v>
      </c>
    </row>
    <row r="269" spans="1:18" ht="12.75" customHeight="1" x14ac:dyDescent="0.25">
      <c r="B269" s="777"/>
      <c r="C269" s="775"/>
      <c r="D269" s="221" t="s">
        <v>73</v>
      </c>
      <c r="E269" s="222">
        <f>E185</f>
        <v>0</v>
      </c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customHeight="1" x14ac:dyDescent="0.25">
      <c r="B270" s="719"/>
      <c r="C270" s="220"/>
      <c r="D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customHeight="1" x14ac:dyDescent="0.25">
      <c r="B271" s="778" t="s">
        <v>326</v>
      </c>
      <c r="C271" s="775" t="s">
        <v>132</v>
      </c>
      <c r="D271" s="373" t="s">
        <v>70</v>
      </c>
      <c r="E271" s="374">
        <v>0</v>
      </c>
      <c r="F271" s="374">
        <v>0</v>
      </c>
      <c r="G271" s="374">
        <v>0</v>
      </c>
      <c r="H271" s="374">
        <v>0</v>
      </c>
      <c r="I271" s="374">
        <v>0</v>
      </c>
      <c r="J271" s="374">
        <v>0</v>
      </c>
      <c r="K271" s="374">
        <v>0</v>
      </c>
      <c r="L271" s="374">
        <v>0</v>
      </c>
      <c r="M271" s="374">
        <v>0</v>
      </c>
      <c r="N271" s="374">
        <v>0</v>
      </c>
      <c r="O271" s="374">
        <v>0</v>
      </c>
      <c r="P271" s="374">
        <v>0</v>
      </c>
      <c r="Q271" s="374">
        <v>0</v>
      </c>
      <c r="R271" s="374">
        <v>0</v>
      </c>
    </row>
    <row r="272" spans="1:18" ht="12.75" customHeight="1" x14ac:dyDescent="0.25">
      <c r="B272" s="778"/>
      <c r="C272" s="775"/>
      <c r="D272" s="373" t="s">
        <v>73</v>
      </c>
      <c r="E272" s="374">
        <v>0</v>
      </c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18" ht="12.75" customHeight="1" x14ac:dyDescent="0.25">
      <c r="B273" s="719"/>
      <c r="C273" s="220"/>
      <c r="D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</row>
    <row r="274" spans="1:18" ht="12.75" customHeight="1" x14ac:dyDescent="0.25">
      <c r="B274" s="777" t="s">
        <v>119</v>
      </c>
      <c r="C274" s="775" t="s">
        <v>132</v>
      </c>
      <c r="D274" s="101" t="s">
        <v>70</v>
      </c>
      <c r="E274" s="93">
        <f>E181+E192-K181</f>
        <v>0</v>
      </c>
      <c r="F274" s="93">
        <f>F181</f>
        <v>0</v>
      </c>
      <c r="G274" s="93">
        <f t="shared" ref="G274:R274" si="9">G181</f>
        <v>0</v>
      </c>
      <c r="H274" s="93">
        <f t="shared" si="9"/>
        <v>0</v>
      </c>
      <c r="I274" s="93">
        <f t="shared" si="9"/>
        <v>0</v>
      </c>
      <c r="J274" s="93">
        <f t="shared" si="9"/>
        <v>0</v>
      </c>
      <c r="K274" s="93">
        <f t="shared" si="9"/>
        <v>0</v>
      </c>
      <c r="L274" s="93">
        <f t="shared" si="9"/>
        <v>0</v>
      </c>
      <c r="M274" s="93">
        <f t="shared" si="9"/>
        <v>0</v>
      </c>
      <c r="N274" s="93">
        <f t="shared" si="9"/>
        <v>0</v>
      </c>
      <c r="O274" s="93">
        <f t="shared" si="9"/>
        <v>0</v>
      </c>
      <c r="P274" s="93">
        <f t="shared" si="9"/>
        <v>0</v>
      </c>
      <c r="Q274" s="93">
        <f t="shared" si="9"/>
        <v>0</v>
      </c>
      <c r="R274" s="93">
        <f t="shared" si="9"/>
        <v>0</v>
      </c>
    </row>
    <row r="275" spans="1:18" ht="12.75" customHeight="1" x14ac:dyDescent="0.25">
      <c r="B275" s="777"/>
      <c r="C275" s="775"/>
      <c r="D275" s="101" t="s">
        <v>73</v>
      </c>
      <c r="E275" s="93">
        <f>E192</f>
        <v>0</v>
      </c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spans="1:18" ht="12.75" customHeight="1" x14ac:dyDescent="0.25">
      <c r="A276" s="89"/>
      <c r="B276" s="97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</row>
    <row r="277" spans="1:18" ht="12.75" customHeight="1" x14ac:dyDescent="0.25">
      <c r="B277" s="776" t="s">
        <v>161</v>
      </c>
      <c r="C277" s="775" t="s">
        <v>132</v>
      </c>
      <c r="D277" s="231" t="s">
        <v>70</v>
      </c>
      <c r="E277" s="232">
        <v>0</v>
      </c>
      <c r="F277" s="232">
        <v>0</v>
      </c>
      <c r="G277" s="232">
        <v>0</v>
      </c>
      <c r="H277" s="232">
        <v>0</v>
      </c>
      <c r="I277" s="232">
        <v>0</v>
      </c>
      <c r="J277" s="232">
        <v>0</v>
      </c>
      <c r="K277" s="232">
        <v>0</v>
      </c>
      <c r="L277" s="232">
        <v>0</v>
      </c>
      <c r="M277" s="232">
        <v>0</v>
      </c>
      <c r="N277" s="232">
        <v>0</v>
      </c>
      <c r="O277" s="232">
        <v>0</v>
      </c>
      <c r="P277" s="232">
        <v>0</v>
      </c>
      <c r="Q277" s="232">
        <v>0</v>
      </c>
      <c r="R277" s="232">
        <v>0</v>
      </c>
    </row>
    <row r="278" spans="1:18" ht="12.75" customHeight="1" x14ac:dyDescent="0.25">
      <c r="B278" s="776"/>
      <c r="C278" s="775"/>
      <c r="D278" s="231" t="s">
        <v>73</v>
      </c>
      <c r="E278" s="232">
        <v>0</v>
      </c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</row>
    <row r="279" spans="1:18" s="238" customFormat="1" x14ac:dyDescent="0.25"/>
    <row r="280" spans="1:18" ht="15" customHeight="1" x14ac:dyDescent="0.25">
      <c r="B280" s="97" t="s">
        <v>88</v>
      </c>
    </row>
    <row r="281" spans="1:18" ht="11.4" customHeight="1" x14ac:dyDescent="0.25">
      <c r="E281" s="89" t="s">
        <v>70</v>
      </c>
      <c r="F281" s="89" t="s">
        <v>64</v>
      </c>
      <c r="G281" s="89" t="s">
        <v>65</v>
      </c>
      <c r="H281" s="219" t="s">
        <v>164</v>
      </c>
      <c r="I281" s="89" t="s">
        <v>69</v>
      </c>
      <c r="J281" s="89" t="s">
        <v>68</v>
      </c>
      <c r="K281" s="89" t="s">
        <v>83</v>
      </c>
      <c r="L281" s="89" t="s">
        <v>66</v>
      </c>
      <c r="M281" s="89" t="s">
        <v>63</v>
      </c>
      <c r="N281" s="89" t="s">
        <v>61</v>
      </c>
      <c r="O281" s="89" t="s">
        <v>62</v>
      </c>
      <c r="P281" s="89" t="s">
        <v>67</v>
      </c>
      <c r="Q281" s="89" t="s">
        <v>84</v>
      </c>
      <c r="R281" s="384" t="s">
        <v>225</v>
      </c>
    </row>
    <row r="282" spans="1:18" ht="11.4" customHeight="1" x14ac:dyDescent="0.25">
      <c r="D282" t="s">
        <v>72</v>
      </c>
      <c r="E282" s="89">
        <v>0</v>
      </c>
      <c r="F282" s="89">
        <v>0</v>
      </c>
      <c r="G282" s="89">
        <v>0</v>
      </c>
      <c r="H282" s="384">
        <v>0</v>
      </c>
      <c r="I282" s="89">
        <v>0</v>
      </c>
      <c r="J282" s="89">
        <v>0</v>
      </c>
      <c r="K282" s="89">
        <v>0</v>
      </c>
      <c r="L282" s="89">
        <v>0</v>
      </c>
      <c r="M282" s="89">
        <v>0</v>
      </c>
      <c r="N282" s="89">
        <v>0</v>
      </c>
      <c r="O282" s="89">
        <v>0</v>
      </c>
      <c r="P282" s="89">
        <v>0</v>
      </c>
      <c r="Q282" s="89">
        <v>0</v>
      </c>
      <c r="R282" s="384">
        <v>0</v>
      </c>
    </row>
    <row r="283" spans="1:18" ht="12.75" customHeight="1" x14ac:dyDescent="0.25">
      <c r="D283" t="s">
        <v>81</v>
      </c>
      <c r="E283" s="384">
        <v>0</v>
      </c>
      <c r="F283" s="89">
        <v>0</v>
      </c>
      <c r="G283" s="89">
        <v>0</v>
      </c>
      <c r="H283" s="384">
        <v>0</v>
      </c>
      <c r="I283" s="89">
        <v>0</v>
      </c>
      <c r="J283" s="89">
        <v>0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0</v>
      </c>
      <c r="Q283" s="89">
        <v>0</v>
      </c>
      <c r="R283" s="384">
        <v>0</v>
      </c>
    </row>
    <row r="284" spans="1:18" ht="11.4" customHeight="1" x14ac:dyDescent="0.25">
      <c r="C284" t="s">
        <v>332</v>
      </c>
      <c r="D284" t="s">
        <v>70</v>
      </c>
      <c r="E284" s="384">
        <v>0</v>
      </c>
      <c r="F284" s="89">
        <v>0</v>
      </c>
      <c r="G284" s="89">
        <v>0</v>
      </c>
      <c r="H284" s="384">
        <v>0</v>
      </c>
      <c r="I284" s="89">
        <v>0</v>
      </c>
      <c r="J284" s="89">
        <v>0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0</v>
      </c>
      <c r="Q284" s="89">
        <v>0</v>
      </c>
      <c r="R284" s="384">
        <v>0</v>
      </c>
    </row>
    <row r="285" spans="1:18" s="739" customFormat="1" ht="11.4" customHeight="1" x14ac:dyDescent="0.25">
      <c r="B285" s="739" t="s">
        <v>85</v>
      </c>
      <c r="C285" s="739" t="s">
        <v>70</v>
      </c>
      <c r="E285" s="769">
        <v>0</v>
      </c>
      <c r="F285" s="231">
        <v>0</v>
      </c>
      <c r="G285" s="231">
        <v>0</v>
      </c>
      <c r="H285" s="769">
        <v>0</v>
      </c>
      <c r="I285" s="231">
        <v>0</v>
      </c>
      <c r="J285" s="231">
        <v>0</v>
      </c>
      <c r="K285" s="231">
        <v>0</v>
      </c>
      <c r="L285" s="231">
        <v>0</v>
      </c>
      <c r="M285" s="231">
        <v>0</v>
      </c>
      <c r="N285" s="231">
        <v>0</v>
      </c>
      <c r="O285" s="231">
        <v>0</v>
      </c>
      <c r="P285" s="231">
        <v>0</v>
      </c>
      <c r="Q285" s="231">
        <v>0</v>
      </c>
      <c r="R285" s="769">
        <v>0</v>
      </c>
    </row>
    <row r="286" spans="1:18" ht="11.4" customHeight="1" x14ac:dyDescent="0.25">
      <c r="D286" t="s">
        <v>72</v>
      </c>
      <c r="E286" s="384">
        <v>0</v>
      </c>
      <c r="F286" s="89">
        <v>0</v>
      </c>
      <c r="G286" s="89">
        <v>0</v>
      </c>
      <c r="H286" s="384">
        <v>0</v>
      </c>
      <c r="I286" s="89">
        <v>0</v>
      </c>
      <c r="J286" s="89">
        <v>0</v>
      </c>
      <c r="K286" s="89">
        <v>0</v>
      </c>
      <c r="L286" s="89">
        <v>0</v>
      </c>
      <c r="M286" s="89">
        <v>0</v>
      </c>
      <c r="N286" s="89">
        <v>0</v>
      </c>
      <c r="O286" s="89">
        <v>0</v>
      </c>
      <c r="P286" s="89">
        <v>0</v>
      </c>
      <c r="Q286" s="89">
        <v>0</v>
      </c>
      <c r="R286" s="384">
        <v>0</v>
      </c>
    </row>
    <row r="287" spans="1:18" ht="12.75" customHeight="1" x14ac:dyDescent="0.25">
      <c r="D287" t="s">
        <v>81</v>
      </c>
      <c r="E287" s="384">
        <v>0</v>
      </c>
      <c r="F287" s="89">
        <v>0</v>
      </c>
      <c r="G287" s="89">
        <v>0</v>
      </c>
      <c r="H287" s="384">
        <v>0</v>
      </c>
      <c r="I287" s="89">
        <v>0</v>
      </c>
      <c r="J287" s="89">
        <v>0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0</v>
      </c>
      <c r="Q287" s="89">
        <v>0</v>
      </c>
      <c r="R287" s="384">
        <v>0</v>
      </c>
    </row>
    <row r="288" spans="1:18" ht="12.75" customHeight="1" x14ac:dyDescent="0.25">
      <c r="C288" t="s">
        <v>156</v>
      </c>
      <c r="D288" t="s">
        <v>70</v>
      </c>
      <c r="E288" s="384">
        <v>0</v>
      </c>
      <c r="F288" s="89">
        <v>0</v>
      </c>
      <c r="G288" s="89">
        <v>0</v>
      </c>
      <c r="H288" s="384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0</v>
      </c>
      <c r="O288" s="89">
        <v>0</v>
      </c>
      <c r="P288" s="89">
        <v>0</v>
      </c>
      <c r="Q288" s="89">
        <v>0</v>
      </c>
      <c r="R288">
        <v>0</v>
      </c>
    </row>
    <row r="289" spans="2:18" s="286" customFormat="1" ht="12.75" customHeight="1" x14ac:dyDescent="0.25">
      <c r="B289" s="286" t="s">
        <v>155</v>
      </c>
      <c r="C289" s="286" t="s">
        <v>70</v>
      </c>
      <c r="E289" s="753">
        <v>0</v>
      </c>
      <c r="F289" s="229">
        <v>0</v>
      </c>
      <c r="G289" s="229">
        <v>0</v>
      </c>
      <c r="H289" s="753">
        <v>0</v>
      </c>
      <c r="I289" s="229">
        <v>0</v>
      </c>
      <c r="J289" s="229">
        <v>0</v>
      </c>
      <c r="K289" s="229">
        <v>0</v>
      </c>
      <c r="L289" s="229">
        <v>0</v>
      </c>
      <c r="M289" s="229">
        <v>0</v>
      </c>
      <c r="N289" s="229">
        <v>0</v>
      </c>
      <c r="O289" s="229">
        <v>0</v>
      </c>
      <c r="P289" s="229">
        <v>0</v>
      </c>
      <c r="Q289" s="229">
        <v>0</v>
      </c>
      <c r="R289" s="286">
        <v>0</v>
      </c>
    </row>
    <row r="290" spans="2:18" ht="12.75" customHeight="1" x14ac:dyDescent="0.25">
      <c r="D290" t="s">
        <v>72</v>
      </c>
      <c r="E290" s="384">
        <v>0</v>
      </c>
      <c r="F290" s="89">
        <v>0</v>
      </c>
      <c r="G290" s="89">
        <v>0</v>
      </c>
      <c r="H290" s="384">
        <v>0</v>
      </c>
      <c r="I290" s="89">
        <v>0</v>
      </c>
      <c r="J290" s="89">
        <v>0</v>
      </c>
      <c r="K290" s="89">
        <v>0</v>
      </c>
      <c r="L290" s="89">
        <v>0</v>
      </c>
      <c r="M290" s="89">
        <v>0</v>
      </c>
      <c r="N290" s="89">
        <v>0</v>
      </c>
      <c r="O290" s="89">
        <v>0</v>
      </c>
      <c r="P290" s="89">
        <v>0</v>
      </c>
      <c r="Q290" s="89">
        <v>0</v>
      </c>
      <c r="R290">
        <v>0</v>
      </c>
    </row>
    <row r="291" spans="2:18" ht="12.75" customHeight="1" x14ac:dyDescent="0.25">
      <c r="D291" t="s">
        <v>81</v>
      </c>
      <c r="E291" s="384">
        <v>0</v>
      </c>
      <c r="F291" s="89">
        <v>0</v>
      </c>
      <c r="G291" s="89">
        <v>0</v>
      </c>
      <c r="H291" s="384">
        <v>0</v>
      </c>
      <c r="I291" s="89">
        <v>0</v>
      </c>
      <c r="J291" s="89">
        <v>0</v>
      </c>
      <c r="K291" s="89">
        <v>0</v>
      </c>
      <c r="L291" s="89">
        <v>0</v>
      </c>
      <c r="M291" s="89">
        <v>0</v>
      </c>
      <c r="N291" s="89">
        <v>0</v>
      </c>
      <c r="O291" s="89">
        <v>0</v>
      </c>
      <c r="P291" s="89">
        <v>0</v>
      </c>
      <c r="Q291" s="89">
        <v>0</v>
      </c>
      <c r="R291">
        <v>0</v>
      </c>
    </row>
    <row r="292" spans="2:18" ht="12.75" customHeight="1" x14ac:dyDescent="0.25">
      <c r="C292" t="s">
        <v>115</v>
      </c>
      <c r="D292" t="s">
        <v>70</v>
      </c>
      <c r="E292" s="384">
        <v>0</v>
      </c>
      <c r="F292" s="89">
        <v>0</v>
      </c>
      <c r="G292" s="89">
        <v>0</v>
      </c>
      <c r="H292" s="384">
        <v>0</v>
      </c>
      <c r="I292" s="89">
        <v>0</v>
      </c>
      <c r="J292" s="89">
        <v>0</v>
      </c>
      <c r="K292" s="89">
        <v>0</v>
      </c>
      <c r="L292" s="89">
        <v>0</v>
      </c>
      <c r="M292" s="89">
        <v>0</v>
      </c>
      <c r="N292" s="89">
        <v>0</v>
      </c>
      <c r="O292" s="89">
        <v>0</v>
      </c>
      <c r="P292" s="89">
        <v>0</v>
      </c>
      <c r="Q292" s="89">
        <v>0</v>
      </c>
      <c r="R292">
        <v>0</v>
      </c>
    </row>
    <row r="293" spans="2:18" ht="12.75" customHeight="1" x14ac:dyDescent="0.25">
      <c r="D293" t="s">
        <v>72</v>
      </c>
      <c r="E293" s="384">
        <v>0</v>
      </c>
      <c r="F293" s="89">
        <v>0</v>
      </c>
      <c r="G293" s="89">
        <v>0</v>
      </c>
      <c r="H293" s="384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>
        <v>0</v>
      </c>
    </row>
    <row r="294" spans="2:18" ht="12.75" customHeight="1" x14ac:dyDescent="0.25">
      <c r="C294" t="s">
        <v>116</v>
      </c>
      <c r="D294" t="s">
        <v>70</v>
      </c>
      <c r="E294" s="384">
        <v>0</v>
      </c>
      <c r="F294" s="89">
        <v>0</v>
      </c>
      <c r="G294" s="89">
        <v>0</v>
      </c>
      <c r="H294" s="384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>
        <v>0</v>
      </c>
    </row>
    <row r="295" spans="2:18" ht="12.75" customHeight="1" x14ac:dyDescent="0.25">
      <c r="B295" s="89"/>
      <c r="C295" s="89"/>
      <c r="D295" t="s">
        <v>72</v>
      </c>
      <c r="E295" s="371">
        <v>0</v>
      </c>
      <c r="F295" s="90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>
        <v>0</v>
      </c>
    </row>
    <row r="296" spans="2:18" ht="12.75" customHeight="1" x14ac:dyDescent="0.25">
      <c r="B296" s="89"/>
      <c r="C296" s="89"/>
      <c r="D296" t="s">
        <v>81</v>
      </c>
      <c r="E296" s="371">
        <v>0</v>
      </c>
      <c r="F296" s="90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>
        <v>0</v>
      </c>
    </row>
    <row r="297" spans="2:18" ht="12.75" customHeight="1" x14ac:dyDescent="0.25">
      <c r="B297" s="89"/>
      <c r="C297" s="89" t="s">
        <v>118</v>
      </c>
      <c r="D297" t="s">
        <v>70</v>
      </c>
      <c r="E297" s="371">
        <v>0</v>
      </c>
      <c r="F297" s="90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>
        <v>0</v>
      </c>
    </row>
    <row r="298" spans="2:18" s="224" customFormat="1" ht="12.75" customHeight="1" x14ac:dyDescent="0.25">
      <c r="B298" s="224" t="s">
        <v>120</v>
      </c>
      <c r="C298" s="223" t="s">
        <v>70</v>
      </c>
      <c r="D298" s="223"/>
      <c r="E298" s="225">
        <v>0</v>
      </c>
      <c r="F298" s="225">
        <v>0</v>
      </c>
      <c r="G298" s="225">
        <v>0</v>
      </c>
      <c r="H298" s="225">
        <v>0</v>
      </c>
      <c r="I298" s="225">
        <v>0</v>
      </c>
      <c r="J298" s="225">
        <v>0</v>
      </c>
      <c r="K298" s="225">
        <v>0</v>
      </c>
      <c r="L298" s="225">
        <v>0</v>
      </c>
      <c r="M298" s="225">
        <v>0</v>
      </c>
      <c r="N298" s="225">
        <v>0</v>
      </c>
      <c r="O298" s="225">
        <v>0</v>
      </c>
      <c r="P298" s="225">
        <v>0</v>
      </c>
      <c r="Q298" s="225">
        <v>0</v>
      </c>
      <c r="R298" s="224">
        <v>0</v>
      </c>
    </row>
    <row r="299" spans="2:18" ht="12.75" customHeight="1" x14ac:dyDescent="0.25">
      <c r="C299" s="89"/>
      <c r="D299" s="89" t="s">
        <v>72</v>
      </c>
      <c r="E299" s="371">
        <v>0</v>
      </c>
      <c r="F299" s="90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>
        <v>0</v>
      </c>
    </row>
    <row r="300" spans="2:18" ht="12.75" customHeight="1" x14ac:dyDescent="0.25">
      <c r="C300" s="89"/>
      <c r="D300" s="89" t="s">
        <v>81</v>
      </c>
      <c r="E300" s="371">
        <v>0</v>
      </c>
      <c r="F300" s="90">
        <v>0</v>
      </c>
      <c r="G300" s="90">
        <v>0</v>
      </c>
      <c r="H300" s="90">
        <v>0</v>
      </c>
      <c r="I300" s="90">
        <v>0</v>
      </c>
      <c r="J300" s="90">
        <v>0</v>
      </c>
      <c r="K300" s="90">
        <v>0</v>
      </c>
      <c r="L300" s="90">
        <v>0</v>
      </c>
      <c r="M300" s="90">
        <v>0</v>
      </c>
      <c r="N300" s="90">
        <v>0</v>
      </c>
      <c r="O300" s="90">
        <v>0</v>
      </c>
      <c r="P300" s="90">
        <v>0</v>
      </c>
      <c r="Q300" s="90">
        <v>0</v>
      </c>
      <c r="R300">
        <v>0</v>
      </c>
    </row>
    <row r="301" spans="2:18" ht="12.75" customHeight="1" x14ac:dyDescent="0.25">
      <c r="C301" s="89" t="s">
        <v>82</v>
      </c>
      <c r="D301" s="89" t="s">
        <v>70</v>
      </c>
      <c r="E301" s="371">
        <v>0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>
        <v>0</v>
      </c>
    </row>
    <row r="302" spans="2:18" ht="12.75" customHeight="1" x14ac:dyDescent="0.25">
      <c r="C302" s="89"/>
      <c r="D302" s="89" t="s">
        <v>72</v>
      </c>
      <c r="E302" s="371">
        <v>0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>
        <v>0</v>
      </c>
    </row>
    <row r="303" spans="2:18" ht="12.75" customHeight="1" x14ac:dyDescent="0.25">
      <c r="C303" s="89"/>
      <c r="D303" s="89" t="s">
        <v>81</v>
      </c>
      <c r="E303" s="371">
        <v>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>
        <v>0</v>
      </c>
    </row>
    <row r="304" spans="2:18" ht="12.75" customHeight="1" x14ac:dyDescent="0.25">
      <c r="C304" s="89" t="s">
        <v>86</v>
      </c>
      <c r="D304" s="89" t="s">
        <v>70</v>
      </c>
      <c r="E304" s="371">
        <v>0</v>
      </c>
      <c r="F304" s="90">
        <v>0</v>
      </c>
      <c r="G304" s="90">
        <v>0</v>
      </c>
      <c r="H304" s="90">
        <v>0</v>
      </c>
      <c r="I304" s="90">
        <v>0</v>
      </c>
      <c r="J304" s="90">
        <v>0</v>
      </c>
      <c r="K304" s="90">
        <v>0</v>
      </c>
      <c r="L304" s="90">
        <v>0</v>
      </c>
      <c r="M304" s="90">
        <v>0</v>
      </c>
      <c r="N304" s="90">
        <v>0</v>
      </c>
      <c r="O304" s="90">
        <v>0</v>
      </c>
      <c r="P304" s="90">
        <v>0</v>
      </c>
      <c r="Q304" s="90">
        <v>0</v>
      </c>
      <c r="R304">
        <v>0</v>
      </c>
    </row>
    <row r="305" spans="1:18" ht="12.75" customHeight="1" x14ac:dyDescent="0.25">
      <c r="C305" s="89"/>
      <c r="D305" s="89" t="s">
        <v>72</v>
      </c>
      <c r="E305" s="371">
        <v>0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0</v>
      </c>
      <c r="R305">
        <v>0</v>
      </c>
    </row>
    <row r="306" spans="1:18" ht="12.75" customHeight="1" x14ac:dyDescent="0.25">
      <c r="C306" s="89"/>
      <c r="D306" s="89" t="s">
        <v>81</v>
      </c>
      <c r="E306" s="371">
        <v>0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0</v>
      </c>
      <c r="R306">
        <v>0</v>
      </c>
    </row>
    <row r="307" spans="1:18" ht="12.75" customHeight="1" x14ac:dyDescent="0.25">
      <c r="A307" s="89"/>
      <c r="B307" s="89"/>
      <c r="C307" t="s">
        <v>87</v>
      </c>
      <c r="D307" t="s">
        <v>70</v>
      </c>
      <c r="E307" s="90">
        <v>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0</v>
      </c>
      <c r="R307">
        <v>0</v>
      </c>
    </row>
    <row r="308" spans="1:18" s="94" customFormat="1" ht="12.75" customHeight="1" x14ac:dyDescent="0.25">
      <c r="B308" s="101" t="s">
        <v>119</v>
      </c>
      <c r="C308" s="101" t="s">
        <v>70</v>
      </c>
      <c r="E308" s="93">
        <v>0</v>
      </c>
      <c r="F308" s="93">
        <v>0</v>
      </c>
      <c r="G308" s="93">
        <v>0</v>
      </c>
      <c r="H308" s="93">
        <v>0</v>
      </c>
      <c r="I308" s="93">
        <v>0</v>
      </c>
      <c r="J308" s="93">
        <v>0</v>
      </c>
      <c r="K308" s="93">
        <v>0</v>
      </c>
      <c r="L308" s="93">
        <v>0</v>
      </c>
      <c r="M308" s="93">
        <v>0</v>
      </c>
      <c r="N308" s="93">
        <v>0</v>
      </c>
      <c r="O308" s="93">
        <v>0</v>
      </c>
      <c r="P308" s="93">
        <v>0</v>
      </c>
      <c r="Q308" s="93">
        <v>0</v>
      </c>
      <c r="R308" s="94">
        <v>0</v>
      </c>
    </row>
    <row r="309" spans="1:18" s="226" customFormat="1" ht="12.75" customHeight="1" x14ac:dyDescent="0.25">
      <c r="A309" s="98" t="s">
        <v>78</v>
      </c>
      <c r="B309" s="98" t="s">
        <v>70</v>
      </c>
      <c r="E309" s="100">
        <v>0</v>
      </c>
      <c r="F309" s="100">
        <v>0</v>
      </c>
      <c r="G309" s="100">
        <v>0</v>
      </c>
      <c r="H309" s="100">
        <v>0</v>
      </c>
      <c r="I309" s="100">
        <v>0</v>
      </c>
      <c r="J309" s="100">
        <v>0</v>
      </c>
      <c r="K309" s="100">
        <v>0</v>
      </c>
      <c r="L309" s="100">
        <v>0</v>
      </c>
      <c r="M309" s="100">
        <v>0</v>
      </c>
      <c r="N309" s="100">
        <v>0</v>
      </c>
      <c r="O309" s="100">
        <v>0</v>
      </c>
      <c r="P309" s="100">
        <v>0</v>
      </c>
      <c r="Q309" s="100">
        <v>0</v>
      </c>
      <c r="R309" s="226">
        <v>0</v>
      </c>
    </row>
    <row r="310" spans="1:18" ht="12.75" customHeight="1" x14ac:dyDescent="0.25">
      <c r="B310" s="89"/>
      <c r="C310" s="89"/>
      <c r="D310" t="s">
        <v>73</v>
      </c>
      <c r="E310" s="371">
        <v>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0</v>
      </c>
      <c r="R310">
        <v>0</v>
      </c>
    </row>
    <row r="311" spans="1:18" ht="12.75" customHeight="1" x14ac:dyDescent="0.25">
      <c r="B311" s="89"/>
      <c r="C311" s="89" t="s">
        <v>156</v>
      </c>
      <c r="D311" t="s">
        <v>70</v>
      </c>
      <c r="E311" s="371">
        <v>0</v>
      </c>
      <c r="F311" s="90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>
        <v>0</v>
      </c>
    </row>
    <row r="312" spans="1:18" s="286" customFormat="1" ht="12.75" customHeight="1" x14ac:dyDescent="0.25">
      <c r="B312" s="229" t="s">
        <v>155</v>
      </c>
      <c r="C312" s="229" t="s">
        <v>70</v>
      </c>
      <c r="E312" s="752">
        <v>0</v>
      </c>
      <c r="F312" s="230">
        <v>0</v>
      </c>
      <c r="G312" s="230">
        <v>0</v>
      </c>
      <c r="H312" s="230">
        <v>0</v>
      </c>
      <c r="I312" s="230">
        <v>0</v>
      </c>
      <c r="J312" s="230">
        <v>0</v>
      </c>
      <c r="K312" s="230">
        <v>0</v>
      </c>
      <c r="L312" s="230">
        <v>0</v>
      </c>
      <c r="M312" s="230">
        <v>0</v>
      </c>
      <c r="N312" s="230">
        <v>0</v>
      </c>
      <c r="O312" s="230">
        <v>0</v>
      </c>
      <c r="P312" s="230">
        <v>0</v>
      </c>
      <c r="Q312" s="230">
        <v>0</v>
      </c>
      <c r="R312" s="286">
        <v>0</v>
      </c>
    </row>
    <row r="313" spans="1:18" ht="12.75" customHeight="1" x14ac:dyDescent="0.25">
      <c r="B313" s="89"/>
      <c r="C313" s="89"/>
      <c r="D313" t="s">
        <v>73</v>
      </c>
      <c r="E313" s="371">
        <v>0</v>
      </c>
      <c r="F313" s="90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>
        <v>0</v>
      </c>
    </row>
    <row r="314" spans="1:18" ht="12.75" customHeight="1" x14ac:dyDescent="0.25">
      <c r="B314" s="89"/>
      <c r="C314" s="89" t="s">
        <v>115</v>
      </c>
      <c r="D314" t="s">
        <v>70</v>
      </c>
      <c r="E314" s="371">
        <v>0</v>
      </c>
      <c r="F314" s="90">
        <v>0</v>
      </c>
      <c r="G314" s="90">
        <v>0</v>
      </c>
      <c r="H314" s="90">
        <v>0</v>
      </c>
      <c r="I314" s="90">
        <v>0</v>
      </c>
      <c r="J314" s="90">
        <v>0</v>
      </c>
      <c r="K314" s="90">
        <v>0</v>
      </c>
      <c r="L314" s="90">
        <v>0</v>
      </c>
      <c r="M314" s="90">
        <v>0</v>
      </c>
      <c r="N314" s="90">
        <v>0</v>
      </c>
      <c r="O314" s="90">
        <v>0</v>
      </c>
      <c r="P314" s="90">
        <v>0</v>
      </c>
      <c r="Q314" s="90">
        <v>0</v>
      </c>
      <c r="R314">
        <v>0</v>
      </c>
    </row>
    <row r="315" spans="1:18" ht="12.75" customHeight="1" x14ac:dyDescent="0.25">
      <c r="B315" s="89"/>
      <c r="C315" s="89"/>
      <c r="D315" t="s">
        <v>73</v>
      </c>
      <c r="E315" s="371">
        <v>0</v>
      </c>
      <c r="F315" s="90">
        <v>0</v>
      </c>
      <c r="G315" s="90">
        <v>0</v>
      </c>
      <c r="H315" s="90">
        <v>0</v>
      </c>
      <c r="I315" s="90">
        <v>0</v>
      </c>
      <c r="J315" s="90">
        <v>0</v>
      </c>
      <c r="K315" s="90">
        <v>0</v>
      </c>
      <c r="L315" s="90">
        <v>0</v>
      </c>
      <c r="M315" s="90">
        <v>0</v>
      </c>
      <c r="N315" s="90">
        <v>0</v>
      </c>
      <c r="O315" s="90">
        <v>0</v>
      </c>
      <c r="P315" s="90">
        <v>0</v>
      </c>
      <c r="Q315" s="90">
        <v>0</v>
      </c>
      <c r="R315">
        <v>0</v>
      </c>
    </row>
    <row r="316" spans="1:18" ht="12.75" customHeight="1" x14ac:dyDescent="0.25">
      <c r="B316" s="89"/>
      <c r="C316" s="89" t="s">
        <v>116</v>
      </c>
      <c r="D316" t="s">
        <v>70</v>
      </c>
      <c r="E316" s="371">
        <v>0</v>
      </c>
      <c r="F316" s="90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>
        <v>0</v>
      </c>
    </row>
    <row r="317" spans="1:18" ht="12.75" customHeight="1" x14ac:dyDescent="0.25">
      <c r="B317" s="89"/>
      <c r="C317" s="89"/>
      <c r="D317" t="s">
        <v>73</v>
      </c>
      <c r="E317" s="371">
        <v>0</v>
      </c>
      <c r="F317" s="90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>
        <v>0</v>
      </c>
    </row>
    <row r="318" spans="1:18" ht="12.75" customHeight="1" x14ac:dyDescent="0.25">
      <c r="B318" s="89"/>
      <c r="C318" s="89" t="s">
        <v>118</v>
      </c>
      <c r="D318" t="s">
        <v>70</v>
      </c>
      <c r="E318" s="371">
        <v>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>
        <v>0</v>
      </c>
    </row>
    <row r="319" spans="1:18" s="224" customFormat="1" ht="12.75" customHeight="1" x14ac:dyDescent="0.25">
      <c r="B319" s="224" t="s">
        <v>120</v>
      </c>
      <c r="C319" s="224" t="s">
        <v>70</v>
      </c>
      <c r="D319" s="223"/>
      <c r="E319" s="225">
        <v>0</v>
      </c>
      <c r="F319" s="225">
        <v>0</v>
      </c>
      <c r="G319" s="225">
        <v>0</v>
      </c>
      <c r="H319" s="225">
        <v>0</v>
      </c>
      <c r="I319" s="225">
        <v>0</v>
      </c>
      <c r="J319" s="225">
        <v>0</v>
      </c>
      <c r="K319" s="225">
        <v>0</v>
      </c>
      <c r="L319" s="225">
        <v>0</v>
      </c>
      <c r="M319" s="225">
        <v>0</v>
      </c>
      <c r="N319" s="225">
        <v>0</v>
      </c>
      <c r="O319" s="225">
        <v>0</v>
      </c>
      <c r="P319" s="225">
        <v>0</v>
      </c>
      <c r="Q319" s="225">
        <v>0</v>
      </c>
      <c r="R319" s="224">
        <v>0</v>
      </c>
    </row>
    <row r="320" spans="1:18" ht="12.75" customHeight="1" x14ac:dyDescent="0.25">
      <c r="D320" s="89" t="s">
        <v>73</v>
      </c>
      <c r="E320" s="371">
        <v>0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>
        <v>0</v>
      </c>
    </row>
    <row r="321" spans="1:18" ht="12.75" customHeight="1" x14ac:dyDescent="0.25">
      <c r="C321" t="s">
        <v>82</v>
      </c>
      <c r="D321" s="89" t="s">
        <v>70</v>
      </c>
      <c r="E321" s="371">
        <v>0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>
        <v>0</v>
      </c>
    </row>
    <row r="322" spans="1:18" ht="12.75" customHeight="1" x14ac:dyDescent="0.25">
      <c r="D322" s="89" t="s">
        <v>73</v>
      </c>
      <c r="E322" s="371">
        <v>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>
        <v>0</v>
      </c>
    </row>
    <row r="323" spans="1:18" ht="12.75" customHeight="1" x14ac:dyDescent="0.25">
      <c r="C323" t="s">
        <v>86</v>
      </c>
      <c r="D323" s="89" t="s">
        <v>70</v>
      </c>
      <c r="E323" s="371">
        <v>0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>
        <v>0</v>
      </c>
    </row>
    <row r="324" spans="1:18" ht="12.75" customHeight="1" x14ac:dyDescent="0.25">
      <c r="C324" s="89"/>
      <c r="D324" s="89" t="s">
        <v>73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>
        <v>0</v>
      </c>
    </row>
    <row r="325" spans="1:18" ht="12.75" customHeight="1" x14ac:dyDescent="0.25">
      <c r="B325" s="89"/>
      <c r="C325" s="89" t="s">
        <v>87</v>
      </c>
      <c r="D325" t="s">
        <v>70</v>
      </c>
      <c r="E325" s="90">
        <v>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>
        <v>0</v>
      </c>
    </row>
    <row r="326" spans="1:18" s="94" customFormat="1" ht="12.75" customHeight="1" x14ac:dyDescent="0.25">
      <c r="B326" s="101" t="s">
        <v>119</v>
      </c>
      <c r="C326" s="101" t="s">
        <v>70</v>
      </c>
      <c r="E326" s="93">
        <v>0</v>
      </c>
      <c r="F326" s="93">
        <v>0</v>
      </c>
      <c r="G326" s="93">
        <v>0</v>
      </c>
      <c r="H326" s="93">
        <v>0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4">
        <v>0</v>
      </c>
    </row>
    <row r="327" spans="1:18" s="226" customFormat="1" ht="12.75" customHeight="1" x14ac:dyDescent="0.25">
      <c r="A327" s="98" t="s">
        <v>79</v>
      </c>
      <c r="B327" s="98" t="s">
        <v>70</v>
      </c>
      <c r="E327" s="100">
        <v>0</v>
      </c>
      <c r="F327" s="100">
        <v>0</v>
      </c>
      <c r="G327" s="100">
        <v>0</v>
      </c>
      <c r="H327" s="100">
        <v>0</v>
      </c>
      <c r="I327" s="100">
        <v>0</v>
      </c>
      <c r="J327" s="100">
        <v>0</v>
      </c>
      <c r="K327" s="100">
        <v>0</v>
      </c>
      <c r="L327" s="100">
        <v>0</v>
      </c>
      <c r="M327" s="100">
        <v>0</v>
      </c>
      <c r="N327" s="100">
        <v>0</v>
      </c>
      <c r="O327" s="100">
        <v>0</v>
      </c>
      <c r="P327" s="100">
        <v>0</v>
      </c>
      <c r="Q327" s="100">
        <v>0</v>
      </c>
      <c r="R327" s="226">
        <v>0</v>
      </c>
    </row>
    <row r="328" spans="1:18" ht="12.75" customHeight="1" x14ac:dyDescent="0.25">
      <c r="A328" s="89" t="s">
        <v>70</v>
      </c>
      <c r="E328" s="90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1:18" ht="12.75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1:18" ht="12.75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1:18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1:18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1:18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1:18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1:18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1:18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3:17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3:17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3:17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3:17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3:17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3:17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3:17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3:17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3:17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3:17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3:17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3:17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3:17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3:17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3:17" ht="12.75" hidden="1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3:17" ht="12.75" hidden="1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18" ht="12.75" hidden="1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1:18" ht="12.75" hidden="1" customHeight="1" x14ac:dyDescent="0.25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1:18" ht="12.75" hidden="1" customHeight="1" x14ac:dyDescent="0.25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1:18" ht="12.75" hidden="1" customHeight="1" x14ac:dyDescent="0.25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18" ht="12.75" hidden="1" customHeight="1" x14ac:dyDescent="0.25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1:18" ht="12.75" hidden="1" customHeight="1" x14ac:dyDescent="0.25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18" ht="12.75" hidden="1" customHeight="1" x14ac:dyDescent="0.25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1:18" ht="12.75" hidden="1" customHeight="1" x14ac:dyDescent="0.25">
      <c r="C360" s="89"/>
      <c r="D360" s="89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</row>
    <row r="361" spans="1:18" ht="12.75" customHeight="1" x14ac:dyDescent="0.25">
      <c r="C361" s="89"/>
      <c r="D361" s="89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</row>
    <row r="362" spans="1:18" ht="12.75" customHeight="1" x14ac:dyDescent="0.25">
      <c r="B362" s="777" t="s">
        <v>2</v>
      </c>
      <c r="C362" s="775" t="s">
        <v>132</v>
      </c>
      <c r="D362" s="98" t="s">
        <v>70</v>
      </c>
      <c r="E362" s="100">
        <f>E309+E327-K309</f>
        <v>0</v>
      </c>
      <c r="F362" s="100">
        <f t="shared" ref="F362:R362" si="10">F309</f>
        <v>0</v>
      </c>
      <c r="G362" s="100">
        <f t="shared" si="10"/>
        <v>0</v>
      </c>
      <c r="H362" s="100">
        <f t="shared" si="10"/>
        <v>0</v>
      </c>
      <c r="I362" s="100">
        <f t="shared" si="10"/>
        <v>0</v>
      </c>
      <c r="J362" s="100">
        <f t="shared" si="10"/>
        <v>0</v>
      </c>
      <c r="K362" s="100">
        <f t="shared" si="10"/>
        <v>0</v>
      </c>
      <c r="L362" s="100">
        <f t="shared" si="10"/>
        <v>0</v>
      </c>
      <c r="M362" s="100">
        <f t="shared" si="10"/>
        <v>0</v>
      </c>
      <c r="N362" s="100">
        <f t="shared" si="10"/>
        <v>0</v>
      </c>
      <c r="O362" s="100">
        <f t="shared" si="10"/>
        <v>0</v>
      </c>
      <c r="P362" s="100">
        <f t="shared" si="10"/>
        <v>0</v>
      </c>
      <c r="Q362" s="100">
        <f t="shared" si="10"/>
        <v>0</v>
      </c>
      <c r="R362" s="100">
        <f t="shared" si="10"/>
        <v>0</v>
      </c>
    </row>
    <row r="363" spans="1:18" ht="12.75" customHeight="1" x14ac:dyDescent="0.25">
      <c r="B363" s="777"/>
      <c r="C363" s="775"/>
      <c r="D363" s="98" t="s">
        <v>73</v>
      </c>
      <c r="E363" s="100">
        <f>E327</f>
        <v>0</v>
      </c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</row>
    <row r="364" spans="1:18" ht="12.75" customHeight="1" x14ac:dyDescent="0.25">
      <c r="A364" s="89"/>
      <c r="B364" s="97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</row>
    <row r="365" spans="1:18" ht="12.75" customHeight="1" x14ac:dyDescent="0.25">
      <c r="B365" s="777" t="s">
        <v>160</v>
      </c>
      <c r="C365" s="775" t="s">
        <v>132</v>
      </c>
      <c r="D365" s="223" t="s">
        <v>70</v>
      </c>
      <c r="E365" s="225">
        <f>E319+E298+E285-K285-K298</f>
        <v>0</v>
      </c>
      <c r="F365" s="225">
        <f t="shared" ref="F365:R365" si="11">F298+F285</f>
        <v>0</v>
      </c>
      <c r="G365" s="225">
        <f t="shared" si="11"/>
        <v>0</v>
      </c>
      <c r="H365" s="225">
        <f t="shared" si="11"/>
        <v>0</v>
      </c>
      <c r="I365" s="225">
        <f t="shared" si="11"/>
        <v>0</v>
      </c>
      <c r="J365" s="225">
        <f t="shared" si="11"/>
        <v>0</v>
      </c>
      <c r="K365" s="225">
        <f t="shared" si="11"/>
        <v>0</v>
      </c>
      <c r="L365" s="225">
        <f t="shared" si="11"/>
        <v>0</v>
      </c>
      <c r="M365" s="225">
        <f t="shared" si="11"/>
        <v>0</v>
      </c>
      <c r="N365" s="225">
        <f t="shared" si="11"/>
        <v>0</v>
      </c>
      <c r="O365" s="225">
        <f t="shared" si="11"/>
        <v>0</v>
      </c>
      <c r="P365" s="225">
        <f t="shared" si="11"/>
        <v>0</v>
      </c>
      <c r="Q365" s="225">
        <f t="shared" si="11"/>
        <v>0</v>
      </c>
      <c r="R365" s="225">
        <f t="shared" si="11"/>
        <v>0</v>
      </c>
    </row>
    <row r="366" spans="1:18" ht="12.75" customHeight="1" x14ac:dyDescent="0.25">
      <c r="B366" s="777"/>
      <c r="C366" s="775"/>
      <c r="D366" s="223" t="s">
        <v>73</v>
      </c>
      <c r="E366" s="225">
        <f>E319</f>
        <v>0</v>
      </c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</row>
    <row r="367" spans="1:18" ht="12.75" customHeight="1" x14ac:dyDescent="0.25">
      <c r="A367" s="89"/>
      <c r="B367" s="97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spans="1:18" ht="12.75" customHeight="1" x14ac:dyDescent="0.25">
      <c r="B368" s="777" t="s">
        <v>155</v>
      </c>
      <c r="C368" s="775" t="s">
        <v>132</v>
      </c>
      <c r="D368" s="221" t="s">
        <v>70</v>
      </c>
      <c r="E368" s="222">
        <f>E312+E289-K289</f>
        <v>0</v>
      </c>
      <c r="F368" s="222">
        <f t="shared" ref="F368:R368" si="12">F289</f>
        <v>0</v>
      </c>
      <c r="G368" s="222">
        <f t="shared" si="12"/>
        <v>0</v>
      </c>
      <c r="H368" s="222">
        <f t="shared" si="12"/>
        <v>0</v>
      </c>
      <c r="I368" s="222">
        <f t="shared" si="12"/>
        <v>0</v>
      </c>
      <c r="J368" s="222">
        <f t="shared" si="12"/>
        <v>0</v>
      </c>
      <c r="K368" s="222">
        <f t="shared" si="12"/>
        <v>0</v>
      </c>
      <c r="L368" s="222">
        <f t="shared" si="12"/>
        <v>0</v>
      </c>
      <c r="M368" s="222">
        <f t="shared" si="12"/>
        <v>0</v>
      </c>
      <c r="N368" s="222">
        <f t="shared" si="12"/>
        <v>0</v>
      </c>
      <c r="O368" s="222">
        <f t="shared" si="12"/>
        <v>0</v>
      </c>
      <c r="P368" s="222">
        <f t="shared" si="12"/>
        <v>0</v>
      </c>
      <c r="Q368" s="222">
        <f t="shared" si="12"/>
        <v>0</v>
      </c>
      <c r="R368" s="222">
        <f t="shared" si="12"/>
        <v>0</v>
      </c>
    </row>
    <row r="369" spans="1:18" ht="12.75" customHeight="1" x14ac:dyDescent="0.25">
      <c r="B369" s="777"/>
      <c r="C369" s="775"/>
      <c r="D369" s="221" t="s">
        <v>73</v>
      </c>
      <c r="E369" s="222">
        <f>E312</f>
        <v>0</v>
      </c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</row>
    <row r="370" spans="1:18" ht="12.75" customHeight="1" x14ac:dyDescent="0.25">
      <c r="A370" s="89"/>
      <c r="B370" s="97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spans="1:18" ht="12.75" customHeight="1" x14ac:dyDescent="0.25">
      <c r="B371" s="778" t="s">
        <v>326</v>
      </c>
      <c r="C371" s="775" t="s">
        <v>132</v>
      </c>
      <c r="D371" s="373" t="s">
        <v>70</v>
      </c>
      <c r="E371" s="374">
        <v>0</v>
      </c>
      <c r="F371" s="374">
        <v>0</v>
      </c>
      <c r="G371" s="374">
        <v>0</v>
      </c>
      <c r="H371" s="374">
        <v>0</v>
      </c>
      <c r="I371" s="374">
        <v>0</v>
      </c>
      <c r="J371" s="374">
        <v>0</v>
      </c>
      <c r="K371" s="374">
        <v>0</v>
      </c>
      <c r="L371" s="374">
        <v>0</v>
      </c>
      <c r="M371" s="374">
        <v>0</v>
      </c>
      <c r="N371" s="374">
        <v>0</v>
      </c>
      <c r="O371" s="374">
        <v>0</v>
      </c>
      <c r="P371" s="374">
        <v>0</v>
      </c>
      <c r="Q371" s="374">
        <v>0</v>
      </c>
      <c r="R371" s="374">
        <v>0</v>
      </c>
    </row>
    <row r="372" spans="1:18" ht="12.75" customHeight="1" x14ac:dyDescent="0.25">
      <c r="B372" s="778"/>
      <c r="C372" s="775"/>
      <c r="D372" s="373" t="s">
        <v>73</v>
      </c>
      <c r="E372" s="374">
        <v>0</v>
      </c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</row>
    <row r="373" spans="1:18" ht="12.75" customHeight="1" x14ac:dyDescent="0.25">
      <c r="A373" s="89"/>
      <c r="B373" s="97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</row>
    <row r="374" spans="1:18" ht="12.75" customHeight="1" x14ac:dyDescent="0.25">
      <c r="A374" s="142" t="s">
        <v>226</v>
      </c>
      <c r="B374" s="777" t="s">
        <v>119</v>
      </c>
      <c r="C374" s="775" t="s">
        <v>132</v>
      </c>
      <c r="D374" s="101" t="s">
        <v>70</v>
      </c>
      <c r="E374" s="93">
        <f>E308+E326-K308</f>
        <v>0</v>
      </c>
      <c r="F374" s="93">
        <f t="shared" ref="F374:R374" si="13">F308</f>
        <v>0</v>
      </c>
      <c r="G374" s="93">
        <f t="shared" si="13"/>
        <v>0</v>
      </c>
      <c r="H374" s="93">
        <f t="shared" si="13"/>
        <v>0</v>
      </c>
      <c r="I374" s="93">
        <f t="shared" si="13"/>
        <v>0</v>
      </c>
      <c r="J374" s="93">
        <f t="shared" si="13"/>
        <v>0</v>
      </c>
      <c r="K374" s="93">
        <f t="shared" si="13"/>
        <v>0</v>
      </c>
      <c r="L374" s="93">
        <f t="shared" si="13"/>
        <v>0</v>
      </c>
      <c r="M374" s="93">
        <f t="shared" si="13"/>
        <v>0</v>
      </c>
      <c r="N374" s="93">
        <f t="shared" si="13"/>
        <v>0</v>
      </c>
      <c r="O374" s="93">
        <f t="shared" si="13"/>
        <v>0</v>
      </c>
      <c r="P374" s="93">
        <f t="shared" si="13"/>
        <v>0</v>
      </c>
      <c r="Q374" s="93">
        <f t="shared" si="13"/>
        <v>0</v>
      </c>
      <c r="R374" s="93">
        <f t="shared" si="13"/>
        <v>0</v>
      </c>
    </row>
    <row r="375" spans="1:18" ht="12.75" customHeight="1" x14ac:dyDescent="0.25">
      <c r="B375" s="777"/>
      <c r="C375" s="775"/>
      <c r="D375" s="101" t="s">
        <v>73</v>
      </c>
      <c r="E375" s="93">
        <f>E326</f>
        <v>0</v>
      </c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</row>
    <row r="376" spans="1:18" ht="12.75" customHeight="1" x14ac:dyDescent="0.25">
      <c r="A376" s="89"/>
      <c r="B376" s="97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</row>
    <row r="377" spans="1:18" ht="12.75" customHeight="1" x14ac:dyDescent="0.25">
      <c r="B377" s="776" t="s">
        <v>161</v>
      </c>
      <c r="C377" s="775" t="s">
        <v>132</v>
      </c>
      <c r="D377" s="231" t="s">
        <v>70</v>
      </c>
      <c r="E377" s="232">
        <v>0</v>
      </c>
      <c r="F377" s="232">
        <v>0</v>
      </c>
      <c r="G377" s="232">
        <v>0</v>
      </c>
      <c r="H377" s="232">
        <v>0</v>
      </c>
      <c r="I377" s="232">
        <v>0</v>
      </c>
      <c r="J377" s="232">
        <v>0</v>
      </c>
      <c r="K377" s="232">
        <v>0</v>
      </c>
      <c r="L377" s="232">
        <v>0</v>
      </c>
      <c r="M377" s="232">
        <v>0</v>
      </c>
      <c r="N377" s="232">
        <v>0</v>
      </c>
      <c r="O377" s="232">
        <v>0</v>
      </c>
      <c r="P377" s="232">
        <v>0</v>
      </c>
      <c r="Q377" s="232">
        <v>0</v>
      </c>
      <c r="R377" s="232">
        <v>0</v>
      </c>
    </row>
    <row r="378" spans="1:18" ht="12.75" customHeight="1" x14ac:dyDescent="0.25">
      <c r="B378" s="776"/>
      <c r="C378" s="775"/>
      <c r="D378" s="231" t="s">
        <v>73</v>
      </c>
      <c r="E378" s="232">
        <v>0</v>
      </c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</row>
    <row r="379" spans="1:18" s="238" customFormat="1" x14ac:dyDescent="0.25"/>
    <row r="380" spans="1:18" x14ac:dyDescent="0.25">
      <c r="B380" s="97" t="s">
        <v>93</v>
      </c>
    </row>
    <row r="381" spans="1:18" x14ac:dyDescent="0.25">
      <c r="E381" s="89" t="s">
        <v>70</v>
      </c>
      <c r="F381" s="89" t="s">
        <v>64</v>
      </c>
      <c r="G381" s="89" t="s">
        <v>65</v>
      </c>
      <c r="H381" s="219" t="s">
        <v>164</v>
      </c>
      <c r="I381" s="89" t="s">
        <v>69</v>
      </c>
      <c r="J381" s="89" t="s">
        <v>68</v>
      </c>
      <c r="K381" s="89" t="s">
        <v>83</v>
      </c>
      <c r="L381" s="89" t="s">
        <v>66</v>
      </c>
      <c r="M381" s="89" t="s">
        <v>63</v>
      </c>
      <c r="N381" s="89" t="s">
        <v>61</v>
      </c>
      <c r="O381" s="89" t="s">
        <v>62</v>
      </c>
      <c r="P381" s="89" t="s">
        <v>67</v>
      </c>
      <c r="Q381" s="89" t="s">
        <v>84</v>
      </c>
      <c r="R381" s="384" t="s">
        <v>225</v>
      </c>
    </row>
    <row r="382" spans="1:18" ht="11.4" customHeight="1" x14ac:dyDescent="0.25">
      <c r="D382" t="s">
        <v>72</v>
      </c>
      <c r="E382" s="89">
        <v>0</v>
      </c>
      <c r="F382" s="89">
        <v>0</v>
      </c>
      <c r="G382" s="89">
        <v>0</v>
      </c>
      <c r="H382" s="384">
        <v>0</v>
      </c>
      <c r="I382" s="89">
        <v>0</v>
      </c>
      <c r="J382" s="89">
        <v>0</v>
      </c>
      <c r="K382" s="89">
        <v>0</v>
      </c>
      <c r="L382" s="89">
        <v>0</v>
      </c>
      <c r="M382" s="89">
        <v>0</v>
      </c>
      <c r="N382" s="89">
        <v>0</v>
      </c>
      <c r="O382" s="89">
        <v>0</v>
      </c>
      <c r="P382" s="89">
        <v>0</v>
      </c>
      <c r="Q382" s="89">
        <v>0</v>
      </c>
      <c r="R382" s="384">
        <v>0</v>
      </c>
    </row>
    <row r="383" spans="1:18" ht="12.75" customHeight="1" x14ac:dyDescent="0.25">
      <c r="D383" t="s">
        <v>81</v>
      </c>
      <c r="E383" s="384">
        <v>0</v>
      </c>
      <c r="F383" s="89">
        <v>0</v>
      </c>
      <c r="G383" s="89">
        <v>0</v>
      </c>
      <c r="H383" s="384">
        <v>0</v>
      </c>
      <c r="I383" s="89">
        <v>0</v>
      </c>
      <c r="J383" s="89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v>0</v>
      </c>
      <c r="P383" s="89">
        <v>0</v>
      </c>
      <c r="Q383" s="89">
        <v>0</v>
      </c>
      <c r="R383" s="384">
        <v>0</v>
      </c>
    </row>
    <row r="384" spans="1:18" ht="11.4" customHeight="1" x14ac:dyDescent="0.25">
      <c r="C384" t="s">
        <v>332</v>
      </c>
      <c r="D384" t="s">
        <v>70</v>
      </c>
      <c r="E384" s="384">
        <v>0</v>
      </c>
      <c r="F384" s="89">
        <v>0</v>
      </c>
      <c r="G384" s="89">
        <v>0</v>
      </c>
      <c r="H384" s="384">
        <v>0</v>
      </c>
      <c r="I384" s="89">
        <v>0</v>
      </c>
      <c r="J384" s="89">
        <v>0</v>
      </c>
      <c r="K384" s="89">
        <v>0</v>
      </c>
      <c r="L384" s="89">
        <v>0</v>
      </c>
      <c r="M384" s="89">
        <v>0</v>
      </c>
      <c r="N384" s="89">
        <v>0</v>
      </c>
      <c r="O384" s="89">
        <v>0</v>
      </c>
      <c r="P384" s="89">
        <v>0</v>
      </c>
      <c r="Q384" s="89">
        <v>0</v>
      </c>
      <c r="R384" s="384">
        <v>0</v>
      </c>
    </row>
    <row r="385" spans="2:19" s="739" customFormat="1" ht="11.4" customHeight="1" x14ac:dyDescent="0.25">
      <c r="B385" s="739" t="s">
        <v>85</v>
      </c>
      <c r="C385" s="739" t="s">
        <v>70</v>
      </c>
      <c r="E385" s="769">
        <v>0</v>
      </c>
      <c r="F385" s="231">
        <v>0</v>
      </c>
      <c r="G385" s="231">
        <v>0</v>
      </c>
      <c r="H385" s="769">
        <v>0</v>
      </c>
      <c r="I385" s="231">
        <v>0</v>
      </c>
      <c r="J385" s="231">
        <v>0</v>
      </c>
      <c r="K385" s="231">
        <v>0</v>
      </c>
      <c r="L385" s="231">
        <v>0</v>
      </c>
      <c r="M385" s="231">
        <v>0</v>
      </c>
      <c r="N385" s="231">
        <v>0</v>
      </c>
      <c r="O385" s="231">
        <v>0</v>
      </c>
      <c r="P385" s="231">
        <v>0</v>
      </c>
      <c r="Q385" s="231">
        <v>0</v>
      </c>
      <c r="R385" s="769">
        <v>0</v>
      </c>
    </row>
    <row r="386" spans="2:19" ht="12.75" customHeight="1" x14ac:dyDescent="0.25">
      <c r="D386" s="89" t="s">
        <v>72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>
        <v>0</v>
      </c>
    </row>
    <row r="387" spans="2:19" ht="12.75" customHeight="1" x14ac:dyDescent="0.25">
      <c r="D387" s="89" t="s">
        <v>81</v>
      </c>
      <c r="E387" s="90">
        <v>0</v>
      </c>
      <c r="F387" s="90">
        <v>0</v>
      </c>
      <c r="G387" s="90">
        <v>0</v>
      </c>
      <c r="H387" s="90">
        <v>0</v>
      </c>
      <c r="I387" s="90">
        <v>0</v>
      </c>
      <c r="J387" s="90">
        <v>0</v>
      </c>
      <c r="K387" s="90">
        <v>0</v>
      </c>
      <c r="L387" s="90">
        <v>0</v>
      </c>
      <c r="M387" s="90">
        <v>0</v>
      </c>
      <c r="N387" s="90">
        <v>0</v>
      </c>
      <c r="O387" s="90">
        <v>0</v>
      </c>
      <c r="P387" s="90">
        <v>0</v>
      </c>
      <c r="Q387" s="90">
        <v>0</v>
      </c>
      <c r="R387">
        <v>0</v>
      </c>
    </row>
    <row r="388" spans="2:19" ht="12.75" customHeight="1" x14ac:dyDescent="0.25">
      <c r="B388" s="89"/>
      <c r="C388" s="89" t="s">
        <v>156</v>
      </c>
      <c r="D388" t="s">
        <v>70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90">
        <v>0</v>
      </c>
      <c r="L388" s="90">
        <v>0</v>
      </c>
      <c r="M388" s="90">
        <v>0</v>
      </c>
      <c r="N388" s="90">
        <v>0</v>
      </c>
      <c r="O388" s="90">
        <v>0</v>
      </c>
      <c r="P388" s="90">
        <v>0</v>
      </c>
      <c r="Q388" s="90">
        <v>0</v>
      </c>
      <c r="R388">
        <v>0</v>
      </c>
    </row>
    <row r="389" spans="2:19" s="237" customFormat="1" ht="12.75" customHeight="1" x14ac:dyDescent="0.25">
      <c r="B389" s="221" t="s">
        <v>155</v>
      </c>
      <c r="C389" s="221" t="s">
        <v>70</v>
      </c>
      <c r="E389" s="222">
        <v>0</v>
      </c>
      <c r="F389" s="222">
        <v>0</v>
      </c>
      <c r="G389" s="222">
        <v>0</v>
      </c>
      <c r="H389" s="222">
        <v>0</v>
      </c>
      <c r="I389" s="222">
        <v>0</v>
      </c>
      <c r="J389" s="222">
        <v>0</v>
      </c>
      <c r="K389" s="222">
        <v>0</v>
      </c>
      <c r="L389" s="222">
        <v>0</v>
      </c>
      <c r="M389" s="222">
        <v>0</v>
      </c>
      <c r="N389" s="222">
        <v>0</v>
      </c>
      <c r="O389" s="222">
        <v>0</v>
      </c>
      <c r="P389" s="222">
        <v>0</v>
      </c>
      <c r="Q389" s="222">
        <v>0</v>
      </c>
      <c r="R389" s="237">
        <v>0</v>
      </c>
    </row>
    <row r="390" spans="2:19" ht="12.75" customHeight="1" x14ac:dyDescent="0.25">
      <c r="D390" t="s">
        <v>72</v>
      </c>
      <c r="E390" s="142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2:19" ht="12.75" customHeight="1" x14ac:dyDescent="0.25">
      <c r="D391" t="s">
        <v>81</v>
      </c>
      <c r="E391" s="142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2:19" ht="12.75" customHeight="1" x14ac:dyDescent="0.25">
      <c r="C392" t="s">
        <v>156</v>
      </c>
      <c r="D392" t="s">
        <v>70</v>
      </c>
      <c r="E392" s="14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2:19" s="739" customFormat="1" ht="12.75" customHeight="1" x14ac:dyDescent="0.25">
      <c r="B393" s="739" t="s">
        <v>326</v>
      </c>
      <c r="C393" s="739" t="s">
        <v>70</v>
      </c>
      <c r="E393" s="231">
        <v>0</v>
      </c>
      <c r="F393" s="740">
        <v>0</v>
      </c>
      <c r="G393" s="232">
        <v>0</v>
      </c>
      <c r="H393" s="232">
        <v>0</v>
      </c>
      <c r="I393" s="232">
        <v>0</v>
      </c>
      <c r="J393" s="232">
        <v>0</v>
      </c>
      <c r="K393" s="232">
        <v>0</v>
      </c>
      <c r="L393" s="232">
        <v>0</v>
      </c>
      <c r="M393" s="232">
        <v>0</v>
      </c>
      <c r="N393" s="232">
        <v>0</v>
      </c>
      <c r="O393" s="232">
        <v>0</v>
      </c>
      <c r="P393" s="232">
        <v>0</v>
      </c>
      <c r="Q393" s="232">
        <v>0</v>
      </c>
      <c r="R393" s="232">
        <v>0</v>
      </c>
      <c r="S393" s="232"/>
    </row>
    <row r="394" spans="2:19" ht="12.75" customHeight="1" x14ac:dyDescent="0.25">
      <c r="D394" t="s">
        <v>72</v>
      </c>
      <c r="E394" s="142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2:19" ht="12.75" customHeight="1" x14ac:dyDescent="0.25">
      <c r="D395" t="s">
        <v>81</v>
      </c>
      <c r="E395" s="142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2:19" ht="12.75" customHeight="1" x14ac:dyDescent="0.25">
      <c r="C396" t="s">
        <v>82</v>
      </c>
      <c r="D396" t="s">
        <v>70</v>
      </c>
      <c r="E396" s="142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2:19" ht="12.75" customHeight="1" x14ac:dyDescent="0.25">
      <c r="D397" t="s">
        <v>72</v>
      </c>
      <c r="E397" s="142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2:19" ht="12.75" customHeight="1" x14ac:dyDescent="0.25">
      <c r="D398" t="s">
        <v>81</v>
      </c>
      <c r="E398" s="142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2:19" ht="12.75" customHeight="1" x14ac:dyDescent="0.25">
      <c r="C399" t="s">
        <v>86</v>
      </c>
      <c r="D399" t="s">
        <v>70</v>
      </c>
      <c r="E399" s="142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19" ht="12.75" customHeight="1" x14ac:dyDescent="0.25">
      <c r="D400" t="s">
        <v>72</v>
      </c>
      <c r="E400" s="142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9" ht="12.75" customHeight="1" x14ac:dyDescent="0.25">
      <c r="B401" s="142"/>
      <c r="D401" t="s">
        <v>81</v>
      </c>
      <c r="E401" s="142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9" ht="12.75" customHeight="1" x14ac:dyDescent="0.25">
      <c r="B402" s="142"/>
      <c r="C402" t="s">
        <v>87</v>
      </c>
      <c r="D402" t="s">
        <v>70</v>
      </c>
      <c r="E402" s="14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9" s="94" customFormat="1" ht="12.75" customHeight="1" x14ac:dyDescent="0.25">
      <c r="B403" s="101" t="s">
        <v>119</v>
      </c>
      <c r="C403" s="101" t="s">
        <v>70</v>
      </c>
      <c r="E403" s="93">
        <v>0</v>
      </c>
      <c r="F403" s="93">
        <v>0</v>
      </c>
      <c r="G403" s="93">
        <v>0</v>
      </c>
      <c r="H403" s="93">
        <v>0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4">
        <v>0</v>
      </c>
    </row>
    <row r="404" spans="1:19" s="226" customFormat="1" ht="12.75" customHeight="1" x14ac:dyDescent="0.25">
      <c r="A404" s="98" t="s">
        <v>78</v>
      </c>
      <c r="B404" s="98" t="s">
        <v>70</v>
      </c>
      <c r="E404" s="100">
        <v>0</v>
      </c>
      <c r="F404" s="100">
        <v>0</v>
      </c>
      <c r="G404" s="100">
        <v>0</v>
      </c>
      <c r="H404" s="100">
        <v>0</v>
      </c>
      <c r="I404" s="100">
        <v>0</v>
      </c>
      <c r="J404" s="100">
        <v>0</v>
      </c>
      <c r="K404" s="100">
        <v>0</v>
      </c>
      <c r="L404" s="100">
        <v>0</v>
      </c>
      <c r="M404" s="100">
        <v>0</v>
      </c>
      <c r="N404" s="100">
        <v>0</v>
      </c>
      <c r="O404" s="100">
        <v>0</v>
      </c>
      <c r="P404" s="100">
        <v>0</v>
      </c>
      <c r="Q404" s="100">
        <v>0</v>
      </c>
      <c r="R404" s="226">
        <v>0</v>
      </c>
    </row>
    <row r="405" spans="1:19" ht="12.75" customHeight="1" x14ac:dyDescent="0.25">
      <c r="C405" s="89"/>
      <c r="D405" s="89" t="s">
        <v>73</v>
      </c>
      <c r="E405" s="90">
        <v>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>
        <v>0</v>
      </c>
    </row>
    <row r="406" spans="1:19" ht="12.75" customHeight="1" x14ac:dyDescent="0.25">
      <c r="B406" s="89"/>
      <c r="C406" s="89" t="s">
        <v>156</v>
      </c>
      <c r="D406" t="s">
        <v>70</v>
      </c>
      <c r="E406" s="90">
        <v>0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>
        <v>0</v>
      </c>
    </row>
    <row r="407" spans="1:19" s="237" customFormat="1" ht="12.75" customHeight="1" x14ac:dyDescent="0.25">
      <c r="B407" s="221" t="s">
        <v>155</v>
      </c>
      <c r="C407" s="221" t="s">
        <v>70</v>
      </c>
      <c r="E407" s="222">
        <v>0</v>
      </c>
      <c r="F407" s="222">
        <v>0</v>
      </c>
      <c r="G407" s="222">
        <v>0</v>
      </c>
      <c r="H407" s="222">
        <v>0</v>
      </c>
      <c r="I407" s="222">
        <v>0</v>
      </c>
      <c r="J407" s="222">
        <v>0</v>
      </c>
      <c r="K407" s="222">
        <v>0</v>
      </c>
      <c r="L407" s="222">
        <v>0</v>
      </c>
      <c r="M407" s="222">
        <v>0</v>
      </c>
      <c r="N407" s="222">
        <v>0</v>
      </c>
      <c r="O407" s="222">
        <v>0</v>
      </c>
      <c r="P407" s="222">
        <v>0</v>
      </c>
      <c r="Q407" s="222">
        <v>0</v>
      </c>
      <c r="R407" s="237">
        <v>0</v>
      </c>
    </row>
    <row r="408" spans="1:19" ht="12.75" customHeight="1" x14ac:dyDescent="0.25">
      <c r="B408" s="142"/>
      <c r="C408" s="89"/>
      <c r="D408" s="89" t="s">
        <v>73</v>
      </c>
      <c r="E408" s="371">
        <v>0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>
        <v>0</v>
      </c>
    </row>
    <row r="409" spans="1:19" ht="12.75" customHeight="1" x14ac:dyDescent="0.25">
      <c r="B409" s="142"/>
      <c r="C409" s="89" t="s">
        <v>156</v>
      </c>
      <c r="D409" s="89" t="s">
        <v>70</v>
      </c>
      <c r="E409" s="371">
        <v>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>
        <v>0</v>
      </c>
    </row>
    <row r="410" spans="1:19" s="739" customFormat="1" ht="12.75" customHeight="1" x14ac:dyDescent="0.25">
      <c r="B410" s="739" t="s">
        <v>326</v>
      </c>
      <c r="C410" s="739" t="s">
        <v>70</v>
      </c>
      <c r="E410" s="231">
        <v>0</v>
      </c>
      <c r="F410" s="740">
        <v>0</v>
      </c>
      <c r="G410" s="232">
        <v>0</v>
      </c>
      <c r="H410" s="232">
        <v>0</v>
      </c>
      <c r="I410" s="232">
        <v>0</v>
      </c>
      <c r="J410" s="232">
        <v>0</v>
      </c>
      <c r="K410" s="232">
        <v>0</v>
      </c>
      <c r="L410" s="232">
        <v>0</v>
      </c>
      <c r="M410" s="232">
        <v>0</v>
      </c>
      <c r="N410" s="232">
        <v>0</v>
      </c>
      <c r="O410" s="232">
        <v>0</v>
      </c>
      <c r="P410" s="232">
        <v>0</v>
      </c>
      <c r="Q410" s="232">
        <v>0</v>
      </c>
      <c r="R410" s="232">
        <v>0</v>
      </c>
      <c r="S410" s="232"/>
    </row>
    <row r="411" spans="1:19" ht="12.75" customHeight="1" x14ac:dyDescent="0.25">
      <c r="B411" s="142"/>
      <c r="C411" s="89"/>
      <c r="D411" s="89" t="s">
        <v>73</v>
      </c>
      <c r="E411" s="371">
        <v>0</v>
      </c>
      <c r="F411" s="90">
        <v>0</v>
      </c>
      <c r="G411" s="90">
        <v>0</v>
      </c>
      <c r="H411" s="90">
        <v>0</v>
      </c>
      <c r="I411" s="90">
        <v>0</v>
      </c>
      <c r="J411" s="90">
        <v>0</v>
      </c>
      <c r="K411" s="90">
        <v>0</v>
      </c>
      <c r="L411" s="90">
        <v>0</v>
      </c>
      <c r="M411" s="90">
        <v>0</v>
      </c>
      <c r="N411" s="90">
        <v>0</v>
      </c>
      <c r="O411" s="90">
        <v>0</v>
      </c>
      <c r="P411" s="90">
        <v>0</v>
      </c>
      <c r="Q411" s="90">
        <v>0</v>
      </c>
      <c r="R411">
        <v>0</v>
      </c>
    </row>
    <row r="412" spans="1:19" ht="12.75" customHeight="1" x14ac:dyDescent="0.25">
      <c r="B412" s="142"/>
      <c r="C412" s="89" t="s">
        <v>82</v>
      </c>
      <c r="D412" s="89" t="s">
        <v>70</v>
      </c>
      <c r="E412" s="371">
        <v>0</v>
      </c>
      <c r="F412" s="90">
        <v>0</v>
      </c>
      <c r="G412" s="90">
        <v>0</v>
      </c>
      <c r="H412" s="90">
        <v>0</v>
      </c>
      <c r="I412" s="90">
        <v>0</v>
      </c>
      <c r="J412" s="90">
        <v>0</v>
      </c>
      <c r="K412" s="90">
        <v>0</v>
      </c>
      <c r="L412" s="90">
        <v>0</v>
      </c>
      <c r="M412" s="90">
        <v>0</v>
      </c>
      <c r="N412" s="90">
        <v>0</v>
      </c>
      <c r="O412" s="90">
        <v>0</v>
      </c>
      <c r="P412" s="90">
        <v>0</v>
      </c>
      <c r="Q412" s="90">
        <v>0</v>
      </c>
      <c r="R412">
        <v>0</v>
      </c>
    </row>
    <row r="413" spans="1:19" ht="12.75" customHeight="1" x14ac:dyDescent="0.25">
      <c r="B413" s="142"/>
      <c r="C413" s="89"/>
      <c r="D413" s="89" t="s">
        <v>73</v>
      </c>
      <c r="E413" s="371">
        <v>0</v>
      </c>
      <c r="F413" s="90">
        <v>0</v>
      </c>
      <c r="G413" s="90">
        <v>0</v>
      </c>
      <c r="H413" s="90">
        <v>0</v>
      </c>
      <c r="I413" s="90">
        <v>0</v>
      </c>
      <c r="J413" s="90">
        <v>0</v>
      </c>
      <c r="K413" s="90">
        <v>0</v>
      </c>
      <c r="L413" s="90">
        <v>0</v>
      </c>
      <c r="M413" s="90">
        <v>0</v>
      </c>
      <c r="N413" s="90">
        <v>0</v>
      </c>
      <c r="O413" s="90">
        <v>0</v>
      </c>
      <c r="P413" s="90">
        <v>0</v>
      </c>
      <c r="Q413" s="90">
        <v>0</v>
      </c>
      <c r="R413">
        <v>0</v>
      </c>
    </row>
    <row r="414" spans="1:19" ht="12.75" customHeight="1" x14ac:dyDescent="0.25">
      <c r="B414" s="142"/>
      <c r="C414" s="89" t="s">
        <v>86</v>
      </c>
      <c r="D414" s="89" t="s">
        <v>70</v>
      </c>
      <c r="E414" s="371">
        <v>0</v>
      </c>
      <c r="F414" s="90">
        <v>0</v>
      </c>
      <c r="G414" s="90">
        <v>0</v>
      </c>
      <c r="H414" s="90">
        <v>0</v>
      </c>
      <c r="I414" s="90">
        <v>0</v>
      </c>
      <c r="J414" s="90">
        <v>0</v>
      </c>
      <c r="K414" s="90">
        <v>0</v>
      </c>
      <c r="L414" s="90">
        <v>0</v>
      </c>
      <c r="M414" s="90">
        <v>0</v>
      </c>
      <c r="N414" s="90">
        <v>0</v>
      </c>
      <c r="O414" s="90">
        <v>0</v>
      </c>
      <c r="P414" s="90">
        <v>0</v>
      </c>
      <c r="Q414" s="90">
        <v>0</v>
      </c>
      <c r="R414">
        <v>0</v>
      </c>
    </row>
    <row r="415" spans="1:19" ht="12.75" customHeight="1" x14ac:dyDescent="0.25">
      <c r="B415" s="142"/>
      <c r="C415" s="89"/>
      <c r="D415" s="89" t="s">
        <v>73</v>
      </c>
      <c r="E415" s="371">
        <v>0</v>
      </c>
      <c r="F415" s="90">
        <v>0</v>
      </c>
      <c r="G415" s="90">
        <v>0</v>
      </c>
      <c r="H415" s="90">
        <v>0</v>
      </c>
      <c r="I415" s="90">
        <v>0</v>
      </c>
      <c r="J415" s="90">
        <v>0</v>
      </c>
      <c r="K415" s="90">
        <v>0</v>
      </c>
      <c r="L415" s="90">
        <v>0</v>
      </c>
      <c r="M415" s="90">
        <v>0</v>
      </c>
      <c r="N415" s="90">
        <v>0</v>
      </c>
      <c r="O415" s="90">
        <v>0</v>
      </c>
      <c r="P415" s="90">
        <v>0</v>
      </c>
      <c r="Q415" s="90">
        <v>0</v>
      </c>
      <c r="R415">
        <v>0</v>
      </c>
    </row>
    <row r="416" spans="1:19" ht="12.75" customHeight="1" x14ac:dyDescent="0.25">
      <c r="B416" s="142"/>
      <c r="C416" s="89" t="s">
        <v>87</v>
      </c>
      <c r="D416" s="89" t="s">
        <v>70</v>
      </c>
      <c r="E416" s="371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>
        <v>0</v>
      </c>
    </row>
    <row r="417" spans="1:18" s="94" customFormat="1" ht="12.75" customHeight="1" x14ac:dyDescent="0.25">
      <c r="B417" s="101" t="s">
        <v>119</v>
      </c>
      <c r="C417" s="101" t="s">
        <v>70</v>
      </c>
      <c r="E417" s="93">
        <v>0</v>
      </c>
      <c r="F417" s="93">
        <v>0</v>
      </c>
      <c r="G417" s="93">
        <v>0</v>
      </c>
      <c r="H417" s="93">
        <v>0</v>
      </c>
      <c r="I417" s="93">
        <v>0</v>
      </c>
      <c r="J417" s="93">
        <v>0</v>
      </c>
      <c r="K417" s="93">
        <v>0</v>
      </c>
      <c r="L417" s="93">
        <v>0</v>
      </c>
      <c r="M417" s="93">
        <v>0</v>
      </c>
      <c r="N417" s="93">
        <v>0</v>
      </c>
      <c r="O417" s="93">
        <v>0</v>
      </c>
      <c r="P417" s="93">
        <v>0</v>
      </c>
      <c r="Q417" s="93">
        <v>0</v>
      </c>
      <c r="R417" s="94">
        <v>0</v>
      </c>
    </row>
    <row r="418" spans="1:18" s="226" customFormat="1" ht="12.75" customHeight="1" x14ac:dyDescent="0.25">
      <c r="A418" s="98" t="s">
        <v>79</v>
      </c>
      <c r="B418" s="98" t="s">
        <v>70</v>
      </c>
      <c r="E418" s="100">
        <v>0</v>
      </c>
      <c r="F418" s="100">
        <v>0</v>
      </c>
      <c r="G418" s="100">
        <v>0</v>
      </c>
      <c r="H418" s="100">
        <v>0</v>
      </c>
      <c r="I418" s="100">
        <v>0</v>
      </c>
      <c r="J418" s="100">
        <v>0</v>
      </c>
      <c r="K418" s="100">
        <v>0</v>
      </c>
      <c r="L418" s="100">
        <v>0</v>
      </c>
      <c r="M418" s="100">
        <v>0</v>
      </c>
      <c r="N418" s="100">
        <v>0</v>
      </c>
      <c r="O418" s="100">
        <v>0</v>
      </c>
      <c r="P418" s="100">
        <v>0</v>
      </c>
      <c r="Q418" s="100">
        <v>0</v>
      </c>
      <c r="R418" s="226">
        <v>0</v>
      </c>
    </row>
    <row r="419" spans="1:18" ht="12.75" customHeight="1" x14ac:dyDescent="0.25">
      <c r="A419" s="89" t="s">
        <v>70</v>
      </c>
      <c r="E419" s="90">
        <v>0</v>
      </c>
      <c r="F419" s="90">
        <v>0</v>
      </c>
      <c r="G419" s="90">
        <v>0</v>
      </c>
      <c r="H419" s="90">
        <v>0</v>
      </c>
      <c r="I419" s="90">
        <v>0</v>
      </c>
      <c r="J419" s="90">
        <v>0</v>
      </c>
      <c r="K419" s="90">
        <v>0</v>
      </c>
      <c r="L419" s="90">
        <v>0</v>
      </c>
      <c r="M419" s="90">
        <v>0</v>
      </c>
      <c r="N419" s="90">
        <v>0</v>
      </c>
      <c r="O419" s="90">
        <v>0</v>
      </c>
      <c r="P419" s="90">
        <v>0</v>
      </c>
      <c r="Q419" s="90">
        <v>0</v>
      </c>
      <c r="R419" s="90">
        <v>0</v>
      </c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hidden="1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hidden="1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hidden="1" customHeight="1" x14ac:dyDescent="0.25">
      <c r="A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hidden="1" customHeight="1" x14ac:dyDescent="0.25">
      <c r="A427" s="89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hidden="1" customHeight="1" x14ac:dyDescent="0.25">
      <c r="A428" s="89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hidden="1" customHeight="1" x14ac:dyDescent="0.25">
      <c r="A429" s="89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hidden="1" customHeight="1" x14ac:dyDescent="0.25">
      <c r="A430" s="89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hidden="1" customHeight="1" x14ac:dyDescent="0.25">
      <c r="A431" s="89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hidden="1" customHeight="1" x14ac:dyDescent="0.25">
      <c r="A432" s="89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</row>
    <row r="433" spans="1:18" ht="12.75" hidden="1" customHeight="1" x14ac:dyDescent="0.25">
      <c r="A433" s="89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hidden="1" customHeight="1" x14ac:dyDescent="0.25">
      <c r="A434" s="89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hidden="1" customHeight="1" x14ac:dyDescent="0.25">
      <c r="A435" s="89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</row>
    <row r="436" spans="1:18" ht="12.75" hidden="1" customHeight="1" x14ac:dyDescent="0.25">
      <c r="A436" s="89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hidden="1" customHeight="1" x14ac:dyDescent="0.25">
      <c r="A437" s="89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hidden="1" customHeight="1" x14ac:dyDescent="0.25">
      <c r="A438" s="89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18" ht="12.75" hidden="1" customHeight="1" x14ac:dyDescent="0.25">
      <c r="A439" s="89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hidden="1" customHeight="1" x14ac:dyDescent="0.25">
      <c r="A440" s="89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spans="1:18" ht="12.75" hidden="1" customHeight="1" x14ac:dyDescent="0.25">
      <c r="A441" s="89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</row>
    <row r="442" spans="1:18" ht="12.75" hidden="1" customHeight="1" x14ac:dyDescent="0.25">
      <c r="A442" s="89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hidden="1" customHeight="1" x14ac:dyDescent="0.25">
      <c r="A443" s="89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customHeight="1" x14ac:dyDescent="0.25">
      <c r="A444" s="89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customHeight="1" x14ac:dyDescent="0.25">
      <c r="A445" s="89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customHeight="1" x14ac:dyDescent="0.25">
      <c r="B446" s="777" t="s">
        <v>2</v>
      </c>
      <c r="C446" s="775" t="s">
        <v>132</v>
      </c>
      <c r="D446" s="98" t="s">
        <v>70</v>
      </c>
      <c r="E446" s="100">
        <f>E418+E404-K404</f>
        <v>0</v>
      </c>
      <c r="F446" s="100">
        <f>F404</f>
        <v>0</v>
      </c>
      <c r="G446" s="100">
        <f t="shared" ref="G446:R446" si="14">G404</f>
        <v>0</v>
      </c>
      <c r="H446" s="100">
        <f t="shared" si="14"/>
        <v>0</v>
      </c>
      <c r="I446" s="100">
        <f t="shared" si="14"/>
        <v>0</v>
      </c>
      <c r="J446" s="100">
        <f t="shared" si="14"/>
        <v>0</v>
      </c>
      <c r="K446" s="100">
        <f t="shared" si="14"/>
        <v>0</v>
      </c>
      <c r="L446" s="100">
        <f t="shared" si="14"/>
        <v>0</v>
      </c>
      <c r="M446" s="100">
        <f t="shared" si="14"/>
        <v>0</v>
      </c>
      <c r="N446" s="100">
        <f t="shared" si="14"/>
        <v>0</v>
      </c>
      <c r="O446" s="100">
        <f t="shared" si="14"/>
        <v>0</v>
      </c>
      <c r="P446" s="100">
        <f>P404</f>
        <v>0</v>
      </c>
      <c r="Q446" s="100">
        <f t="shared" si="14"/>
        <v>0</v>
      </c>
      <c r="R446" s="100">
        <f t="shared" si="14"/>
        <v>0</v>
      </c>
    </row>
    <row r="447" spans="1:18" ht="12.75" customHeight="1" x14ac:dyDescent="0.25">
      <c r="B447" s="777"/>
      <c r="C447" s="775"/>
      <c r="D447" s="98" t="s">
        <v>73</v>
      </c>
      <c r="E447" s="100">
        <f>E418</f>
        <v>0</v>
      </c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customHeight="1" x14ac:dyDescent="0.25">
      <c r="A448" s="89"/>
      <c r="B448" s="97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customHeight="1" x14ac:dyDescent="0.25">
      <c r="B449" s="777" t="s">
        <v>160</v>
      </c>
      <c r="C449" s="775" t="s">
        <v>132</v>
      </c>
      <c r="D449" s="223" t="s">
        <v>70</v>
      </c>
      <c r="E449" s="225">
        <v>0</v>
      </c>
      <c r="F449" s="225">
        <v>0</v>
      </c>
      <c r="G449" s="225">
        <v>0</v>
      </c>
      <c r="H449" s="225">
        <v>0</v>
      </c>
      <c r="I449" s="225">
        <v>0</v>
      </c>
      <c r="J449" s="225">
        <v>0</v>
      </c>
      <c r="K449" s="225">
        <v>0</v>
      </c>
      <c r="L449" s="225">
        <v>0</v>
      </c>
      <c r="M449" s="225">
        <v>0</v>
      </c>
      <c r="N449" s="225">
        <v>0</v>
      </c>
      <c r="O449" s="225">
        <v>0</v>
      </c>
      <c r="P449" s="225">
        <v>0</v>
      </c>
      <c r="Q449" s="225">
        <v>0</v>
      </c>
      <c r="R449" s="225">
        <v>0</v>
      </c>
    </row>
    <row r="450" spans="1:18" ht="12.75" customHeight="1" x14ac:dyDescent="0.25">
      <c r="B450" s="777"/>
      <c r="C450" s="775"/>
      <c r="D450" s="223" t="s">
        <v>73</v>
      </c>
      <c r="E450" s="225">
        <v>0</v>
      </c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customHeight="1" x14ac:dyDescent="0.25">
      <c r="A451" s="89"/>
      <c r="B451" s="97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customHeight="1" x14ac:dyDescent="0.25">
      <c r="B452" s="777" t="s">
        <v>155</v>
      </c>
      <c r="C452" s="775" t="s">
        <v>132</v>
      </c>
      <c r="D452" s="221" t="s">
        <v>70</v>
      </c>
      <c r="E452" s="222">
        <f>E407+E389+E385-K385-K389</f>
        <v>0</v>
      </c>
      <c r="F452" s="222">
        <f>F389+F385</f>
        <v>0</v>
      </c>
      <c r="G452" s="222">
        <f t="shared" ref="G452:R452" si="15">G389+G385</f>
        <v>0</v>
      </c>
      <c r="H452" s="222">
        <f t="shared" si="15"/>
        <v>0</v>
      </c>
      <c r="I452" s="222">
        <f t="shared" si="15"/>
        <v>0</v>
      </c>
      <c r="J452" s="222">
        <f t="shared" si="15"/>
        <v>0</v>
      </c>
      <c r="K452" s="222">
        <f t="shared" si="15"/>
        <v>0</v>
      </c>
      <c r="L452" s="222">
        <f t="shared" si="15"/>
        <v>0</v>
      </c>
      <c r="M452" s="222">
        <f t="shared" si="15"/>
        <v>0</v>
      </c>
      <c r="N452" s="222">
        <f t="shared" si="15"/>
        <v>0</v>
      </c>
      <c r="O452" s="222">
        <f t="shared" si="15"/>
        <v>0</v>
      </c>
      <c r="P452" s="222">
        <f t="shared" si="15"/>
        <v>0</v>
      </c>
      <c r="Q452" s="222">
        <f t="shared" si="15"/>
        <v>0</v>
      </c>
      <c r="R452" s="222">
        <f t="shared" si="15"/>
        <v>0</v>
      </c>
    </row>
    <row r="453" spans="1:18" ht="12.75" customHeight="1" x14ac:dyDescent="0.25">
      <c r="B453" s="777"/>
      <c r="C453" s="775"/>
      <c r="D453" s="221" t="s">
        <v>73</v>
      </c>
      <c r="E453" s="222">
        <f>E407</f>
        <v>0</v>
      </c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customHeight="1" x14ac:dyDescent="0.25">
      <c r="A454" s="89"/>
      <c r="B454" s="97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customHeight="1" x14ac:dyDescent="0.25">
      <c r="B455" s="778" t="s">
        <v>326</v>
      </c>
      <c r="C455" s="775" t="s">
        <v>132</v>
      </c>
      <c r="D455" s="373" t="s">
        <v>70</v>
      </c>
      <c r="E455" s="374">
        <f>E410+E393-K393</f>
        <v>0</v>
      </c>
      <c r="F455" s="374">
        <f>F393</f>
        <v>0</v>
      </c>
      <c r="G455" s="374">
        <f t="shared" ref="G455:R455" si="16">G393</f>
        <v>0</v>
      </c>
      <c r="H455" s="374">
        <f t="shared" si="16"/>
        <v>0</v>
      </c>
      <c r="I455" s="374">
        <f t="shared" si="16"/>
        <v>0</v>
      </c>
      <c r="J455" s="374">
        <f t="shared" si="16"/>
        <v>0</v>
      </c>
      <c r="K455" s="374">
        <f t="shared" si="16"/>
        <v>0</v>
      </c>
      <c r="L455" s="374">
        <f t="shared" si="16"/>
        <v>0</v>
      </c>
      <c r="M455" s="374">
        <f t="shared" si="16"/>
        <v>0</v>
      </c>
      <c r="N455" s="374">
        <f t="shared" si="16"/>
        <v>0</v>
      </c>
      <c r="O455" s="374">
        <f t="shared" si="16"/>
        <v>0</v>
      </c>
      <c r="P455" s="374">
        <f t="shared" si="16"/>
        <v>0</v>
      </c>
      <c r="Q455" s="374">
        <f t="shared" si="16"/>
        <v>0</v>
      </c>
      <c r="R455" s="374">
        <f t="shared" si="16"/>
        <v>0</v>
      </c>
    </row>
    <row r="456" spans="1:18" ht="12.75" customHeight="1" x14ac:dyDescent="0.25">
      <c r="B456" s="778"/>
      <c r="C456" s="775"/>
      <c r="D456" s="373" t="s">
        <v>73</v>
      </c>
      <c r="E456" s="374">
        <f>E410</f>
        <v>0</v>
      </c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ht="12.75" customHeight="1" x14ac:dyDescent="0.25">
      <c r="B457" s="719"/>
      <c r="C457" s="220"/>
      <c r="D457" s="89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spans="1:18" ht="12.75" customHeight="1" x14ac:dyDescent="0.25">
      <c r="B458" s="777" t="s">
        <v>119</v>
      </c>
      <c r="C458" s="775" t="s">
        <v>132</v>
      </c>
      <c r="D458" s="101" t="s">
        <v>70</v>
      </c>
      <c r="E458" s="93">
        <f>E403+E417-K403</f>
        <v>0</v>
      </c>
      <c r="F458" s="93">
        <f>F403</f>
        <v>0</v>
      </c>
      <c r="G458" s="93">
        <f t="shared" ref="G458:R458" si="17">G403</f>
        <v>0</v>
      </c>
      <c r="H458" s="93">
        <f t="shared" si="17"/>
        <v>0</v>
      </c>
      <c r="I458" s="93">
        <f t="shared" si="17"/>
        <v>0</v>
      </c>
      <c r="J458" s="93">
        <f t="shared" si="17"/>
        <v>0</v>
      </c>
      <c r="K458" s="93">
        <f t="shared" si="17"/>
        <v>0</v>
      </c>
      <c r="L458" s="93">
        <f t="shared" si="17"/>
        <v>0</v>
      </c>
      <c r="M458" s="93">
        <f t="shared" si="17"/>
        <v>0</v>
      </c>
      <c r="N458" s="93">
        <f t="shared" si="17"/>
        <v>0</v>
      </c>
      <c r="O458" s="93">
        <f t="shared" si="17"/>
        <v>0</v>
      </c>
      <c r="P458" s="93">
        <f t="shared" si="17"/>
        <v>0</v>
      </c>
      <c r="Q458" s="93">
        <f t="shared" si="17"/>
        <v>0</v>
      </c>
      <c r="R458" s="93">
        <f t="shared" si="17"/>
        <v>0</v>
      </c>
    </row>
    <row r="459" spans="1:18" ht="12.75" customHeight="1" x14ac:dyDescent="0.25">
      <c r="B459" s="777"/>
      <c r="C459" s="775"/>
      <c r="D459" s="101" t="s">
        <v>73</v>
      </c>
      <c r="E459" s="93">
        <f>E417</f>
        <v>0</v>
      </c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18" ht="12.75" customHeight="1" x14ac:dyDescent="0.25">
      <c r="A460" s="89"/>
      <c r="B460" s="97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spans="1:18" ht="12.75" customHeight="1" x14ac:dyDescent="0.25">
      <c r="B461" s="776" t="s">
        <v>161</v>
      </c>
      <c r="C461" s="775" t="s">
        <v>132</v>
      </c>
      <c r="D461" s="231" t="s">
        <v>70</v>
      </c>
      <c r="E461" s="232">
        <v>0</v>
      </c>
      <c r="F461" s="232">
        <v>0</v>
      </c>
      <c r="G461" s="232">
        <v>0</v>
      </c>
      <c r="H461" s="232">
        <v>0</v>
      </c>
      <c r="I461" s="232">
        <v>0</v>
      </c>
      <c r="J461" s="232">
        <v>0</v>
      </c>
      <c r="K461" s="232">
        <v>0</v>
      </c>
      <c r="L461" s="232">
        <v>0</v>
      </c>
      <c r="M461" s="232">
        <v>0</v>
      </c>
      <c r="N461" s="232">
        <v>0</v>
      </c>
      <c r="O461" s="232">
        <v>0</v>
      </c>
      <c r="P461" s="232">
        <v>0</v>
      </c>
      <c r="Q461" s="232">
        <v>0</v>
      </c>
      <c r="R461" s="232">
        <v>0</v>
      </c>
    </row>
    <row r="462" spans="1:18" ht="12.75" customHeight="1" x14ac:dyDescent="0.25">
      <c r="B462" s="776"/>
      <c r="C462" s="775"/>
      <c r="D462" s="231" t="s">
        <v>73</v>
      </c>
      <c r="E462" s="232">
        <v>0</v>
      </c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spans="1:18" s="238" customFormat="1" x14ac:dyDescent="0.25"/>
  </sheetData>
  <mergeCells count="60">
    <mergeCell ref="B458:B459"/>
    <mergeCell ref="C458:C459"/>
    <mergeCell ref="B461:B462"/>
    <mergeCell ref="C461:C462"/>
    <mergeCell ref="B455:B456"/>
    <mergeCell ref="C455:C456"/>
    <mergeCell ref="B446:B447"/>
    <mergeCell ref="C446:C447"/>
    <mergeCell ref="B449:B450"/>
    <mergeCell ref="C449:C450"/>
    <mergeCell ref="B452:B453"/>
    <mergeCell ref="C452:C453"/>
    <mergeCell ref="B374:B375"/>
    <mergeCell ref="C374:C375"/>
    <mergeCell ref="B377:B378"/>
    <mergeCell ref="C377:C378"/>
    <mergeCell ref="B371:B372"/>
    <mergeCell ref="C371:C372"/>
    <mergeCell ref="B362:B363"/>
    <mergeCell ref="C362:C363"/>
    <mergeCell ref="B365:B366"/>
    <mergeCell ref="C365:C366"/>
    <mergeCell ref="B368:B369"/>
    <mergeCell ref="C368:C369"/>
    <mergeCell ref="B274:B275"/>
    <mergeCell ref="C274:C275"/>
    <mergeCell ref="B271:B272"/>
    <mergeCell ref="C271:C272"/>
    <mergeCell ref="B277:B278"/>
    <mergeCell ref="C277:C278"/>
    <mergeCell ref="B262:B263"/>
    <mergeCell ref="C262:C263"/>
    <mergeCell ref="B265:B266"/>
    <mergeCell ref="C265:C266"/>
    <mergeCell ref="B268:B269"/>
    <mergeCell ref="C268:C269"/>
    <mergeCell ref="B47:B48"/>
    <mergeCell ref="C47:C48"/>
    <mergeCell ref="B50:B51"/>
    <mergeCell ref="C50:C51"/>
    <mergeCell ref="B56:B57"/>
    <mergeCell ref="C56:C57"/>
    <mergeCell ref="B53:B54"/>
    <mergeCell ref="C53:C54"/>
    <mergeCell ref="B59:B60"/>
    <mergeCell ref="C59:C60"/>
    <mergeCell ref="B159:B160"/>
    <mergeCell ref="C159:C160"/>
    <mergeCell ref="B62:B63"/>
    <mergeCell ref="C62:C63"/>
    <mergeCell ref="B144:B145"/>
    <mergeCell ref="C144:C145"/>
    <mergeCell ref="B147:B148"/>
    <mergeCell ref="C147:C148"/>
    <mergeCell ref="B150:B151"/>
    <mergeCell ref="C150:C151"/>
    <mergeCell ref="B156:B157"/>
    <mergeCell ref="C156:C157"/>
    <mergeCell ref="B153:B154"/>
    <mergeCell ref="C153:C1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82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628" customFormat="1" ht="12.75" customHeight="1" x14ac:dyDescent="0.25">
      <c r="A14" s="628" t="s">
        <v>119</v>
      </c>
      <c r="B14" s="628" t="s">
        <v>70</v>
      </c>
      <c r="D14" s="628">
        <v>0</v>
      </c>
      <c r="E14" s="628">
        <v>0</v>
      </c>
      <c r="F14" s="628">
        <v>0</v>
      </c>
      <c r="G14" s="628">
        <v>0</v>
      </c>
      <c r="H14" s="628">
        <v>0</v>
      </c>
      <c r="I14" s="628">
        <v>0</v>
      </c>
      <c r="J14" s="628">
        <v>0</v>
      </c>
      <c r="K14" s="628">
        <v>0</v>
      </c>
      <c r="L14" s="628">
        <v>0</v>
      </c>
      <c r="M14" s="628">
        <v>0</v>
      </c>
      <c r="N14" s="628">
        <v>0</v>
      </c>
      <c r="O14" s="628">
        <v>0</v>
      </c>
      <c r="P14" s="628">
        <v>0</v>
      </c>
      <c r="Q14" s="628">
        <v>0</v>
      </c>
      <c r="R14" s="628">
        <v>0</v>
      </c>
    </row>
    <row r="15" spans="1:18" s="631" customFormat="1" ht="12.75" customHeight="1" x14ac:dyDescent="0.25">
      <c r="A15" s="630" t="s">
        <v>70</v>
      </c>
      <c r="D15" s="630">
        <v>0</v>
      </c>
      <c r="E15" s="630">
        <v>0</v>
      </c>
      <c r="F15" s="630">
        <v>0</v>
      </c>
      <c r="G15" s="630">
        <v>0</v>
      </c>
      <c r="H15" s="630">
        <v>0</v>
      </c>
      <c r="I15" s="630">
        <v>0</v>
      </c>
      <c r="J15" s="630">
        <v>0</v>
      </c>
      <c r="K15" s="630">
        <v>0</v>
      </c>
      <c r="L15" s="630">
        <v>0</v>
      </c>
      <c r="M15" s="630">
        <v>0</v>
      </c>
      <c r="N15" s="630">
        <v>0</v>
      </c>
      <c r="O15" s="630">
        <v>0</v>
      </c>
      <c r="P15" s="631">
        <v>0</v>
      </c>
      <c r="Q15" s="630">
        <v>0</v>
      </c>
      <c r="R15" s="630">
        <v>0</v>
      </c>
    </row>
    <row r="16" spans="1:18" ht="12.75" customHeight="1" x14ac:dyDescent="0.25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customHeight="1" x14ac:dyDescent="0.25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5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5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5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5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x14ac:dyDescent="0.25">
      <c r="A73" s="781" t="s">
        <v>2</v>
      </c>
      <c r="B73" s="780" t="s">
        <v>132</v>
      </c>
      <c r="C73" s="766" t="s">
        <v>70</v>
      </c>
      <c r="D73" s="766">
        <f>D15-P15</f>
        <v>0</v>
      </c>
      <c r="E73" s="766">
        <f>E5+E11</f>
        <v>0</v>
      </c>
      <c r="F73" s="766">
        <f t="shared" ref="F73:R73" si="0">F5+F11</f>
        <v>0</v>
      </c>
      <c r="G73" s="766">
        <f t="shared" si="0"/>
        <v>0</v>
      </c>
      <c r="H73" s="766">
        <f t="shared" si="0"/>
        <v>0</v>
      </c>
      <c r="I73" s="766">
        <f t="shared" si="0"/>
        <v>0</v>
      </c>
      <c r="J73" s="766">
        <f t="shared" si="0"/>
        <v>0</v>
      </c>
      <c r="K73" s="766">
        <f t="shared" si="0"/>
        <v>0</v>
      </c>
      <c r="L73" s="766">
        <f t="shared" si="0"/>
        <v>0</v>
      </c>
      <c r="M73" s="766">
        <f t="shared" si="0"/>
        <v>0</v>
      </c>
      <c r="N73" s="766">
        <f t="shared" si="0"/>
        <v>0</v>
      </c>
      <c r="O73" s="766">
        <f t="shared" si="0"/>
        <v>0</v>
      </c>
      <c r="P73" s="766">
        <f t="shared" si="0"/>
        <v>0</v>
      </c>
      <c r="Q73" s="766">
        <f t="shared" si="0"/>
        <v>0</v>
      </c>
      <c r="R73" s="766">
        <f t="shared" si="0"/>
        <v>0</v>
      </c>
    </row>
    <row r="74" spans="1:18" x14ac:dyDescent="0.25">
      <c r="A74" s="781"/>
      <c r="B74" s="780"/>
      <c r="C74" s="766" t="s">
        <v>73</v>
      </c>
      <c r="D74" s="766">
        <f>D7+D13</f>
        <v>0</v>
      </c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x14ac:dyDescent="0.25">
      <c r="A75" s="617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</row>
    <row r="76" spans="1:18" x14ac:dyDescent="0.25">
      <c r="A76" s="781" t="s">
        <v>160</v>
      </c>
      <c r="B76" s="780" t="s">
        <v>132</v>
      </c>
      <c r="C76" s="632" t="s">
        <v>70</v>
      </c>
      <c r="D76" s="632">
        <v>0</v>
      </c>
      <c r="E76" s="632">
        <v>0</v>
      </c>
      <c r="F76" s="632">
        <v>0</v>
      </c>
      <c r="G76" s="632">
        <v>0</v>
      </c>
      <c r="H76" s="632">
        <v>0</v>
      </c>
      <c r="I76" s="632">
        <v>0</v>
      </c>
      <c r="J76" s="632">
        <v>0</v>
      </c>
      <c r="K76" s="632">
        <v>0</v>
      </c>
      <c r="L76" s="632">
        <v>0</v>
      </c>
      <c r="M76" s="632">
        <v>0</v>
      </c>
      <c r="N76" s="632">
        <v>0</v>
      </c>
      <c r="O76" s="632">
        <v>0</v>
      </c>
      <c r="P76" s="632">
        <v>0</v>
      </c>
      <c r="Q76" s="632">
        <v>0</v>
      </c>
      <c r="R76" s="632">
        <v>0</v>
      </c>
    </row>
    <row r="77" spans="1:18" x14ac:dyDescent="0.25">
      <c r="A77" s="781"/>
      <c r="B77" s="780"/>
      <c r="C77" s="632" t="s">
        <v>73</v>
      </c>
      <c r="D77" s="632">
        <v>0</v>
      </c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5">
      <c r="A78" s="617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</row>
    <row r="79" spans="1:18" x14ac:dyDescent="0.25">
      <c r="A79" s="781" t="s">
        <v>155</v>
      </c>
      <c r="B79" s="780" t="s">
        <v>132</v>
      </c>
      <c r="C79" s="633" t="s">
        <v>70</v>
      </c>
      <c r="D79" s="633">
        <f>D8-P8</f>
        <v>0</v>
      </c>
      <c r="E79" s="633">
        <f>E5</f>
        <v>0</v>
      </c>
      <c r="F79" s="633">
        <f t="shared" ref="F79:R79" si="1">F5</f>
        <v>0</v>
      </c>
      <c r="G79" s="633">
        <f t="shared" si="1"/>
        <v>0</v>
      </c>
      <c r="H79" s="633">
        <f t="shared" si="1"/>
        <v>0</v>
      </c>
      <c r="I79" s="633">
        <f t="shared" si="1"/>
        <v>0</v>
      </c>
      <c r="J79" s="633">
        <f t="shared" si="1"/>
        <v>0</v>
      </c>
      <c r="K79" s="633">
        <f t="shared" si="1"/>
        <v>0</v>
      </c>
      <c r="L79" s="633">
        <f t="shared" si="1"/>
        <v>0</v>
      </c>
      <c r="M79" s="633">
        <f t="shared" si="1"/>
        <v>0</v>
      </c>
      <c r="N79" s="633">
        <f t="shared" si="1"/>
        <v>0</v>
      </c>
      <c r="O79" s="633">
        <f t="shared" si="1"/>
        <v>0</v>
      </c>
      <c r="P79" s="633">
        <f t="shared" si="1"/>
        <v>0</v>
      </c>
      <c r="Q79" s="633">
        <f t="shared" si="1"/>
        <v>0</v>
      </c>
      <c r="R79" s="633">
        <f t="shared" si="1"/>
        <v>0</v>
      </c>
    </row>
    <row r="80" spans="1:18" x14ac:dyDescent="0.25">
      <c r="A80" s="781"/>
      <c r="B80" s="780"/>
      <c r="C80" s="633" t="s">
        <v>73</v>
      </c>
      <c r="D80" s="633">
        <f>D7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722"/>
      <c r="B81" s="721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ht="12.75" customHeight="1" x14ac:dyDescent="0.25">
      <c r="A82" s="782" t="s">
        <v>326</v>
      </c>
      <c r="B82" s="780" t="s">
        <v>132</v>
      </c>
      <c r="C82" s="633" t="s">
        <v>70</v>
      </c>
      <c r="D82" s="720">
        <v>0</v>
      </c>
      <c r="E82" s="720">
        <v>0</v>
      </c>
      <c r="F82" s="720">
        <v>0</v>
      </c>
      <c r="G82" s="720">
        <v>0</v>
      </c>
      <c r="H82" s="720">
        <v>0</v>
      </c>
      <c r="I82" s="720">
        <v>0</v>
      </c>
      <c r="J82" s="720">
        <v>0</v>
      </c>
      <c r="K82" s="720">
        <v>0</v>
      </c>
      <c r="L82" s="720">
        <v>0</v>
      </c>
      <c r="M82" s="720">
        <v>0</v>
      </c>
      <c r="N82" s="720">
        <v>0</v>
      </c>
      <c r="O82" s="720">
        <v>0</v>
      </c>
      <c r="P82" s="720">
        <v>0</v>
      </c>
      <c r="Q82" s="720">
        <v>0</v>
      </c>
      <c r="R82" s="720">
        <v>0</v>
      </c>
    </row>
    <row r="83" spans="1:18" ht="12.75" customHeight="1" x14ac:dyDescent="0.25">
      <c r="A83" s="782"/>
      <c r="B83" s="780"/>
      <c r="C83" s="633" t="s">
        <v>73</v>
      </c>
      <c r="D83" s="720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1" t="s">
        <v>119</v>
      </c>
      <c r="B85" s="780" t="s">
        <v>132</v>
      </c>
      <c r="C85" s="628" t="s">
        <v>70</v>
      </c>
      <c r="D85" s="628">
        <f>D14-P14</f>
        <v>0</v>
      </c>
      <c r="E85" s="628">
        <f>E11</f>
        <v>0</v>
      </c>
      <c r="F85" s="628">
        <f t="shared" ref="F85:R85" si="2">F11</f>
        <v>0</v>
      </c>
      <c r="G85" s="628">
        <f t="shared" si="2"/>
        <v>0</v>
      </c>
      <c r="H85" s="628">
        <f t="shared" si="2"/>
        <v>0</v>
      </c>
      <c r="I85" s="628">
        <f t="shared" si="2"/>
        <v>0</v>
      </c>
      <c r="J85" s="628">
        <f t="shared" si="2"/>
        <v>0</v>
      </c>
      <c r="K85" s="628">
        <f t="shared" si="2"/>
        <v>0</v>
      </c>
      <c r="L85" s="628">
        <f t="shared" si="2"/>
        <v>0</v>
      </c>
      <c r="M85" s="628">
        <f t="shared" si="2"/>
        <v>0</v>
      </c>
      <c r="N85" s="628">
        <f t="shared" si="2"/>
        <v>0</v>
      </c>
      <c r="O85" s="628">
        <f t="shared" si="2"/>
        <v>0</v>
      </c>
      <c r="P85" s="628">
        <f t="shared" si="2"/>
        <v>0</v>
      </c>
      <c r="Q85" s="628">
        <f t="shared" si="2"/>
        <v>0</v>
      </c>
      <c r="R85" s="628">
        <f t="shared" si="2"/>
        <v>0</v>
      </c>
    </row>
    <row r="86" spans="1:18" ht="12.75" customHeight="1" x14ac:dyDescent="0.25">
      <c r="A86" s="781"/>
      <c r="B86" s="780"/>
      <c r="C86" s="628" t="s">
        <v>73</v>
      </c>
      <c r="D86" s="628">
        <f>D13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ht="12.75" customHeight="1" x14ac:dyDescent="0.25">
      <c r="A87" s="617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79" t="s">
        <v>161</v>
      </c>
      <c r="B88" s="780" t="s">
        <v>132</v>
      </c>
      <c r="C88" s="634" t="s">
        <v>70</v>
      </c>
      <c r="D88" s="634">
        <v>0</v>
      </c>
      <c r="E88" s="634">
        <v>0</v>
      </c>
      <c r="F88" s="634">
        <v>0</v>
      </c>
      <c r="G88" s="634">
        <v>0</v>
      </c>
      <c r="H88" s="634">
        <v>0</v>
      </c>
      <c r="I88" s="634">
        <v>0</v>
      </c>
      <c r="J88" s="634">
        <v>0</v>
      </c>
      <c r="K88" s="634">
        <v>0</v>
      </c>
      <c r="L88" s="634">
        <v>0</v>
      </c>
      <c r="M88" s="634">
        <v>0</v>
      </c>
      <c r="N88" s="634">
        <v>0</v>
      </c>
      <c r="O88" s="634">
        <v>0</v>
      </c>
      <c r="P88" s="634">
        <v>0</v>
      </c>
      <c r="Q88" s="634">
        <v>0</v>
      </c>
      <c r="R88" s="634">
        <v>0</v>
      </c>
    </row>
    <row r="89" spans="1:18" ht="12.75" customHeight="1" x14ac:dyDescent="0.25">
      <c r="A89" s="779"/>
      <c r="B89" s="780"/>
      <c r="C89" s="634" t="s">
        <v>73</v>
      </c>
      <c r="D89" s="634"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s="635" customFormat="1" x14ac:dyDescent="0.25"/>
    <row r="91" spans="1:18" x14ac:dyDescent="0.25">
      <c r="B91" s="617" t="s">
        <v>75</v>
      </c>
    </row>
    <row r="92" spans="1:18" ht="12.6" customHeight="1" x14ac:dyDescent="0.25">
      <c r="D92" s="618" t="s">
        <v>70</v>
      </c>
      <c r="E92" s="618" t="s">
        <v>64</v>
      </c>
      <c r="F92" s="618" t="s">
        <v>65</v>
      </c>
      <c r="G92" s="619" t="s">
        <v>164</v>
      </c>
      <c r="H92" s="618" t="s">
        <v>69</v>
      </c>
      <c r="I92" s="618" t="s">
        <v>68</v>
      </c>
      <c r="J92" s="618" t="s">
        <v>66</v>
      </c>
      <c r="K92" s="618" t="s">
        <v>63</v>
      </c>
      <c r="L92" s="618" t="s">
        <v>61</v>
      </c>
      <c r="M92" s="618" t="s">
        <v>62</v>
      </c>
      <c r="N92" s="618" t="s">
        <v>67</v>
      </c>
      <c r="O92" s="618" t="s">
        <v>77</v>
      </c>
      <c r="P92" s="616" t="s">
        <v>71</v>
      </c>
      <c r="Q92" s="618" t="s">
        <v>80</v>
      </c>
      <c r="R92" s="616" t="s">
        <v>168</v>
      </c>
    </row>
    <row r="93" spans="1:18" ht="12.75" customHeight="1" x14ac:dyDescent="0.25">
      <c r="C93" s="616" t="s">
        <v>72</v>
      </c>
      <c r="D93" s="618">
        <v>0</v>
      </c>
      <c r="E93" s="618">
        <v>0</v>
      </c>
      <c r="F93" s="618">
        <v>0</v>
      </c>
      <c r="G93" s="620">
        <v>0</v>
      </c>
      <c r="H93" s="618">
        <v>0</v>
      </c>
      <c r="I93" s="618">
        <v>0</v>
      </c>
      <c r="J93" s="618">
        <v>0</v>
      </c>
      <c r="K93" s="618">
        <v>0</v>
      </c>
      <c r="L93" s="618">
        <v>0</v>
      </c>
      <c r="M93" s="618">
        <v>0</v>
      </c>
      <c r="N93" s="618">
        <v>0</v>
      </c>
      <c r="O93" s="618">
        <v>0</v>
      </c>
      <c r="P93" s="616">
        <v>0</v>
      </c>
      <c r="Q93" s="618">
        <v>0</v>
      </c>
      <c r="R93" s="616">
        <v>0</v>
      </c>
    </row>
    <row r="94" spans="1:18" ht="12.75" customHeight="1" x14ac:dyDescent="0.25">
      <c r="C94" s="616" t="s">
        <v>81</v>
      </c>
      <c r="D94" s="618">
        <v>0</v>
      </c>
      <c r="E94" s="618">
        <v>0</v>
      </c>
      <c r="F94" s="618">
        <v>0</v>
      </c>
      <c r="G94" s="620">
        <v>0</v>
      </c>
      <c r="H94" s="618">
        <v>0</v>
      </c>
      <c r="I94" s="618">
        <v>0</v>
      </c>
      <c r="J94" s="618">
        <v>0</v>
      </c>
      <c r="K94" s="618">
        <v>0</v>
      </c>
      <c r="L94" s="618">
        <v>0</v>
      </c>
      <c r="M94" s="618">
        <v>0</v>
      </c>
      <c r="N94" s="618">
        <v>0</v>
      </c>
      <c r="O94" s="618">
        <v>0</v>
      </c>
      <c r="P94" s="616">
        <v>0</v>
      </c>
      <c r="Q94" s="618">
        <v>0</v>
      </c>
      <c r="R94" s="616">
        <v>0</v>
      </c>
    </row>
    <row r="95" spans="1:18" s="621" customFormat="1" ht="12.75" customHeight="1" x14ac:dyDescent="0.25">
      <c r="B95" s="622" t="s">
        <v>78</v>
      </c>
      <c r="C95" s="622" t="s">
        <v>70</v>
      </c>
      <c r="D95" s="622">
        <v>0</v>
      </c>
      <c r="E95" s="622">
        <v>0</v>
      </c>
      <c r="F95" s="622">
        <v>0</v>
      </c>
      <c r="G95" s="622">
        <v>0</v>
      </c>
      <c r="H95" s="622">
        <v>0</v>
      </c>
      <c r="I95" s="622">
        <v>0</v>
      </c>
      <c r="J95" s="622">
        <v>0</v>
      </c>
      <c r="K95" s="622">
        <v>0</v>
      </c>
      <c r="L95" s="622">
        <v>0</v>
      </c>
      <c r="M95" s="622">
        <v>0</v>
      </c>
      <c r="N95" s="622">
        <v>0</v>
      </c>
      <c r="O95" s="622">
        <v>0</v>
      </c>
      <c r="P95" s="621">
        <v>0</v>
      </c>
      <c r="Q95" s="622">
        <v>0</v>
      </c>
      <c r="R95" s="622">
        <v>0</v>
      </c>
    </row>
    <row r="96" spans="1:18" ht="12.75" customHeight="1" x14ac:dyDescent="0.25">
      <c r="C96" s="616" t="s">
        <v>73</v>
      </c>
      <c r="D96" s="618">
        <v>0</v>
      </c>
      <c r="E96" s="618">
        <v>0</v>
      </c>
      <c r="F96" s="618">
        <v>0</v>
      </c>
      <c r="G96" s="620">
        <v>0</v>
      </c>
      <c r="H96" s="618">
        <v>0</v>
      </c>
      <c r="I96" s="618">
        <v>0</v>
      </c>
      <c r="J96" s="618">
        <v>0</v>
      </c>
      <c r="K96" s="618">
        <v>0</v>
      </c>
      <c r="L96" s="618">
        <v>0</v>
      </c>
      <c r="M96" s="618">
        <v>0</v>
      </c>
      <c r="N96" s="618">
        <v>0</v>
      </c>
      <c r="O96" s="618">
        <v>0</v>
      </c>
      <c r="P96" s="616">
        <v>0</v>
      </c>
      <c r="Q96" s="618">
        <v>0</v>
      </c>
      <c r="R96" s="616">
        <v>0</v>
      </c>
    </row>
    <row r="97" spans="1:18" s="623" customFormat="1" ht="12.75" customHeight="1" x14ac:dyDescent="0.25">
      <c r="B97" s="623" t="s">
        <v>79</v>
      </c>
      <c r="C97" s="623" t="s">
        <v>70</v>
      </c>
      <c r="D97" s="636">
        <v>0</v>
      </c>
      <c r="E97" s="624">
        <v>0</v>
      </c>
      <c r="F97" s="624">
        <v>0</v>
      </c>
      <c r="G97" s="636">
        <v>0</v>
      </c>
      <c r="H97" s="624">
        <v>0</v>
      </c>
      <c r="I97" s="624">
        <v>0</v>
      </c>
      <c r="J97" s="624">
        <v>0</v>
      </c>
      <c r="K97" s="624">
        <v>0</v>
      </c>
      <c r="L97" s="624">
        <v>0</v>
      </c>
      <c r="M97" s="624">
        <v>0</v>
      </c>
      <c r="N97" s="624">
        <v>0</v>
      </c>
      <c r="O97" s="624">
        <v>0</v>
      </c>
      <c r="P97" s="623">
        <v>0</v>
      </c>
      <c r="Q97" s="624">
        <v>0</v>
      </c>
      <c r="R97" s="623">
        <v>0</v>
      </c>
    </row>
    <row r="98" spans="1:18" s="625" customFormat="1" ht="12.75" customHeight="1" x14ac:dyDescent="0.25">
      <c r="A98" s="625" t="s">
        <v>155</v>
      </c>
      <c r="B98" s="625" t="s">
        <v>70</v>
      </c>
      <c r="D98" s="626">
        <v>0</v>
      </c>
      <c r="E98" s="626">
        <v>0</v>
      </c>
      <c r="F98" s="626">
        <v>0</v>
      </c>
      <c r="G98" s="627">
        <v>0</v>
      </c>
      <c r="H98" s="626">
        <v>0</v>
      </c>
      <c r="I98" s="626">
        <v>0</v>
      </c>
      <c r="J98" s="626">
        <v>0</v>
      </c>
      <c r="K98" s="626">
        <v>0</v>
      </c>
      <c r="L98" s="626">
        <v>0</v>
      </c>
      <c r="M98" s="626">
        <v>0</v>
      </c>
      <c r="N98" s="626">
        <v>0</v>
      </c>
      <c r="O98" s="626">
        <v>0</v>
      </c>
      <c r="P98" s="625">
        <v>0</v>
      </c>
      <c r="Q98" s="626">
        <v>0</v>
      </c>
      <c r="R98" s="625">
        <v>0</v>
      </c>
    </row>
    <row r="99" spans="1:18" ht="12.75" customHeight="1" x14ac:dyDescent="0.25">
      <c r="C99" s="616" t="s">
        <v>72</v>
      </c>
      <c r="D99" s="620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20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32" customFormat="1" ht="12.75" customHeight="1" x14ac:dyDescent="0.25">
      <c r="A104" s="632" t="s">
        <v>120</v>
      </c>
      <c r="B104" s="632" t="s">
        <v>70</v>
      </c>
      <c r="D104" s="632">
        <v>0</v>
      </c>
      <c r="E104" s="632">
        <v>0</v>
      </c>
      <c r="F104" s="632">
        <v>0</v>
      </c>
      <c r="G104" s="632">
        <v>0</v>
      </c>
      <c r="H104" s="632">
        <v>0</v>
      </c>
      <c r="I104" s="632">
        <v>0</v>
      </c>
      <c r="J104" s="632">
        <v>0</v>
      </c>
      <c r="K104" s="632">
        <v>0</v>
      </c>
      <c r="L104" s="632">
        <v>0</v>
      </c>
      <c r="M104" s="632">
        <v>0</v>
      </c>
      <c r="N104" s="632">
        <v>0</v>
      </c>
      <c r="O104" s="632">
        <v>0</v>
      </c>
      <c r="P104" s="632">
        <v>0</v>
      </c>
      <c r="Q104" s="632">
        <v>0</v>
      </c>
      <c r="R104" s="632">
        <v>0</v>
      </c>
    </row>
    <row r="105" spans="1:18" ht="12.6" customHeight="1" x14ac:dyDescent="0.25">
      <c r="C105" s="616" t="s">
        <v>72</v>
      </c>
      <c r="D105" s="618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28" customFormat="1" ht="12.75" customHeight="1" x14ac:dyDescent="0.25">
      <c r="A110" s="628" t="s">
        <v>119</v>
      </c>
      <c r="B110" s="628" t="s">
        <v>70</v>
      </c>
      <c r="D110" s="628">
        <v>0</v>
      </c>
      <c r="E110" s="628">
        <v>0</v>
      </c>
      <c r="F110" s="628">
        <v>0</v>
      </c>
      <c r="G110" s="628">
        <v>0</v>
      </c>
      <c r="H110" s="628">
        <v>0</v>
      </c>
      <c r="I110" s="628">
        <v>0</v>
      </c>
      <c r="J110" s="628">
        <v>0</v>
      </c>
      <c r="K110" s="628">
        <v>0</v>
      </c>
      <c r="L110" s="628">
        <v>0</v>
      </c>
      <c r="M110" s="628">
        <v>0</v>
      </c>
      <c r="N110" s="628">
        <v>0</v>
      </c>
      <c r="O110" s="628">
        <v>0</v>
      </c>
      <c r="P110" s="628">
        <v>0</v>
      </c>
      <c r="Q110" s="628">
        <v>0</v>
      </c>
      <c r="R110" s="628">
        <v>0</v>
      </c>
    </row>
    <row r="111" spans="1:18" s="631" customFormat="1" ht="12.75" customHeight="1" x14ac:dyDescent="0.25">
      <c r="A111" s="630" t="s">
        <v>70</v>
      </c>
      <c r="D111" s="630">
        <v>0</v>
      </c>
      <c r="E111" s="630">
        <v>0</v>
      </c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1">
        <v>0</v>
      </c>
      <c r="Q111" s="630">
        <v>0</v>
      </c>
      <c r="R111" s="630">
        <v>0</v>
      </c>
    </row>
    <row r="112" spans="1:18" ht="12.75" customHeight="1" x14ac:dyDescent="0.25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5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5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5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5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5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8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8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8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8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8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8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8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8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8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8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8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8" ht="12.75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8" ht="12.75" customHeight="1" x14ac:dyDescent="0.25">
      <c r="A174" s="781" t="s">
        <v>2</v>
      </c>
      <c r="B174" s="780" t="s">
        <v>132</v>
      </c>
      <c r="C174" s="766" t="s">
        <v>70</v>
      </c>
      <c r="D174" s="766">
        <f>D111-P111</f>
        <v>0</v>
      </c>
      <c r="E174" s="766">
        <f>E95+E101+E107</f>
        <v>0</v>
      </c>
      <c r="F174" s="766">
        <f t="shared" ref="F174:R174" si="3">F95+F101+F107</f>
        <v>0</v>
      </c>
      <c r="G174" s="766">
        <f t="shared" si="3"/>
        <v>0</v>
      </c>
      <c r="H174" s="766">
        <f t="shared" si="3"/>
        <v>0</v>
      </c>
      <c r="I174" s="766">
        <f t="shared" si="3"/>
        <v>0</v>
      </c>
      <c r="J174" s="766">
        <f t="shared" si="3"/>
        <v>0</v>
      </c>
      <c r="K174" s="766">
        <f t="shared" si="3"/>
        <v>0</v>
      </c>
      <c r="L174" s="766">
        <f t="shared" si="3"/>
        <v>0</v>
      </c>
      <c r="M174" s="766">
        <f t="shared" si="3"/>
        <v>0</v>
      </c>
      <c r="N174" s="766">
        <f t="shared" si="3"/>
        <v>0</v>
      </c>
      <c r="O174" s="766">
        <f t="shared" si="3"/>
        <v>0</v>
      </c>
      <c r="P174" s="766">
        <f t="shared" si="3"/>
        <v>0</v>
      </c>
      <c r="Q174" s="766">
        <f t="shared" si="3"/>
        <v>0</v>
      </c>
      <c r="R174" s="766">
        <f t="shared" si="3"/>
        <v>0</v>
      </c>
    </row>
    <row r="175" spans="1:18" ht="12.75" customHeight="1" x14ac:dyDescent="0.25">
      <c r="A175" s="781"/>
      <c r="B175" s="780"/>
      <c r="C175" s="766" t="s">
        <v>73</v>
      </c>
      <c r="D175" s="766">
        <f>D97+D103+D109</f>
        <v>0</v>
      </c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</row>
    <row r="176" spans="1:18" ht="12.75" customHeight="1" x14ac:dyDescent="0.25">
      <c r="A176" s="617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  <c r="Q176" s="618"/>
    </row>
    <row r="177" spans="1:18" ht="12.75" customHeight="1" x14ac:dyDescent="0.25">
      <c r="A177" s="781" t="s">
        <v>160</v>
      </c>
      <c r="B177" s="780" t="s">
        <v>132</v>
      </c>
      <c r="C177" s="632" t="s">
        <v>70</v>
      </c>
      <c r="D177" s="632">
        <f>D104-P104</f>
        <v>0</v>
      </c>
      <c r="E177" s="632">
        <f>E101</f>
        <v>0</v>
      </c>
      <c r="F177" s="632">
        <f t="shared" ref="F177:R177" si="4">F101</f>
        <v>0</v>
      </c>
      <c r="G177" s="632">
        <f t="shared" si="4"/>
        <v>0</v>
      </c>
      <c r="H177" s="632">
        <f t="shared" si="4"/>
        <v>0</v>
      </c>
      <c r="I177" s="632">
        <f t="shared" si="4"/>
        <v>0</v>
      </c>
      <c r="J177" s="632">
        <f t="shared" si="4"/>
        <v>0</v>
      </c>
      <c r="K177" s="632">
        <f t="shared" si="4"/>
        <v>0</v>
      </c>
      <c r="L177" s="632">
        <f t="shared" si="4"/>
        <v>0</v>
      </c>
      <c r="M177" s="632">
        <f t="shared" si="4"/>
        <v>0</v>
      </c>
      <c r="N177" s="632">
        <f t="shared" si="4"/>
        <v>0</v>
      </c>
      <c r="O177" s="632">
        <f t="shared" si="4"/>
        <v>0</v>
      </c>
      <c r="P177" s="632">
        <f t="shared" si="4"/>
        <v>0</v>
      </c>
      <c r="Q177" s="632">
        <f t="shared" si="4"/>
        <v>0</v>
      </c>
      <c r="R177" s="632">
        <f t="shared" si="4"/>
        <v>0</v>
      </c>
    </row>
    <row r="178" spans="1:18" ht="12.75" customHeight="1" x14ac:dyDescent="0.25">
      <c r="A178" s="781"/>
      <c r="B178" s="780"/>
      <c r="C178" s="632" t="s">
        <v>73</v>
      </c>
      <c r="D178" s="632">
        <f>D103</f>
        <v>0</v>
      </c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  <c r="Q178" s="618"/>
    </row>
    <row r="179" spans="1:18" ht="12.75" customHeight="1" x14ac:dyDescent="0.25">
      <c r="A179" s="617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</row>
    <row r="180" spans="1:18" ht="12.75" customHeight="1" x14ac:dyDescent="0.25">
      <c r="A180" s="781" t="s">
        <v>155</v>
      </c>
      <c r="B180" s="780" t="s">
        <v>132</v>
      </c>
      <c r="C180" s="633" t="s">
        <v>70</v>
      </c>
      <c r="D180" s="633">
        <f>D98-P98</f>
        <v>0</v>
      </c>
      <c r="E180" s="633">
        <f>E95</f>
        <v>0</v>
      </c>
      <c r="F180" s="633">
        <f t="shared" ref="F180:R180" si="5">F95</f>
        <v>0</v>
      </c>
      <c r="G180" s="633">
        <f t="shared" si="5"/>
        <v>0</v>
      </c>
      <c r="H180" s="633">
        <f t="shared" si="5"/>
        <v>0</v>
      </c>
      <c r="I180" s="633">
        <f t="shared" si="5"/>
        <v>0</v>
      </c>
      <c r="J180" s="633">
        <f t="shared" si="5"/>
        <v>0</v>
      </c>
      <c r="K180" s="633">
        <f t="shared" si="5"/>
        <v>0</v>
      </c>
      <c r="L180" s="633">
        <f t="shared" si="5"/>
        <v>0</v>
      </c>
      <c r="M180" s="633">
        <f t="shared" si="5"/>
        <v>0</v>
      </c>
      <c r="N180" s="633">
        <f t="shared" si="5"/>
        <v>0</v>
      </c>
      <c r="O180" s="633">
        <f t="shared" si="5"/>
        <v>0</v>
      </c>
      <c r="P180" s="633">
        <f t="shared" si="5"/>
        <v>0</v>
      </c>
      <c r="Q180" s="633">
        <f t="shared" si="5"/>
        <v>0</v>
      </c>
      <c r="R180" s="633">
        <f t="shared" si="5"/>
        <v>0</v>
      </c>
    </row>
    <row r="181" spans="1:18" ht="12.75" customHeight="1" x14ac:dyDescent="0.25">
      <c r="A181" s="781"/>
      <c r="B181" s="780"/>
      <c r="C181" s="633" t="s">
        <v>73</v>
      </c>
      <c r="D181" s="633">
        <f>D97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722"/>
      <c r="B182" s="721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326</v>
      </c>
      <c r="B183" s="780" t="s">
        <v>132</v>
      </c>
      <c r="C183" s="633" t="s">
        <v>70</v>
      </c>
      <c r="D183" s="720">
        <v>0</v>
      </c>
      <c r="E183" s="720">
        <v>0</v>
      </c>
      <c r="F183" s="720">
        <v>0</v>
      </c>
      <c r="G183" s="720">
        <v>0</v>
      </c>
      <c r="H183" s="720">
        <v>0</v>
      </c>
      <c r="I183" s="720">
        <v>0</v>
      </c>
      <c r="J183" s="720">
        <v>0</v>
      </c>
      <c r="K183" s="720">
        <v>0</v>
      </c>
      <c r="L183" s="720">
        <v>0</v>
      </c>
      <c r="M183" s="720">
        <v>0</v>
      </c>
      <c r="N183" s="720">
        <v>0</v>
      </c>
      <c r="O183" s="720">
        <v>0</v>
      </c>
      <c r="P183" s="720">
        <v>0</v>
      </c>
      <c r="Q183" s="720">
        <v>0</v>
      </c>
      <c r="R183" s="720">
        <v>0</v>
      </c>
    </row>
    <row r="184" spans="1:18" ht="12.75" customHeight="1" x14ac:dyDescent="0.25">
      <c r="A184" s="782"/>
      <c r="B184" s="780"/>
      <c r="C184" s="633" t="s">
        <v>73</v>
      </c>
      <c r="D184" s="720"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1" t="s">
        <v>119</v>
      </c>
      <c r="B186" s="780" t="s">
        <v>132</v>
      </c>
      <c r="C186" s="628" t="s">
        <v>70</v>
      </c>
      <c r="D186" s="628">
        <f>D110-P110</f>
        <v>0</v>
      </c>
      <c r="E186" s="628">
        <f>E107</f>
        <v>0</v>
      </c>
      <c r="F186" s="628">
        <f t="shared" ref="F186:R186" si="6">F107</f>
        <v>0</v>
      </c>
      <c r="G186" s="628">
        <f t="shared" si="6"/>
        <v>0</v>
      </c>
      <c r="H186" s="628">
        <f t="shared" si="6"/>
        <v>0</v>
      </c>
      <c r="I186" s="628">
        <f t="shared" si="6"/>
        <v>0</v>
      </c>
      <c r="J186" s="628">
        <f t="shared" si="6"/>
        <v>0</v>
      </c>
      <c r="K186" s="628">
        <f t="shared" si="6"/>
        <v>0</v>
      </c>
      <c r="L186" s="628">
        <f t="shared" si="6"/>
        <v>0</v>
      </c>
      <c r="M186" s="628">
        <f t="shared" si="6"/>
        <v>0</v>
      </c>
      <c r="N186" s="628">
        <f t="shared" si="6"/>
        <v>0</v>
      </c>
      <c r="O186" s="628">
        <f t="shared" si="6"/>
        <v>0</v>
      </c>
      <c r="P186" s="628">
        <f t="shared" si="6"/>
        <v>0</v>
      </c>
      <c r="Q186" s="628">
        <f t="shared" si="6"/>
        <v>0</v>
      </c>
      <c r="R186" s="628">
        <f t="shared" si="6"/>
        <v>0</v>
      </c>
    </row>
    <row r="187" spans="1:18" ht="12.75" customHeight="1" x14ac:dyDescent="0.25">
      <c r="A187" s="781"/>
      <c r="B187" s="780"/>
      <c r="C187" s="628" t="s">
        <v>73</v>
      </c>
      <c r="D187" s="628">
        <f>D109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  <c r="R187" s="618"/>
    </row>
    <row r="188" spans="1:18" ht="12.75" customHeight="1" x14ac:dyDescent="0.25">
      <c r="A188" s="617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  <c r="R188" s="618"/>
    </row>
    <row r="189" spans="1:18" ht="12.75" customHeight="1" x14ac:dyDescent="0.25">
      <c r="A189" s="779" t="s">
        <v>161</v>
      </c>
      <c r="B189" s="780" t="s">
        <v>132</v>
      </c>
      <c r="C189" s="634" t="s">
        <v>70</v>
      </c>
      <c r="D189" s="634">
        <v>0</v>
      </c>
      <c r="E189" s="634">
        <v>0</v>
      </c>
      <c r="F189" s="634">
        <v>0</v>
      </c>
      <c r="G189" s="634">
        <v>0</v>
      </c>
      <c r="H189" s="634">
        <v>0</v>
      </c>
      <c r="I189" s="634">
        <v>0</v>
      </c>
      <c r="J189" s="634">
        <v>0</v>
      </c>
      <c r="K189" s="634">
        <v>0</v>
      </c>
      <c r="L189" s="634">
        <v>0</v>
      </c>
      <c r="M189" s="634">
        <v>0</v>
      </c>
      <c r="N189" s="634">
        <v>0</v>
      </c>
      <c r="O189" s="634">
        <v>0</v>
      </c>
      <c r="P189" s="634">
        <v>0</v>
      </c>
      <c r="Q189" s="634">
        <v>0</v>
      </c>
      <c r="R189" s="634">
        <v>0</v>
      </c>
    </row>
    <row r="190" spans="1:18" ht="12.75" customHeight="1" x14ac:dyDescent="0.25">
      <c r="A190" s="779"/>
      <c r="B190" s="780"/>
      <c r="C190" s="634" t="s">
        <v>73</v>
      </c>
      <c r="D190" s="634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s="635" customFormat="1" x14ac:dyDescent="0.25"/>
    <row r="192" spans="1:18" x14ac:dyDescent="0.25">
      <c r="B192" s="617" t="s">
        <v>76</v>
      </c>
    </row>
    <row r="193" spans="1:18" x14ac:dyDescent="0.25">
      <c r="D193" s="618" t="s">
        <v>70</v>
      </c>
      <c r="E193" s="618" t="s">
        <v>64</v>
      </c>
      <c r="F193" s="618" t="s">
        <v>65</v>
      </c>
      <c r="G193" s="619" t="s">
        <v>164</v>
      </c>
      <c r="H193" s="618" t="s">
        <v>69</v>
      </c>
      <c r="I193" s="618" t="s">
        <v>68</v>
      </c>
      <c r="J193" s="618" t="s">
        <v>66</v>
      </c>
      <c r="K193" s="618" t="s">
        <v>63</v>
      </c>
      <c r="L193" s="618" t="s">
        <v>61</v>
      </c>
      <c r="M193" s="618" t="s">
        <v>62</v>
      </c>
      <c r="N193" s="618" t="s">
        <v>67</v>
      </c>
      <c r="O193" s="618" t="s">
        <v>77</v>
      </c>
      <c r="P193" s="616" t="s">
        <v>71</v>
      </c>
      <c r="Q193" s="618" t="s">
        <v>80</v>
      </c>
      <c r="R193" s="616" t="s">
        <v>168</v>
      </c>
    </row>
    <row r="194" spans="1:18" ht="12.75" customHeight="1" x14ac:dyDescent="0.25">
      <c r="B194" s="618"/>
      <c r="C194" s="618" t="s">
        <v>72</v>
      </c>
      <c r="D194" s="618">
        <v>0</v>
      </c>
      <c r="E194" s="618">
        <v>0</v>
      </c>
      <c r="F194" s="618">
        <v>0</v>
      </c>
      <c r="G194" s="618">
        <v>0</v>
      </c>
      <c r="H194" s="618">
        <v>0</v>
      </c>
      <c r="I194" s="618">
        <v>0</v>
      </c>
      <c r="J194" s="618">
        <v>0</v>
      </c>
      <c r="K194" s="618">
        <v>0</v>
      </c>
      <c r="L194" s="618">
        <v>0</v>
      </c>
      <c r="M194" s="618">
        <v>0</v>
      </c>
      <c r="N194" s="618">
        <v>0</v>
      </c>
      <c r="O194" s="618">
        <v>0</v>
      </c>
      <c r="P194" s="616">
        <v>0</v>
      </c>
      <c r="Q194" s="618">
        <v>0</v>
      </c>
      <c r="R194" s="618">
        <v>0</v>
      </c>
    </row>
    <row r="195" spans="1:18" ht="12.75" customHeight="1" x14ac:dyDescent="0.25">
      <c r="B195" s="618"/>
      <c r="C195" s="618" t="s">
        <v>81</v>
      </c>
      <c r="D195" s="618">
        <v>0</v>
      </c>
      <c r="E195" s="618">
        <v>0</v>
      </c>
      <c r="F195" s="618">
        <v>0</v>
      </c>
      <c r="G195" s="618">
        <v>0</v>
      </c>
      <c r="H195" s="618">
        <v>0</v>
      </c>
      <c r="I195" s="618">
        <v>0</v>
      </c>
      <c r="J195" s="618">
        <v>0</v>
      </c>
      <c r="K195" s="618">
        <v>0</v>
      </c>
      <c r="L195" s="618">
        <v>0</v>
      </c>
      <c r="M195" s="618">
        <v>0</v>
      </c>
      <c r="N195" s="618">
        <v>0</v>
      </c>
      <c r="O195" s="618">
        <v>0</v>
      </c>
      <c r="P195" s="616">
        <v>0</v>
      </c>
      <c r="Q195" s="618">
        <v>0</v>
      </c>
      <c r="R195" s="618">
        <v>0</v>
      </c>
    </row>
    <row r="196" spans="1:18" s="621" customFormat="1" ht="12.75" customHeight="1" x14ac:dyDescent="0.25">
      <c r="B196" s="622" t="s">
        <v>78</v>
      </c>
      <c r="C196" s="622" t="s">
        <v>70</v>
      </c>
      <c r="D196" s="622">
        <v>0</v>
      </c>
      <c r="E196" s="622">
        <v>0</v>
      </c>
      <c r="F196" s="622">
        <v>0</v>
      </c>
      <c r="G196" s="622">
        <v>0</v>
      </c>
      <c r="H196" s="622">
        <v>0</v>
      </c>
      <c r="I196" s="622">
        <v>0</v>
      </c>
      <c r="J196" s="622">
        <v>0</v>
      </c>
      <c r="K196" s="622">
        <v>0</v>
      </c>
      <c r="L196" s="622">
        <v>0</v>
      </c>
      <c r="M196" s="622">
        <v>0</v>
      </c>
      <c r="N196" s="622">
        <v>0</v>
      </c>
      <c r="O196" s="622">
        <v>0</v>
      </c>
      <c r="P196" s="621">
        <v>0</v>
      </c>
      <c r="Q196" s="622">
        <v>0</v>
      </c>
      <c r="R196" s="622">
        <v>0</v>
      </c>
    </row>
    <row r="197" spans="1:18" ht="12.75" customHeight="1" x14ac:dyDescent="0.25">
      <c r="B197" s="618"/>
      <c r="C197" s="618" t="s">
        <v>73</v>
      </c>
      <c r="D197" s="618">
        <v>0</v>
      </c>
      <c r="E197" s="618">
        <v>0</v>
      </c>
      <c r="F197" s="618">
        <v>0</v>
      </c>
      <c r="G197" s="618">
        <v>0</v>
      </c>
      <c r="H197" s="618">
        <v>0</v>
      </c>
      <c r="I197" s="618">
        <v>0</v>
      </c>
      <c r="J197" s="618">
        <v>0</v>
      </c>
      <c r="K197" s="618">
        <v>0</v>
      </c>
      <c r="L197" s="618">
        <v>0</v>
      </c>
      <c r="M197" s="618">
        <v>0</v>
      </c>
      <c r="N197" s="618">
        <v>0</v>
      </c>
      <c r="O197" s="618">
        <v>0</v>
      </c>
      <c r="P197" s="616">
        <v>0</v>
      </c>
      <c r="Q197" s="618">
        <v>0</v>
      </c>
      <c r="R197" s="618">
        <v>0</v>
      </c>
    </row>
    <row r="198" spans="1:18" s="623" customFormat="1" ht="12.75" customHeight="1" x14ac:dyDescent="0.25">
      <c r="B198" s="623" t="s">
        <v>79</v>
      </c>
      <c r="C198" s="623" t="s">
        <v>70</v>
      </c>
      <c r="D198" s="624">
        <v>0</v>
      </c>
      <c r="E198" s="624">
        <v>0</v>
      </c>
      <c r="F198" s="624">
        <v>0</v>
      </c>
      <c r="G198" s="636">
        <v>0</v>
      </c>
      <c r="H198" s="624">
        <v>0</v>
      </c>
      <c r="I198" s="624">
        <v>0</v>
      </c>
      <c r="J198" s="624">
        <v>0</v>
      </c>
      <c r="K198" s="624">
        <v>0</v>
      </c>
      <c r="L198" s="624">
        <v>0</v>
      </c>
      <c r="M198" s="624">
        <v>0</v>
      </c>
      <c r="N198" s="624">
        <v>0</v>
      </c>
      <c r="O198" s="624">
        <v>0</v>
      </c>
      <c r="P198" s="624">
        <v>0</v>
      </c>
      <c r="Q198" s="624">
        <v>0</v>
      </c>
      <c r="R198" s="623">
        <v>0</v>
      </c>
    </row>
    <row r="199" spans="1:18" s="637" customFormat="1" ht="12.75" customHeight="1" x14ac:dyDescent="0.25">
      <c r="A199" s="637" t="s">
        <v>155</v>
      </c>
      <c r="B199" s="633" t="s">
        <v>70</v>
      </c>
      <c r="C199" s="633"/>
      <c r="D199" s="633">
        <v>0</v>
      </c>
      <c r="E199" s="633">
        <v>0</v>
      </c>
      <c r="F199" s="633">
        <v>0</v>
      </c>
      <c r="G199" s="633">
        <v>0</v>
      </c>
      <c r="H199" s="633">
        <v>0</v>
      </c>
      <c r="I199" s="633">
        <v>0</v>
      </c>
      <c r="J199" s="633">
        <v>0</v>
      </c>
      <c r="K199" s="633">
        <v>0</v>
      </c>
      <c r="L199" s="633">
        <v>0</v>
      </c>
      <c r="M199" s="633">
        <v>0</v>
      </c>
      <c r="N199" s="633">
        <v>0</v>
      </c>
      <c r="O199" s="633">
        <v>0</v>
      </c>
      <c r="P199" s="637">
        <v>0</v>
      </c>
      <c r="Q199" s="633">
        <v>0</v>
      </c>
      <c r="R199" s="633">
        <v>0</v>
      </c>
    </row>
    <row r="200" spans="1:18" ht="12.75" customHeight="1" x14ac:dyDescent="0.25">
      <c r="C200" s="616" t="s">
        <v>72</v>
      </c>
      <c r="D200" s="618">
        <v>0</v>
      </c>
      <c r="E200" s="618">
        <v>0</v>
      </c>
      <c r="F200" s="618">
        <v>0</v>
      </c>
      <c r="G200" s="620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8">
        <v>0</v>
      </c>
      <c r="Q200" s="618">
        <v>0</v>
      </c>
      <c r="R200" s="616">
        <v>0</v>
      </c>
    </row>
    <row r="201" spans="1:18" ht="12.6" customHeight="1" x14ac:dyDescent="0.25">
      <c r="C201" s="616" t="s">
        <v>81</v>
      </c>
      <c r="D201" s="618">
        <v>0</v>
      </c>
      <c r="E201" s="618">
        <v>0</v>
      </c>
      <c r="F201" s="618">
        <v>0</v>
      </c>
      <c r="G201" s="620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8">
        <v>0</v>
      </c>
      <c r="Q201" s="618">
        <v>0</v>
      </c>
      <c r="R201" s="616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C203" s="616" t="s">
        <v>73</v>
      </c>
      <c r="D203" s="618">
        <v>0</v>
      </c>
      <c r="E203" s="618">
        <v>0</v>
      </c>
      <c r="F203" s="618">
        <v>0</v>
      </c>
      <c r="G203" s="620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8">
        <v>0</v>
      </c>
      <c r="Q203" s="618">
        <v>0</v>
      </c>
      <c r="R203" s="616">
        <v>0</v>
      </c>
    </row>
    <row r="204" spans="1:18" s="623" customFormat="1" ht="12.75" customHeight="1" x14ac:dyDescent="0.25">
      <c r="B204" s="624" t="s">
        <v>79</v>
      </c>
      <c r="C204" s="624" t="s">
        <v>70</v>
      </c>
      <c r="D204" s="624">
        <v>0</v>
      </c>
      <c r="E204" s="624">
        <v>0</v>
      </c>
      <c r="F204" s="624">
        <v>0</v>
      </c>
      <c r="G204" s="624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3">
        <v>0</v>
      </c>
      <c r="Q204" s="624">
        <v>0</v>
      </c>
      <c r="R204" s="624">
        <v>0</v>
      </c>
    </row>
    <row r="205" spans="1:18" s="628" customFormat="1" ht="12.75" customHeight="1" x14ac:dyDescent="0.25">
      <c r="A205" s="628" t="s">
        <v>119</v>
      </c>
      <c r="B205" s="628" t="s">
        <v>70</v>
      </c>
      <c r="D205" s="628">
        <v>0</v>
      </c>
      <c r="E205" s="628">
        <v>0</v>
      </c>
      <c r="F205" s="628">
        <v>0</v>
      </c>
      <c r="G205" s="628">
        <v>0</v>
      </c>
      <c r="H205" s="628">
        <v>0</v>
      </c>
      <c r="I205" s="628">
        <v>0</v>
      </c>
      <c r="J205" s="628">
        <v>0</v>
      </c>
      <c r="K205" s="628">
        <v>0</v>
      </c>
      <c r="L205" s="628">
        <v>0</v>
      </c>
      <c r="M205" s="628">
        <v>0</v>
      </c>
      <c r="N205" s="628">
        <v>0</v>
      </c>
      <c r="O205" s="628">
        <v>0</v>
      </c>
      <c r="P205" s="628">
        <v>0</v>
      </c>
      <c r="Q205" s="628">
        <v>0</v>
      </c>
      <c r="R205" s="628">
        <v>0</v>
      </c>
    </row>
    <row r="206" spans="1:18" s="631" customFormat="1" ht="12.75" customHeight="1" x14ac:dyDescent="0.25">
      <c r="A206" s="630" t="s">
        <v>70</v>
      </c>
      <c r="D206" s="630">
        <v>0</v>
      </c>
      <c r="E206" s="630">
        <v>0</v>
      </c>
      <c r="F206" s="630">
        <v>0</v>
      </c>
      <c r="G206" s="630">
        <v>0</v>
      </c>
      <c r="H206" s="630">
        <v>0</v>
      </c>
      <c r="I206" s="630">
        <v>0</v>
      </c>
      <c r="J206" s="630">
        <v>0</v>
      </c>
      <c r="K206" s="630">
        <v>0</v>
      </c>
      <c r="L206" s="630">
        <v>0</v>
      </c>
      <c r="M206" s="630">
        <v>0</v>
      </c>
      <c r="N206" s="630">
        <v>0</v>
      </c>
      <c r="O206" s="630">
        <v>0</v>
      </c>
      <c r="P206" s="631">
        <v>0</v>
      </c>
      <c r="Q206" s="631">
        <v>0</v>
      </c>
      <c r="R206" s="631">
        <v>0</v>
      </c>
    </row>
    <row r="207" spans="1:18" ht="12.75" customHeight="1" x14ac:dyDescent="0.25">
      <c r="A207" s="618"/>
      <c r="D207" s="618"/>
      <c r="E207" s="618"/>
      <c r="F207" s="618"/>
      <c r="G207" s="618"/>
      <c r="H207" s="618"/>
      <c r="I207" s="618"/>
      <c r="J207" s="618"/>
      <c r="K207" s="618"/>
      <c r="L207" s="618"/>
      <c r="M207" s="618"/>
      <c r="N207" s="618"/>
      <c r="O207" s="618"/>
    </row>
    <row r="208" spans="1:18" ht="12.75" customHeight="1" x14ac:dyDescent="0.25">
      <c r="A208" s="618"/>
      <c r="D208" s="618"/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</row>
    <row r="209" spans="1:18" ht="12.75" customHeight="1" x14ac:dyDescent="0.25">
      <c r="A209" s="618"/>
      <c r="D209" s="618"/>
      <c r="E209" s="618"/>
      <c r="F209" s="618"/>
      <c r="G209" s="618"/>
      <c r="H209" s="618"/>
      <c r="I209" s="618"/>
      <c r="J209" s="618"/>
      <c r="K209" s="618"/>
      <c r="L209" s="618"/>
      <c r="M209" s="618"/>
      <c r="N209" s="618"/>
      <c r="O209" s="618"/>
    </row>
    <row r="210" spans="1:18" ht="12.75" customHeight="1" x14ac:dyDescent="0.25">
      <c r="A210" s="618"/>
      <c r="D210" s="618"/>
      <c r="E210" s="618"/>
      <c r="F210" s="618"/>
      <c r="G210" s="618"/>
      <c r="H210" s="618"/>
      <c r="I210" s="618"/>
      <c r="J210" s="618"/>
      <c r="K210" s="618"/>
      <c r="L210" s="618"/>
      <c r="M210" s="618"/>
      <c r="N210" s="618"/>
      <c r="O210" s="618"/>
    </row>
    <row r="211" spans="1:18" ht="12.75" customHeight="1" x14ac:dyDescent="0.25">
      <c r="A211" s="781" t="s">
        <v>2</v>
      </c>
      <c r="B211" s="780" t="s">
        <v>132</v>
      </c>
      <c r="C211" s="766" t="s">
        <v>70</v>
      </c>
      <c r="D211" s="766">
        <f>D206-P206</f>
        <v>0</v>
      </c>
      <c r="E211" s="766">
        <f>E196+E202</f>
        <v>0</v>
      </c>
      <c r="F211" s="766">
        <f t="shared" ref="F211:R211" si="7">F196+F202</f>
        <v>0</v>
      </c>
      <c r="G211" s="766">
        <f t="shared" si="7"/>
        <v>0</v>
      </c>
      <c r="H211" s="766">
        <f t="shared" si="7"/>
        <v>0</v>
      </c>
      <c r="I211" s="766">
        <f t="shared" si="7"/>
        <v>0</v>
      </c>
      <c r="J211" s="766">
        <f t="shared" si="7"/>
        <v>0</v>
      </c>
      <c r="K211" s="766">
        <f t="shared" si="7"/>
        <v>0</v>
      </c>
      <c r="L211" s="766">
        <f t="shared" si="7"/>
        <v>0</v>
      </c>
      <c r="M211" s="766">
        <f t="shared" si="7"/>
        <v>0</v>
      </c>
      <c r="N211" s="766">
        <f t="shared" si="7"/>
        <v>0</v>
      </c>
      <c r="O211" s="766">
        <f t="shared" si="7"/>
        <v>0</v>
      </c>
      <c r="P211" s="766">
        <f t="shared" si="7"/>
        <v>0</v>
      </c>
      <c r="Q211" s="766">
        <f t="shared" si="7"/>
        <v>0</v>
      </c>
      <c r="R211" s="766">
        <f t="shared" si="7"/>
        <v>0</v>
      </c>
    </row>
    <row r="212" spans="1:18" ht="12.75" customHeight="1" x14ac:dyDescent="0.25">
      <c r="A212" s="781"/>
      <c r="B212" s="780"/>
      <c r="C212" s="766" t="s">
        <v>73</v>
      </c>
      <c r="D212" s="766">
        <f>D198+D204</f>
        <v>0</v>
      </c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</row>
    <row r="213" spans="1:18" ht="12.75" customHeight="1" x14ac:dyDescent="0.25">
      <c r="A213" s="617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  <c r="P213" s="618"/>
      <c r="Q213" s="618"/>
      <c r="R213" s="618"/>
    </row>
    <row r="214" spans="1:18" ht="12.75" customHeight="1" x14ac:dyDescent="0.25">
      <c r="A214" s="781" t="s">
        <v>160</v>
      </c>
      <c r="B214" s="780" t="s">
        <v>132</v>
      </c>
      <c r="C214" s="632" t="s">
        <v>70</v>
      </c>
      <c r="D214" s="632">
        <v>0</v>
      </c>
      <c r="E214" s="632">
        <v>0</v>
      </c>
      <c r="F214" s="632">
        <v>0</v>
      </c>
      <c r="G214" s="632">
        <v>0</v>
      </c>
      <c r="H214" s="632">
        <v>0</v>
      </c>
      <c r="I214" s="632">
        <v>0</v>
      </c>
      <c r="J214" s="632">
        <v>0</v>
      </c>
      <c r="K214" s="632">
        <v>0</v>
      </c>
      <c r="L214" s="632">
        <v>0</v>
      </c>
      <c r="M214" s="632">
        <v>0</v>
      </c>
      <c r="N214" s="632">
        <v>0</v>
      </c>
      <c r="O214" s="632">
        <v>0</v>
      </c>
      <c r="P214" s="632">
        <v>0</v>
      </c>
      <c r="Q214" s="632">
        <v>0</v>
      </c>
      <c r="R214" s="632">
        <v>0</v>
      </c>
    </row>
    <row r="215" spans="1:18" ht="12.75" customHeight="1" x14ac:dyDescent="0.25">
      <c r="A215" s="781"/>
      <c r="B215" s="780"/>
      <c r="C215" s="632" t="s">
        <v>73</v>
      </c>
      <c r="D215" s="632">
        <v>0</v>
      </c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  <c r="P215" s="618"/>
      <c r="Q215" s="618"/>
      <c r="R215" s="618"/>
    </row>
    <row r="216" spans="1:18" ht="12.75" customHeight="1" x14ac:dyDescent="0.25">
      <c r="A216" s="617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  <c r="P216" s="618"/>
      <c r="Q216" s="618"/>
      <c r="R216" s="618"/>
    </row>
    <row r="217" spans="1:18" ht="12.75" customHeight="1" x14ac:dyDescent="0.25">
      <c r="A217" s="781" t="s">
        <v>155</v>
      </c>
      <c r="B217" s="780" t="s">
        <v>132</v>
      </c>
      <c r="C217" s="633" t="s">
        <v>70</v>
      </c>
      <c r="D217" s="633">
        <f>D199-P199</f>
        <v>0</v>
      </c>
      <c r="E217" s="633">
        <f>E196</f>
        <v>0</v>
      </c>
      <c r="F217" s="633">
        <f t="shared" ref="F217:R217" si="8">F196</f>
        <v>0</v>
      </c>
      <c r="G217" s="633">
        <f t="shared" si="8"/>
        <v>0</v>
      </c>
      <c r="H217" s="633">
        <f t="shared" si="8"/>
        <v>0</v>
      </c>
      <c r="I217" s="633">
        <f t="shared" si="8"/>
        <v>0</v>
      </c>
      <c r="J217" s="633">
        <f t="shared" si="8"/>
        <v>0</v>
      </c>
      <c r="K217" s="633">
        <f t="shared" si="8"/>
        <v>0</v>
      </c>
      <c r="L217" s="633">
        <f t="shared" si="8"/>
        <v>0</v>
      </c>
      <c r="M217" s="633">
        <f t="shared" si="8"/>
        <v>0</v>
      </c>
      <c r="N217" s="633">
        <f t="shared" si="8"/>
        <v>0</v>
      </c>
      <c r="O217" s="633">
        <f t="shared" si="8"/>
        <v>0</v>
      </c>
      <c r="P217" s="633">
        <f t="shared" si="8"/>
        <v>0</v>
      </c>
      <c r="Q217" s="633">
        <f t="shared" si="8"/>
        <v>0</v>
      </c>
      <c r="R217" s="633">
        <f t="shared" si="8"/>
        <v>0</v>
      </c>
    </row>
    <row r="218" spans="1:18" ht="12.75" customHeight="1" x14ac:dyDescent="0.25">
      <c r="A218" s="781"/>
      <c r="B218" s="780"/>
      <c r="C218" s="633" t="s">
        <v>73</v>
      </c>
      <c r="D218" s="633">
        <f>D198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722"/>
      <c r="B219" s="721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326</v>
      </c>
      <c r="B220" s="780" t="s">
        <v>132</v>
      </c>
      <c r="C220" s="633" t="s">
        <v>70</v>
      </c>
      <c r="D220" s="720">
        <v>0</v>
      </c>
      <c r="E220" s="720">
        <v>0</v>
      </c>
      <c r="F220" s="720">
        <v>0</v>
      </c>
      <c r="G220" s="720">
        <v>0</v>
      </c>
      <c r="H220" s="720">
        <v>0</v>
      </c>
      <c r="I220" s="720">
        <v>0</v>
      </c>
      <c r="J220" s="720">
        <v>0</v>
      </c>
      <c r="K220" s="720">
        <v>0</v>
      </c>
      <c r="L220" s="720">
        <v>0</v>
      </c>
      <c r="M220" s="720">
        <v>0</v>
      </c>
      <c r="N220" s="720">
        <v>0</v>
      </c>
      <c r="O220" s="720">
        <v>0</v>
      </c>
      <c r="P220" s="720">
        <v>0</v>
      </c>
      <c r="Q220" s="720">
        <v>0</v>
      </c>
      <c r="R220" s="720">
        <v>0</v>
      </c>
    </row>
    <row r="221" spans="1:18" ht="12.75" customHeight="1" x14ac:dyDescent="0.25">
      <c r="A221" s="782"/>
      <c r="B221" s="780"/>
      <c r="C221" s="633" t="s">
        <v>73</v>
      </c>
      <c r="D221" s="720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1" t="s">
        <v>119</v>
      </c>
      <c r="B223" s="780" t="s">
        <v>132</v>
      </c>
      <c r="C223" s="628" t="s">
        <v>70</v>
      </c>
      <c r="D223" s="628">
        <f>D205-P205</f>
        <v>0</v>
      </c>
      <c r="E223" s="628">
        <f>E202</f>
        <v>0</v>
      </c>
      <c r="F223" s="628">
        <f t="shared" ref="F223:R223" si="9">F202</f>
        <v>0</v>
      </c>
      <c r="G223" s="628">
        <f t="shared" si="9"/>
        <v>0</v>
      </c>
      <c r="H223" s="628">
        <f t="shared" si="9"/>
        <v>0</v>
      </c>
      <c r="I223" s="628">
        <f t="shared" si="9"/>
        <v>0</v>
      </c>
      <c r="J223" s="628">
        <f t="shared" si="9"/>
        <v>0</v>
      </c>
      <c r="K223" s="628">
        <f t="shared" si="9"/>
        <v>0</v>
      </c>
      <c r="L223" s="628">
        <f t="shared" si="9"/>
        <v>0</v>
      </c>
      <c r="M223" s="628">
        <f t="shared" si="9"/>
        <v>0</v>
      </c>
      <c r="N223" s="628">
        <f t="shared" si="9"/>
        <v>0</v>
      </c>
      <c r="O223" s="628">
        <f t="shared" si="9"/>
        <v>0</v>
      </c>
      <c r="P223" s="628">
        <f t="shared" si="9"/>
        <v>0</v>
      </c>
      <c r="Q223" s="628">
        <f t="shared" si="9"/>
        <v>0</v>
      </c>
      <c r="R223" s="628">
        <f t="shared" si="9"/>
        <v>0</v>
      </c>
    </row>
    <row r="224" spans="1:18" ht="12.75" customHeight="1" x14ac:dyDescent="0.25">
      <c r="A224" s="781"/>
      <c r="B224" s="780"/>
      <c r="C224" s="628" t="s">
        <v>73</v>
      </c>
      <c r="D224" s="628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617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79" t="s">
        <v>161</v>
      </c>
      <c r="B226" s="780" t="s">
        <v>132</v>
      </c>
      <c r="C226" s="634" t="s">
        <v>70</v>
      </c>
      <c r="D226" s="634">
        <v>0</v>
      </c>
      <c r="E226" s="634">
        <v>0</v>
      </c>
      <c r="F226" s="634">
        <v>0</v>
      </c>
      <c r="G226" s="634">
        <v>0</v>
      </c>
      <c r="H226" s="634">
        <v>0</v>
      </c>
      <c r="I226" s="634">
        <v>0</v>
      </c>
      <c r="J226" s="634">
        <v>0</v>
      </c>
      <c r="K226" s="634">
        <v>0</v>
      </c>
      <c r="L226" s="634">
        <v>0</v>
      </c>
      <c r="M226" s="634">
        <v>0</v>
      </c>
      <c r="N226" s="634">
        <v>0</v>
      </c>
      <c r="O226" s="634">
        <v>0</v>
      </c>
      <c r="P226" s="634">
        <v>0</v>
      </c>
      <c r="Q226" s="634">
        <v>0</v>
      </c>
      <c r="R226" s="634">
        <v>0</v>
      </c>
    </row>
    <row r="227" spans="1:18" ht="12.75" customHeight="1" x14ac:dyDescent="0.25">
      <c r="A227" s="779"/>
      <c r="B227" s="780"/>
      <c r="C227" s="634" t="s">
        <v>73</v>
      </c>
      <c r="D227" s="634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s="635" customFormat="1" x14ac:dyDescent="0.25"/>
    <row r="229" spans="1:18" x14ac:dyDescent="0.25">
      <c r="B229" s="617" t="s">
        <v>88</v>
      </c>
    </row>
    <row r="230" spans="1:18" ht="12.75" customHeight="1" x14ac:dyDescent="0.25">
      <c r="D230" s="618" t="s">
        <v>70</v>
      </c>
      <c r="E230" s="618" t="s">
        <v>64</v>
      </c>
      <c r="F230" s="618" t="s">
        <v>65</v>
      </c>
      <c r="G230" s="619" t="s">
        <v>164</v>
      </c>
      <c r="H230" s="618" t="s">
        <v>69</v>
      </c>
      <c r="I230" s="618" t="s">
        <v>68</v>
      </c>
      <c r="J230" s="618" t="s">
        <v>66</v>
      </c>
      <c r="K230" s="618" t="s">
        <v>63</v>
      </c>
      <c r="L230" s="618" t="s">
        <v>61</v>
      </c>
      <c r="M230" s="618" t="s">
        <v>62</v>
      </c>
      <c r="N230" s="618" t="s">
        <v>67</v>
      </c>
      <c r="O230" s="618" t="s">
        <v>77</v>
      </c>
      <c r="P230" s="618" t="s">
        <v>71</v>
      </c>
      <c r="Q230" s="618" t="s">
        <v>80</v>
      </c>
      <c r="R230" s="616" t="s">
        <v>168</v>
      </c>
    </row>
    <row r="231" spans="1:18" ht="12.75" customHeight="1" x14ac:dyDescent="0.25">
      <c r="C231" s="616" t="s">
        <v>72</v>
      </c>
      <c r="D231" s="620">
        <v>0</v>
      </c>
      <c r="E231" s="618">
        <v>0</v>
      </c>
      <c r="F231" s="618">
        <v>0</v>
      </c>
      <c r="G231" s="620">
        <v>0</v>
      </c>
      <c r="H231" s="618">
        <v>0</v>
      </c>
      <c r="I231" s="618">
        <v>0</v>
      </c>
      <c r="J231" s="618">
        <v>0</v>
      </c>
      <c r="K231" s="618">
        <v>0</v>
      </c>
      <c r="L231" s="618">
        <v>0</v>
      </c>
      <c r="M231" s="618">
        <v>0</v>
      </c>
      <c r="N231" s="618">
        <v>0</v>
      </c>
      <c r="O231" s="618">
        <v>0</v>
      </c>
      <c r="P231" s="618">
        <v>0</v>
      </c>
      <c r="Q231" s="618">
        <v>0</v>
      </c>
      <c r="R231" s="616">
        <v>0</v>
      </c>
    </row>
    <row r="232" spans="1:18" ht="12.75" customHeight="1" x14ac:dyDescent="0.25">
      <c r="C232" s="616" t="s">
        <v>81</v>
      </c>
      <c r="D232" s="620">
        <v>0</v>
      </c>
      <c r="E232" s="618">
        <v>0</v>
      </c>
      <c r="F232" s="618">
        <v>0</v>
      </c>
      <c r="G232" s="620">
        <v>0</v>
      </c>
      <c r="H232" s="618">
        <v>0</v>
      </c>
      <c r="I232" s="618">
        <v>0</v>
      </c>
      <c r="J232" s="618">
        <v>0</v>
      </c>
      <c r="K232" s="618">
        <v>0</v>
      </c>
      <c r="L232" s="618">
        <v>0</v>
      </c>
      <c r="M232" s="618">
        <v>0</v>
      </c>
      <c r="N232" s="618">
        <v>0</v>
      </c>
      <c r="O232" s="618">
        <v>0</v>
      </c>
      <c r="P232" s="618">
        <v>0</v>
      </c>
      <c r="Q232" s="618">
        <v>0</v>
      </c>
      <c r="R232" s="616">
        <v>0</v>
      </c>
    </row>
    <row r="233" spans="1:18" s="621" customFormat="1" ht="12.75" customHeight="1" x14ac:dyDescent="0.25">
      <c r="B233" s="622" t="s">
        <v>78</v>
      </c>
      <c r="C233" s="622" t="s">
        <v>70</v>
      </c>
      <c r="D233" s="622">
        <v>0</v>
      </c>
      <c r="E233" s="622">
        <v>0</v>
      </c>
      <c r="F233" s="622">
        <v>0</v>
      </c>
      <c r="G233" s="622">
        <v>0</v>
      </c>
      <c r="H233" s="622">
        <v>0</v>
      </c>
      <c r="I233" s="622">
        <v>0</v>
      </c>
      <c r="J233" s="622">
        <v>0</v>
      </c>
      <c r="K233" s="622">
        <v>0</v>
      </c>
      <c r="L233" s="622">
        <v>0</v>
      </c>
      <c r="M233" s="622">
        <v>0</v>
      </c>
      <c r="N233" s="622">
        <v>0</v>
      </c>
      <c r="O233" s="622">
        <v>0</v>
      </c>
      <c r="P233" s="621">
        <v>0</v>
      </c>
      <c r="Q233" s="622">
        <v>0</v>
      </c>
      <c r="R233" s="622">
        <v>0</v>
      </c>
    </row>
    <row r="234" spans="1:18" ht="12.75" customHeight="1" x14ac:dyDescent="0.25">
      <c r="C234" s="616" t="s">
        <v>73</v>
      </c>
      <c r="D234" s="620">
        <v>0</v>
      </c>
      <c r="E234" s="618">
        <v>0</v>
      </c>
      <c r="F234" s="618">
        <v>0</v>
      </c>
      <c r="G234" s="620">
        <v>0</v>
      </c>
      <c r="H234" s="618">
        <v>0</v>
      </c>
      <c r="I234" s="618">
        <v>0</v>
      </c>
      <c r="J234" s="618">
        <v>0</v>
      </c>
      <c r="K234" s="618">
        <v>0</v>
      </c>
      <c r="L234" s="618">
        <v>0</v>
      </c>
      <c r="M234" s="618">
        <v>0</v>
      </c>
      <c r="N234" s="618">
        <v>0</v>
      </c>
      <c r="O234" s="618">
        <v>0</v>
      </c>
      <c r="P234" s="618">
        <v>0</v>
      </c>
      <c r="Q234" s="618">
        <v>0</v>
      </c>
      <c r="R234" s="616">
        <v>0</v>
      </c>
    </row>
    <row r="235" spans="1:18" s="623" customFormat="1" ht="12.75" customHeight="1" x14ac:dyDescent="0.25">
      <c r="B235" s="624" t="s">
        <v>79</v>
      </c>
      <c r="C235" s="624" t="s">
        <v>70</v>
      </c>
      <c r="D235" s="624">
        <v>0</v>
      </c>
      <c r="E235" s="624">
        <v>0</v>
      </c>
      <c r="F235" s="624">
        <v>0</v>
      </c>
      <c r="G235" s="624">
        <v>0</v>
      </c>
      <c r="H235" s="624">
        <v>0</v>
      </c>
      <c r="I235" s="624">
        <v>0</v>
      </c>
      <c r="J235" s="624">
        <v>0</v>
      </c>
      <c r="K235" s="624">
        <v>0</v>
      </c>
      <c r="L235" s="624">
        <v>0</v>
      </c>
      <c r="M235" s="624">
        <v>0</v>
      </c>
      <c r="N235" s="624">
        <v>0</v>
      </c>
      <c r="O235" s="624">
        <v>0</v>
      </c>
      <c r="P235" s="623">
        <v>0</v>
      </c>
      <c r="Q235" s="624">
        <v>0</v>
      </c>
      <c r="R235" s="624">
        <v>0</v>
      </c>
    </row>
    <row r="236" spans="1:18" s="755" customFormat="1" ht="12.75" customHeight="1" x14ac:dyDescent="0.25">
      <c r="A236" s="755" t="s">
        <v>155</v>
      </c>
      <c r="B236" s="755" t="s">
        <v>70</v>
      </c>
      <c r="D236" s="756">
        <v>0</v>
      </c>
      <c r="E236" s="757">
        <v>0</v>
      </c>
      <c r="F236" s="757">
        <v>0</v>
      </c>
      <c r="G236" s="756">
        <v>0</v>
      </c>
      <c r="H236" s="757">
        <v>0</v>
      </c>
      <c r="I236" s="757">
        <v>0</v>
      </c>
      <c r="J236" s="757">
        <v>0</v>
      </c>
      <c r="K236" s="757">
        <v>0</v>
      </c>
      <c r="L236" s="757">
        <v>0</v>
      </c>
      <c r="M236" s="757">
        <v>0</v>
      </c>
      <c r="N236" s="757">
        <v>0</v>
      </c>
      <c r="O236" s="757">
        <v>0</v>
      </c>
      <c r="P236" s="757">
        <v>0</v>
      </c>
      <c r="Q236" s="757">
        <v>0</v>
      </c>
      <c r="R236" s="755">
        <v>0</v>
      </c>
    </row>
    <row r="237" spans="1:18" ht="12.75" customHeight="1" x14ac:dyDescent="0.25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63" customFormat="1" ht="12.75" customHeight="1" x14ac:dyDescent="0.25">
      <c r="A242" s="763" t="s">
        <v>120</v>
      </c>
      <c r="B242" s="763" t="s">
        <v>70</v>
      </c>
      <c r="D242" s="765">
        <v>0</v>
      </c>
      <c r="E242" s="764">
        <v>0</v>
      </c>
      <c r="F242" s="764">
        <v>0</v>
      </c>
      <c r="G242" s="765">
        <v>0</v>
      </c>
      <c r="H242" s="764">
        <v>0</v>
      </c>
      <c r="I242" s="764">
        <v>0</v>
      </c>
      <c r="J242" s="764">
        <v>0</v>
      </c>
      <c r="K242" s="764">
        <v>0</v>
      </c>
      <c r="L242" s="764">
        <v>0</v>
      </c>
      <c r="M242" s="764">
        <v>0</v>
      </c>
      <c r="N242" s="764">
        <v>0</v>
      </c>
      <c r="O242" s="764">
        <v>0</v>
      </c>
      <c r="P242" s="764">
        <v>0</v>
      </c>
      <c r="Q242" s="764">
        <v>0</v>
      </c>
      <c r="R242" s="763">
        <v>0</v>
      </c>
    </row>
    <row r="243" spans="1:18" ht="12.75" customHeight="1" x14ac:dyDescent="0.25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18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54" customFormat="1" ht="12.75" customHeight="1" x14ac:dyDescent="0.25">
      <c r="A248" s="754" t="s">
        <v>119</v>
      </c>
      <c r="B248" s="628" t="s">
        <v>70</v>
      </c>
      <c r="C248" s="628"/>
      <c r="D248" s="628">
        <v>0</v>
      </c>
      <c r="E248" s="628">
        <v>0</v>
      </c>
      <c r="F248" s="628">
        <v>0</v>
      </c>
      <c r="G248" s="628">
        <v>0</v>
      </c>
      <c r="H248" s="628">
        <v>0</v>
      </c>
      <c r="I248" s="628">
        <v>0</v>
      </c>
      <c r="J248" s="628">
        <v>0</v>
      </c>
      <c r="K248" s="628">
        <v>0</v>
      </c>
      <c r="L248" s="628">
        <v>0</v>
      </c>
      <c r="M248" s="628">
        <v>0</v>
      </c>
      <c r="N248" s="628">
        <v>0</v>
      </c>
      <c r="O248" s="628">
        <v>0</v>
      </c>
      <c r="P248" s="754">
        <v>0</v>
      </c>
      <c r="Q248" s="628">
        <v>0</v>
      </c>
      <c r="R248" s="628">
        <v>0</v>
      </c>
    </row>
    <row r="249" spans="1:18" s="631" customFormat="1" ht="12.75" customHeight="1" x14ac:dyDescent="0.25">
      <c r="A249" s="630" t="s">
        <v>70</v>
      </c>
      <c r="D249" s="630">
        <v>0</v>
      </c>
      <c r="E249" s="630">
        <v>0</v>
      </c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1">
        <v>0</v>
      </c>
      <c r="Q249" s="631">
        <v>0</v>
      </c>
      <c r="R249" s="631">
        <v>0</v>
      </c>
    </row>
    <row r="250" spans="1:18" ht="12.75" customHeight="1" x14ac:dyDescent="0.25">
      <c r="A250" s="618"/>
      <c r="B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1:18" ht="12.75" customHeight="1" x14ac:dyDescent="0.25">
      <c r="A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1:18" ht="12.75" customHeight="1" x14ac:dyDescent="0.25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1:18" ht="12.75" hidden="1" customHeight="1" x14ac:dyDescent="0.25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1:18" ht="12.75" hidden="1" customHeight="1" x14ac:dyDescent="0.25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1:18" ht="12.75" hidden="1" customHeight="1" x14ac:dyDescent="0.25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1:18" ht="12.75" hidden="1" customHeight="1" x14ac:dyDescent="0.25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5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customHeight="1" x14ac:dyDescent="0.25">
      <c r="A326" s="781" t="s">
        <v>2</v>
      </c>
      <c r="B326" s="780" t="s">
        <v>132</v>
      </c>
      <c r="C326" s="766" t="s">
        <v>70</v>
      </c>
      <c r="D326" s="766">
        <f>D249-P249</f>
        <v>0</v>
      </c>
      <c r="E326" s="766">
        <f>E245+E239+E233</f>
        <v>0</v>
      </c>
      <c r="F326" s="766">
        <f t="shared" ref="F326:R326" si="10">F245+F239+F233</f>
        <v>0</v>
      </c>
      <c r="G326" s="766">
        <f t="shared" si="10"/>
        <v>0</v>
      </c>
      <c r="H326" s="766">
        <f t="shared" si="10"/>
        <v>0</v>
      </c>
      <c r="I326" s="766">
        <f t="shared" si="10"/>
        <v>0</v>
      </c>
      <c r="J326" s="766">
        <f t="shared" si="10"/>
        <v>0</v>
      </c>
      <c r="K326" s="766">
        <f t="shared" si="10"/>
        <v>0</v>
      </c>
      <c r="L326" s="766">
        <f t="shared" si="10"/>
        <v>0</v>
      </c>
      <c r="M326" s="766">
        <f t="shared" si="10"/>
        <v>0</v>
      </c>
      <c r="N326" s="766">
        <f t="shared" si="10"/>
        <v>0</v>
      </c>
      <c r="O326" s="766">
        <f t="shared" si="10"/>
        <v>0</v>
      </c>
      <c r="P326" s="766">
        <f t="shared" si="10"/>
        <v>0</v>
      </c>
      <c r="Q326" s="766">
        <f t="shared" si="10"/>
        <v>0</v>
      </c>
      <c r="R326" s="766">
        <f t="shared" si="10"/>
        <v>0</v>
      </c>
    </row>
    <row r="327" spans="1:18" ht="12.75" customHeight="1" x14ac:dyDescent="0.25">
      <c r="A327" s="781"/>
      <c r="B327" s="780"/>
      <c r="C327" s="766" t="s">
        <v>73</v>
      </c>
      <c r="D327" s="766">
        <f>D247+D241+D235</f>
        <v>0</v>
      </c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  <c r="P327" s="618"/>
      <c r="Q327" s="618"/>
      <c r="R327" s="618"/>
    </row>
    <row r="328" spans="1:18" ht="12.75" customHeight="1" x14ac:dyDescent="0.25">
      <c r="A328" s="617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  <c r="P328" s="618"/>
      <c r="Q328" s="618"/>
      <c r="R328" s="618"/>
    </row>
    <row r="329" spans="1:18" ht="12.75" customHeight="1" x14ac:dyDescent="0.25">
      <c r="A329" s="781" t="s">
        <v>160</v>
      </c>
      <c r="B329" s="780" t="s">
        <v>132</v>
      </c>
      <c r="C329" s="632" t="s">
        <v>70</v>
      </c>
      <c r="D329" s="632">
        <f>D242-P242</f>
        <v>0</v>
      </c>
      <c r="E329" s="632">
        <f>E239</f>
        <v>0</v>
      </c>
      <c r="F329" s="632">
        <f t="shared" ref="F329:R329" si="11">F239</f>
        <v>0</v>
      </c>
      <c r="G329" s="632">
        <f t="shared" si="11"/>
        <v>0</v>
      </c>
      <c r="H329" s="632">
        <f t="shared" si="11"/>
        <v>0</v>
      </c>
      <c r="I329" s="632">
        <f t="shared" si="11"/>
        <v>0</v>
      </c>
      <c r="J329" s="632">
        <f t="shared" si="11"/>
        <v>0</v>
      </c>
      <c r="K329" s="632">
        <f t="shared" si="11"/>
        <v>0</v>
      </c>
      <c r="L329" s="632">
        <f t="shared" si="11"/>
        <v>0</v>
      </c>
      <c r="M329" s="632">
        <f t="shared" si="11"/>
        <v>0</v>
      </c>
      <c r="N329" s="632">
        <f t="shared" si="11"/>
        <v>0</v>
      </c>
      <c r="O329" s="632">
        <f t="shared" si="11"/>
        <v>0</v>
      </c>
      <c r="P329" s="632">
        <f t="shared" si="11"/>
        <v>0</v>
      </c>
      <c r="Q329" s="632">
        <f t="shared" si="11"/>
        <v>0</v>
      </c>
      <c r="R329" s="632">
        <f t="shared" si="11"/>
        <v>0</v>
      </c>
    </row>
    <row r="330" spans="1:18" ht="12.75" customHeight="1" x14ac:dyDescent="0.25">
      <c r="A330" s="781"/>
      <c r="B330" s="780"/>
      <c r="C330" s="632" t="s">
        <v>73</v>
      </c>
      <c r="D330" s="714">
        <f>D241</f>
        <v>0</v>
      </c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  <c r="P330" s="618"/>
      <c r="Q330" s="618"/>
      <c r="R330" s="618"/>
    </row>
    <row r="331" spans="1:18" ht="12.75" customHeight="1" x14ac:dyDescent="0.25">
      <c r="A331" s="617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  <c r="P331" s="618"/>
      <c r="Q331" s="618"/>
      <c r="R331" s="618"/>
    </row>
    <row r="332" spans="1:18" ht="12.75" customHeight="1" x14ac:dyDescent="0.25">
      <c r="A332" s="781" t="s">
        <v>155</v>
      </c>
      <c r="B332" s="780" t="s">
        <v>132</v>
      </c>
      <c r="C332" s="633" t="s">
        <v>70</v>
      </c>
      <c r="D332" s="633">
        <f>D236-P236</f>
        <v>0</v>
      </c>
      <c r="E332" s="633">
        <f>E233</f>
        <v>0</v>
      </c>
      <c r="F332" s="633">
        <f t="shared" ref="F332:R332" si="12">F233</f>
        <v>0</v>
      </c>
      <c r="G332" s="633">
        <f t="shared" si="12"/>
        <v>0</v>
      </c>
      <c r="H332" s="633">
        <f t="shared" si="12"/>
        <v>0</v>
      </c>
      <c r="I332" s="633">
        <f t="shared" si="12"/>
        <v>0</v>
      </c>
      <c r="J332" s="633">
        <f t="shared" si="12"/>
        <v>0</v>
      </c>
      <c r="K332" s="633">
        <f t="shared" si="12"/>
        <v>0</v>
      </c>
      <c r="L332" s="633">
        <f t="shared" si="12"/>
        <v>0</v>
      </c>
      <c r="M332" s="633">
        <f t="shared" si="12"/>
        <v>0</v>
      </c>
      <c r="N332" s="633">
        <f t="shared" si="12"/>
        <v>0</v>
      </c>
      <c r="O332" s="633">
        <f t="shared" si="12"/>
        <v>0</v>
      </c>
      <c r="P332" s="633">
        <f t="shared" si="12"/>
        <v>0</v>
      </c>
      <c r="Q332" s="633">
        <f t="shared" si="12"/>
        <v>0</v>
      </c>
      <c r="R332" s="633">
        <f t="shared" si="12"/>
        <v>0</v>
      </c>
    </row>
    <row r="333" spans="1:18" ht="12.75" customHeight="1" x14ac:dyDescent="0.25">
      <c r="A333" s="781"/>
      <c r="B333" s="780"/>
      <c r="C333" s="633" t="s">
        <v>73</v>
      </c>
      <c r="D333" s="633">
        <f>D235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722"/>
      <c r="B334" s="721"/>
      <c r="C334" s="618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326</v>
      </c>
      <c r="B335" s="780" t="s">
        <v>132</v>
      </c>
      <c r="C335" s="633" t="s">
        <v>70</v>
      </c>
      <c r="D335" s="720">
        <v>0</v>
      </c>
      <c r="E335" s="720">
        <v>0</v>
      </c>
      <c r="F335" s="720">
        <v>0</v>
      </c>
      <c r="G335" s="720">
        <v>0</v>
      </c>
      <c r="H335" s="720">
        <v>0</v>
      </c>
      <c r="I335" s="720">
        <v>0</v>
      </c>
      <c r="J335" s="720">
        <v>0</v>
      </c>
      <c r="K335" s="720">
        <v>0</v>
      </c>
      <c r="L335" s="720">
        <v>0</v>
      </c>
      <c r="M335" s="720">
        <v>0</v>
      </c>
      <c r="N335" s="720">
        <v>0</v>
      </c>
      <c r="O335" s="720">
        <v>0</v>
      </c>
      <c r="P335" s="720">
        <v>0</v>
      </c>
      <c r="Q335" s="720">
        <v>0</v>
      </c>
      <c r="R335" s="720">
        <v>0</v>
      </c>
    </row>
    <row r="336" spans="1:18" ht="12.75" customHeight="1" x14ac:dyDescent="0.25">
      <c r="A336" s="782"/>
      <c r="B336" s="780"/>
      <c r="C336" s="633" t="s">
        <v>73</v>
      </c>
      <c r="D336" s="720"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1" t="s">
        <v>119</v>
      </c>
      <c r="B338" s="780" t="s">
        <v>132</v>
      </c>
      <c r="C338" s="628" t="s">
        <v>70</v>
      </c>
      <c r="D338" s="628">
        <f>D248-P248</f>
        <v>0</v>
      </c>
      <c r="E338" s="628">
        <f>E245</f>
        <v>0</v>
      </c>
      <c r="F338" s="628">
        <f t="shared" ref="F338:R338" si="13">F245</f>
        <v>0</v>
      </c>
      <c r="G338" s="628">
        <f t="shared" si="13"/>
        <v>0</v>
      </c>
      <c r="H338" s="628">
        <f t="shared" si="13"/>
        <v>0</v>
      </c>
      <c r="I338" s="628">
        <f t="shared" si="13"/>
        <v>0</v>
      </c>
      <c r="J338" s="628">
        <f t="shared" si="13"/>
        <v>0</v>
      </c>
      <c r="K338" s="628">
        <f t="shared" si="13"/>
        <v>0</v>
      </c>
      <c r="L338" s="628">
        <f t="shared" si="13"/>
        <v>0</v>
      </c>
      <c r="M338" s="628">
        <f t="shared" si="13"/>
        <v>0</v>
      </c>
      <c r="N338" s="628">
        <f t="shared" si="13"/>
        <v>0</v>
      </c>
      <c r="O338" s="628">
        <f t="shared" si="13"/>
        <v>0</v>
      </c>
      <c r="P338" s="628">
        <f t="shared" si="13"/>
        <v>0</v>
      </c>
      <c r="Q338" s="628">
        <f t="shared" si="13"/>
        <v>0</v>
      </c>
      <c r="R338" s="628">
        <f t="shared" si="13"/>
        <v>0</v>
      </c>
    </row>
    <row r="339" spans="1:18" ht="12.75" customHeight="1" x14ac:dyDescent="0.25">
      <c r="A339" s="781"/>
      <c r="B339" s="780"/>
      <c r="C339" s="628" t="s">
        <v>73</v>
      </c>
      <c r="D339" s="628">
        <f>D247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79" t="s">
        <v>161</v>
      </c>
      <c r="B341" s="780" t="s">
        <v>132</v>
      </c>
      <c r="C341" s="634" t="s">
        <v>70</v>
      </c>
      <c r="D341" s="634">
        <v>0</v>
      </c>
      <c r="E341" s="634">
        <v>0</v>
      </c>
      <c r="F341" s="634">
        <v>0</v>
      </c>
      <c r="G341" s="634">
        <v>0</v>
      </c>
      <c r="H341" s="634">
        <v>0</v>
      </c>
      <c r="I341" s="634">
        <v>0</v>
      </c>
      <c r="J341" s="634">
        <v>0</v>
      </c>
      <c r="K341" s="634">
        <v>0</v>
      </c>
      <c r="L341" s="634">
        <v>0</v>
      </c>
      <c r="M341" s="634">
        <v>0</v>
      </c>
      <c r="N341" s="634">
        <v>0</v>
      </c>
      <c r="O341" s="634">
        <v>0</v>
      </c>
      <c r="P341" s="634">
        <v>0</v>
      </c>
      <c r="Q341" s="634">
        <v>0</v>
      </c>
      <c r="R341" s="634">
        <v>0</v>
      </c>
    </row>
    <row r="342" spans="1:18" ht="12.75" customHeight="1" x14ac:dyDescent="0.25">
      <c r="A342" s="779"/>
      <c r="B342" s="780"/>
      <c r="C342" s="634" t="s">
        <v>73</v>
      </c>
      <c r="D342" s="634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s="635" customFormat="1" x14ac:dyDescent="0.25"/>
    <row r="344" spans="1:18" x14ac:dyDescent="0.25">
      <c r="B344" s="617" t="s">
        <v>93</v>
      </c>
    </row>
    <row r="345" spans="1:18" ht="12.75" customHeight="1" x14ac:dyDescent="0.25">
      <c r="D345" s="618" t="s">
        <v>70</v>
      </c>
      <c r="E345" s="618" t="s">
        <v>64</v>
      </c>
      <c r="F345" s="618" t="s">
        <v>65</v>
      </c>
      <c r="G345" s="619" t="s">
        <v>164</v>
      </c>
      <c r="H345" s="618" t="s">
        <v>69</v>
      </c>
      <c r="I345" s="618" t="s">
        <v>68</v>
      </c>
      <c r="J345" s="618" t="s">
        <v>66</v>
      </c>
      <c r="K345" s="618" t="s">
        <v>63</v>
      </c>
      <c r="L345" s="618" t="s">
        <v>61</v>
      </c>
      <c r="M345" s="618" t="s">
        <v>62</v>
      </c>
      <c r="N345" s="618" t="s">
        <v>67</v>
      </c>
      <c r="O345" s="618" t="s">
        <v>77</v>
      </c>
      <c r="P345" s="616" t="s">
        <v>71</v>
      </c>
      <c r="Q345" s="618" t="s">
        <v>80</v>
      </c>
      <c r="R345" s="616" t="s">
        <v>168</v>
      </c>
    </row>
    <row r="346" spans="1:18" ht="12" customHeight="1" x14ac:dyDescent="0.25">
      <c r="C346" s="618" t="s">
        <v>72</v>
      </c>
      <c r="D346" s="618">
        <v>0</v>
      </c>
      <c r="E346" s="618">
        <v>0</v>
      </c>
      <c r="F346" s="618">
        <v>0</v>
      </c>
      <c r="G346" s="618">
        <v>0</v>
      </c>
      <c r="H346" s="618">
        <v>0</v>
      </c>
      <c r="I346" s="618">
        <v>0</v>
      </c>
      <c r="J346" s="618">
        <v>0</v>
      </c>
      <c r="K346" s="618">
        <v>0</v>
      </c>
      <c r="L346" s="618">
        <v>0</v>
      </c>
      <c r="M346" s="618">
        <v>0</v>
      </c>
      <c r="N346" s="618">
        <v>0</v>
      </c>
      <c r="O346" s="618">
        <v>0</v>
      </c>
      <c r="P346" s="616">
        <v>0</v>
      </c>
      <c r="Q346" s="618">
        <v>0</v>
      </c>
      <c r="R346" s="616">
        <v>0</v>
      </c>
    </row>
    <row r="347" spans="1:18" ht="12" customHeight="1" x14ac:dyDescent="0.25">
      <c r="C347" s="618" t="s">
        <v>81</v>
      </c>
      <c r="D347" s="618">
        <v>0</v>
      </c>
      <c r="E347" s="618">
        <v>0</v>
      </c>
      <c r="F347" s="618">
        <v>0</v>
      </c>
      <c r="G347" s="618">
        <v>0</v>
      </c>
      <c r="H347" s="618">
        <v>0</v>
      </c>
      <c r="I347" s="618">
        <v>0</v>
      </c>
      <c r="J347" s="618">
        <v>0</v>
      </c>
      <c r="K347" s="618">
        <v>0</v>
      </c>
      <c r="L347" s="618">
        <v>0</v>
      </c>
      <c r="M347" s="618">
        <v>0</v>
      </c>
      <c r="N347" s="618">
        <v>0</v>
      </c>
      <c r="O347" s="618">
        <v>0</v>
      </c>
      <c r="P347" s="616">
        <v>0</v>
      </c>
      <c r="Q347" s="618">
        <v>0</v>
      </c>
      <c r="R347" s="616">
        <v>0</v>
      </c>
    </row>
    <row r="348" spans="1:18" s="621" customFormat="1" ht="12.75" customHeight="1" x14ac:dyDescent="0.25">
      <c r="A348" s="622"/>
      <c r="B348" s="621" t="s">
        <v>78</v>
      </c>
      <c r="C348" s="621" t="s">
        <v>70</v>
      </c>
      <c r="D348" s="622">
        <v>0</v>
      </c>
      <c r="E348" s="622">
        <v>0</v>
      </c>
      <c r="F348" s="622">
        <v>0</v>
      </c>
      <c r="G348" s="622">
        <v>0</v>
      </c>
      <c r="H348" s="622">
        <v>0</v>
      </c>
      <c r="I348" s="622">
        <v>0</v>
      </c>
      <c r="J348" s="622">
        <v>0</v>
      </c>
      <c r="K348" s="622">
        <v>0</v>
      </c>
      <c r="L348" s="622">
        <v>0</v>
      </c>
      <c r="M348" s="622">
        <v>0</v>
      </c>
      <c r="N348" s="622">
        <v>0</v>
      </c>
      <c r="O348" s="622">
        <v>0</v>
      </c>
      <c r="P348" s="621">
        <v>0</v>
      </c>
      <c r="Q348" s="621">
        <v>0</v>
      </c>
      <c r="R348" s="621">
        <v>0</v>
      </c>
    </row>
    <row r="349" spans="1:18" ht="12" customHeight="1" x14ac:dyDescent="0.25">
      <c r="C349" s="618" t="s">
        <v>73</v>
      </c>
      <c r="D349" s="618">
        <v>0</v>
      </c>
      <c r="E349" s="618">
        <v>0</v>
      </c>
      <c r="F349" s="618">
        <v>0</v>
      </c>
      <c r="G349" s="618">
        <v>0</v>
      </c>
      <c r="H349" s="618">
        <v>0</v>
      </c>
      <c r="I349" s="618">
        <v>0</v>
      </c>
      <c r="J349" s="618">
        <v>0</v>
      </c>
      <c r="K349" s="618">
        <v>0</v>
      </c>
      <c r="L349" s="618">
        <v>0</v>
      </c>
      <c r="M349" s="618">
        <v>0</v>
      </c>
      <c r="N349" s="618">
        <v>0</v>
      </c>
      <c r="O349" s="618">
        <v>0</v>
      </c>
      <c r="P349" s="616">
        <v>0</v>
      </c>
      <c r="Q349" s="618">
        <v>0</v>
      </c>
      <c r="R349" s="616">
        <v>0</v>
      </c>
    </row>
    <row r="350" spans="1:18" s="623" customFormat="1" ht="12.75" customHeight="1" x14ac:dyDescent="0.25">
      <c r="A350" s="624"/>
      <c r="B350" s="624" t="s">
        <v>79</v>
      </c>
      <c r="C350" s="623" t="s">
        <v>70</v>
      </c>
      <c r="D350" s="624">
        <v>0</v>
      </c>
      <c r="E350" s="624">
        <v>0</v>
      </c>
      <c r="F350" s="624">
        <v>0</v>
      </c>
      <c r="G350" s="624">
        <v>0</v>
      </c>
      <c r="H350" s="624">
        <v>0</v>
      </c>
      <c r="I350" s="624">
        <v>0</v>
      </c>
      <c r="J350" s="624">
        <v>0</v>
      </c>
      <c r="K350" s="624">
        <v>0</v>
      </c>
      <c r="L350" s="624">
        <v>0</v>
      </c>
      <c r="M350" s="624">
        <v>0</v>
      </c>
      <c r="N350" s="624">
        <v>0</v>
      </c>
      <c r="O350" s="624">
        <v>0</v>
      </c>
      <c r="P350" s="623">
        <v>0</v>
      </c>
      <c r="Q350" s="623">
        <v>0</v>
      </c>
      <c r="R350" s="623">
        <v>0</v>
      </c>
    </row>
    <row r="351" spans="1:18" s="625" customFormat="1" ht="12.75" customHeight="1" x14ac:dyDescent="0.25">
      <c r="A351" s="625" t="s">
        <v>155</v>
      </c>
      <c r="B351" s="625" t="s">
        <v>70</v>
      </c>
      <c r="D351" s="626">
        <v>0</v>
      </c>
      <c r="E351" s="626">
        <v>0</v>
      </c>
      <c r="F351" s="626">
        <v>0</v>
      </c>
      <c r="G351" s="627">
        <v>0</v>
      </c>
      <c r="H351" s="626">
        <v>0</v>
      </c>
      <c r="I351" s="626">
        <v>0</v>
      </c>
      <c r="J351" s="626">
        <v>0</v>
      </c>
      <c r="K351" s="626">
        <v>0</v>
      </c>
      <c r="L351" s="626">
        <v>0</v>
      </c>
      <c r="M351" s="626">
        <v>0</v>
      </c>
      <c r="N351" s="626">
        <v>0</v>
      </c>
      <c r="O351" s="626">
        <v>0</v>
      </c>
      <c r="P351" s="626">
        <v>0</v>
      </c>
      <c r="Q351" s="626">
        <v>0</v>
      </c>
      <c r="R351" s="625">
        <v>0</v>
      </c>
    </row>
    <row r="352" spans="1:18" ht="12.75" customHeight="1" x14ac:dyDescent="0.25">
      <c r="C352" s="616" t="s">
        <v>72</v>
      </c>
      <c r="D352" s="618">
        <v>0</v>
      </c>
      <c r="E352" s="618">
        <v>0</v>
      </c>
      <c r="F352" s="618">
        <v>0</v>
      </c>
      <c r="G352" s="620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8">
        <v>0</v>
      </c>
      <c r="Q352" s="618">
        <v>0</v>
      </c>
      <c r="R352" s="616">
        <v>0</v>
      </c>
    </row>
    <row r="353" spans="1:18" ht="12.6" customHeight="1" x14ac:dyDescent="0.25">
      <c r="C353" s="616" t="s">
        <v>81</v>
      </c>
      <c r="D353" s="618">
        <v>0</v>
      </c>
      <c r="E353" s="618">
        <v>0</v>
      </c>
      <c r="F353" s="618">
        <v>0</v>
      </c>
      <c r="G353" s="620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8">
        <v>0</v>
      </c>
      <c r="Q353" s="618">
        <v>0</v>
      </c>
      <c r="R353" s="616">
        <v>0</v>
      </c>
    </row>
    <row r="354" spans="1:18" s="621" customFormat="1" ht="12.75" customHeight="1" x14ac:dyDescent="0.25">
      <c r="B354" s="622" t="s">
        <v>78</v>
      </c>
      <c r="C354" s="622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2">
        <v>0</v>
      </c>
      <c r="R354" s="622">
        <v>0</v>
      </c>
    </row>
    <row r="355" spans="1:18" ht="12.75" customHeight="1" x14ac:dyDescent="0.25">
      <c r="C355" s="616" t="s">
        <v>73</v>
      </c>
      <c r="D355" s="618">
        <v>0</v>
      </c>
      <c r="E355" s="618">
        <v>0</v>
      </c>
      <c r="F355" s="618">
        <v>0</v>
      </c>
      <c r="G355" s="620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8">
        <v>0</v>
      </c>
      <c r="Q355" s="618">
        <v>0</v>
      </c>
      <c r="R355" s="616">
        <v>0</v>
      </c>
    </row>
    <row r="356" spans="1:18" s="623" customFormat="1" ht="12.75" customHeight="1" x14ac:dyDescent="0.25">
      <c r="B356" s="624" t="s">
        <v>79</v>
      </c>
      <c r="C356" s="624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4">
        <v>0</v>
      </c>
      <c r="R356" s="624">
        <v>0</v>
      </c>
    </row>
    <row r="357" spans="1:18" s="628" customFormat="1" ht="12.75" customHeight="1" x14ac:dyDescent="0.25">
      <c r="A357" s="628" t="s">
        <v>119</v>
      </c>
      <c r="B357" s="628" t="s">
        <v>70</v>
      </c>
      <c r="D357" s="628">
        <v>0</v>
      </c>
      <c r="E357" s="628">
        <v>0</v>
      </c>
      <c r="F357" s="628">
        <v>0</v>
      </c>
      <c r="G357" s="628">
        <v>0</v>
      </c>
      <c r="H357" s="628">
        <v>0</v>
      </c>
      <c r="I357" s="628">
        <v>0</v>
      </c>
      <c r="J357" s="628">
        <v>0</v>
      </c>
      <c r="K357" s="628">
        <v>0</v>
      </c>
      <c r="L357" s="628">
        <v>0</v>
      </c>
      <c r="M357" s="628">
        <v>0</v>
      </c>
      <c r="N357" s="628">
        <v>0</v>
      </c>
      <c r="O357" s="628">
        <v>0</v>
      </c>
      <c r="P357" s="628">
        <v>0</v>
      </c>
      <c r="Q357" s="628">
        <v>0</v>
      </c>
      <c r="R357" s="628">
        <v>0</v>
      </c>
    </row>
    <row r="358" spans="1:18" s="631" customFormat="1" ht="12.75" customHeight="1" x14ac:dyDescent="0.25">
      <c r="A358" s="630" t="s">
        <v>70</v>
      </c>
      <c r="D358" s="630">
        <v>0</v>
      </c>
      <c r="E358" s="630">
        <v>0</v>
      </c>
      <c r="F358" s="630">
        <v>0</v>
      </c>
      <c r="G358" s="630">
        <v>0</v>
      </c>
      <c r="H358" s="630">
        <v>0</v>
      </c>
      <c r="I358" s="630">
        <v>0</v>
      </c>
      <c r="J358" s="630">
        <v>0</v>
      </c>
      <c r="K358" s="630">
        <v>0</v>
      </c>
      <c r="L358" s="630">
        <v>0</v>
      </c>
      <c r="M358" s="630">
        <v>0</v>
      </c>
      <c r="N358" s="630">
        <v>0</v>
      </c>
      <c r="O358" s="630">
        <v>0</v>
      </c>
      <c r="P358" s="631">
        <v>0</v>
      </c>
      <c r="Q358" s="631">
        <v>0</v>
      </c>
      <c r="R358" s="631">
        <v>0</v>
      </c>
    </row>
    <row r="359" spans="1:18" ht="12.75" customHeight="1" x14ac:dyDescent="0.25">
      <c r="C359" s="618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Q359" s="618"/>
    </row>
    <row r="360" spans="1:18" ht="12.75" customHeight="1" x14ac:dyDescent="0.25"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8"/>
      <c r="Q360" s="618"/>
    </row>
    <row r="361" spans="1:18" ht="12.75" customHeight="1" x14ac:dyDescent="0.25">
      <c r="A361" s="781" t="s">
        <v>2</v>
      </c>
      <c r="B361" s="780" t="s">
        <v>132</v>
      </c>
      <c r="C361" s="766" t="s">
        <v>70</v>
      </c>
      <c r="D361" s="766">
        <f>D358-P358</f>
        <v>0</v>
      </c>
      <c r="E361" s="766">
        <f>E348+E354</f>
        <v>0</v>
      </c>
      <c r="F361" s="766">
        <f t="shared" ref="F361:R361" si="14">F348+F354</f>
        <v>0</v>
      </c>
      <c r="G361" s="766">
        <f t="shared" si="14"/>
        <v>0</v>
      </c>
      <c r="H361" s="766">
        <f t="shared" si="14"/>
        <v>0</v>
      </c>
      <c r="I361" s="766">
        <f t="shared" si="14"/>
        <v>0</v>
      </c>
      <c r="J361" s="766">
        <f t="shared" si="14"/>
        <v>0</v>
      </c>
      <c r="K361" s="766">
        <f t="shared" si="14"/>
        <v>0</v>
      </c>
      <c r="L361" s="766">
        <f t="shared" si="14"/>
        <v>0</v>
      </c>
      <c r="M361" s="766">
        <f t="shared" si="14"/>
        <v>0</v>
      </c>
      <c r="N361" s="766">
        <f t="shared" si="14"/>
        <v>0</v>
      </c>
      <c r="O361" s="766">
        <f t="shared" si="14"/>
        <v>0</v>
      </c>
      <c r="P361" s="766">
        <f t="shared" si="14"/>
        <v>0</v>
      </c>
      <c r="Q361" s="766">
        <f t="shared" si="14"/>
        <v>0</v>
      </c>
      <c r="R361" s="766">
        <f t="shared" si="14"/>
        <v>0</v>
      </c>
    </row>
    <row r="362" spans="1:18" ht="12.75" customHeight="1" x14ac:dyDescent="0.25">
      <c r="A362" s="781"/>
      <c r="B362" s="780"/>
      <c r="C362" s="766" t="s">
        <v>73</v>
      </c>
      <c r="D362" s="767">
        <f>D350+D356</f>
        <v>0</v>
      </c>
      <c r="E362" s="618"/>
      <c r="F362" s="618"/>
      <c r="G362" s="618"/>
      <c r="H362" s="618"/>
      <c r="I362" s="618"/>
      <c r="J362" s="618"/>
      <c r="K362" s="618"/>
      <c r="L362" s="618"/>
      <c r="M362" s="618"/>
      <c r="N362" s="618"/>
      <c r="O362" s="618"/>
      <c r="P362" s="618"/>
      <c r="Q362" s="618"/>
      <c r="R362" s="618"/>
    </row>
    <row r="363" spans="1:18" ht="12.75" customHeight="1" x14ac:dyDescent="0.25">
      <c r="A363" s="617"/>
      <c r="D363" s="618"/>
      <c r="E363" s="618"/>
      <c r="F363" s="618"/>
      <c r="G363" s="618"/>
      <c r="H363" s="618"/>
      <c r="I363" s="618"/>
      <c r="J363" s="618"/>
      <c r="K363" s="618"/>
      <c r="L363" s="618"/>
      <c r="M363" s="618"/>
      <c r="N363" s="618"/>
      <c r="O363" s="618"/>
      <c r="P363" s="618"/>
      <c r="Q363" s="618"/>
      <c r="R363" s="618"/>
    </row>
    <row r="364" spans="1:18" ht="12.75" customHeight="1" x14ac:dyDescent="0.25">
      <c r="A364" s="781" t="s">
        <v>160</v>
      </c>
      <c r="B364" s="780" t="s">
        <v>132</v>
      </c>
      <c r="C364" s="632" t="s">
        <v>70</v>
      </c>
      <c r="D364" s="632">
        <v>0</v>
      </c>
      <c r="E364" s="632">
        <v>0</v>
      </c>
      <c r="F364" s="632">
        <v>0</v>
      </c>
      <c r="G364" s="632">
        <v>0</v>
      </c>
      <c r="H364" s="632">
        <v>0</v>
      </c>
      <c r="I364" s="632">
        <v>0</v>
      </c>
      <c r="J364" s="632">
        <v>0</v>
      </c>
      <c r="K364" s="632">
        <v>0</v>
      </c>
      <c r="L364" s="632">
        <v>0</v>
      </c>
      <c r="M364" s="632">
        <v>0</v>
      </c>
      <c r="N364" s="632">
        <v>0</v>
      </c>
      <c r="O364" s="632">
        <v>0</v>
      </c>
      <c r="P364" s="632">
        <v>0</v>
      </c>
      <c r="Q364" s="632">
        <v>0</v>
      </c>
      <c r="R364" s="632">
        <v>0</v>
      </c>
    </row>
    <row r="365" spans="1:18" ht="12.75" customHeight="1" x14ac:dyDescent="0.25">
      <c r="A365" s="781"/>
      <c r="B365" s="780"/>
      <c r="C365" s="632" t="s">
        <v>73</v>
      </c>
      <c r="D365" s="632">
        <v>0</v>
      </c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8"/>
      <c r="P365" s="618"/>
      <c r="Q365" s="618"/>
      <c r="R365" s="618"/>
    </row>
    <row r="366" spans="1:18" ht="12.75" customHeight="1" x14ac:dyDescent="0.25">
      <c r="A366" s="617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</row>
    <row r="367" spans="1:18" ht="12.75" customHeight="1" x14ac:dyDescent="0.25">
      <c r="A367" s="781" t="s">
        <v>155</v>
      </c>
      <c r="B367" s="780" t="s">
        <v>132</v>
      </c>
      <c r="C367" s="633" t="s">
        <v>70</v>
      </c>
      <c r="D367" s="633">
        <f>D351-P351</f>
        <v>0</v>
      </c>
      <c r="E367" s="633">
        <f>E348</f>
        <v>0</v>
      </c>
      <c r="F367" s="633">
        <f t="shared" ref="F367:R367" si="15">F348</f>
        <v>0</v>
      </c>
      <c r="G367" s="633">
        <f t="shared" si="15"/>
        <v>0</v>
      </c>
      <c r="H367" s="633">
        <f t="shared" si="15"/>
        <v>0</v>
      </c>
      <c r="I367" s="633">
        <f t="shared" si="15"/>
        <v>0</v>
      </c>
      <c r="J367" s="633">
        <f t="shared" si="15"/>
        <v>0</v>
      </c>
      <c r="K367" s="633">
        <f t="shared" si="15"/>
        <v>0</v>
      </c>
      <c r="L367" s="633">
        <f t="shared" si="15"/>
        <v>0</v>
      </c>
      <c r="M367" s="633">
        <f t="shared" si="15"/>
        <v>0</v>
      </c>
      <c r="N367" s="633">
        <f t="shared" si="15"/>
        <v>0</v>
      </c>
      <c r="O367" s="633">
        <f t="shared" si="15"/>
        <v>0</v>
      </c>
      <c r="P367" s="633">
        <f t="shared" si="15"/>
        <v>0</v>
      </c>
      <c r="Q367" s="633">
        <f t="shared" si="15"/>
        <v>0</v>
      </c>
      <c r="R367" s="633">
        <f t="shared" si="15"/>
        <v>0</v>
      </c>
    </row>
    <row r="368" spans="1:18" ht="12.75" customHeight="1" x14ac:dyDescent="0.25">
      <c r="A368" s="781"/>
      <c r="B368" s="780"/>
      <c r="C368" s="633" t="s">
        <v>73</v>
      </c>
      <c r="D368" s="633">
        <f>D350</f>
        <v>0</v>
      </c>
      <c r="E368" s="618"/>
      <c r="F368" s="618"/>
      <c r="G368" s="618"/>
      <c r="H368" s="618"/>
      <c r="I368" s="618"/>
      <c r="J368" s="618"/>
      <c r="K368" s="618"/>
      <c r="L368" s="618"/>
      <c r="M368" s="618"/>
      <c r="N368" s="618"/>
      <c r="O368" s="618"/>
      <c r="P368" s="618"/>
      <c r="Q368" s="618"/>
    </row>
    <row r="369" spans="1:18" ht="12.75" customHeight="1" x14ac:dyDescent="0.25">
      <c r="A369" s="617"/>
      <c r="D369" s="618"/>
      <c r="E369" s="618"/>
      <c r="F369" s="618"/>
      <c r="G369" s="618"/>
      <c r="H369" s="618"/>
      <c r="I369" s="618"/>
      <c r="J369" s="618"/>
      <c r="K369" s="618"/>
      <c r="L369" s="618"/>
      <c r="M369" s="618"/>
      <c r="N369" s="618"/>
      <c r="O369" s="618"/>
      <c r="P369" s="618"/>
      <c r="Q369" s="618"/>
    </row>
    <row r="370" spans="1:18" ht="12.75" customHeight="1" x14ac:dyDescent="0.25">
      <c r="A370" s="782" t="s">
        <v>326</v>
      </c>
      <c r="B370" s="780" t="s">
        <v>132</v>
      </c>
      <c r="C370" s="633" t="s">
        <v>70</v>
      </c>
      <c r="D370" s="720">
        <v>0</v>
      </c>
      <c r="E370" s="720">
        <v>0</v>
      </c>
      <c r="F370" s="720">
        <v>0</v>
      </c>
      <c r="G370" s="720">
        <v>0</v>
      </c>
      <c r="H370" s="720">
        <v>0</v>
      </c>
      <c r="I370" s="720">
        <v>0</v>
      </c>
      <c r="J370" s="720">
        <v>0</v>
      </c>
      <c r="K370" s="720">
        <v>0</v>
      </c>
      <c r="L370" s="720">
        <v>0</v>
      </c>
      <c r="M370" s="720">
        <v>0</v>
      </c>
      <c r="N370" s="720">
        <v>0</v>
      </c>
      <c r="O370" s="720">
        <v>0</v>
      </c>
      <c r="P370" s="720">
        <v>0</v>
      </c>
      <c r="Q370" s="720">
        <v>0</v>
      </c>
      <c r="R370" s="720">
        <v>0</v>
      </c>
    </row>
    <row r="371" spans="1:18" ht="12.75" customHeight="1" x14ac:dyDescent="0.25">
      <c r="A371" s="782"/>
      <c r="B371" s="780"/>
      <c r="C371" s="633" t="s">
        <v>73</v>
      </c>
      <c r="D371" s="720">
        <v>0</v>
      </c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</row>
    <row r="372" spans="1:18" ht="12.75" customHeight="1" x14ac:dyDescent="0.25">
      <c r="A372" s="617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P372" s="618"/>
      <c r="Q372" s="618"/>
    </row>
    <row r="373" spans="1:18" ht="12.75" customHeight="1" x14ac:dyDescent="0.25">
      <c r="A373" s="781" t="s">
        <v>119</v>
      </c>
      <c r="B373" s="780" t="s">
        <v>132</v>
      </c>
      <c r="C373" s="628" t="s">
        <v>70</v>
      </c>
      <c r="D373" s="628">
        <f>D357-P357</f>
        <v>0</v>
      </c>
      <c r="E373" s="628">
        <f>E354</f>
        <v>0</v>
      </c>
      <c r="F373" s="628">
        <f t="shared" ref="F373:R373" si="16">F354</f>
        <v>0</v>
      </c>
      <c r="G373" s="628">
        <f t="shared" si="16"/>
        <v>0</v>
      </c>
      <c r="H373" s="628">
        <f t="shared" si="16"/>
        <v>0</v>
      </c>
      <c r="I373" s="628">
        <f t="shared" si="16"/>
        <v>0</v>
      </c>
      <c r="J373" s="628">
        <f t="shared" si="16"/>
        <v>0</v>
      </c>
      <c r="K373" s="628">
        <f t="shared" si="16"/>
        <v>0</v>
      </c>
      <c r="L373" s="628">
        <f t="shared" si="16"/>
        <v>0</v>
      </c>
      <c r="M373" s="628">
        <f t="shared" si="16"/>
        <v>0</v>
      </c>
      <c r="N373" s="628">
        <f t="shared" si="16"/>
        <v>0</v>
      </c>
      <c r="O373" s="628">
        <f t="shared" si="16"/>
        <v>0</v>
      </c>
      <c r="P373" s="628">
        <f t="shared" si="16"/>
        <v>0</v>
      </c>
      <c r="Q373" s="628">
        <f t="shared" si="16"/>
        <v>0</v>
      </c>
      <c r="R373" s="628">
        <f t="shared" si="16"/>
        <v>0</v>
      </c>
    </row>
    <row r="374" spans="1:18" ht="12.75" customHeight="1" x14ac:dyDescent="0.25">
      <c r="A374" s="781"/>
      <c r="B374" s="780"/>
      <c r="C374" s="628" t="s">
        <v>73</v>
      </c>
      <c r="D374" s="629">
        <f>D356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</row>
    <row r="376" spans="1:18" x14ac:dyDescent="0.25">
      <c r="A376" s="779" t="s">
        <v>161</v>
      </c>
      <c r="B376" s="780" t="s">
        <v>132</v>
      </c>
      <c r="C376" s="634" t="s">
        <v>70</v>
      </c>
      <c r="D376" s="634">
        <v>0</v>
      </c>
      <c r="E376" s="634">
        <v>0</v>
      </c>
      <c r="F376" s="634">
        <v>0</v>
      </c>
      <c r="G376" s="634">
        <v>0</v>
      </c>
      <c r="H376" s="634">
        <v>0</v>
      </c>
      <c r="I376" s="634">
        <v>0</v>
      </c>
      <c r="J376" s="634">
        <v>0</v>
      </c>
      <c r="K376" s="634">
        <v>0</v>
      </c>
      <c r="L376" s="634">
        <v>0</v>
      </c>
      <c r="M376" s="634">
        <v>0</v>
      </c>
      <c r="N376" s="634">
        <v>0</v>
      </c>
      <c r="O376" s="634">
        <v>0</v>
      </c>
      <c r="P376" s="634">
        <v>0</v>
      </c>
      <c r="Q376" s="634">
        <v>0</v>
      </c>
      <c r="R376" s="634">
        <v>0</v>
      </c>
    </row>
    <row r="377" spans="1:18" x14ac:dyDescent="0.25">
      <c r="A377" s="779"/>
      <c r="B377" s="780"/>
      <c r="C377" s="634" t="s">
        <v>73</v>
      </c>
      <c r="D377" s="634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</row>
    <row r="378" spans="1:18" s="635" customFormat="1" x14ac:dyDescent="0.25"/>
    <row r="381" spans="1:18" x14ac:dyDescent="0.25">
      <c r="D381" s="616">
        <f t="shared" ref="D381:R381" si="17">D73+D174+D211+D326+D361</f>
        <v>0</v>
      </c>
      <c r="E381" s="616">
        <f t="shared" si="17"/>
        <v>0</v>
      </c>
      <c r="F381" s="616">
        <f t="shared" si="17"/>
        <v>0</v>
      </c>
      <c r="G381" s="616">
        <f t="shared" si="17"/>
        <v>0</v>
      </c>
      <c r="H381" s="616">
        <f t="shared" si="17"/>
        <v>0</v>
      </c>
      <c r="I381" s="616">
        <f t="shared" si="17"/>
        <v>0</v>
      </c>
      <c r="J381" s="616">
        <f t="shared" si="17"/>
        <v>0</v>
      </c>
      <c r="K381" s="616">
        <f t="shared" si="17"/>
        <v>0</v>
      </c>
      <c r="L381" s="616">
        <f t="shared" si="17"/>
        <v>0</v>
      </c>
      <c r="M381" s="616">
        <f t="shared" si="17"/>
        <v>0</v>
      </c>
      <c r="N381" s="616">
        <f t="shared" si="17"/>
        <v>0</v>
      </c>
      <c r="O381" s="616">
        <f t="shared" si="17"/>
        <v>0</v>
      </c>
      <c r="P381" s="616">
        <f t="shared" si="17"/>
        <v>0</v>
      </c>
      <c r="Q381" s="616">
        <f t="shared" si="17"/>
        <v>0</v>
      </c>
      <c r="R381" s="616">
        <f t="shared" si="17"/>
        <v>0</v>
      </c>
    </row>
    <row r="382" spans="1:18" x14ac:dyDescent="0.25">
      <c r="D382" s="616">
        <f>D74+D175+D212+D327+D362</f>
        <v>0</v>
      </c>
    </row>
  </sheetData>
  <mergeCells count="60">
    <mergeCell ref="A82:A83"/>
    <mergeCell ref="B82:B83"/>
    <mergeCell ref="A183:A184"/>
    <mergeCell ref="B183:B184"/>
    <mergeCell ref="A220:A221"/>
    <mergeCell ref="B220:B221"/>
    <mergeCell ref="A85:A86"/>
    <mergeCell ref="B85:B86"/>
    <mergeCell ref="A88:A89"/>
    <mergeCell ref="B88:B89"/>
    <mergeCell ref="A174:A175"/>
    <mergeCell ref="B174:B175"/>
    <mergeCell ref="A177:A178"/>
    <mergeCell ref="B177:B178"/>
    <mergeCell ref="A180:A181"/>
    <mergeCell ref="B180:B181"/>
    <mergeCell ref="A73:A74"/>
    <mergeCell ref="B73:B74"/>
    <mergeCell ref="A76:A77"/>
    <mergeCell ref="B76:B77"/>
    <mergeCell ref="A79:A80"/>
    <mergeCell ref="B79:B80"/>
    <mergeCell ref="A186:A187"/>
    <mergeCell ref="B186:B187"/>
    <mergeCell ref="A189:A190"/>
    <mergeCell ref="B189:B190"/>
    <mergeCell ref="A211:A212"/>
    <mergeCell ref="B211:B212"/>
    <mergeCell ref="A214:A215"/>
    <mergeCell ref="B214:B215"/>
    <mergeCell ref="A217:A218"/>
    <mergeCell ref="B217:B218"/>
    <mergeCell ref="A223:A224"/>
    <mergeCell ref="B223:B224"/>
    <mergeCell ref="A226:A227"/>
    <mergeCell ref="B226:B227"/>
    <mergeCell ref="A326:A327"/>
    <mergeCell ref="B326:B327"/>
    <mergeCell ref="A329:A330"/>
    <mergeCell ref="B329:B330"/>
    <mergeCell ref="A332:A333"/>
    <mergeCell ref="B332:B333"/>
    <mergeCell ref="A338:A339"/>
    <mergeCell ref="B338:B339"/>
    <mergeCell ref="A335:A336"/>
    <mergeCell ref="B335:B336"/>
    <mergeCell ref="A341:A342"/>
    <mergeCell ref="B341:B342"/>
    <mergeCell ref="A361:A362"/>
    <mergeCell ref="B361:B362"/>
    <mergeCell ref="A376:A377"/>
    <mergeCell ref="B376:B377"/>
    <mergeCell ref="A364:A365"/>
    <mergeCell ref="B364:B365"/>
    <mergeCell ref="A367:A368"/>
    <mergeCell ref="B367:B368"/>
    <mergeCell ref="A373:A374"/>
    <mergeCell ref="B373:B374"/>
    <mergeCell ref="A370:A371"/>
    <mergeCell ref="B370:B371"/>
  </mergeCells>
  <conditionalFormatting sqref="D75:D89 D174:D190 D211:D227 D326:D342 D361:D37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H7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H26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H45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3">
        <f>SUM(F9:G9)</f>
        <v>1719872614</v>
      </c>
      <c r="G10" s="784"/>
      <c r="H10" s="783">
        <f>SUM(H9:I9)</f>
        <v>1719872614</v>
      </c>
      <c r="I10" s="784"/>
      <c r="J10" s="783">
        <f>SUM(J9:K9)</f>
        <v>1719872614</v>
      </c>
      <c r="K10" s="784"/>
      <c r="L10" s="783">
        <f>SUM(L9:M9)</f>
        <v>1719872614</v>
      </c>
      <c r="M10" s="784"/>
      <c r="N10" s="783">
        <f>SUM(N9:O9)</f>
        <v>1719872614</v>
      </c>
      <c r="O10" s="784"/>
      <c r="P10" s="783">
        <f>SUM(P9:Q9)</f>
        <v>1719872614</v>
      </c>
      <c r="Q10" s="784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3">
        <f>SUM(F20:G20)</f>
        <v>1719872614</v>
      </c>
      <c r="G21" s="784">
        <v>1191383498</v>
      </c>
      <c r="H21" s="783">
        <f>SUM(H20:I20)</f>
        <v>1719872614</v>
      </c>
      <c r="I21" s="784">
        <v>1191383498</v>
      </c>
      <c r="J21" s="783">
        <f>SUM(J20:K20)</f>
        <v>1719872614</v>
      </c>
      <c r="K21" s="784">
        <v>1191383498</v>
      </c>
      <c r="L21" s="783">
        <f>SUM(L20:M20)</f>
        <v>1719872614</v>
      </c>
      <c r="M21" s="784">
        <v>1191383498</v>
      </c>
      <c r="N21" s="783">
        <f>SUM(N20:O20)</f>
        <v>1719872614</v>
      </c>
      <c r="O21" s="784">
        <v>1191383498</v>
      </c>
      <c r="P21" s="783">
        <f>SUM(P20:Q20)</f>
        <v>1719872614</v>
      </c>
      <c r="Q21" s="784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46281</v>
      </c>
      <c r="G10" s="408"/>
      <c r="H10" s="397" t="s">
        <v>28</v>
      </c>
      <c r="I10" s="457">
        <f>'CONSOLIDADO_TOTAL RECAUDO'!K102</f>
        <v>46295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R1'!F105*$D$24</f>
        <v>0</v>
      </c>
      <c r="E12" s="424">
        <f>'Reporte Componentes R1'!G105*$D$24</f>
        <v>0</v>
      </c>
      <c r="F12" s="425">
        <f>'Reporte Componentes R1'!H105*$D$24</f>
        <v>0</v>
      </c>
      <c r="G12" s="425">
        <f>'Reporte Componentes R1'!I105*$D$24</f>
        <v>0</v>
      </c>
      <c r="H12" s="425">
        <f>'Reporte Componentes R1'!J105*$D$24</f>
        <v>0</v>
      </c>
      <c r="I12" s="425">
        <f>'Reporte Componentes R1'!K105*$D$24</f>
        <v>0</v>
      </c>
      <c r="J12" s="426">
        <f t="shared" ref="J12:J16" si="0">D12-E12-F12-G12-H12-I12</f>
        <v>0</v>
      </c>
      <c r="L12" s="428"/>
      <c r="N12" s="422">
        <v>1</v>
      </c>
      <c r="O12" s="423" t="s">
        <v>10</v>
      </c>
      <c r="P12" s="429">
        <f>'Reporte Componentes R1'!M105*$P$24</f>
        <v>0</v>
      </c>
      <c r="Q12" s="430">
        <f>'Reporte Componentes R1'!N105*$P$24</f>
        <v>0</v>
      </c>
      <c r="R12" s="430">
        <f>'Reporte Componentes R1'!O105*$P$24</f>
        <v>0</v>
      </c>
      <c r="S12" s="430">
        <f>'Reporte Componentes R1'!P105*$P$24</f>
        <v>0</v>
      </c>
      <c r="T12" s="430">
        <f>'Reporte Componentes R1'!Q105*$P$24</f>
        <v>0</v>
      </c>
      <c r="U12" s="464">
        <f>SUM(P12:T12)</f>
        <v>0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R1'!F284*$D$24</f>
        <v>0</v>
      </c>
      <c r="E13" s="425">
        <f>'Reporte Componentes R1'!G284*$D$24</f>
        <v>0</v>
      </c>
      <c r="F13" s="425">
        <f>'Reporte Componentes R1'!H284*$D$24</f>
        <v>0</v>
      </c>
      <c r="G13" s="425">
        <f>'Reporte Componentes R1'!I284*$D$24</f>
        <v>0</v>
      </c>
      <c r="H13" s="425">
        <f>'Reporte Componentes R1'!J284*$D$24</f>
        <v>0</v>
      </c>
      <c r="I13" s="425">
        <f>'Reporte Componentes R1'!K284*$D$24</f>
        <v>0</v>
      </c>
      <c r="J13" s="426">
        <f t="shared" si="0"/>
        <v>0</v>
      </c>
      <c r="L13" s="428"/>
      <c r="N13" s="432">
        <v>2</v>
      </c>
      <c r="O13" s="433" t="s">
        <v>11</v>
      </c>
      <c r="P13" s="434">
        <f>'Reporte Componentes R1'!M284*$P$24</f>
        <v>0</v>
      </c>
      <c r="Q13" s="435">
        <f>'Reporte Componentes R1'!N284*$P$24</f>
        <v>0</v>
      </c>
      <c r="R13" s="435">
        <f>'Reporte Componentes R1'!O284*$P$24</f>
        <v>0</v>
      </c>
      <c r="S13" s="435">
        <f>'Reporte Componentes R1'!P284*$P$24</f>
        <v>0</v>
      </c>
      <c r="T13" s="435">
        <f>'Reporte Componentes R1'!Q284*$P$24</f>
        <v>0</v>
      </c>
      <c r="U13" s="463">
        <f>SUM(P13:T13)</f>
        <v>0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R1'!F445*$D$24</f>
        <v>0</v>
      </c>
      <c r="E14" s="424">
        <f>'Reporte Componentes R1'!G445*$D$24</f>
        <v>0</v>
      </c>
      <c r="F14" s="424">
        <f>'Reporte Componentes R1'!H445*$D$24</f>
        <v>0</v>
      </c>
      <c r="G14" s="424">
        <f>'Reporte Componentes R1'!I445*$D$24</f>
        <v>0</v>
      </c>
      <c r="H14" s="424">
        <f>'Reporte Componentes R1'!J445*$D$24</f>
        <v>0</v>
      </c>
      <c r="I14" s="424">
        <f>'Reporte Componentes R1'!K445*$D$24</f>
        <v>0</v>
      </c>
      <c r="J14" s="426">
        <f t="shared" si="0"/>
        <v>0</v>
      </c>
      <c r="L14" s="428"/>
      <c r="N14" s="432">
        <v>3</v>
      </c>
      <c r="O14" s="433" t="s">
        <v>12</v>
      </c>
      <c r="P14" s="434">
        <f>'Reporte Componentes R1'!M445*$P$24</f>
        <v>0</v>
      </c>
      <c r="Q14" s="435">
        <f>'Reporte Componentes R1'!N445*$P$24</f>
        <v>0</v>
      </c>
      <c r="R14" s="435">
        <f>'Reporte Componentes R1'!O445*$P$24</f>
        <v>0</v>
      </c>
      <c r="S14" s="435">
        <f>'Reporte Componentes R1'!P445*$P$24</f>
        <v>0</v>
      </c>
      <c r="T14" s="435">
        <f>'Reporte Componentes R1'!Q445*$P$24</f>
        <v>0</v>
      </c>
      <c r="U14" s="463">
        <f>SUM(P14:T14)</f>
        <v>0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R1'!F598*$D$24</f>
        <v>0</v>
      </c>
      <c r="E15" s="425">
        <f>'Reporte Componentes R1'!G598*$D$24</f>
        <v>0</v>
      </c>
      <c r="F15" s="425">
        <f>'Reporte Componentes R1'!H598*$D$24</f>
        <v>0</v>
      </c>
      <c r="G15" s="425">
        <f>'Reporte Componentes R1'!I598*$D$24</f>
        <v>0</v>
      </c>
      <c r="H15" s="425">
        <f>'Reporte Componentes R1'!J598*$D$24</f>
        <v>0</v>
      </c>
      <c r="I15" s="425">
        <f>'Reporte Componentes R1'!K598*$D$24</f>
        <v>0</v>
      </c>
      <c r="J15" s="426">
        <f t="shared" si="0"/>
        <v>0</v>
      </c>
      <c r="L15" s="428"/>
      <c r="N15" s="432">
        <v>4</v>
      </c>
      <c r="O15" s="433" t="s">
        <v>13</v>
      </c>
      <c r="P15" s="434">
        <f>'Reporte Componentes R1'!M598*$P$24</f>
        <v>0</v>
      </c>
      <c r="Q15" s="435">
        <f>'Reporte Componentes R1'!N598*$P$24</f>
        <v>0</v>
      </c>
      <c r="R15" s="435">
        <f>'Reporte Componentes R1'!O598*$P$24</f>
        <v>0</v>
      </c>
      <c r="S15" s="435">
        <f>'Reporte Componentes R1'!P598*$P$24</f>
        <v>0</v>
      </c>
      <c r="T15" s="435">
        <f>'Reporte Componentes R1'!Q598*$P$24</f>
        <v>0</v>
      </c>
      <c r="U15" s="463">
        <f>SUM(P15:T15)</f>
        <v>0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R1'!F710*$D$24</f>
        <v>0</v>
      </c>
      <c r="E16" s="439">
        <f>'Reporte Componentes R1'!G710*$D$24</f>
        <v>0</v>
      </c>
      <c r="F16" s="439">
        <f>'Reporte Componentes R1'!H710*$D$24</f>
        <v>0</v>
      </c>
      <c r="G16" s="439">
        <f>'Reporte Componentes R1'!I710*$D$24</f>
        <v>0</v>
      </c>
      <c r="H16" s="439">
        <f>'Reporte Componentes R1'!J710*$D$24</f>
        <v>0</v>
      </c>
      <c r="I16" s="439">
        <f>'Reporte Componentes R1'!K710*$D$24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R1'!M710*$P$24</f>
        <v>0</v>
      </c>
      <c r="Q16" s="439">
        <f>'Reporte Componentes R1'!N710*$P$24</f>
        <v>0</v>
      </c>
      <c r="R16" s="439">
        <f>'Reporte Componentes R1'!O710*$P$24</f>
        <v>0</v>
      </c>
      <c r="S16" s="439">
        <f>'Reporte Componentes R1'!P710*$P$24</f>
        <v>0</v>
      </c>
      <c r="T16" s="439">
        <f>'Reporte Componentes R1'!Q710*$P$24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0</v>
      </c>
      <c r="E17" s="442">
        <f t="shared" si="3"/>
        <v>0</v>
      </c>
      <c r="F17" s="442">
        <f t="shared" si="3"/>
        <v>0</v>
      </c>
      <c r="G17" s="442">
        <f t="shared" si="3"/>
        <v>0</v>
      </c>
      <c r="H17" s="442">
        <f t="shared" si="3"/>
        <v>0</v>
      </c>
      <c r="I17" s="442">
        <f t="shared" si="3"/>
        <v>0</v>
      </c>
      <c r="J17" s="443">
        <f t="shared" si="3"/>
        <v>0</v>
      </c>
      <c r="K17" s="444"/>
      <c r="L17" s="428"/>
      <c r="N17" s="440"/>
      <c r="O17" s="441" t="s">
        <v>2</v>
      </c>
      <c r="P17" s="445">
        <f>SUM(P12:P16)</f>
        <v>0</v>
      </c>
      <c r="Q17" s="445">
        <f t="shared" ref="Q17:U17" si="4">SUM(Q12:Q16)</f>
        <v>0</v>
      </c>
      <c r="R17" s="445">
        <f t="shared" si="4"/>
        <v>0</v>
      </c>
      <c r="S17" s="445">
        <f t="shared" si="4"/>
        <v>0</v>
      </c>
      <c r="T17" s="445">
        <f t="shared" si="4"/>
        <v>0</v>
      </c>
      <c r="U17" s="462">
        <f t="shared" si="4"/>
        <v>0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0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B1" zoomScaleNormal="100" workbookViewId="0">
      <selection activeCell="L15" sqref="L1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46281</v>
      </c>
      <c r="J7" s="2" t="s">
        <v>28</v>
      </c>
      <c r="K7" s="9"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R1'!F75</f>
        <v>0</v>
      </c>
      <c r="E9" s="292">
        <f>'Reporte Componentes R1'!G75</f>
        <v>0</v>
      </c>
      <c r="F9" s="292">
        <f>'Reporte Componentes R1'!H75</f>
        <v>0</v>
      </c>
      <c r="G9" s="292">
        <f>'Reporte Componentes R1'!I75</f>
        <v>0</v>
      </c>
      <c r="H9" s="292">
        <f>'Reporte Componentes R1'!J75</f>
        <v>0</v>
      </c>
      <c r="I9" s="292">
        <f>'Reporte Componentes R1'!K75</f>
        <v>0</v>
      </c>
      <c r="J9" s="288">
        <f>'BCE SC POR FACT.'!F3</f>
        <v>0</v>
      </c>
      <c r="K9" s="293">
        <f>D9-E9-F9-G9-H9-I9-J9</f>
        <v>0</v>
      </c>
      <c r="L9" s="294">
        <f>INTERVENTORIA!M26</f>
        <v>189185988</v>
      </c>
      <c r="M9" s="293">
        <f>K9-L9</f>
        <v>-189185988</v>
      </c>
      <c r="N9" s="387">
        <f>'Reporte Componentes R1'!L75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R1'!M75</f>
        <v>0</v>
      </c>
      <c r="V9" s="308">
        <f>'Reporte Componentes R1'!N75</f>
        <v>0</v>
      </c>
      <c r="W9" s="308">
        <f>'Reporte Componentes R1'!O75</f>
        <v>0</v>
      </c>
      <c r="X9" s="308">
        <f>'Reporte Componentes R1'!P75</f>
        <v>0</v>
      </c>
      <c r="Y9" s="309">
        <f>'Reporte Componentes R1'!Q75</f>
        <v>0</v>
      </c>
      <c r="Z9" s="310">
        <f>L9*-1</f>
        <v>-189185988</v>
      </c>
      <c r="AA9" s="311">
        <f>'Reporte Componentes R1'!R75+'Reporte Componentes R1'!U75+'Reporte Componentes R1'!V75</f>
        <v>0</v>
      </c>
      <c r="AB9" s="312">
        <f>N9</f>
        <v>0</v>
      </c>
      <c r="AC9" s="320">
        <f>'Reporte Componentes R1'!T75+'Reporte Componentes R1'!W75+'Reporte Componentes R1'!X75+'Reporte Componentes R1'!Y75+'Reporte Componentes R1'!Z75+'Reporte Componentes R1'!S75</f>
        <v>0</v>
      </c>
      <c r="AD9" s="291">
        <f>-J9+AE9</f>
        <v>0</v>
      </c>
      <c r="AE9" s="291">
        <f>'Reporte Componentes R1'!F76</f>
        <v>0</v>
      </c>
      <c r="AF9" s="313">
        <f>SUM(U9:AD9)</f>
        <v>-189185988</v>
      </c>
      <c r="AG9" s="52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R1'!F254</f>
        <v>0</v>
      </c>
      <c r="E10" s="292">
        <f>'Reporte Componentes R1'!G254</f>
        <v>0</v>
      </c>
      <c r="F10" s="292">
        <f>'Reporte Componentes R1'!H254</f>
        <v>0</v>
      </c>
      <c r="G10" s="292">
        <f>'Reporte Componentes R1'!I254</f>
        <v>0</v>
      </c>
      <c r="H10" s="292">
        <f>'Reporte Componentes R1'!J254</f>
        <v>0</v>
      </c>
      <c r="I10" s="292">
        <f>'Reporte Componentes R1'!K254</f>
        <v>0</v>
      </c>
      <c r="J10" s="288">
        <f>'BCE SC POR FACT.'!F4</f>
        <v>0</v>
      </c>
      <c r="K10" s="295">
        <f>D10-E10-F10-G10-H10-I10-J10</f>
        <v>0</v>
      </c>
      <c r="L10" s="294">
        <f>INTERVENTORIA!M27</f>
        <v>266580256</v>
      </c>
      <c r="M10" s="295">
        <f>K10-L10</f>
        <v>-266580256</v>
      </c>
      <c r="N10" s="294">
        <f>'Reporte Componentes R1'!L254</f>
        <v>0</v>
      </c>
      <c r="O10" s="295">
        <f>M10+N10</f>
        <v>-266580256</v>
      </c>
      <c r="Q10" s="306"/>
      <c r="S10" s="314">
        <v>2</v>
      </c>
      <c r="T10" s="315" t="s">
        <v>11</v>
      </c>
      <c r="U10" s="316">
        <f>'Reporte Componentes R1'!M254</f>
        <v>0</v>
      </c>
      <c r="V10" s="317">
        <f>'Reporte Componentes R1'!N254</f>
        <v>0</v>
      </c>
      <c r="W10" s="317">
        <f>'Reporte Componentes R1'!O254</f>
        <v>0</v>
      </c>
      <c r="X10" s="317">
        <f>'Reporte Componentes R1'!P254</f>
        <v>0</v>
      </c>
      <c r="Y10" s="318">
        <f>'Reporte Componentes R1'!Q254</f>
        <v>0</v>
      </c>
      <c r="Z10" s="319">
        <f>L10*-1</f>
        <v>-266580256</v>
      </c>
      <c r="AA10" s="320">
        <f>'Reporte Componentes R1'!R254+'Reporte Componentes R1'!U254+'Reporte Componentes R1'!V254</f>
        <v>0</v>
      </c>
      <c r="AB10" s="321">
        <f>N10</f>
        <v>0</v>
      </c>
      <c r="AC10" s="320">
        <f>'Reporte Componentes R1'!T254+'Reporte Componentes R1'!W254+'Reporte Componentes R1'!X254+'Reporte Componentes R1'!Y254+'Reporte Componentes R1'!Z254+'Reporte Componentes R1'!S254</f>
        <v>0</v>
      </c>
      <c r="AD10" s="291">
        <f t="shared" ref="AD10:AD13" si="0">-J10+AE10</f>
        <v>0</v>
      </c>
      <c r="AE10" s="291">
        <f>'Reporte Componentes R1'!F255</f>
        <v>0</v>
      </c>
      <c r="AF10" s="322">
        <f>SUM(U10:AD10)</f>
        <v>-266580256</v>
      </c>
      <c r="AG10" s="522">
        <f>(AF10-O10)</f>
        <v>0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R1'!F415</f>
        <v>0</v>
      </c>
      <c r="E11" s="292">
        <f>'Reporte Componentes R1'!G415</f>
        <v>0</v>
      </c>
      <c r="F11" s="292">
        <f>'Reporte Componentes R1'!H415</f>
        <v>0</v>
      </c>
      <c r="G11" s="292">
        <f>'Reporte Componentes R1'!I415</f>
        <v>0</v>
      </c>
      <c r="H11" s="292">
        <f>'Reporte Componentes R1'!J415</f>
        <v>0</v>
      </c>
      <c r="I11" s="292">
        <f>'Reporte Componentes R1'!K415</f>
        <v>0</v>
      </c>
      <c r="J11" s="288">
        <f>'BCE SC POR FACT.'!F5</f>
        <v>0</v>
      </c>
      <c r="K11" s="295">
        <f>D11-E11-F11-G11-H11-I11-J11</f>
        <v>0</v>
      </c>
      <c r="L11" s="294">
        <f>INTERVENTORIA!M28</f>
        <v>154788536</v>
      </c>
      <c r="M11" s="295">
        <f>K11-L11</f>
        <v>-154788536</v>
      </c>
      <c r="N11" s="294">
        <f>'Reporte Componentes R1'!L415</f>
        <v>0</v>
      </c>
      <c r="O11" s="295">
        <f>M11+N11</f>
        <v>-154788536</v>
      </c>
      <c r="Q11" s="306"/>
      <c r="S11" s="314">
        <v>3</v>
      </c>
      <c r="T11" s="315" t="s">
        <v>12</v>
      </c>
      <c r="U11" s="316">
        <f>'Reporte Componentes R1'!M415</f>
        <v>0</v>
      </c>
      <c r="V11" s="317">
        <f>'Reporte Componentes R1'!N415</f>
        <v>0</v>
      </c>
      <c r="W11" s="317">
        <f>'Reporte Componentes R1'!O415</f>
        <v>0</v>
      </c>
      <c r="X11" s="317">
        <f>'Reporte Componentes R1'!P415</f>
        <v>0</v>
      </c>
      <c r="Y11" s="318">
        <f>'Reporte Componentes R1'!Q415</f>
        <v>0</v>
      </c>
      <c r="Z11" s="319">
        <f>L11*-1</f>
        <v>-154788536</v>
      </c>
      <c r="AA11" s="320">
        <f>'Reporte Componentes R1'!R415+'Reporte Componentes R1'!U415+'Reporte Componentes R1'!V415</f>
        <v>0</v>
      </c>
      <c r="AB11" s="321">
        <f>N11</f>
        <v>0</v>
      </c>
      <c r="AC11" s="320">
        <f>'Reporte Componentes R1'!T415+'Reporte Componentes R1'!W415+'Reporte Componentes R1'!X415+'Reporte Componentes R1'!Y415+'Reporte Componentes R1'!Z415+'Reporte Componentes R1'!S415</f>
        <v>0</v>
      </c>
      <c r="AD11" s="291">
        <f t="shared" si="0"/>
        <v>0</v>
      </c>
      <c r="AE11" s="291">
        <f>'Reporte Componentes R1'!F416</f>
        <v>0</v>
      </c>
      <c r="AF11" s="322">
        <f t="shared" ref="AF11:AF13" si="2">SUM(U11:AD11)</f>
        <v>-154788536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R1'!F568</f>
        <v>0</v>
      </c>
      <c r="E12" s="292">
        <f>'Reporte Componentes R1'!G568</f>
        <v>0</v>
      </c>
      <c r="F12" s="292">
        <f>'Reporte Componentes R1'!H568</f>
        <v>0</v>
      </c>
      <c r="G12" s="292">
        <f>'Reporte Componentes R1'!I568</f>
        <v>0</v>
      </c>
      <c r="H12" s="292">
        <f>'Reporte Componentes R1'!J568</f>
        <v>0</v>
      </c>
      <c r="I12" s="292">
        <f>'Reporte Componentes R1'!K568</f>
        <v>0</v>
      </c>
      <c r="J12" s="288">
        <f>'BCE SC POR FACT.'!F6</f>
        <v>0</v>
      </c>
      <c r="K12" s="295">
        <f>D12-E12-F12-G12-H12-I12-J12</f>
        <v>0</v>
      </c>
      <c r="L12" s="294">
        <f>INTERVENTORIA!M29</f>
        <v>120391083</v>
      </c>
      <c r="M12" s="295">
        <f>K12-L12</f>
        <v>-120391083</v>
      </c>
      <c r="N12" s="294">
        <f>'Reporte Componentes R1'!L568</f>
        <v>0</v>
      </c>
      <c r="O12" s="295">
        <f>M12+N12</f>
        <v>-120391083</v>
      </c>
      <c r="Q12" s="306"/>
      <c r="S12" s="314">
        <v>4</v>
      </c>
      <c r="T12" s="315" t="s">
        <v>13</v>
      </c>
      <c r="U12" s="316">
        <f>'Reporte Componentes R1'!M568</f>
        <v>0</v>
      </c>
      <c r="V12" s="317">
        <f>'Reporte Componentes R1'!N568</f>
        <v>0</v>
      </c>
      <c r="W12" s="317">
        <f>'Reporte Componentes R1'!O568</f>
        <v>0</v>
      </c>
      <c r="X12" s="317">
        <f>'Reporte Componentes R1'!P568</f>
        <v>0</v>
      </c>
      <c r="Y12" s="318">
        <f>'Reporte Componentes R1'!Q568</f>
        <v>0</v>
      </c>
      <c r="Z12" s="319">
        <f>L12*-1</f>
        <v>-120391083</v>
      </c>
      <c r="AA12" s="320">
        <f>'Reporte Componentes R1'!R568+'Reporte Componentes R1'!U568+'Reporte Componentes R1'!V568</f>
        <v>0</v>
      </c>
      <c r="AB12" s="321">
        <f>N12</f>
        <v>0</v>
      </c>
      <c r="AC12" s="320">
        <f>'Reporte Componentes R1'!T568+'Reporte Componentes R1'!W568+'Reporte Componentes R1'!X568+'Reporte Componentes R1'!Y568+'Reporte Componentes R1'!Z568+'Reporte Componentes R1'!S568</f>
        <v>0</v>
      </c>
      <c r="AD12" s="291">
        <f t="shared" si="0"/>
        <v>0</v>
      </c>
      <c r="AE12" s="291">
        <f>'Reporte Componentes R1'!F569</f>
        <v>0</v>
      </c>
      <c r="AF12" s="322">
        <f t="shared" si="2"/>
        <v>-120391083</v>
      </c>
      <c r="AG12" s="522">
        <f>(AF12-O12)</f>
        <v>0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R1'!F680</f>
        <v>0</v>
      </c>
      <c r="E13" s="297">
        <f>'Reporte Componentes R1'!G680</f>
        <v>0</v>
      </c>
      <c r="F13" s="297">
        <f>'Reporte Componentes R1'!H680</f>
        <v>0</v>
      </c>
      <c r="G13" s="297">
        <f>'Reporte Componentes R1'!I680</f>
        <v>0</v>
      </c>
      <c r="H13" s="297">
        <f>'Reporte Componentes R1'!J680</f>
        <v>0</v>
      </c>
      <c r="I13" s="297">
        <f>'Reporte Componentes R1'!K680</f>
        <v>0</v>
      </c>
      <c r="J13" s="289">
        <f>'BCE SC POR FACT.'!F7</f>
        <v>0</v>
      </c>
      <c r="K13" s="295">
        <f>D13-E13-F13-G13-H13-I13-J13</f>
        <v>0</v>
      </c>
      <c r="L13" s="294">
        <f>INTERVENTORIA!M30</f>
        <v>128990446</v>
      </c>
      <c r="M13" s="298">
        <f>K13-L13</f>
        <v>-128990446</v>
      </c>
      <c r="N13" s="299">
        <f>'Reporte Componentes R1'!L680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R1'!M680</f>
        <v>0</v>
      </c>
      <c r="V13" s="297">
        <f>'Reporte Componentes R1'!N680</f>
        <v>0</v>
      </c>
      <c r="W13" s="297">
        <f>'Reporte Componentes R1'!O680</f>
        <v>0</v>
      </c>
      <c r="X13" s="297">
        <f>'Reporte Componentes R1'!P680</f>
        <v>0</v>
      </c>
      <c r="Y13" s="289">
        <f>'Reporte Componentes R1'!Q680</f>
        <v>0</v>
      </c>
      <c r="Z13" s="319">
        <f>L13*-1</f>
        <v>-128990446</v>
      </c>
      <c r="AA13" s="320">
        <f>'Reporte Componentes R1'!R680+'Reporte Componentes R1'!U680+'Reporte Componentes R1'!V680</f>
        <v>0</v>
      </c>
      <c r="AB13" s="321">
        <f>N13</f>
        <v>0</v>
      </c>
      <c r="AC13" s="320">
        <f>'Reporte Componentes R1'!T680+'Reporte Componentes R1'!W680+'Reporte Componentes R1'!X680+'Reporte Componentes R1'!Y680+'Reporte Componentes R1'!Z680+'Reporte Componentes R1'!S680</f>
        <v>0</v>
      </c>
      <c r="AD13" s="291">
        <f t="shared" si="0"/>
        <v>0</v>
      </c>
      <c r="AE13" s="291">
        <f>'Reporte Componentes R1'!F681</f>
        <v>0</v>
      </c>
      <c r="AF13" s="322">
        <f t="shared" si="2"/>
        <v>-128990446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3">SUM(E9:E13)</f>
        <v>0</v>
      </c>
      <c r="F14" s="290">
        <f t="shared" si="3"/>
        <v>0</v>
      </c>
      <c r="G14" s="290">
        <f t="shared" ref="G14" si="4">SUM(G9:G13)</f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>SUM(K9:K13)</f>
        <v>0</v>
      </c>
      <c r="L14" s="301">
        <f>SUM(L9:L13)</f>
        <v>859936309</v>
      </c>
      <c r="M14" s="302">
        <f t="shared" si="3"/>
        <v>-859936309</v>
      </c>
      <c r="N14" s="301">
        <f t="shared" si="3"/>
        <v>0</v>
      </c>
      <c r="O14" s="302">
        <f t="shared" si="3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5">SUM(V9:V13)</f>
        <v>0</v>
      </c>
      <c r="W14" s="330">
        <f t="shared" si="5"/>
        <v>0</v>
      </c>
      <c r="X14" s="330">
        <f t="shared" si="5"/>
        <v>0</v>
      </c>
      <c r="Y14" s="330">
        <f t="shared" si="5"/>
        <v>0</v>
      </c>
      <c r="Z14" s="290">
        <f t="shared" si="5"/>
        <v>-859936309</v>
      </c>
      <c r="AA14" s="290">
        <f t="shared" si="5"/>
        <v>0</v>
      </c>
      <c r="AB14" s="290">
        <f t="shared" si="5"/>
        <v>0</v>
      </c>
      <c r="AC14" s="290">
        <f>SUM(AC9:AC13)</f>
        <v>0</v>
      </c>
      <c r="AD14" s="290">
        <f>SUM(AD9:AD13)</f>
        <v>0</v>
      </c>
      <c r="AE14" s="290">
        <f>SUM(AE9:AE13)</f>
        <v>0</v>
      </c>
      <c r="AF14" s="331">
        <f t="shared" si="5"/>
        <v>-859936309</v>
      </c>
      <c r="AG14" s="524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R2'!E47</f>
        <v>0</v>
      </c>
      <c r="E28" s="292">
        <f>'Rem. Anticipos R2'!F47</f>
        <v>0</v>
      </c>
      <c r="F28" s="292">
        <f>'Rem. Anticipos R2'!G47</f>
        <v>0</v>
      </c>
      <c r="G28" s="292">
        <f>'Rem. Anticipos R2'!H47</f>
        <v>0</v>
      </c>
      <c r="H28" s="292">
        <f>'Rem. Anticipos R2'!I47</f>
        <v>0</v>
      </c>
      <c r="I28" s="292">
        <f>'Rem. Anticipos R2'!J47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R2'!K47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R2'!L47</f>
        <v>0</v>
      </c>
      <c r="V28" s="308">
        <f>'Rem. Anticipos R2'!M47</f>
        <v>0</v>
      </c>
      <c r="W28" s="308">
        <f>'Rem. Anticipos R2'!N47</f>
        <v>0</v>
      </c>
      <c r="X28" s="308">
        <f>'Rem. Anticipos R2'!O47</f>
        <v>0</v>
      </c>
      <c r="Y28" s="308">
        <f>'Rem. Anticipos R2'!P47</f>
        <v>0</v>
      </c>
      <c r="Z28" s="310">
        <f>L28*-1</f>
        <v>0</v>
      </c>
      <c r="AA28" s="311">
        <f>'Rem. Anticipos R2'!Q47</f>
        <v>0</v>
      </c>
      <c r="AB28" s="294">
        <f>N28</f>
        <v>0</v>
      </c>
      <c r="AC28" s="311">
        <f>'Rem. Anticipos R2'!R47</f>
        <v>0</v>
      </c>
      <c r="AD28" s="291">
        <f>-J28+AE28</f>
        <v>0</v>
      </c>
      <c r="AE28" s="291">
        <f>'Rem. Anticipos R2'!E48</f>
        <v>0</v>
      </c>
      <c r="AF28" s="313">
        <f>SUM(U28:AD28)</f>
        <v>0</v>
      </c>
      <c r="AG28" s="52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R2'!E144</f>
        <v>0</v>
      </c>
      <c r="E29" s="292">
        <f>'Rem. Anticipos R2'!F144</f>
        <v>0</v>
      </c>
      <c r="F29" s="292">
        <f>'Rem. Anticipos R2'!G144</f>
        <v>0</v>
      </c>
      <c r="G29" s="292">
        <f>'Rem. Anticipos R2'!H144</f>
        <v>0</v>
      </c>
      <c r="H29" s="292">
        <f>'Rem. Anticipos R2'!I144</f>
        <v>0</v>
      </c>
      <c r="I29" s="292">
        <f>'Rem. Anticipos R2'!J144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R2'!K144</f>
        <v>0</v>
      </c>
      <c r="O29" s="295">
        <f t="shared" ref="O29:O32" si="6">M29+N29</f>
        <v>0</v>
      </c>
      <c r="Q29" s="306"/>
      <c r="S29" s="314">
        <v>2</v>
      </c>
      <c r="T29" s="315" t="s">
        <v>11</v>
      </c>
      <c r="U29" s="316">
        <f>'Rem. Anticipos R2'!L144</f>
        <v>0</v>
      </c>
      <c r="V29" s="317">
        <f>'Rem. Anticipos R2'!M144</f>
        <v>0</v>
      </c>
      <c r="W29" s="317">
        <f>'Rem. Anticipos R2'!N144</f>
        <v>0</v>
      </c>
      <c r="X29" s="317">
        <f>'Rem. Anticipos R2'!O144</f>
        <v>0</v>
      </c>
      <c r="Y29" s="318">
        <f>'Rem. Anticipos R2'!P144</f>
        <v>0</v>
      </c>
      <c r="Z29" s="319">
        <f>L29*-1</f>
        <v>0</v>
      </c>
      <c r="AA29" s="320">
        <f>'Rem. Anticipos R2'!Q144</f>
        <v>0</v>
      </c>
      <c r="AB29" s="294">
        <f>N29</f>
        <v>0</v>
      </c>
      <c r="AC29" s="320">
        <f>'Rem. Anticipos R2'!R144</f>
        <v>0</v>
      </c>
      <c r="AD29" s="291">
        <f>-J29+AE29</f>
        <v>0</v>
      </c>
      <c r="AE29" s="291">
        <f>'Rem. Anticipos R2'!E145</f>
        <v>0</v>
      </c>
      <c r="AF29" s="322">
        <f>SUM(U29:AD29)</f>
        <v>0</v>
      </c>
      <c r="AG29" s="522">
        <f>(AF29-O29)</f>
        <v>0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R2'!E262</f>
        <v>0</v>
      </c>
      <c r="E30" s="292">
        <f>'Rem. Anticipos R2'!F262</f>
        <v>0</v>
      </c>
      <c r="F30" s="292">
        <f>'Rem. Anticipos R2'!G262</f>
        <v>0</v>
      </c>
      <c r="G30" s="292">
        <f>'Rem. Anticipos R2'!H262</f>
        <v>0</v>
      </c>
      <c r="H30" s="292">
        <f>'Rem. Anticipos R2'!I262</f>
        <v>0</v>
      </c>
      <c r="I30" s="292">
        <f>'Rem. Anticipos R2'!J262</f>
        <v>0</v>
      </c>
      <c r="J30" s="288">
        <v>0</v>
      </c>
      <c r="K30" s="295">
        <f t="shared" ref="K30:K31" si="8">D30-E30-F30-G30-H30-I30-J30</f>
        <v>0</v>
      </c>
      <c r="L30" s="294">
        <v>0</v>
      </c>
      <c r="M30" s="295">
        <f>K30-L30</f>
        <v>0</v>
      </c>
      <c r="N30" s="294">
        <f>'Rem. Anticipos R2'!K262</f>
        <v>0</v>
      </c>
      <c r="O30" s="295">
        <f t="shared" si="6"/>
        <v>0</v>
      </c>
      <c r="Q30" s="306"/>
      <c r="S30" s="314">
        <v>3</v>
      </c>
      <c r="T30" s="315" t="s">
        <v>12</v>
      </c>
      <c r="U30" s="316">
        <f>'Rem. Anticipos R2'!L262</f>
        <v>0</v>
      </c>
      <c r="V30" s="317">
        <f>'Rem. Anticipos R2'!M262</f>
        <v>0</v>
      </c>
      <c r="W30" s="317">
        <f>'Rem. Anticipos R2'!N262</f>
        <v>0</v>
      </c>
      <c r="X30" s="317">
        <f>'Rem. Anticipos R2'!O262</f>
        <v>0</v>
      </c>
      <c r="Y30" s="318">
        <f>'Rem. Anticipos R2'!P262</f>
        <v>0</v>
      </c>
      <c r="Z30" s="319">
        <f>L30*-1</f>
        <v>0</v>
      </c>
      <c r="AA30" s="320">
        <f>'Rem. Anticipos R2'!Q262</f>
        <v>0</v>
      </c>
      <c r="AB30" s="294">
        <f>N30</f>
        <v>0</v>
      </c>
      <c r="AC30" s="320">
        <f>'Rem. Anticipos R2'!R262</f>
        <v>0</v>
      </c>
      <c r="AD30" s="291">
        <f t="shared" ref="AD30:AD32" si="9">-J30+AE30</f>
        <v>0</v>
      </c>
      <c r="AE30" s="291">
        <f>'Rem. Anticipos R2'!E263</f>
        <v>0</v>
      </c>
      <c r="AF30" s="322">
        <f>SUM(U30:AD30)</f>
        <v>0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R2'!E362</f>
        <v>0</v>
      </c>
      <c r="E31" s="292">
        <f>'Rem. Anticipos R2'!F362</f>
        <v>0</v>
      </c>
      <c r="F31" s="292">
        <f>'Rem. Anticipos R2'!G362</f>
        <v>0</v>
      </c>
      <c r="G31" s="292">
        <f>'Rem. Anticipos R2'!H362</f>
        <v>0</v>
      </c>
      <c r="H31" s="292">
        <f>'Rem. Anticipos R2'!I362</f>
        <v>0</v>
      </c>
      <c r="I31" s="292">
        <f>'Rem. Anticipos R2'!J362</f>
        <v>0</v>
      </c>
      <c r="J31" s="288">
        <v>0</v>
      </c>
      <c r="K31" s="295">
        <f t="shared" si="8"/>
        <v>0</v>
      </c>
      <c r="L31" s="294">
        <v>0</v>
      </c>
      <c r="M31" s="295">
        <f>K31-L31</f>
        <v>0</v>
      </c>
      <c r="N31" s="294">
        <f>'Rem. Anticipos R2'!K362</f>
        <v>0</v>
      </c>
      <c r="O31" s="295">
        <f t="shared" si="6"/>
        <v>0</v>
      </c>
      <c r="Q31" s="306"/>
      <c r="S31" s="314">
        <v>4</v>
      </c>
      <c r="T31" s="315" t="s">
        <v>13</v>
      </c>
      <c r="U31" s="316">
        <f>'Rem. Anticipos R2'!L362</f>
        <v>0</v>
      </c>
      <c r="V31" s="317">
        <f>'Rem. Anticipos R2'!M362</f>
        <v>0</v>
      </c>
      <c r="W31" s="317">
        <f>'Rem. Anticipos R2'!N362</f>
        <v>0</v>
      </c>
      <c r="X31" s="317">
        <f>'Rem. Anticipos R2'!O362</f>
        <v>0</v>
      </c>
      <c r="Y31" s="318">
        <f>'Rem. Anticipos R2'!P362</f>
        <v>0</v>
      </c>
      <c r="Z31" s="319">
        <f>L31*-1</f>
        <v>0</v>
      </c>
      <c r="AA31" s="320">
        <f>'Rem. Anticipos R2'!Q362</f>
        <v>0</v>
      </c>
      <c r="AB31" s="294">
        <f>N31</f>
        <v>0</v>
      </c>
      <c r="AC31" s="320">
        <f>'Rem. Anticipos R2'!R362</f>
        <v>0</v>
      </c>
      <c r="AD31" s="291">
        <f t="shared" si="9"/>
        <v>0</v>
      </c>
      <c r="AE31" s="291">
        <f>'Rem. Anticipos R2'!E363</f>
        <v>0</v>
      </c>
      <c r="AF31" s="322">
        <f>SUM(U31:AD31)</f>
        <v>0</v>
      </c>
      <c r="AG31" s="522">
        <f t="shared" si="10"/>
        <v>0</v>
      </c>
      <c r="AH31" s="305" t="b">
        <f t="shared" si="7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R2'!E446</f>
        <v>0</v>
      </c>
      <c r="E32" s="297">
        <f>'Rem. Anticipos R2'!F446</f>
        <v>0</v>
      </c>
      <c r="F32" s="297">
        <f>'Rem. Anticipos R2'!G446</f>
        <v>0</v>
      </c>
      <c r="G32" s="297">
        <f>'Rem. Anticipos R2'!H446</f>
        <v>0</v>
      </c>
      <c r="H32" s="297">
        <f>'Rem. Anticipos R2'!I446</f>
        <v>0</v>
      </c>
      <c r="I32" s="297">
        <f>'Rem. Anticipos R2'!J446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R2'!K446</f>
        <v>0</v>
      </c>
      <c r="O32" s="298">
        <f t="shared" si="6"/>
        <v>0</v>
      </c>
      <c r="Q32" s="306"/>
      <c r="S32" s="324">
        <v>5</v>
      </c>
      <c r="T32" s="325" t="s">
        <v>14</v>
      </c>
      <c r="U32" s="296">
        <f>'Rem. Anticipos R2'!L446</f>
        <v>0</v>
      </c>
      <c r="V32" s="297">
        <f>'Rem. Anticipos R2'!M446</f>
        <v>0</v>
      </c>
      <c r="W32" s="297">
        <f>'Rem. Anticipos R2'!N446</f>
        <v>0</v>
      </c>
      <c r="X32" s="297">
        <f>'Rem. Anticipos R2'!O446</f>
        <v>0</v>
      </c>
      <c r="Y32" s="289">
        <f>'Rem. Anticipos R2'!P446</f>
        <v>0</v>
      </c>
      <c r="Z32" s="319">
        <f>L32*-1</f>
        <v>0</v>
      </c>
      <c r="AA32" s="320">
        <f>'Rem. Anticipos R2'!Q446</f>
        <v>0</v>
      </c>
      <c r="AB32" s="294">
        <f>N32</f>
        <v>0</v>
      </c>
      <c r="AC32" s="320">
        <f>'Rem. Anticipos R2'!R446</f>
        <v>0</v>
      </c>
      <c r="AD32" s="291">
        <f t="shared" si="9"/>
        <v>0</v>
      </c>
      <c r="AE32" s="291">
        <f>'Rem. Anticipos R2'!E447</f>
        <v>0</v>
      </c>
      <c r="AF32" s="322">
        <f>SUM(U32:AD32)</f>
        <v>0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ref="AG33" si="15">SUM(AG28:AG32)</f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R1'!F77</f>
        <v>0</v>
      </c>
      <c r="E47" s="292">
        <f>'Reporte Componentes R1'!G77</f>
        <v>0</v>
      </c>
      <c r="F47" s="292">
        <f>'Reporte Componentes R1'!H77</f>
        <v>0</v>
      </c>
      <c r="G47" s="292">
        <f>'Reporte Componentes R1'!I77</f>
        <v>0</v>
      </c>
      <c r="H47" s="292">
        <f>'Reporte Componentes R1'!J77</f>
        <v>0</v>
      </c>
      <c r="I47" s="292">
        <f>'Reporte Componentes R1'!K77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R1'!M77</f>
        <v>0</v>
      </c>
      <c r="V47" s="308">
        <f>'Reporte Componentes R1'!N77</f>
        <v>0</v>
      </c>
      <c r="W47" s="308">
        <f>'Reporte Componentes R1'!O77</f>
        <v>0</v>
      </c>
      <c r="X47" s="308">
        <f>'Reporte Componentes R1'!P77</f>
        <v>0</v>
      </c>
      <c r="Y47" s="309">
        <f>'Reporte Componentes R1'!Q77</f>
        <v>0</v>
      </c>
      <c r="Z47" s="310">
        <f>-L47</f>
        <v>0</v>
      </c>
      <c r="AA47" s="320">
        <f>'Reporte Componentes R1'!R77+'Reporte Componentes R1'!V77+'Reporte Componentes R1'!U77</f>
        <v>0</v>
      </c>
      <c r="AB47" s="294">
        <f>N47</f>
        <v>0</v>
      </c>
      <c r="AC47" s="311">
        <f>'Reporte Componentes R1'!T77+'Reporte Componentes R1'!W77+'Reporte Componentes R1'!X77+'Reporte Componentes R1'!Y77+'Reporte Componentes R1'!Z77+'Reporte Componentes R1'!S77</f>
        <v>0</v>
      </c>
      <c r="AD47" s="291">
        <f>-J47+AE47</f>
        <v>0</v>
      </c>
      <c r="AE47" s="291">
        <f>'Reporte Componentes R1'!F78</f>
        <v>0</v>
      </c>
      <c r="AF47" s="313">
        <f>SUM(U47:AD47)</f>
        <v>0</v>
      </c>
      <c r="AG47" s="52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R1'!F256</f>
        <v>0</v>
      </c>
      <c r="E48" s="292">
        <f>'Reporte Componentes R1'!G256</f>
        <v>0</v>
      </c>
      <c r="F48" s="292">
        <f>'Reporte Componentes R1'!H256</f>
        <v>0</v>
      </c>
      <c r="G48" s="292">
        <f>'Reporte Componentes R1'!I256</f>
        <v>0</v>
      </c>
      <c r="H48" s="292">
        <f>'Reporte Componentes R1'!J256</f>
        <v>0</v>
      </c>
      <c r="I48" s="292">
        <f>'Reporte Componentes R1'!K256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R1'!L256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R1'!M256</f>
        <v>0</v>
      </c>
      <c r="V48" s="317">
        <f>'Reporte Componentes R1'!N256</f>
        <v>0</v>
      </c>
      <c r="W48" s="317">
        <f>'Reporte Componentes R1'!O256</f>
        <v>0</v>
      </c>
      <c r="X48" s="317">
        <f>'Reporte Componentes R1'!P256</f>
        <v>0</v>
      </c>
      <c r="Y48" s="318">
        <f>'Reporte Componentes R1'!Q256</f>
        <v>0</v>
      </c>
      <c r="Z48" s="319">
        <f>-L48</f>
        <v>0</v>
      </c>
      <c r="AA48" s="320">
        <f>'Reporte Componentes R1'!R256+'Reporte Componentes R1'!V256+'Reporte Componentes R1'!U256</f>
        <v>0</v>
      </c>
      <c r="AB48" s="294">
        <f>N48</f>
        <v>0</v>
      </c>
      <c r="AC48" s="320">
        <f>'Reporte Componentes R1'!T256+'Reporte Componentes R1'!W256+'Reporte Componentes R1'!X256+'Reporte Componentes R1'!Y256+'Reporte Componentes R1'!Z256+'Reporte Componentes R1'!S256</f>
        <v>0</v>
      </c>
      <c r="AD48" s="291">
        <f t="shared" ref="AD48:AD51" si="18">-J48+AE48</f>
        <v>0</v>
      </c>
      <c r="AE48" s="291">
        <f>'Reporte Componentes R1'!F257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R1'!F417</f>
        <v>0</v>
      </c>
      <c r="E49" s="292">
        <f>'Reporte Componentes R1'!G417</f>
        <v>0</v>
      </c>
      <c r="F49" s="292">
        <f>'Reporte Componentes R1'!H417</f>
        <v>0</v>
      </c>
      <c r="G49" s="292">
        <f>'Reporte Componentes R1'!I417</f>
        <v>0</v>
      </c>
      <c r="H49" s="292">
        <f>'Reporte Componentes R1'!J417</f>
        <v>0</v>
      </c>
      <c r="I49" s="292">
        <f>'Reporte Componentes R1'!K417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R1'!L417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R1'!M417</f>
        <v>0</v>
      </c>
      <c r="V49" s="317">
        <f>'Reporte Componentes R1'!N417</f>
        <v>0</v>
      </c>
      <c r="W49" s="317">
        <f>'Reporte Componentes R1'!O417</f>
        <v>0</v>
      </c>
      <c r="X49" s="317">
        <f>'Reporte Componentes R1'!P417</f>
        <v>0</v>
      </c>
      <c r="Y49" s="318">
        <f>'Reporte Componentes R1'!Q417</f>
        <v>0</v>
      </c>
      <c r="Z49" s="319">
        <f>-L49</f>
        <v>0</v>
      </c>
      <c r="AA49" s="320">
        <f>'Reporte Componentes R1'!R417+'Reporte Componentes R1'!V417+'Reporte Componentes R1'!U417</f>
        <v>0</v>
      </c>
      <c r="AB49" s="294">
        <f>N49</f>
        <v>0</v>
      </c>
      <c r="AC49" s="320">
        <f>'Reporte Componentes R1'!T417+'Reporte Componentes R1'!W417+'Reporte Componentes R1'!X417+'Reporte Componentes R1'!Y417+'Reporte Componentes R1'!Z417+'Reporte Componentes R1'!S417</f>
        <v>0</v>
      </c>
      <c r="AD49" s="291">
        <f t="shared" si="18"/>
        <v>0</v>
      </c>
      <c r="AE49" s="291">
        <f>'Reporte Componentes R1'!F418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R1'!F570</f>
        <v>0</v>
      </c>
      <c r="E50" s="292">
        <f>'Reporte Componentes R1'!G570</f>
        <v>0</v>
      </c>
      <c r="F50" s="292">
        <f>'Reporte Componentes R1'!H570</f>
        <v>0</v>
      </c>
      <c r="G50" s="292">
        <f>'Reporte Componentes R1'!I570</f>
        <v>0</v>
      </c>
      <c r="H50" s="292">
        <f>'Reporte Componentes R1'!J570</f>
        <v>0</v>
      </c>
      <c r="I50" s="292">
        <f>'Reporte Componentes R1'!K570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R1'!L570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R1'!M570</f>
        <v>0</v>
      </c>
      <c r="V50" s="317">
        <f>'Reporte Componentes R1'!N570</f>
        <v>0</v>
      </c>
      <c r="W50" s="317">
        <f>'Reporte Componentes R1'!O570</f>
        <v>0</v>
      </c>
      <c r="X50" s="317">
        <f>'Reporte Componentes R1'!P570</f>
        <v>0</v>
      </c>
      <c r="Y50" s="318">
        <f>'Reporte Componentes R1'!Q570</f>
        <v>0</v>
      </c>
      <c r="Z50" s="319">
        <f>-L50</f>
        <v>0</v>
      </c>
      <c r="AA50" s="320">
        <f>'Reporte Componentes R1'!R570+'Reporte Componentes R1'!V570+'Reporte Componentes R1'!U570</f>
        <v>0</v>
      </c>
      <c r="AB50" s="294">
        <f>N50</f>
        <v>0</v>
      </c>
      <c r="AC50" s="320">
        <f>'Reporte Componentes R1'!T570+'Reporte Componentes R1'!W570+'Reporte Componentes R1'!X570+'Reporte Componentes R1'!Y570+'Reporte Componentes R1'!Z570+'Reporte Componentes R1'!S570</f>
        <v>0</v>
      </c>
      <c r="AD50" s="291">
        <f t="shared" si="18"/>
        <v>0</v>
      </c>
      <c r="AE50" s="291">
        <f>'Reporte Componentes R1'!F571</f>
        <v>0</v>
      </c>
      <c r="AF50" s="322">
        <f t="shared" si="20"/>
        <v>0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R1'!F682</f>
        <v>0</v>
      </c>
      <c r="E51" s="297">
        <f>'Reporte Componentes R1'!G682</f>
        <v>0</v>
      </c>
      <c r="F51" s="297">
        <f>'Reporte Componentes R1'!H682</f>
        <v>0</v>
      </c>
      <c r="G51" s="297">
        <f>'Reporte Componentes R1'!I682</f>
        <v>0</v>
      </c>
      <c r="H51" s="297">
        <f>'Reporte Componentes R1'!J682</f>
        <v>0</v>
      </c>
      <c r="I51" s="297">
        <f>'Reporte Componentes R1'!K682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R1'!L682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R1'!M682</f>
        <v>0</v>
      </c>
      <c r="V51" s="297">
        <f>'Reporte Componentes R1'!N682</f>
        <v>0</v>
      </c>
      <c r="W51" s="297">
        <f>'Reporte Componentes R1'!O682</f>
        <v>0</v>
      </c>
      <c r="X51" s="297">
        <f>'Reporte Componentes R1'!P682</f>
        <v>0</v>
      </c>
      <c r="Y51" s="289">
        <f>'Reporte Componentes R1'!Q682</f>
        <v>0</v>
      </c>
      <c r="Z51" s="319">
        <f>-L51</f>
        <v>0</v>
      </c>
      <c r="AA51" s="320">
        <f>'Reporte Componentes R1'!R682+'Reporte Componentes R1'!V682+'Reporte Componentes R1'!U682</f>
        <v>0</v>
      </c>
      <c r="AB51" s="294">
        <f>N51</f>
        <v>0</v>
      </c>
      <c r="AC51" s="320">
        <f>'Reporte Componentes R1'!T682+'Reporte Componentes R1'!W682+'Reporte Componentes R1'!X682+'Reporte Componentes R1'!Y682+'Reporte Componentes R1'!Z682+'Reporte Componentes R1'!S682</f>
        <v>0</v>
      </c>
      <c r="AD51" s="291">
        <f t="shared" si="18"/>
        <v>0</v>
      </c>
      <c r="AE51" s="291">
        <f>'Reporte Componentes R1'!F683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0</v>
      </c>
      <c r="E52" s="290">
        <f t="shared" si="22"/>
        <v>0</v>
      </c>
      <c r="F52" s="290">
        <f t="shared" si="22"/>
        <v>0</v>
      </c>
      <c r="G52" s="290">
        <f t="shared" ref="G52" si="23">SUM(G47:G51)</f>
        <v>0</v>
      </c>
      <c r="H52" s="290">
        <f t="shared" si="22"/>
        <v>0</v>
      </c>
      <c r="I52" s="290">
        <f t="shared" si="22"/>
        <v>0</v>
      </c>
      <c r="J52" s="290">
        <f t="shared" si="22"/>
        <v>0</v>
      </c>
      <c r="K52" s="300">
        <f t="shared" si="22"/>
        <v>0</v>
      </c>
      <c r="L52" s="301">
        <f t="shared" si="22"/>
        <v>0</v>
      </c>
      <c r="M52" s="302">
        <f t="shared" si="22"/>
        <v>0</v>
      </c>
      <c r="N52" s="301">
        <f t="shared" si="22"/>
        <v>0</v>
      </c>
      <c r="O52" s="302">
        <f t="shared" si="22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4">SUM(V47:V51)</f>
        <v>0</v>
      </c>
      <c r="W52" s="330">
        <f t="shared" si="24"/>
        <v>0</v>
      </c>
      <c r="X52" s="330">
        <f t="shared" si="24"/>
        <v>0</v>
      </c>
      <c r="Y52" s="330">
        <f t="shared" si="24"/>
        <v>0</v>
      </c>
      <c r="Z52" s="290">
        <f t="shared" si="24"/>
        <v>0</v>
      </c>
      <c r="AA52" s="290">
        <f t="shared" si="24"/>
        <v>0</v>
      </c>
      <c r="AB52" s="290">
        <f t="shared" si="24"/>
        <v>0</v>
      </c>
      <c r="AC52" s="290">
        <f t="shared" si="24"/>
        <v>0</v>
      </c>
      <c r="AD52" s="290">
        <f>SUM(AD47:AD51)</f>
        <v>0</v>
      </c>
      <c r="AE52" s="290">
        <f>SUM(AE47:AE51)</f>
        <v>0</v>
      </c>
      <c r="AF52" s="331">
        <f t="shared" si="24"/>
        <v>0</v>
      </c>
      <c r="AG52" s="524">
        <f t="shared" si="24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R4'!D73</f>
        <v>0</v>
      </c>
      <c r="E66" s="292">
        <f>'Reversion Pagos R4'!E73</f>
        <v>0</v>
      </c>
      <c r="F66" s="292">
        <f>'Reversion Pagos R4'!F73</f>
        <v>0</v>
      </c>
      <c r="G66" s="292">
        <f>'Reversion Pagos R4'!G73</f>
        <v>0</v>
      </c>
      <c r="H66" s="292">
        <f>'Reversion Pagos R4'!H73</f>
        <v>0</v>
      </c>
      <c r="I66" s="292">
        <f>'Reversion Pagos R4'!I73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R4'!P73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R4'!J73</f>
        <v>0</v>
      </c>
      <c r="V66" s="308">
        <f>'Reversion Pagos R4'!K73</f>
        <v>0</v>
      </c>
      <c r="W66" s="308">
        <f>'Reversion Pagos R4'!L73</f>
        <v>0</v>
      </c>
      <c r="X66" s="308">
        <f>'Reversion Pagos R4'!M73</f>
        <v>0</v>
      </c>
      <c r="Y66" s="308">
        <f>'Reversion Pagos R4'!N73</f>
        <v>0</v>
      </c>
      <c r="Z66" s="310">
        <f>-L66</f>
        <v>0</v>
      </c>
      <c r="AA66" s="320">
        <f>'Reversion Pagos R4'!O73</f>
        <v>0</v>
      </c>
      <c r="AB66" s="294">
        <f>N66</f>
        <v>0</v>
      </c>
      <c r="AC66" s="320">
        <f>+'Reversion Pagos R4'!Q73+'Reversion Pagos R4'!R73</f>
        <v>0</v>
      </c>
      <c r="AD66" s="291">
        <f>-J66+AE66</f>
        <v>0</v>
      </c>
      <c r="AE66" s="291">
        <f>'Reversion Pagos R4'!D74</f>
        <v>0</v>
      </c>
      <c r="AF66" s="313">
        <f>SUM(U66:AD66)</f>
        <v>0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R4'!D174</f>
        <v>0</v>
      </c>
      <c r="E67" s="292">
        <f>'Reversion Pagos R4'!E174</f>
        <v>0</v>
      </c>
      <c r="F67" s="292">
        <f>'Reversion Pagos R4'!F174</f>
        <v>0</v>
      </c>
      <c r="G67" s="292">
        <f>'Reversion Pagos R4'!G174</f>
        <v>0</v>
      </c>
      <c r="H67" s="292">
        <f>'Reversion Pagos R4'!H174</f>
        <v>0</v>
      </c>
      <c r="I67" s="292">
        <f>'Reversion Pagos R4'!I174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R4'!P174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R4'!J174</f>
        <v>0</v>
      </c>
      <c r="V67" s="317">
        <f>'Reversion Pagos R4'!K174</f>
        <v>0</v>
      </c>
      <c r="W67" s="317">
        <f>'Reversion Pagos R4'!L174</f>
        <v>0</v>
      </c>
      <c r="X67" s="317">
        <f>'Reversion Pagos R4'!M174</f>
        <v>0</v>
      </c>
      <c r="Y67" s="318">
        <f>'Reversion Pagos R4'!N174</f>
        <v>0</v>
      </c>
      <c r="Z67" s="319">
        <f t="shared" ref="Z67:Z70" si="27">-L67</f>
        <v>0</v>
      </c>
      <c r="AA67" s="320">
        <f>'Reversion Pagos R4'!O174</f>
        <v>0</v>
      </c>
      <c r="AB67" s="294">
        <f t="shared" ref="AB67:AB70" si="28">N67</f>
        <v>0</v>
      </c>
      <c r="AC67" s="320">
        <f>+'Reversion Pagos R4'!Q174+'Reversion Pagos R4'!R174</f>
        <v>0</v>
      </c>
      <c r="AD67" s="291">
        <f>-J67+AE67</f>
        <v>0</v>
      </c>
      <c r="AE67" s="291">
        <f>'Reversion Pagos R4'!D175</f>
        <v>0</v>
      </c>
      <c r="AF67" s="322">
        <f>SUM(U67:AD67)</f>
        <v>0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R4'!D211</f>
        <v>0</v>
      </c>
      <c r="E68" s="292">
        <f>'Reversion Pagos R4'!E211</f>
        <v>0</v>
      </c>
      <c r="F68" s="292">
        <f>'Reversion Pagos R4'!F211</f>
        <v>0</v>
      </c>
      <c r="G68" s="292">
        <f>'Reversion Pagos R4'!G211</f>
        <v>0</v>
      </c>
      <c r="H68" s="292">
        <f>'Reversion Pagos R4'!H211</f>
        <v>0</v>
      </c>
      <c r="I68" s="292">
        <f>'Reversion Pagos R4'!I211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R4'!P211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R4'!J211</f>
        <v>0</v>
      </c>
      <c r="V68" s="317">
        <f>'Reversion Pagos R4'!K211</f>
        <v>0</v>
      </c>
      <c r="W68" s="317">
        <f>'Reversion Pagos R4'!L211</f>
        <v>0</v>
      </c>
      <c r="X68" s="317">
        <f>'Reversion Pagos R4'!M211</f>
        <v>0</v>
      </c>
      <c r="Y68" s="318">
        <f>'Reversion Pagos R4'!N211</f>
        <v>0</v>
      </c>
      <c r="Z68" s="319">
        <f t="shared" si="27"/>
        <v>0</v>
      </c>
      <c r="AA68" s="320">
        <f>'Reversion Pagos R4'!O211</f>
        <v>0</v>
      </c>
      <c r="AB68" s="294">
        <f t="shared" si="28"/>
        <v>0</v>
      </c>
      <c r="AC68" s="320">
        <f>+'Reversion Pagos R4'!Q211+'Reversion Pagos R4'!R211</f>
        <v>0</v>
      </c>
      <c r="AD68" s="291">
        <f t="shared" ref="AD68:AD69" si="30">-J68+AE68</f>
        <v>0</v>
      </c>
      <c r="AE68" s="291">
        <f>'Reversion Pagos R4'!D212</f>
        <v>0</v>
      </c>
      <c r="AF68" s="322">
        <f t="shared" ref="AF68:AF70" si="31">SUM(U68:AD68)</f>
        <v>0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R4'!D326</f>
        <v>0</v>
      </c>
      <c r="E69" s="292">
        <f>'Reversion Pagos R4'!E326</f>
        <v>0</v>
      </c>
      <c r="F69" s="292">
        <f>'Reversion Pagos R4'!F326</f>
        <v>0</v>
      </c>
      <c r="G69" s="292">
        <f>'Reversion Pagos R4'!G326</f>
        <v>0</v>
      </c>
      <c r="H69" s="292">
        <f>'Reversion Pagos R4'!H326</f>
        <v>0</v>
      </c>
      <c r="I69" s="292">
        <f>'Reversion Pagos R4'!I326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R4'!P326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R4'!J326</f>
        <v>0</v>
      </c>
      <c r="V69" s="317">
        <f>'Reversion Pagos R4'!K326</f>
        <v>0</v>
      </c>
      <c r="W69" s="317">
        <f>'Reversion Pagos R4'!L326</f>
        <v>0</v>
      </c>
      <c r="X69" s="317">
        <f>'Reversion Pagos R4'!M326</f>
        <v>0</v>
      </c>
      <c r="Y69" s="318">
        <f>'Reversion Pagos R4'!N326</f>
        <v>0</v>
      </c>
      <c r="Z69" s="319">
        <f t="shared" si="27"/>
        <v>0</v>
      </c>
      <c r="AA69" s="320">
        <f>'Reversion Pagos R4'!O326</f>
        <v>0</v>
      </c>
      <c r="AB69" s="294">
        <f t="shared" si="28"/>
        <v>0</v>
      </c>
      <c r="AC69" s="320">
        <f>+'Reversion Pagos R4'!Q326+'Reversion Pagos R4'!R326</f>
        <v>0</v>
      </c>
      <c r="AD69" s="291">
        <f t="shared" si="30"/>
        <v>0</v>
      </c>
      <c r="AE69" s="291">
        <f>'Reversion Pagos R4'!D327</f>
        <v>0</v>
      </c>
      <c r="AF69" s="322">
        <f>SUM(U69:AD69)</f>
        <v>0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R4'!D361</f>
        <v>0</v>
      </c>
      <c r="E70" s="297">
        <f>'Reversion Pagos R4'!E361</f>
        <v>0</v>
      </c>
      <c r="F70" s="297">
        <f>'Reversion Pagos R4'!F361</f>
        <v>0</v>
      </c>
      <c r="G70" s="297">
        <f>'Reversion Pagos R4'!G361</f>
        <v>0</v>
      </c>
      <c r="H70" s="297">
        <f>'Reversion Pagos R4'!H361</f>
        <v>0</v>
      </c>
      <c r="I70" s="297">
        <f>'Reversion Pagos R4'!I361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R4'!P361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R4'!J361</f>
        <v>0</v>
      </c>
      <c r="V70" s="297">
        <f>'Reversion Pagos R4'!K361</f>
        <v>0</v>
      </c>
      <c r="W70" s="297">
        <f>'Reversion Pagos R4'!L361</f>
        <v>0</v>
      </c>
      <c r="X70" s="297">
        <f>'Reversion Pagos R4'!M361</f>
        <v>0</v>
      </c>
      <c r="Y70" s="289">
        <f>'Reversion Pagos R4'!N361</f>
        <v>0</v>
      </c>
      <c r="Z70" s="319">
        <f t="shared" si="27"/>
        <v>0</v>
      </c>
      <c r="AA70" s="320">
        <f>'Reversion Pagos R4'!O361</f>
        <v>0</v>
      </c>
      <c r="AB70" s="294">
        <f t="shared" si="28"/>
        <v>0</v>
      </c>
      <c r="AC70" s="320">
        <f>+'Reversion Pagos R4'!Q361+'Reversion Pagos R4'!R361</f>
        <v>0</v>
      </c>
      <c r="AD70" s="291">
        <f>-J70+AE70</f>
        <v>0</v>
      </c>
      <c r="AE70" s="291">
        <f>'Reversion Pagos R4'!D362</f>
        <v>0</v>
      </c>
      <c r="AF70" s="322">
        <f t="shared" si="31"/>
        <v>0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0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0</v>
      </c>
      <c r="L71" s="301">
        <f t="shared" si="33"/>
        <v>0</v>
      </c>
      <c r="M71" s="302">
        <f t="shared" si="33"/>
        <v>0</v>
      </c>
      <c r="N71" s="301">
        <f t="shared" si="33"/>
        <v>0</v>
      </c>
      <c r="O71" s="302">
        <f t="shared" si="33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0</v>
      </c>
      <c r="E104" s="292">
        <f t="shared" si="47"/>
        <v>0</v>
      </c>
      <c r="F104" s="292">
        <f t="shared" si="47"/>
        <v>0</v>
      </c>
      <c r="G104" s="292">
        <f t="shared" ref="G104" si="48">G9+G28+G47+G66+G85</f>
        <v>0</v>
      </c>
      <c r="H104" s="292">
        <f t="shared" ref="H104:J108" si="49">H9+H28+H47+H66+H85</f>
        <v>0</v>
      </c>
      <c r="I104" s="292">
        <f t="shared" si="49"/>
        <v>0</v>
      </c>
      <c r="J104" s="288">
        <f t="shared" si="49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50">U9+U28+U47+U66+U85</f>
        <v>0</v>
      </c>
      <c r="V104" s="308">
        <f t="shared" si="50"/>
        <v>0</v>
      </c>
      <c r="W104" s="308">
        <f t="shared" si="50"/>
        <v>0</v>
      </c>
      <c r="X104" s="308">
        <f t="shared" si="50"/>
        <v>0</v>
      </c>
      <c r="Y104" s="309">
        <f t="shared" si="50"/>
        <v>0</v>
      </c>
      <c r="Z104" s="310">
        <f t="shared" si="50"/>
        <v>-189185988</v>
      </c>
      <c r="AA104" s="311">
        <f>AA9+AA28+AA47+AA66+AA85</f>
        <v>0</v>
      </c>
      <c r="AB104" s="294">
        <f t="shared" si="50"/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0</v>
      </c>
      <c r="E105" s="292">
        <f>E10+E29+E48+E67+E86</f>
        <v>0</v>
      </c>
      <c r="F105" s="292">
        <f t="shared" si="47"/>
        <v>0</v>
      </c>
      <c r="G105" s="292">
        <f t="shared" ref="G105" si="51">G10+G29+G48+G67+G86</f>
        <v>0</v>
      </c>
      <c r="H105" s="292">
        <f t="shared" si="49"/>
        <v>0</v>
      </c>
      <c r="I105" s="292">
        <f t="shared" si="49"/>
        <v>0</v>
      </c>
      <c r="J105" s="288">
        <f t="shared" si="49"/>
        <v>0</v>
      </c>
      <c r="K105" s="295">
        <f t="shared" ref="K105:K108" si="52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53">M105+N105</f>
        <v>-266580256</v>
      </c>
      <c r="Q105" s="306"/>
      <c r="S105" s="314">
        <v>2</v>
      </c>
      <c r="T105" s="315" t="s">
        <v>11</v>
      </c>
      <c r="U105" s="316">
        <f t="shared" si="50"/>
        <v>0</v>
      </c>
      <c r="V105" s="317">
        <f t="shared" si="50"/>
        <v>0</v>
      </c>
      <c r="W105" s="317">
        <f t="shared" si="50"/>
        <v>0</v>
      </c>
      <c r="X105" s="317">
        <f t="shared" si="50"/>
        <v>0</v>
      </c>
      <c r="Y105" s="318">
        <f t="shared" si="50"/>
        <v>0</v>
      </c>
      <c r="Z105" s="319">
        <f t="shared" si="50"/>
        <v>-266580256</v>
      </c>
      <c r="AA105" s="320">
        <f>AA10+AA29+AA48+AA67+AA86</f>
        <v>0</v>
      </c>
      <c r="AB105" s="294">
        <f t="shared" si="50"/>
        <v>0</v>
      </c>
      <c r="AC105" s="320">
        <f>AC10+AC29+AC48+AC67+AC86</f>
        <v>0</v>
      </c>
      <c r="AD105" s="291">
        <f t="shared" ref="AD105:AD107" si="54">-J105+AE105</f>
        <v>0</v>
      </c>
      <c r="AE105" s="291">
        <f>AE10+AE29+AE48+AE67+AE86</f>
        <v>0</v>
      </c>
      <c r="AF105" s="322">
        <f>SUM(U105:AD105)</f>
        <v>-266580256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0</v>
      </c>
      <c r="E106" s="292">
        <f t="shared" si="47"/>
        <v>0</v>
      </c>
      <c r="F106" s="292">
        <f t="shared" si="47"/>
        <v>0</v>
      </c>
      <c r="G106" s="292">
        <f t="shared" ref="G106" si="56">G11+G30+G49+G68+G87</f>
        <v>0</v>
      </c>
      <c r="H106" s="292">
        <f t="shared" si="49"/>
        <v>0</v>
      </c>
      <c r="I106" s="292">
        <f t="shared" si="49"/>
        <v>0</v>
      </c>
      <c r="J106" s="288">
        <f t="shared" si="49"/>
        <v>0</v>
      </c>
      <c r="K106" s="295">
        <f t="shared" si="52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53"/>
        <v>-154788536</v>
      </c>
      <c r="Q106" s="306"/>
      <c r="S106" s="314">
        <v>3</v>
      </c>
      <c r="T106" s="315" t="s">
        <v>12</v>
      </c>
      <c r="U106" s="316">
        <f t="shared" si="50"/>
        <v>0</v>
      </c>
      <c r="V106" s="317">
        <f t="shared" si="50"/>
        <v>0</v>
      </c>
      <c r="W106" s="317">
        <f t="shared" si="50"/>
        <v>0</v>
      </c>
      <c r="X106" s="317">
        <f t="shared" si="50"/>
        <v>0</v>
      </c>
      <c r="Y106" s="318">
        <f t="shared" si="50"/>
        <v>0</v>
      </c>
      <c r="Z106" s="319">
        <f t="shared" si="50"/>
        <v>-154788536</v>
      </c>
      <c r="AA106" s="320">
        <f>AA11+AA30+AA49+AA68+AA87</f>
        <v>0</v>
      </c>
      <c r="AB106" s="294">
        <f t="shared" si="50"/>
        <v>0</v>
      </c>
      <c r="AC106" s="320">
        <f>AC11+AC30+AC49+AC68+AC87</f>
        <v>0</v>
      </c>
      <c r="AD106" s="291">
        <f t="shared" si="54"/>
        <v>0</v>
      </c>
      <c r="AE106" s="291">
        <f>AE11+AE30+AE49+AE68+AE87</f>
        <v>0</v>
      </c>
      <c r="AF106" s="322">
        <f>SUM(U106:AD106)</f>
        <v>-154788536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0</v>
      </c>
      <c r="E107" s="292">
        <f t="shared" ref="E107:F108" si="58">E12+E31+E50+E69+E88</f>
        <v>0</v>
      </c>
      <c r="F107" s="292">
        <f t="shared" si="58"/>
        <v>0</v>
      </c>
      <c r="G107" s="292">
        <f t="shared" ref="G107" si="59">G12+G31+G50+G69+G88</f>
        <v>0</v>
      </c>
      <c r="H107" s="292">
        <f t="shared" si="49"/>
        <v>0</v>
      </c>
      <c r="I107" s="292">
        <f t="shared" si="49"/>
        <v>0</v>
      </c>
      <c r="J107" s="288">
        <f t="shared" si="49"/>
        <v>0</v>
      </c>
      <c r="K107" s="295">
        <f t="shared" si="52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50"/>
        <v>0</v>
      </c>
      <c r="V107" s="317">
        <f t="shared" si="50"/>
        <v>0</v>
      </c>
      <c r="W107" s="317">
        <f t="shared" si="50"/>
        <v>0</v>
      </c>
      <c r="X107" s="317">
        <f t="shared" si="50"/>
        <v>0</v>
      </c>
      <c r="Y107" s="318">
        <f t="shared" si="50"/>
        <v>0</v>
      </c>
      <c r="Z107" s="319">
        <f t="shared" si="50"/>
        <v>-120391083</v>
      </c>
      <c r="AA107" s="320">
        <f>AA12+AA31+AA50+AA69+AA88</f>
        <v>0</v>
      </c>
      <c r="AB107" s="294">
        <f t="shared" si="50"/>
        <v>0</v>
      </c>
      <c r="AC107" s="320">
        <f>AC12+AC31+AC50+AC69+AC88</f>
        <v>0</v>
      </c>
      <c r="AD107" s="291">
        <f t="shared" si="54"/>
        <v>0</v>
      </c>
      <c r="AE107" s="291">
        <f>AE12+AE31+AE50+AE69+AE88</f>
        <v>0</v>
      </c>
      <c r="AF107" s="322">
        <f>SUM(U107:AD107)</f>
        <v>-120391083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58"/>
        <v>0</v>
      </c>
      <c r="F108" s="297">
        <f t="shared" si="58"/>
        <v>0</v>
      </c>
      <c r="G108" s="297">
        <f t="shared" ref="G108" si="60">G13+G32+G51+G70+G89</f>
        <v>0</v>
      </c>
      <c r="H108" s="297">
        <f t="shared" si="49"/>
        <v>0</v>
      </c>
      <c r="I108" s="297">
        <f t="shared" si="49"/>
        <v>0</v>
      </c>
      <c r="J108" s="289">
        <f t="shared" si="49"/>
        <v>0</v>
      </c>
      <c r="K108" s="295">
        <f t="shared" si="52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53"/>
        <v>-128990446</v>
      </c>
      <c r="Q108" s="306"/>
      <c r="S108" s="324">
        <v>5</v>
      </c>
      <c r="T108" s="325" t="s">
        <v>14</v>
      </c>
      <c r="U108" s="296">
        <f t="shared" si="50"/>
        <v>0</v>
      </c>
      <c r="V108" s="297">
        <f t="shared" si="50"/>
        <v>0</v>
      </c>
      <c r="W108" s="297">
        <f t="shared" si="50"/>
        <v>0</v>
      </c>
      <c r="X108" s="297">
        <f t="shared" si="50"/>
        <v>0</v>
      </c>
      <c r="Y108" s="289">
        <f t="shared" si="50"/>
        <v>0</v>
      </c>
      <c r="Z108" s="319">
        <f t="shared" si="50"/>
        <v>-128990446</v>
      </c>
      <c r="AA108" s="320">
        <f>AA13+AA32+AA51+AA70+AA89</f>
        <v>0</v>
      </c>
      <c r="AB108" s="294">
        <f t="shared" si="50"/>
        <v>0</v>
      </c>
      <c r="AC108" s="320">
        <f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-128990446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0</v>
      </c>
      <c r="E109" s="290">
        <f t="shared" si="61"/>
        <v>0</v>
      </c>
      <c r="F109" s="290">
        <f t="shared" si="61"/>
        <v>0</v>
      </c>
      <c r="G109" s="290">
        <f t="shared" ref="G109" si="62">SUM(G104:G108)</f>
        <v>0</v>
      </c>
      <c r="H109" s="290">
        <f t="shared" si="61"/>
        <v>0</v>
      </c>
      <c r="I109" s="290">
        <f t="shared" si="61"/>
        <v>0</v>
      </c>
      <c r="J109" s="290">
        <f t="shared" si="61"/>
        <v>0</v>
      </c>
      <c r="K109" s="300">
        <f t="shared" si="61"/>
        <v>0</v>
      </c>
      <c r="L109" s="301">
        <f t="shared" si="61"/>
        <v>859936309</v>
      </c>
      <c r="M109" s="302">
        <f t="shared" si="61"/>
        <v>-859936309</v>
      </c>
      <c r="N109" s="301">
        <f t="shared" si="61"/>
        <v>0</v>
      </c>
      <c r="O109" s="302">
        <f>SUM(O104:O108)</f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63">SUM(V104:V108)</f>
        <v>0</v>
      </c>
      <c r="W109" s="330">
        <f t="shared" si="63"/>
        <v>0</v>
      </c>
      <c r="X109" s="330">
        <f t="shared" si="63"/>
        <v>0</v>
      </c>
      <c r="Y109" s="330">
        <f t="shared" si="63"/>
        <v>0</v>
      </c>
      <c r="Z109" s="290">
        <f t="shared" si="63"/>
        <v>-859936309</v>
      </c>
      <c r="AA109" s="290">
        <f>SUM(AA104:AA108)</f>
        <v>0</v>
      </c>
      <c r="AB109" s="290">
        <f t="shared" si="63"/>
        <v>0</v>
      </c>
      <c r="AC109" s="290">
        <f>SUM(AC104:AC108)</f>
        <v>0</v>
      </c>
      <c r="AD109" s="290">
        <f t="shared" si="63"/>
        <v>0</v>
      </c>
      <c r="AE109" s="290">
        <f>SUM(AE104:AE108)</f>
        <v>0</v>
      </c>
      <c r="AF109" s="331">
        <f t="shared" si="63"/>
        <v>-859936309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>
        <f>D109+N109</f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0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>D67+N67</f>
        <v>0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ref="J127:J129" si="64">D68+N68</f>
        <v>0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64"/>
        <v>0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64"/>
        <v>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6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0</v>
      </c>
      <c r="K142" s="111">
        <f t="shared" si="66"/>
        <v>0</v>
      </c>
      <c r="L142" s="597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97">
        <f>D143-E143-F143-G143-J143-H143-I143</f>
        <v>0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97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97">
        <f t="shared" ref="L145:L147" si="68">D145-E145-F145-G145-J145-H145-I145</f>
        <v>0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BANCO'!E72+'REPORTE RECAUDO x BANCO'!E73+'REPORTE RECAUDO x BANCO'!E79)</f>
        <v>0</v>
      </c>
      <c r="J146" s="134">
        <f t="shared" si="66"/>
        <v>0</v>
      </c>
      <c r="K146" s="136">
        <f t="shared" si="66"/>
        <v>0</v>
      </c>
      <c r="L146" s="597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97">
        <f t="shared" si="68"/>
        <v>0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0</v>
      </c>
      <c r="D3" s="292">
        <f>'CONSOLIDADO_TOTAL RECAUDO'!G125</f>
        <v>0</v>
      </c>
      <c r="E3" s="292">
        <f>'CONSOLIDADO_TOTAL RECAUDO'!D28+'CONSOLIDADO_TOTAL RECAUDO'!N28</f>
        <v>0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0</v>
      </c>
      <c r="I3" s="291">
        <f>'CONSOLIDADO_TOTAL RECAUDO'!D104</f>
        <v>0</v>
      </c>
      <c r="J3" s="292">
        <f>'CONSOLIDADO_TOTAL RECAUDO'!N104</f>
        <v>0</v>
      </c>
      <c r="K3" s="292">
        <f>'CONSOLIDADO_TOTAL RECAUDO'!D125</f>
        <v>0</v>
      </c>
      <c r="L3" s="353">
        <f>'CONSOLIDADO_TOTAL RECAUDO'!E125</f>
        <v>0</v>
      </c>
      <c r="M3" s="292">
        <f>-'CONSOLIDADO_TOTAL RECAUDO'!D66-'CONSOLIDADO_TOTAL RECAUDO'!N66</f>
        <v>0</v>
      </c>
      <c r="N3" s="288">
        <f>SUM(I3:M3)</f>
        <v>0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0</v>
      </c>
      <c r="D4" s="292">
        <f>'CONSOLIDADO_TOTAL RECAUDO'!G126</f>
        <v>0</v>
      </c>
      <c r="E4" s="292">
        <f>'CONSOLIDADO_TOTAL RECAUDO'!D29+'CONSOLIDADO_TOTAL RECAUDO'!N29</f>
        <v>0</v>
      </c>
      <c r="F4" s="292">
        <f>'CONSOLIDADO_TOTAL RECAUDO'!I143</f>
        <v>0</v>
      </c>
      <c r="G4" s="292">
        <f>'CONSOLIDADO_TOTAL RECAUDO'!H143</f>
        <v>0</v>
      </c>
      <c r="H4" s="340">
        <f t="shared" ref="H4:H8" si="1">SUM(C4:G4)</f>
        <v>0</v>
      </c>
      <c r="I4" s="291">
        <f>'CONSOLIDADO_TOTAL RECAUDO'!D105</f>
        <v>0</v>
      </c>
      <c r="J4" s="292">
        <f>'CONSOLIDADO_TOTAL RECAUDO'!N105</f>
        <v>0</v>
      </c>
      <c r="K4" s="292">
        <f>'CONSOLIDADO_TOTAL RECAUDO'!D126</f>
        <v>0</v>
      </c>
      <c r="L4" s="353">
        <f>'CONSOLIDADO_TOTAL RECAUDO'!E126</f>
        <v>0</v>
      </c>
      <c r="M4" s="292">
        <f>-'CONSOLIDADO_TOTAL RECAUDO'!D67-'CONSOLIDADO_TOTAL RECAUDO'!N67</f>
        <v>0</v>
      </c>
      <c r="N4" s="318">
        <f>SUM(I4:M4)</f>
        <v>0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0</v>
      </c>
      <c r="D5" s="292">
        <f>'CONSOLIDADO_TOTAL RECAUDO'!G127</f>
        <v>0</v>
      </c>
      <c r="E5" s="292">
        <f>'CONSOLIDADO_TOTAL RECAUDO'!D30+'CONSOLIDADO_TOTAL RECAUDO'!N30</f>
        <v>0</v>
      </c>
      <c r="F5" s="292">
        <f>'CONSOLIDADO_TOTAL RECAUDO'!I144</f>
        <v>0</v>
      </c>
      <c r="G5" s="292">
        <f>'CONSOLIDADO_TOTAL RECAUDO'!H144</f>
        <v>0</v>
      </c>
      <c r="H5" s="340">
        <f t="shared" si="1"/>
        <v>0</v>
      </c>
      <c r="I5" s="291">
        <f>'CONSOLIDADO_TOTAL RECAUDO'!D106</f>
        <v>0</v>
      </c>
      <c r="J5" s="292">
        <f>'CONSOLIDADO_TOTAL RECAUDO'!N106</f>
        <v>0</v>
      </c>
      <c r="K5" s="292">
        <f>'CONSOLIDADO_TOTAL RECAUDO'!D127</f>
        <v>0</v>
      </c>
      <c r="L5" s="353">
        <f>'CONSOLIDADO_TOTAL RECAUDO'!E127</f>
        <v>0</v>
      </c>
      <c r="M5" s="292">
        <f>-'CONSOLIDADO_TOTAL RECAUDO'!D68-'CONSOLIDADO_TOTAL RECAUDO'!N68</f>
        <v>0</v>
      </c>
      <c r="N5" s="318">
        <f>SUM(I5:M5)</f>
        <v>0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0</v>
      </c>
      <c r="D6" s="292">
        <f>'CONSOLIDADO_TOTAL RECAUDO'!G128</f>
        <v>0</v>
      </c>
      <c r="E6" s="292">
        <f>'CONSOLIDADO_TOTAL RECAUDO'!D31+'CONSOLIDADO_TOTAL RECAUDO'!N31</f>
        <v>0</v>
      </c>
      <c r="F6" s="292">
        <f>'CONSOLIDADO_TOTAL RECAUDO'!I145</f>
        <v>0</v>
      </c>
      <c r="G6" s="292">
        <f>'CONSOLIDADO_TOTAL RECAUDO'!H145</f>
        <v>0</v>
      </c>
      <c r="H6" s="340">
        <f t="shared" si="1"/>
        <v>0</v>
      </c>
      <c r="I6" s="291">
        <f>'CONSOLIDADO_TOTAL RECAUDO'!D107</f>
        <v>0</v>
      </c>
      <c r="J6" s="292">
        <f>'CONSOLIDADO_TOTAL RECAUDO'!N107</f>
        <v>0</v>
      </c>
      <c r="K6" s="292">
        <f>'CONSOLIDADO_TOTAL RECAUDO'!D128</f>
        <v>0</v>
      </c>
      <c r="L6" s="353">
        <f>'CONSOLIDADO_TOTAL RECAUDO'!E128</f>
        <v>0</v>
      </c>
      <c r="M6" s="292">
        <f>-'CONSOLIDADO_TOTAL RECAUDO'!D69-'CONSOLIDADO_TOTAL RECAUDO'!N69</f>
        <v>0</v>
      </c>
      <c r="N6" s="318">
        <f t="shared" ref="N6:N7" si="3">SUM(I6:M6)</f>
        <v>0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0</v>
      </c>
      <c r="D7" s="292">
        <f>'CONSOLIDADO_TOTAL RECAUDO'!G129</f>
        <v>0</v>
      </c>
      <c r="E7" s="292">
        <f>'CONSOLIDADO_TOTAL RECAUDO'!D32+'CONSOLIDADO_TOTAL RECAUDO'!N32</f>
        <v>0</v>
      </c>
      <c r="F7" s="292">
        <f>'CONSOLIDADO_TOTAL RECAUDO'!I146</f>
        <v>0</v>
      </c>
      <c r="G7" s="292">
        <f>'CONSOLIDADO_TOTAL RECAUDO'!H146</f>
        <v>0</v>
      </c>
      <c r="H7" s="340">
        <f>SUM(C7:G7)</f>
        <v>0</v>
      </c>
      <c r="I7" s="291">
        <f>'CONSOLIDADO_TOTAL RECAUDO'!D108</f>
        <v>0</v>
      </c>
      <c r="J7" s="292">
        <f>'CONSOLIDADO_TOTAL RECAUDO'!N108</f>
        <v>0</v>
      </c>
      <c r="K7" s="292">
        <f>'CONSOLIDADO_TOTAL RECAUDO'!D129</f>
        <v>0</v>
      </c>
      <c r="L7" s="353">
        <f>'CONSOLIDADO_TOTAL RECAUDO'!E129</f>
        <v>0</v>
      </c>
      <c r="M7" s="292">
        <f>-'CONSOLIDADO_TOTAL RECAUDO'!D70-'CONSOLIDADO_TOTAL RECAUDO'!N70</f>
        <v>0</v>
      </c>
      <c r="N7" s="318">
        <f t="shared" si="3"/>
        <v>0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L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>SUM(H3:H8)</f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>SUM(M3:M8)</f>
        <v>0</v>
      </c>
      <c r="N9" s="290">
        <f>SUM(N3:N8)</f>
        <v>0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73981716599</v>
      </c>
    </row>
    <row r="15" spans="2:16" x14ac:dyDescent="0.25">
      <c r="C15" s="249" t="b">
        <f>C14=C9</f>
        <v>0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0</v>
      </c>
      <c r="E20" s="695">
        <f>VALIDACION_RECIP!D9</f>
        <v>0</v>
      </c>
      <c r="F20" s="695">
        <f>VALIDACION_RECIP!E9</f>
        <v>0</v>
      </c>
      <c r="G20" s="695">
        <f>VALIDACION_RECIP!F9</f>
        <v>0</v>
      </c>
      <c r="H20" s="695">
        <f>VALIDACION_RECIP!G9</f>
        <v>0</v>
      </c>
      <c r="I20" s="695">
        <f>VALIDACION_RECIP!H9</f>
        <v>0</v>
      </c>
      <c r="J20" s="695">
        <f>VALIDACION_RECIP!I9</f>
        <v>0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0</v>
      </c>
      <c r="O20" s="695">
        <f>VALIDACION_RECIP!N9</f>
        <v>0</v>
      </c>
    </row>
    <row r="21" spans="3:18" x14ac:dyDescent="0.25">
      <c r="C21" s="167" t="s">
        <v>155</v>
      </c>
      <c r="D21" s="695">
        <f>VALIDACION_ENEL!C9</f>
        <v>0</v>
      </c>
      <c r="E21" s="695">
        <f>VALIDACION_ENEL!D9</f>
        <v>0</v>
      </c>
      <c r="F21" s="695">
        <f>VALIDACION_ENEL!E9</f>
        <v>0</v>
      </c>
      <c r="G21" s="695">
        <f>VALIDACION_ENEL!F9</f>
        <v>0</v>
      </c>
      <c r="H21" s="695">
        <f>VALIDACION_ENEL!G9</f>
        <v>0</v>
      </c>
      <c r="I21" s="695">
        <f>VALIDACION_ENEL!H9</f>
        <v>0</v>
      </c>
      <c r="J21" s="695">
        <f>VALIDACION_ENEL!I9</f>
        <v>0</v>
      </c>
      <c r="K21" s="695">
        <f>VALIDACION_ENEL!J9</f>
        <v>0</v>
      </c>
      <c r="L21" s="695">
        <f>VALIDACION_ENEL!K9</f>
        <v>0</v>
      </c>
      <c r="M21" s="695">
        <f>VALIDACION_ENEL!L9</f>
        <v>0</v>
      </c>
      <c r="N21" s="695">
        <f>VALIDACION_ENEL!M9</f>
        <v>0</v>
      </c>
      <c r="O21" s="695">
        <f>VALIDACION_ENEL!N9</f>
        <v>0</v>
      </c>
    </row>
    <row r="22" spans="3:18" x14ac:dyDescent="0.25">
      <c r="C22" s="759" t="s">
        <v>326</v>
      </c>
      <c r="D22" s="695">
        <f>VALIDACION_ENERBIT!C9</f>
        <v>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0</v>
      </c>
      <c r="J22" s="695">
        <f>VALIDACION_ENERBIT!I9</f>
        <v>0</v>
      </c>
      <c r="K22" s="695">
        <f>VALIDACION_ENERBIT!J9</f>
        <v>0</v>
      </c>
      <c r="L22" s="695">
        <f>VALIDACION_ENERBIT!K9</f>
        <v>0</v>
      </c>
      <c r="M22" s="695">
        <f>VALIDACION_ENERBIT!L9</f>
        <v>0</v>
      </c>
      <c r="N22" s="695">
        <f>VALIDACION_ENERBIT!M9</f>
        <v>0</v>
      </c>
      <c r="O22" s="695">
        <f>VALIDACION_ENERBIT!N9</f>
        <v>0</v>
      </c>
    </row>
    <row r="23" spans="3:18" x14ac:dyDescent="0.25">
      <c r="C23" s="212" t="s">
        <v>119</v>
      </c>
      <c r="D23" s="695">
        <f>VALIDACION_OCCIDENTE!C9</f>
        <v>0</v>
      </c>
      <c r="E23" s="695">
        <f>VALIDACION_OCCIDENTE!D9</f>
        <v>0</v>
      </c>
      <c r="F23" s="695">
        <f>VALIDACION_OCCIDENTE!E9</f>
        <v>0</v>
      </c>
      <c r="G23" s="695">
        <f>VALIDACION_OCCIDENTE!F9</f>
        <v>0</v>
      </c>
      <c r="H23" s="695">
        <f>VALIDACION_OCCIDENTE!G9</f>
        <v>0</v>
      </c>
      <c r="I23" s="695">
        <f>VALIDACION_OCCIDENTE!H9</f>
        <v>0</v>
      </c>
      <c r="J23" s="695">
        <f>VALIDACION_OCCIDENTE!I9</f>
        <v>0</v>
      </c>
      <c r="K23" s="695">
        <f>VALIDACION_OCCIDENTE!J9</f>
        <v>0</v>
      </c>
      <c r="L23" s="695">
        <f>VALIDACION_OCCIDENTE!K9</f>
        <v>0</v>
      </c>
      <c r="M23" s="695">
        <f>VALIDACION_OCCIDENTE!L9</f>
        <v>0</v>
      </c>
      <c r="N23" s="695">
        <f>VALIDACION_OCCIDENTE!M9</f>
        <v>0</v>
      </c>
      <c r="O23" s="695">
        <f>VALIDACION_OCCIDENTE!N9</f>
        <v>0</v>
      </c>
    </row>
    <row r="24" spans="3:18" x14ac:dyDescent="0.25">
      <c r="D24" s="702">
        <f>SUM(D20:D23)</f>
        <v>0</v>
      </c>
      <c r="E24" s="141">
        <f>SUM(E20:E23)</f>
        <v>0</v>
      </c>
      <c r="F24" s="141">
        <f>SUM(F20:F23)</f>
        <v>0</v>
      </c>
      <c r="G24" s="141">
        <f>SUM(G20:G23)</f>
        <v>0</v>
      </c>
      <c r="H24" s="141">
        <f t="shared" ref="H24:O24" si="5">SUM(H20:H23)</f>
        <v>0</v>
      </c>
      <c r="I24" s="141">
        <f t="shared" si="5"/>
        <v>0</v>
      </c>
      <c r="J24" s="141">
        <f t="shared" si="5"/>
        <v>0</v>
      </c>
      <c r="K24" s="141">
        <f t="shared" si="5"/>
        <v>0</v>
      </c>
      <c r="L24" s="141">
        <f t="shared" si="5"/>
        <v>0</v>
      </c>
      <c r="M24" s="141">
        <f t="shared" si="5"/>
        <v>0</v>
      </c>
      <c r="N24" s="141">
        <f t="shared" si="5"/>
        <v>0</v>
      </c>
      <c r="O24" s="141">
        <f t="shared" si="5"/>
        <v>0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0</v>
      </c>
      <c r="E29" s="695">
        <f>'REMUNERACION Reciprocidad EAAB'!N109</f>
        <v>0</v>
      </c>
      <c r="F29" s="695">
        <f>D29+E29</f>
        <v>0</v>
      </c>
      <c r="G29" s="703">
        <f>D20-F29</f>
        <v>0</v>
      </c>
      <c r="H29" s="695"/>
      <c r="I29" s="695">
        <f>'REMUNERACION Reciprocidad EAAB'!D131</f>
        <v>0</v>
      </c>
      <c r="J29" s="695"/>
      <c r="K29" s="695">
        <f>'REMUNERACION Reciprocidad EAAB'!G131</f>
        <v>0</v>
      </c>
      <c r="L29" s="695">
        <f>'REMUNERACION Reciprocidad EAAB'!H131</f>
        <v>0</v>
      </c>
      <c r="M29" s="695">
        <f>'REMUNERACION Reciprocidad EAAB'!I131</f>
        <v>0</v>
      </c>
      <c r="N29" s="695">
        <f>+'REMUNERACION Reciprocidad EAAB'!J131</f>
        <v>0</v>
      </c>
      <c r="O29" s="695">
        <f>'REMUNERACION Reciprocidad EAAB'!I147</f>
        <v>0</v>
      </c>
      <c r="P29" s="703">
        <f>I29+J29-K29-L29-M29-N29-O29</f>
        <v>0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0</v>
      </c>
      <c r="E30" s="695">
        <f>REMUNERACION_ENEL!N109</f>
        <v>0</v>
      </c>
      <c r="F30" s="695">
        <f>D30+E30</f>
        <v>0</v>
      </c>
      <c r="G30" s="705">
        <f>D21-F30</f>
        <v>0</v>
      </c>
      <c r="H30" s="695"/>
      <c r="I30" s="695">
        <f>REMUNERACION_ENEL!D131</f>
        <v>0</v>
      </c>
      <c r="J30" s="695"/>
      <c r="K30" s="695">
        <f>REMUNERACION_ENEL!G131</f>
        <v>0</v>
      </c>
      <c r="L30" s="695">
        <f>REMUNERACION_ENEL!H131</f>
        <v>0</v>
      </c>
      <c r="M30" s="695">
        <f>REMUNERACION_ENEL!I131</f>
        <v>0</v>
      </c>
      <c r="N30" s="695">
        <f>REMUNERACION_ENEL!J131</f>
        <v>0</v>
      </c>
      <c r="O30" s="695">
        <f>REMUNERACION_ENEL!I147</f>
        <v>0</v>
      </c>
      <c r="P30" s="703">
        <f>I30+J30-K30-L30-M30-N30-O30</f>
        <v>0</v>
      </c>
      <c r="Q30" s="704">
        <f>G30-P30</f>
        <v>0</v>
      </c>
      <c r="R30" s="141"/>
    </row>
    <row r="31" spans="3:18" x14ac:dyDescent="0.25">
      <c r="C31" s="759" t="s">
        <v>326</v>
      </c>
      <c r="D31" s="695">
        <f>REMUNERACION_ENERBIT!D109</f>
        <v>0</v>
      </c>
      <c r="E31" s="695">
        <f>REMUNERACION_ENERBIT!N109</f>
        <v>0</v>
      </c>
      <c r="F31" s="695">
        <f>D31+E31</f>
        <v>0</v>
      </c>
      <c r="G31" s="705">
        <f>D22-F31</f>
        <v>0</v>
      </c>
      <c r="H31" s="695"/>
      <c r="I31" s="695">
        <f>REMUNERACION_ENERBIT!D131</f>
        <v>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0</v>
      </c>
      <c r="E32" s="695">
        <f>'REMUNERACION_OCCIDENTE_ Directa'!N109</f>
        <v>0</v>
      </c>
      <c r="F32" s="695">
        <f>D32+E32</f>
        <v>0</v>
      </c>
      <c r="G32" s="705">
        <f>D23-F32</f>
        <v>0</v>
      </c>
      <c r="H32" s="695"/>
      <c r="I32" s="695">
        <f>'REMUNERACION_OCCIDENTE_ Directa'!D131</f>
        <v>0</v>
      </c>
      <c r="J32" s="695">
        <f>'CONSOLIDADO_TOTAL RECAUDO'!E131</f>
        <v>0</v>
      </c>
      <c r="K32" s="695">
        <f>'REMUNERACION_OCCIDENTE_ Directa'!G131</f>
        <v>0</v>
      </c>
      <c r="L32" s="695">
        <f>'REMUNERACION_OCCIDENTE_ Directa'!H131</f>
        <v>0</v>
      </c>
      <c r="M32" s="695">
        <f>'REMUNERACION_OCCIDENTE_ Directa'!I131</f>
        <v>0</v>
      </c>
      <c r="N32" s="695">
        <f>'REMUNERACION_OCCIDENTE_ Directa'!J131</f>
        <v>0</v>
      </c>
      <c r="O32" s="695">
        <f>'REMUNERACION_OCCIDENTE_ Directa'!I147</f>
        <v>0</v>
      </c>
      <c r="P32" s="703">
        <f t="shared" ref="P32" si="9">I32+J32-K32-L32-M32-N32-O32</f>
        <v>0</v>
      </c>
      <c r="Q32" s="704">
        <f t="shared" si="8"/>
        <v>0</v>
      </c>
      <c r="R32" s="141"/>
    </row>
    <row r="33" spans="4:17" x14ac:dyDescent="0.25">
      <c r="D33" s="695">
        <f>SUM(D29:D32)</f>
        <v>0</v>
      </c>
      <c r="E33" s="695">
        <f>SUM(E29:E32)</f>
        <v>0</v>
      </c>
      <c r="F33" s="706">
        <f>SUM(F29:F32)</f>
        <v>0</v>
      </c>
      <c r="G33" s="707">
        <f>D24-F33</f>
        <v>0</v>
      </c>
      <c r="H33" s="695"/>
      <c r="I33" s="695">
        <f>SUM(I29:I32)</f>
        <v>0</v>
      </c>
      <c r="J33" s="695">
        <f>SUM(J29:J32)</f>
        <v>0</v>
      </c>
      <c r="K33" s="695">
        <f>SUM(K29:K32)</f>
        <v>0</v>
      </c>
      <c r="L33" s="695">
        <f t="shared" ref="L33:N33" si="10">SUM(L29:L32)</f>
        <v>0</v>
      </c>
      <c r="M33" s="695">
        <f t="shared" si="10"/>
        <v>0</v>
      </c>
      <c r="N33" s="695">
        <f t="shared" si="10"/>
        <v>0</v>
      </c>
      <c r="O33" s="695">
        <f>SUM(O29:O32)</f>
        <v>0</v>
      </c>
      <c r="P33" s="708">
        <f>SUM(P29:P32)</f>
        <v>0</v>
      </c>
      <c r="Q33" s="704">
        <f>SUM(Q29:Q32)</f>
        <v>0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0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46281</v>
      </c>
      <c r="H7" s="45"/>
      <c r="I7" s="45"/>
      <c r="J7" s="555" t="s">
        <v>28</v>
      </c>
      <c r="K7" s="557">
        <f>'CONSOLIDADO_TOTAL RECAUDO'!K102</f>
        <v>46295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0</v>
      </c>
      <c r="E30" s="111">
        <f>'CONSOLIDADO_TOTAL RECAUDO'!E125</f>
        <v>0</v>
      </c>
      <c r="G30" s="140">
        <f>'CONSOLIDADO_TOTAL RECAUDO'!G125</f>
        <v>0</v>
      </c>
      <c r="H30" s="110">
        <f>'CONSOLIDADO_TOTAL RECAUDO'!H125</f>
        <v>0</v>
      </c>
      <c r="I30" s="111">
        <f>'CONSOLIDADO_TOTAL RECAUDO'!I125</f>
        <v>0</v>
      </c>
      <c r="J30" s="111">
        <f>'CONSOLIDADO_TOTAL RECAUDO'!J125</f>
        <v>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0</v>
      </c>
      <c r="E36" s="107">
        <f>'CONSOLIDADO_TOTAL RECAUDO'!E131</f>
        <v>0</v>
      </c>
      <c r="F36" s="45"/>
      <c r="G36" s="107">
        <f t="shared" ref="G36" si="7">SUM(G30:G34)</f>
        <v>0</v>
      </c>
      <c r="H36" s="107">
        <f t="shared" ref="H36:L36" si="8">SUM(H30:H34)</f>
        <v>0</v>
      </c>
      <c r="I36" s="107">
        <f t="shared" si="8"/>
        <v>0</v>
      </c>
      <c r="J36" s="107">
        <f t="shared" ref="J36" si="9">SUM(J30:J34)</f>
        <v>0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R1'!F80</f>
        <v>0</v>
      </c>
      <c r="E9" s="292">
        <f>'Reporte Componentes R1'!G80</f>
        <v>0</v>
      </c>
      <c r="F9" s="292">
        <f>'Reporte Componentes R1'!H80</f>
        <v>0</v>
      </c>
      <c r="G9" s="292">
        <f>'Reporte Componentes R1'!I80</f>
        <v>0</v>
      </c>
      <c r="H9" s="292">
        <f>'Reporte Componentes R1'!J80</f>
        <v>0</v>
      </c>
      <c r="I9" s="292">
        <f>'Reporte Componentes R1'!K80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R1'!L80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R1'!M80</f>
        <v>0</v>
      </c>
      <c r="V9" s="308">
        <f>'Reporte Componentes R1'!N80</f>
        <v>0</v>
      </c>
      <c r="W9" s="308">
        <f>'Reporte Componentes R1'!O80</f>
        <v>0</v>
      </c>
      <c r="X9" s="308">
        <f>'Reporte Componentes R1'!P80</f>
        <v>0</v>
      </c>
      <c r="Y9" s="309">
        <f>'Reporte Componentes R1'!Q80</f>
        <v>0</v>
      </c>
      <c r="Z9" s="310">
        <f>L9*-1</f>
        <v>0</v>
      </c>
      <c r="AA9" s="311">
        <f>'Reporte Componentes R1'!R80+'Reporte Componentes R1'!V80+'Reporte Componentes R1'!U80</f>
        <v>0</v>
      </c>
      <c r="AB9" s="294">
        <f>N9</f>
        <v>0</v>
      </c>
      <c r="AC9" s="311">
        <f>'Reporte Componentes R1'!T80+'Reporte Componentes R1'!W80+'Reporte Componentes R1'!X80+'Reporte Componentes R1'!Y80+'Reporte Componentes R1'!Z80+'Reporte Componentes R1'!S80</f>
        <v>0</v>
      </c>
      <c r="AD9" s="291">
        <f>-J9+AE9</f>
        <v>0</v>
      </c>
      <c r="AE9" s="291">
        <f>'Reporte Componentes R1'!F81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R1'!F259</f>
        <v>0</v>
      </c>
      <c r="E10" s="292">
        <f>'Reporte Componentes R1'!G259</f>
        <v>0</v>
      </c>
      <c r="F10" s="292">
        <f>'Reporte Componentes R1'!H259</f>
        <v>0</v>
      </c>
      <c r="G10" s="292">
        <f>'Reporte Componentes R1'!I259</f>
        <v>0</v>
      </c>
      <c r="H10" s="292">
        <f>'Reporte Componentes R1'!J259</f>
        <v>0</v>
      </c>
      <c r="I10" s="292">
        <f>'Reporte Componentes R1'!K259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R1'!L259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R1'!M259</f>
        <v>0</v>
      </c>
      <c r="V10" s="317">
        <f>'Reporte Componentes R1'!N259</f>
        <v>0</v>
      </c>
      <c r="W10" s="317">
        <f>'Reporte Componentes R1'!O259</f>
        <v>0</v>
      </c>
      <c r="X10" s="317">
        <f>'Reporte Componentes R1'!P259</f>
        <v>0</v>
      </c>
      <c r="Y10" s="318">
        <f>'Reporte Componentes R1'!Q259</f>
        <v>0</v>
      </c>
      <c r="Z10" s="319">
        <f>L10*-1</f>
        <v>0</v>
      </c>
      <c r="AA10" s="320">
        <f>'Reporte Componentes R1'!R259+'Reporte Componentes R1'!V259+'Reporte Componentes R1'!U259</f>
        <v>0</v>
      </c>
      <c r="AB10" s="294">
        <f>N10</f>
        <v>0</v>
      </c>
      <c r="AC10" s="320">
        <f>'Reporte Componentes R1'!T259+'Reporte Componentes R1'!W259+'Reporte Componentes R1'!X259+'Reporte Componentes R1'!Y259+'Reporte Componentes R1'!Z259++'Reporte Componentes R1'!S259</f>
        <v>0</v>
      </c>
      <c r="AD10" s="291">
        <f t="shared" ref="AD10:AD13" si="2">-J10+AE10</f>
        <v>0</v>
      </c>
      <c r="AE10" s="291">
        <f>'Reporte Componentes R1'!F260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R1'!F420</f>
        <v>0</v>
      </c>
      <c r="E11" s="292">
        <f>'Reporte Componentes R1'!G420</f>
        <v>0</v>
      </c>
      <c r="F11" s="292">
        <f>'Reporte Componentes R1'!H420</f>
        <v>0</v>
      </c>
      <c r="G11" s="292">
        <f>'Reporte Componentes R1'!I420</f>
        <v>0</v>
      </c>
      <c r="H11" s="292">
        <f>'Reporte Componentes R1'!J420</f>
        <v>0</v>
      </c>
      <c r="I11" s="292">
        <f>'Reporte Componentes R1'!K420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R1'!L420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R1'!M420</f>
        <v>0</v>
      </c>
      <c r="V11" s="317">
        <f>'Reporte Componentes R1'!N420</f>
        <v>0</v>
      </c>
      <c r="W11" s="317">
        <f>'Reporte Componentes R1'!O420</f>
        <v>0</v>
      </c>
      <c r="X11" s="317">
        <f>'Reporte Componentes R1'!P420</f>
        <v>0</v>
      </c>
      <c r="Y11" s="318">
        <f>'Reporte Componentes R1'!Q420</f>
        <v>0</v>
      </c>
      <c r="Z11" s="319">
        <f>L11*-1</f>
        <v>0</v>
      </c>
      <c r="AA11" s="320">
        <f>'Reporte Componentes R1'!R420+'Reporte Componentes R1'!V420+'Reporte Componentes R1'!U420</f>
        <v>0</v>
      </c>
      <c r="AB11" s="294">
        <f>N11</f>
        <v>0</v>
      </c>
      <c r="AC11" s="320">
        <f>'Reporte Componentes R1'!T420+'Reporte Componentes R1'!W420+'Reporte Componentes R1'!X420+'Reporte Componentes R1'!Y420+'Reporte Componentes R1'!Z420++'Reporte Componentes R1'!S420</f>
        <v>0</v>
      </c>
      <c r="AD11" s="291">
        <f t="shared" si="2"/>
        <v>0</v>
      </c>
      <c r="AE11" s="291">
        <f>'Reporte Componentes R1'!F421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R1'!F573</f>
        <v>0</v>
      </c>
      <c r="E12" s="292">
        <f>'Reporte Componentes R1'!G573</f>
        <v>0</v>
      </c>
      <c r="F12" s="292">
        <f>'Reporte Componentes R1'!H573</f>
        <v>0</v>
      </c>
      <c r="G12" s="292">
        <f>'Reporte Componentes R1'!I573</f>
        <v>0</v>
      </c>
      <c r="H12" s="292">
        <f>'Reporte Componentes R1'!J573</f>
        <v>0</v>
      </c>
      <c r="I12" s="292">
        <f>'Reporte Componentes R1'!K573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R1'!L573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R1'!M573</f>
        <v>0</v>
      </c>
      <c r="V12" s="317">
        <f>'Reporte Componentes R1'!N573</f>
        <v>0</v>
      </c>
      <c r="W12" s="317">
        <f>'Reporte Componentes R1'!O573</f>
        <v>0</v>
      </c>
      <c r="X12" s="317">
        <f>'Reporte Componentes R1'!P573</f>
        <v>0</v>
      </c>
      <c r="Y12" s="318">
        <f>'Reporte Componentes R1'!Q573</f>
        <v>0</v>
      </c>
      <c r="Z12" s="319">
        <f>L12*-1</f>
        <v>0</v>
      </c>
      <c r="AA12" s="320">
        <f>'Reporte Componentes R1'!R573+'Reporte Componentes R1'!V573+'Reporte Componentes R1'!U573</f>
        <v>0</v>
      </c>
      <c r="AB12" s="294">
        <f>N12</f>
        <v>0</v>
      </c>
      <c r="AC12" s="320">
        <f>'Reporte Componentes R1'!T573+'Reporte Componentes R1'!W573+'Reporte Componentes R1'!X573+'Reporte Componentes R1'!Y573+'Reporte Componentes R1'!Z573++'Reporte Componentes R1'!S573</f>
        <v>0</v>
      </c>
      <c r="AD12" s="291">
        <f t="shared" si="2"/>
        <v>0</v>
      </c>
      <c r="AE12" s="291">
        <f>'Reporte Componentes R1'!F574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R1'!F685</f>
        <v>0</v>
      </c>
      <c r="E13" s="297">
        <f>'Reporte Componentes R1'!G685</f>
        <v>0</v>
      </c>
      <c r="F13" s="297">
        <f>'Reporte Componentes R1'!H685</f>
        <v>0</v>
      </c>
      <c r="G13" s="297">
        <f>'Reporte Componentes R1'!I685</f>
        <v>0</v>
      </c>
      <c r="H13" s="297">
        <f>'Reporte Componentes R1'!J685</f>
        <v>0</v>
      </c>
      <c r="I13" s="297">
        <f>'Reporte Componentes R1'!K685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R1'!L685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R1'!M685</f>
        <v>0</v>
      </c>
      <c r="V13" s="297">
        <f>'Reporte Componentes R1'!N685</f>
        <v>0</v>
      </c>
      <c r="W13" s="297">
        <f>'Reporte Componentes R1'!O685</f>
        <v>0</v>
      </c>
      <c r="X13" s="297">
        <f>'Reporte Componentes R1'!P685</f>
        <v>0</v>
      </c>
      <c r="Y13" s="289">
        <f>'Reporte Componentes R1'!Q685</f>
        <v>0</v>
      </c>
      <c r="Z13" s="319">
        <f>L13*-1</f>
        <v>0</v>
      </c>
      <c r="AA13" s="320">
        <f>'Reporte Componentes R1'!R685+'Reporte Componentes R1'!V685+'Reporte Componentes R1'!U685</f>
        <v>0</v>
      </c>
      <c r="AB13" s="294">
        <f>N13</f>
        <v>0</v>
      </c>
      <c r="AC13" s="320">
        <f>'Reporte Componentes R1'!T685+'Reporte Componentes R1'!W685+'Reporte Componentes R1'!X685+'Reporte Componentes R1'!Y685+'Reporte Componentes R1'!Z685+'Reporte Componentes R1'!S685</f>
        <v>0</v>
      </c>
      <c r="AD13" s="291">
        <f t="shared" si="2"/>
        <v>0</v>
      </c>
      <c r="AE13" s="291">
        <f>'Reporte Componentes R1'!F686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R2'!E50</f>
        <v>0</v>
      </c>
      <c r="E28" s="292">
        <f>'Rem. Anticipos R2'!F50</f>
        <v>0</v>
      </c>
      <c r="F28" s="292">
        <f>'Rem. Anticipos R2'!G50</f>
        <v>0</v>
      </c>
      <c r="G28" s="292">
        <f>'Rem. Anticipos R2'!H50</f>
        <v>0</v>
      </c>
      <c r="H28" s="292">
        <f>'Rem. Anticipos R2'!I50</f>
        <v>0</v>
      </c>
      <c r="I28" s="292">
        <f>'Rem. Anticipos R2'!J50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R2'!L50</f>
        <v>0</v>
      </c>
      <c r="V28" s="308">
        <f>'Rem. Anticipos R2'!M50</f>
        <v>0</v>
      </c>
      <c r="W28" s="308">
        <f>'Rem. Anticipos R2'!N50</f>
        <v>0</v>
      </c>
      <c r="X28" s="308">
        <f>'Rem. Anticipos R2'!O50</f>
        <v>0</v>
      </c>
      <c r="Y28" s="309">
        <f>'Rem. Anticipos R2'!P50</f>
        <v>0</v>
      </c>
      <c r="Z28" s="310">
        <f>L28*-1</f>
        <v>0</v>
      </c>
      <c r="AA28" s="311">
        <f>'Rem. Anticipos R2'!Q50</f>
        <v>0</v>
      </c>
      <c r="AB28" s="294">
        <f>N28</f>
        <v>0</v>
      </c>
      <c r="AC28" s="311">
        <f>'Rem. Anticipos R2'!R50</f>
        <v>0</v>
      </c>
      <c r="AD28" s="291">
        <f>-J28+AE28</f>
        <v>0</v>
      </c>
      <c r="AE28" s="291">
        <f>'Rem. Anticipos R2'!E51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R2'!E147</f>
        <v>0</v>
      </c>
      <c r="E29" s="292">
        <f>'Rem. Anticipos R2'!F147</f>
        <v>0</v>
      </c>
      <c r="F29" s="292">
        <f>'Rem. Anticipos R2'!G147</f>
        <v>0</v>
      </c>
      <c r="G29" s="292">
        <f>'Rem. Anticipos R2'!H147</f>
        <v>0</v>
      </c>
      <c r="H29" s="292">
        <f>'Rem. Anticipos R2'!I147</f>
        <v>0</v>
      </c>
      <c r="I29" s="292">
        <f>'Rem. Anticipos R2'!J147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R2'!K147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R2'!L147</f>
        <v>0</v>
      </c>
      <c r="V29" s="317">
        <f>'Rem. Anticipos R2'!M147</f>
        <v>0</v>
      </c>
      <c r="W29" s="317">
        <f>'Rem. Anticipos R2'!N147</f>
        <v>0</v>
      </c>
      <c r="X29" s="317">
        <f>'Rem. Anticipos R2'!O147</f>
        <v>0</v>
      </c>
      <c r="Y29" s="318">
        <f>'Rem. Anticipos R2'!P147</f>
        <v>0</v>
      </c>
      <c r="Z29" s="319">
        <f>L29*-1</f>
        <v>0</v>
      </c>
      <c r="AA29" s="320">
        <f>'Rem. Anticipos R2'!Q147</f>
        <v>0</v>
      </c>
      <c r="AB29" s="294">
        <f>N29</f>
        <v>0</v>
      </c>
      <c r="AC29" s="320">
        <f>'Rem. Anticipos R2'!R147</f>
        <v>0</v>
      </c>
      <c r="AD29" s="291">
        <f>-J29+AE29</f>
        <v>0</v>
      </c>
      <c r="AE29" s="291">
        <f>'Rem. Anticipos R2'!E148</f>
        <v>0</v>
      </c>
      <c r="AF29" s="322">
        <f>SUM(U29:AD29)</f>
        <v>0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R2'!E265</f>
        <v>0</v>
      </c>
      <c r="E30" s="292">
        <f>'Rem. Anticipos R2'!F265</f>
        <v>0</v>
      </c>
      <c r="F30" s="292">
        <f>'Rem. Anticipos R2'!G265</f>
        <v>0</v>
      </c>
      <c r="G30" s="292">
        <f>'Rem. Anticipos R2'!H265</f>
        <v>0</v>
      </c>
      <c r="H30" s="292">
        <f>'Rem. Anticipos R2'!I265</f>
        <v>0</v>
      </c>
      <c r="I30" s="292">
        <f>'Rem. Anticipos R2'!J265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R2'!K265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R2'!L265</f>
        <v>0</v>
      </c>
      <c r="V30" s="317">
        <f>'Rem. Anticipos R2'!M265</f>
        <v>0</v>
      </c>
      <c r="W30" s="317">
        <f>'Rem. Anticipos R2'!N265</f>
        <v>0</v>
      </c>
      <c r="X30" s="317">
        <f>'Rem. Anticipos R2'!O265</f>
        <v>0</v>
      </c>
      <c r="Y30" s="318">
        <f>'Rem. Anticipos R2'!P265</f>
        <v>0</v>
      </c>
      <c r="Z30" s="319">
        <f>L30*-1</f>
        <v>0</v>
      </c>
      <c r="AA30" s="320">
        <f>'Rem. Anticipos R2'!Q265</f>
        <v>0</v>
      </c>
      <c r="AB30" s="294">
        <f>N30</f>
        <v>0</v>
      </c>
      <c r="AC30" s="320">
        <f>'Rem. Anticipos R2'!R265</f>
        <v>0</v>
      </c>
      <c r="AD30" s="291">
        <f t="shared" ref="AD30:AD32" si="10">-J30+AE30</f>
        <v>0</v>
      </c>
      <c r="AE30" s="291">
        <f>'Rem. Anticipos R2'!E266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R2'!E365</f>
        <v>0</v>
      </c>
      <c r="E31" s="292">
        <f>'Rem. Anticipos R2'!F365</f>
        <v>0</v>
      </c>
      <c r="F31" s="292">
        <f>'Rem. Anticipos R2'!G365</f>
        <v>0</v>
      </c>
      <c r="G31" s="292">
        <f>'Rem. Anticipos R2'!H365</f>
        <v>0</v>
      </c>
      <c r="H31" s="292">
        <f>'Rem. Anticipos R2'!I365</f>
        <v>0</v>
      </c>
      <c r="I31" s="292">
        <f>'Rem. Anticipos R2'!J365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R2'!K365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R2'!L365</f>
        <v>0</v>
      </c>
      <c r="V31" s="317">
        <f>'Rem. Anticipos R2'!M365</f>
        <v>0</v>
      </c>
      <c r="W31" s="317">
        <f>'Rem. Anticipos R2'!N365</f>
        <v>0</v>
      </c>
      <c r="X31" s="317">
        <f>'Rem. Anticipos R2'!O365</f>
        <v>0</v>
      </c>
      <c r="Y31" s="318">
        <f>'Rem. Anticipos R2'!P365</f>
        <v>0</v>
      </c>
      <c r="Z31" s="319">
        <f>L31*-1</f>
        <v>0</v>
      </c>
      <c r="AA31" s="320">
        <f>'Rem. Anticipos R2'!Q365</f>
        <v>0</v>
      </c>
      <c r="AB31" s="294">
        <f>N31</f>
        <v>0</v>
      </c>
      <c r="AC31" s="320">
        <f>'Rem. Anticipos R2'!R365</f>
        <v>0</v>
      </c>
      <c r="AD31" s="291">
        <f t="shared" si="10"/>
        <v>0</v>
      </c>
      <c r="AE31" s="291">
        <f>'Rem. Anticipos R2'!E366</f>
        <v>0</v>
      </c>
      <c r="AF31" s="322">
        <f>SUM(U31:AD31)</f>
        <v>0</v>
      </c>
      <c r="AG31" s="522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R2'!E449</f>
        <v>0</v>
      </c>
      <c r="E32" s="297">
        <f>'Rem. Anticipos R2'!F449</f>
        <v>0</v>
      </c>
      <c r="F32" s="297">
        <f>'Rem. Anticipos R2'!G449</f>
        <v>0</v>
      </c>
      <c r="G32" s="297">
        <f>'Rem. Anticipos R2'!H449</f>
        <v>0</v>
      </c>
      <c r="H32" s="297">
        <f>'Rem. Anticipos R2'!I449</f>
        <v>0</v>
      </c>
      <c r="I32" s="297">
        <f>'Rem. Anticipos R2'!J449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R2'!K449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R2'!L449</f>
        <v>0</v>
      </c>
      <c r="V32" s="297">
        <f>'Rem. Anticipos R2'!M449</f>
        <v>0</v>
      </c>
      <c r="W32" s="297">
        <f>'Rem. Anticipos R2'!N449</f>
        <v>0</v>
      </c>
      <c r="X32" s="297">
        <f>'Rem. Anticipos R2'!O449</f>
        <v>0</v>
      </c>
      <c r="Y32" s="289">
        <f>'Rem. Anticipos R2'!P449</f>
        <v>0</v>
      </c>
      <c r="Z32" s="319">
        <f>L32*-1</f>
        <v>0</v>
      </c>
      <c r="AA32" s="320">
        <f>'Rem. Anticipos R2'!Q449</f>
        <v>0</v>
      </c>
      <c r="AB32" s="294">
        <f>N32</f>
        <v>0</v>
      </c>
      <c r="AC32" s="320">
        <f>'Rem. Anticipos R2'!R449</f>
        <v>0</v>
      </c>
      <c r="AD32" s="291">
        <f t="shared" si="10"/>
        <v>0</v>
      </c>
      <c r="AE32" s="291">
        <f>'Rem. Anticipos R2'!E450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R1'!F82</f>
        <v>0</v>
      </c>
      <c r="E47" s="292">
        <f>'Reporte Componentes R1'!G82</f>
        <v>0</v>
      </c>
      <c r="F47" s="292">
        <f>'Reporte Componentes R1'!H82</f>
        <v>0</v>
      </c>
      <c r="G47" s="292">
        <f>'Reporte Componentes R1'!I82</f>
        <v>0</v>
      </c>
      <c r="H47" s="292">
        <f>'Reporte Componentes R1'!J82</f>
        <v>0</v>
      </c>
      <c r="I47" s="292">
        <f>'Reporte Componentes R1'!K82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R1'!M82</f>
        <v>0</v>
      </c>
      <c r="V47" s="308">
        <f>'Reporte Componentes R1'!N82</f>
        <v>0</v>
      </c>
      <c r="W47" s="308">
        <f>'Reporte Componentes R1'!O82</f>
        <v>0</v>
      </c>
      <c r="X47" s="308">
        <f>'Reporte Componentes R1'!P82</f>
        <v>0</v>
      </c>
      <c r="Y47" s="309">
        <f>'Reporte Componentes R1'!Q82</f>
        <v>0</v>
      </c>
      <c r="Z47" s="310">
        <f>-L47</f>
        <v>0</v>
      </c>
      <c r="AA47" s="311">
        <f>'Reporte Componentes R1'!R82+'Reporte Componentes R1'!V82+'Reporte Componentes R1'!U82</f>
        <v>0</v>
      </c>
      <c r="AB47" s="294">
        <f>N47</f>
        <v>0</v>
      </c>
      <c r="AC47" s="311">
        <f>'Reporte Componentes R1'!T82+'Reporte Componentes R1'!W82+'Reporte Componentes R1'!X82+'Reporte Componentes R1'!Y82+'Reporte Componentes R1'!Z82+'Reporte Componentes R1'!S82</f>
        <v>0</v>
      </c>
      <c r="AD47" s="291">
        <f>-J47+AE47</f>
        <v>0</v>
      </c>
      <c r="AE47" s="291">
        <f>'Reporte Componentes R1'!F83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R1'!F261</f>
        <v>0</v>
      </c>
      <c r="E48" s="292">
        <f>'Reporte Componentes R1'!G261</f>
        <v>0</v>
      </c>
      <c r="F48" s="292">
        <f>'Reporte Componentes R1'!H261</f>
        <v>0</v>
      </c>
      <c r="G48" s="292">
        <f>'Reporte Componentes R1'!I261</f>
        <v>0</v>
      </c>
      <c r="H48" s="292">
        <f>'Reporte Componentes R1'!J261</f>
        <v>0</v>
      </c>
      <c r="I48" s="292">
        <f>'Reporte Componentes R1'!K261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R1'!L261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R1'!M261</f>
        <v>0</v>
      </c>
      <c r="V48" s="317">
        <f>'Reporte Componentes R1'!N261</f>
        <v>0</v>
      </c>
      <c r="W48" s="317">
        <f>'Reporte Componentes R1'!O261</f>
        <v>0</v>
      </c>
      <c r="X48" s="317">
        <f>'Reporte Componentes R1'!P261</f>
        <v>0</v>
      </c>
      <c r="Y48" s="318">
        <f>'Reporte Componentes R1'!Q261</f>
        <v>0</v>
      </c>
      <c r="Z48" s="319">
        <f>-L48</f>
        <v>0</v>
      </c>
      <c r="AA48" s="320">
        <f>'Reporte Componentes R1'!R261+'Reporte Componentes R1'!V261+'Reporte Componentes R1'!U261</f>
        <v>0</v>
      </c>
      <c r="AB48" s="294">
        <f>N48</f>
        <v>0</v>
      </c>
      <c r="AC48" s="320">
        <f>'Reporte Componentes R1'!T261+'Reporte Componentes R1'!W261+'Reporte Componentes R1'!X261+'Reporte Componentes R1'!Y261+'Reporte Componentes R1'!Z261+'Reporte Componentes R1'!S261</f>
        <v>0</v>
      </c>
      <c r="AD48" s="291">
        <f t="shared" ref="AD48:AD51" si="18">-J48+AE48</f>
        <v>0</v>
      </c>
      <c r="AE48" s="291">
        <f>'Reporte Componentes R1'!F262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R1'!F422</f>
        <v>0</v>
      </c>
      <c r="E49" s="292">
        <f>'Reporte Componentes R1'!G422</f>
        <v>0</v>
      </c>
      <c r="F49" s="292">
        <f>'Reporte Componentes R1'!H422</f>
        <v>0</v>
      </c>
      <c r="G49" s="292">
        <f>'Reporte Componentes R1'!I422</f>
        <v>0</v>
      </c>
      <c r="H49" s="292">
        <f>'Reporte Componentes R1'!J422</f>
        <v>0</v>
      </c>
      <c r="I49" s="292">
        <f>'Reporte Componentes R1'!K422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R1'!L422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R1'!M422</f>
        <v>0</v>
      </c>
      <c r="V49" s="317">
        <f>'Reporte Componentes R1'!N422</f>
        <v>0</v>
      </c>
      <c r="W49" s="317">
        <f>'Reporte Componentes R1'!O422</f>
        <v>0</v>
      </c>
      <c r="X49" s="317">
        <f>'Reporte Componentes R1'!P422</f>
        <v>0</v>
      </c>
      <c r="Y49" s="318">
        <f>'Reporte Componentes R1'!Q422</f>
        <v>0</v>
      </c>
      <c r="Z49" s="319">
        <f>-L49</f>
        <v>0</v>
      </c>
      <c r="AA49" s="320">
        <f>'Reporte Componentes R1'!R422+'Reporte Componentes R1'!V422+'Reporte Componentes R1'!U422</f>
        <v>0</v>
      </c>
      <c r="AB49" s="294">
        <f>N49</f>
        <v>0</v>
      </c>
      <c r="AC49" s="320">
        <f>'Reporte Componentes R1'!T422+'Reporte Componentes R1'!W422+'Reporte Componentes R1'!X422+'Reporte Componentes R1'!Y422+'Reporte Componentes R1'!Z422+'Reporte Componentes R1'!S422</f>
        <v>0</v>
      </c>
      <c r="AD49" s="291">
        <f t="shared" si="18"/>
        <v>0</v>
      </c>
      <c r="AE49" s="291">
        <f>'Reporte Componentes R1'!F423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R1'!F575</f>
        <v>0</v>
      </c>
      <c r="E50" s="292">
        <f>'Reporte Componentes R1'!G575</f>
        <v>0</v>
      </c>
      <c r="F50" s="292">
        <f>'Reporte Componentes R1'!H575</f>
        <v>0</v>
      </c>
      <c r="G50" s="292">
        <f>'Reporte Componentes R1'!I575</f>
        <v>0</v>
      </c>
      <c r="H50" s="292">
        <f>'Reporte Componentes R1'!J575</f>
        <v>0</v>
      </c>
      <c r="I50" s="292">
        <f>'Reporte Componentes R1'!K575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R1'!L575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R1'!M575</f>
        <v>0</v>
      </c>
      <c r="V50" s="317">
        <f>'Reporte Componentes R1'!N575</f>
        <v>0</v>
      </c>
      <c r="W50" s="317">
        <f>'Reporte Componentes R1'!O575</f>
        <v>0</v>
      </c>
      <c r="X50" s="317">
        <f>'Reporte Componentes R1'!P575</f>
        <v>0</v>
      </c>
      <c r="Y50" s="318">
        <f>'Reporte Componentes R1'!Q575</f>
        <v>0</v>
      </c>
      <c r="Z50" s="319">
        <f>-L50</f>
        <v>0</v>
      </c>
      <c r="AA50" s="320">
        <f>'Reporte Componentes R1'!R575+'Reporte Componentes R1'!V575+'Reporte Componentes R1'!U575</f>
        <v>0</v>
      </c>
      <c r="AB50" s="294">
        <f>N50</f>
        <v>0</v>
      </c>
      <c r="AC50" s="320">
        <f>'Reporte Componentes R1'!T575+'Reporte Componentes R1'!W575+'Reporte Componentes R1'!X575+'Reporte Componentes R1'!Y575+'Reporte Componentes R1'!Z575+'Reporte Componentes R1'!S575</f>
        <v>0</v>
      </c>
      <c r="AD50" s="291">
        <f t="shared" si="18"/>
        <v>0</v>
      </c>
      <c r="AE50" s="291">
        <f>'Reporte Componentes R1'!F576</f>
        <v>0</v>
      </c>
      <c r="AF50" s="322">
        <f t="shared" si="19"/>
        <v>0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R1'!F687</f>
        <v>0</v>
      </c>
      <c r="E51" s="297">
        <f>'Reporte Componentes R1'!G687</f>
        <v>0</v>
      </c>
      <c r="F51" s="297">
        <f>'Reporte Componentes R1'!H687</f>
        <v>0</v>
      </c>
      <c r="G51" s="297">
        <f>'Reporte Componentes R1'!I687</f>
        <v>0</v>
      </c>
      <c r="H51" s="297">
        <f>'Reporte Componentes R1'!J687</f>
        <v>0</v>
      </c>
      <c r="I51" s="297">
        <f>'Reporte Componentes R1'!K687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R1'!L687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R1'!M687</f>
        <v>0</v>
      </c>
      <c r="V51" s="297">
        <f>'Reporte Componentes R1'!N687</f>
        <v>0</v>
      </c>
      <c r="W51" s="297">
        <f>'Reporte Componentes R1'!O687</f>
        <v>0</v>
      </c>
      <c r="X51" s="297">
        <f>'Reporte Componentes R1'!P687</f>
        <v>0</v>
      </c>
      <c r="Y51" s="289">
        <f>'Reporte Componentes R1'!Q687</f>
        <v>0</v>
      </c>
      <c r="Z51" s="319">
        <f>-L51</f>
        <v>0</v>
      </c>
      <c r="AA51" s="320">
        <f>'Reporte Componentes R1'!R687+'Reporte Componentes R1'!V687+'Reporte Componentes R1'!U687</f>
        <v>0</v>
      </c>
      <c r="AB51" s="294">
        <f>N51</f>
        <v>0</v>
      </c>
      <c r="AC51" s="320">
        <f>'Reporte Componentes R1'!T687+'Reporte Componentes R1'!W687+'Reporte Componentes R1'!X687+'Reporte Componentes R1'!Y687+'Reporte Componentes R1'!Z687+'Reporte Componentes R1'!S687</f>
        <v>0</v>
      </c>
      <c r="AD51" s="291">
        <f t="shared" si="18"/>
        <v>0</v>
      </c>
      <c r="AE51" s="291">
        <f>'Reporte Componentes R1'!F688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524">
        <f t="shared" si="23"/>
        <v>0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R4'!D76</f>
        <v>0</v>
      </c>
      <c r="E66" s="292">
        <f>'Reversion Pagos R4'!E76</f>
        <v>0</v>
      </c>
      <c r="F66" s="292">
        <f>'Reversion Pagos R4'!F76</f>
        <v>0</v>
      </c>
      <c r="G66" s="292">
        <f>'Reversion Pagos R4'!G76</f>
        <v>0</v>
      </c>
      <c r="H66" s="292">
        <f>'Reversion Pagos R4'!H76</f>
        <v>0</v>
      </c>
      <c r="I66" s="292">
        <f>'Reversion Pagos R4'!I76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R4'!P76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R4'!J76</f>
        <v>0</v>
      </c>
      <c r="V66" s="308">
        <f>'Reversion Pagos R4'!K76</f>
        <v>0</v>
      </c>
      <c r="W66" s="308">
        <f>'Reversion Pagos R4'!L76</f>
        <v>0</v>
      </c>
      <c r="X66" s="308">
        <f>'Reversion Pagos R4'!M76</f>
        <v>0</v>
      </c>
      <c r="Y66" s="309">
        <f>'Reversion Pagos R4'!N76</f>
        <v>0</v>
      </c>
      <c r="Z66" s="310">
        <f>-L66</f>
        <v>0</v>
      </c>
      <c r="AA66" s="320">
        <f>'Reversion Pagos R4'!O76</f>
        <v>0</v>
      </c>
      <c r="AB66" s="294">
        <f>N66</f>
        <v>0</v>
      </c>
      <c r="AC66" s="320">
        <f>+'Reversion Pagos R4'!Q76+'Reversion Pagos R4'!R76</f>
        <v>0</v>
      </c>
      <c r="AD66" s="291">
        <f>-J66+AE66</f>
        <v>0</v>
      </c>
      <c r="AE66" s="291">
        <f>'Reversion Pagos R4'!D77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R4'!D177</f>
        <v>0</v>
      </c>
      <c r="E67" s="292">
        <f>'Reversion Pagos R4'!E177</f>
        <v>0</v>
      </c>
      <c r="F67" s="292">
        <f>'Reversion Pagos R4'!F177</f>
        <v>0</v>
      </c>
      <c r="G67" s="292">
        <f>'Reversion Pagos R4'!G177</f>
        <v>0</v>
      </c>
      <c r="H67" s="292">
        <f>'Reversion Pagos R4'!H177</f>
        <v>0</v>
      </c>
      <c r="I67" s="292">
        <f>'Reversion Pagos R4'!I177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R4'!P177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R4'!J177</f>
        <v>0</v>
      </c>
      <c r="V67" s="317">
        <f>'Reversion Pagos R4'!K177</f>
        <v>0</v>
      </c>
      <c r="W67" s="317">
        <f>'Reversion Pagos R4'!L177</f>
        <v>0</v>
      </c>
      <c r="X67" s="317">
        <f>'Reversion Pagos R4'!M177</f>
        <v>0</v>
      </c>
      <c r="Y67" s="318">
        <f>'Reversion Pagos R4'!N177</f>
        <v>0</v>
      </c>
      <c r="Z67" s="319">
        <f t="shared" ref="Z67:Z70" si="27">-L67</f>
        <v>0</v>
      </c>
      <c r="AA67" s="320">
        <f>'Reversion Pagos R4'!O177</f>
        <v>0</v>
      </c>
      <c r="AB67" s="294">
        <f t="shared" ref="AB67:AB70" si="28">N67</f>
        <v>0</v>
      </c>
      <c r="AC67" s="320">
        <f>+'Reversion Pagos R4'!Q177+'Reversion Pagos R4'!R177</f>
        <v>0</v>
      </c>
      <c r="AD67" s="291">
        <f t="shared" ref="AD67:AD70" si="29">-J67+AE67</f>
        <v>0</v>
      </c>
      <c r="AE67" s="291">
        <f>'Reversion Pagos R4'!D178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R4'!D214</f>
        <v>0</v>
      </c>
      <c r="E68" s="292">
        <f>'Reversion Pagos R4'!E214</f>
        <v>0</v>
      </c>
      <c r="F68" s="292">
        <f>'Reversion Pagos R4'!F214</f>
        <v>0</v>
      </c>
      <c r="G68" s="292">
        <f>'Reversion Pagos R4'!G214</f>
        <v>0</v>
      </c>
      <c r="H68" s="292">
        <f>'Reversion Pagos R4'!H214</f>
        <v>0</v>
      </c>
      <c r="I68" s="292">
        <f>'Reversion Pagos R4'!I214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R4'!P214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R4'!J214</f>
        <v>0</v>
      </c>
      <c r="V68" s="317">
        <f>'Reversion Pagos R4'!K214</f>
        <v>0</v>
      </c>
      <c r="W68" s="317">
        <f>'Reversion Pagos R4'!L214</f>
        <v>0</v>
      </c>
      <c r="X68" s="317">
        <f>'Reversion Pagos R4'!M214</f>
        <v>0</v>
      </c>
      <c r="Y68" s="318">
        <f>'Reversion Pagos R4'!N214</f>
        <v>0</v>
      </c>
      <c r="Z68" s="319">
        <f t="shared" si="27"/>
        <v>0</v>
      </c>
      <c r="AA68" s="320">
        <f>'Reversion Pagos R4'!O214</f>
        <v>0</v>
      </c>
      <c r="AB68" s="294">
        <f t="shared" si="28"/>
        <v>0</v>
      </c>
      <c r="AC68" s="320">
        <f>+'Reversion Pagos R4'!Q214+'Reversion Pagos R4'!R214</f>
        <v>0</v>
      </c>
      <c r="AD68" s="291">
        <f t="shared" si="29"/>
        <v>0</v>
      </c>
      <c r="AE68" s="291">
        <f>'Reversion Pagos R4'!D215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R4'!D329</f>
        <v>0</v>
      </c>
      <c r="E69" s="292">
        <f>'Reversion Pagos R4'!E329</f>
        <v>0</v>
      </c>
      <c r="F69" s="292">
        <f>'Reversion Pagos R4'!F329</f>
        <v>0</v>
      </c>
      <c r="G69" s="292">
        <f>'Reversion Pagos R4'!G329</f>
        <v>0</v>
      </c>
      <c r="H69" s="292">
        <f>'Reversion Pagos R4'!H329</f>
        <v>0</v>
      </c>
      <c r="I69" s="292">
        <f>'Reversion Pagos R4'!I329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R4'!P329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R4'!J329</f>
        <v>0</v>
      </c>
      <c r="V69" s="317">
        <f>'Reversion Pagos R4'!K329</f>
        <v>0</v>
      </c>
      <c r="W69" s="317">
        <f>'Reversion Pagos R4'!L329</f>
        <v>0</v>
      </c>
      <c r="X69" s="317">
        <f>'Reversion Pagos R4'!M329</f>
        <v>0</v>
      </c>
      <c r="Y69" s="318">
        <f>'Reversion Pagos R4'!N329</f>
        <v>0</v>
      </c>
      <c r="Z69" s="319">
        <f t="shared" si="27"/>
        <v>0</v>
      </c>
      <c r="AA69" s="320">
        <f>'Reversion Pagos R4'!O329</f>
        <v>0</v>
      </c>
      <c r="AB69" s="294">
        <f t="shared" si="28"/>
        <v>0</v>
      </c>
      <c r="AC69" s="320">
        <f>+'Reversion Pagos R4'!Q329+'Reversion Pagos R4'!R329</f>
        <v>0</v>
      </c>
      <c r="AD69" s="291">
        <f t="shared" si="29"/>
        <v>0</v>
      </c>
      <c r="AE69" s="291">
        <f>'Reversion Pagos R4'!D330</f>
        <v>0</v>
      </c>
      <c r="AF69" s="322">
        <f>SUM(U69:AD69)</f>
        <v>0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R4'!D364</f>
        <v>0</v>
      </c>
      <c r="E70" s="297">
        <f>'Reversion Pagos R4'!E364</f>
        <v>0</v>
      </c>
      <c r="F70" s="297">
        <f>'Reversion Pagos R4'!F364</f>
        <v>0</v>
      </c>
      <c r="G70" s="297">
        <f>'Reversion Pagos R4'!G364</f>
        <v>0</v>
      </c>
      <c r="H70" s="297">
        <f>'Reversion Pagos R4'!H364</f>
        <v>0</v>
      </c>
      <c r="I70" s="297">
        <f>'Reversion Pagos R4'!I364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R4'!J364</f>
        <v>0</v>
      </c>
      <c r="V70" s="297">
        <f>'Reversion Pagos R4'!K364</f>
        <v>0</v>
      </c>
      <c r="W70" s="297">
        <f>'Reversion Pagos R4'!L364</f>
        <v>0</v>
      </c>
      <c r="X70" s="297">
        <f>'Reversion Pagos R4'!M364</f>
        <v>0</v>
      </c>
      <c r="Y70" s="289">
        <f>'Reversion Pagos R4'!N364</f>
        <v>0</v>
      </c>
      <c r="Z70" s="319">
        <f t="shared" si="27"/>
        <v>0</v>
      </c>
      <c r="AA70" s="320">
        <f>'Reversion Pagos R4'!O364</f>
        <v>0</v>
      </c>
      <c r="AB70" s="294">
        <f t="shared" si="28"/>
        <v>0</v>
      </c>
      <c r="AC70" s="320">
        <f>+'Reversion Pagos R4'!Q364+'Reversion Pagos R4'!R364</f>
        <v>0</v>
      </c>
      <c r="AD70" s="291">
        <f t="shared" si="29"/>
        <v>0</v>
      </c>
      <c r="AE70" s="291">
        <f>'Reversion Pagos R4'!D365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0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7">M105+N105</f>
        <v>0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88">
        <f t="shared" si="43"/>
        <v>0</v>
      </c>
      <c r="K107" s="295">
        <f t="shared" si="46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7"/>
        <v>0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0</v>
      </c>
      <c r="AA107" s="320">
        <f t="shared" si="44"/>
        <v>0</v>
      </c>
      <c r="AB107" s="294">
        <f t="shared" si="44"/>
        <v>0</v>
      </c>
      <c r="AC107" s="320">
        <f t="shared" si="44"/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0</v>
      </c>
      <c r="E109" s="290">
        <f t="shared" si="49"/>
        <v>0</v>
      </c>
      <c r="F109" s="290">
        <f t="shared" si="49"/>
        <v>0</v>
      </c>
      <c r="G109" s="290">
        <f t="shared" si="49"/>
        <v>0</v>
      </c>
      <c r="H109" s="290">
        <f t="shared" si="49"/>
        <v>0</v>
      </c>
      <c r="I109" s="290">
        <f t="shared" si="49"/>
        <v>0</v>
      </c>
      <c r="J109" s="290">
        <f t="shared" si="49"/>
        <v>0</v>
      </c>
      <c r="K109" s="300">
        <f t="shared" si="49"/>
        <v>0</v>
      </c>
      <c r="L109" s="301">
        <f t="shared" si="49"/>
        <v>0</v>
      </c>
      <c r="M109" s="302">
        <f t="shared" si="49"/>
        <v>0</v>
      </c>
      <c r="N109" s="301">
        <f t="shared" si="49"/>
        <v>0</v>
      </c>
      <c r="O109" s="302">
        <f t="shared" si="49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0">SUM(V104:V108)</f>
        <v>0</v>
      </c>
      <c r="W109" s="330">
        <f t="shared" si="50"/>
        <v>0</v>
      </c>
      <c r="X109" s="330">
        <f t="shared" si="50"/>
        <v>0</v>
      </c>
      <c r="Y109" s="330">
        <f t="shared" si="50"/>
        <v>0</v>
      </c>
      <c r="Z109" s="290">
        <f t="shared" si="50"/>
        <v>0</v>
      </c>
      <c r="AA109" s="290">
        <f t="shared" si="50"/>
        <v>0</v>
      </c>
      <c r="AB109" s="290">
        <f t="shared" si="50"/>
        <v>0</v>
      </c>
      <c r="AC109" s="290">
        <f t="shared" si="50"/>
        <v>0</v>
      </c>
      <c r="AD109" s="290">
        <f t="shared" si="50"/>
        <v>0</v>
      </c>
      <c r="AE109" s="290">
        <f>SUM(AE104:AE108)</f>
        <v>0</v>
      </c>
      <c r="AF109" s="331">
        <f t="shared" si="50"/>
        <v>0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1"/>
        <v>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97">
        <f>D145-E145-F145-G145-J145-H145-I145</f>
        <v>0</v>
      </c>
      <c r="M145" s="1" t="b">
        <f t="shared" si="54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97">
        <f>SUM(L142:L146)</f>
        <v>0</v>
      </c>
      <c r="M147" s="1" t="b">
        <f t="shared" si="54"/>
        <v>1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0</v>
      </c>
      <c r="D4" s="292">
        <f>'REMUNERACION Reciprocidad EAAB'!G126</f>
        <v>0</v>
      </c>
      <c r="E4" s="292">
        <f>'REMUNERACION Reciprocidad EAAB'!D29+'REMUNERACION Reciprocidad EAAB'!N29</f>
        <v>0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0</v>
      </c>
      <c r="I4" s="291">
        <f>'REMUNERACION Reciprocidad EAAB'!D105</f>
        <v>0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0</v>
      </c>
      <c r="D6" s="292">
        <f>'REMUNERACION Reciprocidad EAAB'!G128</f>
        <v>0</v>
      </c>
      <c r="E6" s="292">
        <f>'REMUNERACION Reciprocidad EAAB'!D31+'REMUNERACION Reciprocidad EAAB'!N31</f>
        <v>0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0</v>
      </c>
      <c r="I6" s="291">
        <f>'REMUNERACION Reciprocidad EAAB'!D107</f>
        <v>0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6204091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46281</v>
      </c>
      <c r="J7" s="2" t="s">
        <v>28</v>
      </c>
      <c r="K7" s="9">
        <f>'REMUNERACION Reciprocidad EAAB'!K102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46281</v>
      </c>
      <c r="J27" s="2" t="s">
        <v>28</v>
      </c>
      <c r="K27" s="9">
        <f>'REMUNERACION Reciprocidad EAAB'!K122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0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0</v>
      </c>
      <c r="H33" s="340">
        <f>'REMUNERACION Reciprocidad EAAB'!H128</f>
        <v>0</v>
      </c>
      <c r="I33" s="288">
        <f>'REMUNERACION Reciprocidad EAAB'!I128</f>
        <v>0</v>
      </c>
      <c r="J33" s="288">
        <f>'REMUNERACION Reciprocidad EAAB'!J128</f>
        <v>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0</v>
      </c>
      <c r="H36" s="350">
        <f t="shared" si="5"/>
        <v>0</v>
      </c>
      <c r="I36" s="350">
        <f t="shared" si="5"/>
        <v>0</v>
      </c>
      <c r="J36" s="350">
        <f t="shared" si="5"/>
        <v>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R1'!F85</f>
        <v>0</v>
      </c>
      <c r="E9" s="292">
        <f>'Reporte Componentes R1'!G85</f>
        <v>0</v>
      </c>
      <c r="F9" s="292">
        <f>'Reporte Componentes R1'!H85</f>
        <v>0</v>
      </c>
      <c r="G9" s="292">
        <f>'Reporte Componentes R1'!I85</f>
        <v>0</v>
      </c>
      <c r="H9" s="292">
        <f>'Reporte Componentes R1'!J85</f>
        <v>0</v>
      </c>
      <c r="I9" s="292">
        <f>'Reporte Componentes R1'!K85</f>
        <v>0</v>
      </c>
      <c r="J9" s="292">
        <f>'CONSOLIDADO_TOTAL RECAUDO'!J9</f>
        <v>0</v>
      </c>
      <c r="K9" s="293">
        <f>D9-E9-F9-G9-H9-I9-J9</f>
        <v>0</v>
      </c>
      <c r="L9" s="294">
        <f>'CONSOLIDADO_TOTAL RECAUDO'!L9</f>
        <v>189185988</v>
      </c>
      <c r="M9" s="293">
        <f>K9-L9</f>
        <v>-189185988</v>
      </c>
      <c r="N9" s="294">
        <f>'Reporte Componentes R1'!L85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R1'!M85</f>
        <v>0</v>
      </c>
      <c r="V9" s="308">
        <f>'Reporte Componentes R1'!N85</f>
        <v>0</v>
      </c>
      <c r="W9" s="308">
        <f>'Reporte Componentes R1'!O85</f>
        <v>0</v>
      </c>
      <c r="X9" s="308">
        <f>'Reporte Componentes R1'!P85</f>
        <v>0</v>
      </c>
      <c r="Y9" s="309">
        <f>'Reporte Componentes R1'!Q85</f>
        <v>0</v>
      </c>
      <c r="Z9" s="310">
        <f>L9*-1</f>
        <v>-189185988</v>
      </c>
      <c r="AA9" s="311">
        <f>'Reporte Componentes R1'!R85+'Reporte Componentes R1'!V85+'Reporte Componentes R1'!U85</f>
        <v>0</v>
      </c>
      <c r="AB9" s="294">
        <f>N9</f>
        <v>0</v>
      </c>
      <c r="AC9" s="311">
        <f>'Reporte Componentes R1'!T85+'Reporte Componentes R1'!W85+'Reporte Componentes R1'!X85+'Reporte Componentes R1'!Y85+'Reporte Componentes R1'!Z85+'Reporte Componentes R1'!S85</f>
        <v>0</v>
      </c>
      <c r="AD9" s="291">
        <f>-J9+AE9</f>
        <v>0</v>
      </c>
      <c r="AE9" s="291">
        <f>'Reporte Componentes R1'!F86</f>
        <v>0</v>
      </c>
      <c r="AF9" s="313">
        <f>SUM(U9:AD9)</f>
        <v>-189185988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R1'!F264</f>
        <v>0</v>
      </c>
      <c r="E10" s="292">
        <f>'Reporte Componentes R1'!G264</f>
        <v>0</v>
      </c>
      <c r="F10" s="292">
        <f>'Reporte Componentes R1'!H264</f>
        <v>0</v>
      </c>
      <c r="G10" s="292">
        <f>'Reporte Componentes R1'!I264</f>
        <v>0</v>
      </c>
      <c r="H10" s="292">
        <f>'Reporte Componentes R1'!J264</f>
        <v>0</v>
      </c>
      <c r="I10" s="292">
        <f>'Reporte Componentes R1'!K264</f>
        <v>0</v>
      </c>
      <c r="J10" s="292">
        <f>'CONSOLIDADO_TOTAL RECAUDO'!J10</f>
        <v>0</v>
      </c>
      <c r="K10" s="295">
        <f>D10-E10-F10-G10-H10-I10-J10</f>
        <v>0</v>
      </c>
      <c r="L10" s="294">
        <f>'CONSOLIDADO_TOTAL RECAUDO'!L10</f>
        <v>266580256</v>
      </c>
      <c r="M10" s="295">
        <f>K10-L10</f>
        <v>-266580256</v>
      </c>
      <c r="N10" s="294">
        <f>'Reporte Componentes R1'!L264</f>
        <v>0</v>
      </c>
      <c r="O10" s="295">
        <f t="shared" ref="O10:O12" si="0">M10+N10</f>
        <v>-266580256</v>
      </c>
      <c r="Q10" s="306"/>
      <c r="S10" s="314">
        <v>2</v>
      </c>
      <c r="T10" s="315" t="s">
        <v>11</v>
      </c>
      <c r="U10" s="316">
        <f>'Reporte Componentes R1'!M264</f>
        <v>0</v>
      </c>
      <c r="V10" s="317">
        <f>'Reporte Componentes R1'!N264</f>
        <v>0</v>
      </c>
      <c r="W10" s="317">
        <f>'Reporte Componentes R1'!O264</f>
        <v>0</v>
      </c>
      <c r="X10" s="317">
        <f>'Reporte Componentes R1'!P264</f>
        <v>0</v>
      </c>
      <c r="Y10" s="318">
        <f>'Reporte Componentes R1'!Q264</f>
        <v>0</v>
      </c>
      <c r="Z10" s="319">
        <f>L10*-1</f>
        <v>-266580256</v>
      </c>
      <c r="AA10" s="320">
        <f>'Reporte Componentes R1'!R264+'Reporte Componentes R1'!V264+'Reporte Componentes R1'!U264</f>
        <v>0</v>
      </c>
      <c r="AB10" s="294">
        <f>N10</f>
        <v>0</v>
      </c>
      <c r="AC10" s="320">
        <f>'Reporte Componentes R1'!T264+'Reporte Componentes R1'!W264+'Reporte Componentes R1'!X264+'Reporte Componentes R1'!Y264+'Reporte Componentes R1'!Z264+'Reporte Componentes R1'!S264</f>
        <v>0</v>
      </c>
      <c r="AD10" s="291">
        <f t="shared" ref="AD10:AD13" si="1">-J10+AE10</f>
        <v>0</v>
      </c>
      <c r="AE10" s="291">
        <f>'Reporte Componentes R1'!F265</f>
        <v>0</v>
      </c>
      <c r="AF10" s="322">
        <f>SUM(U10:AD10)</f>
        <v>-266580256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R1'!F425</f>
        <v>0</v>
      </c>
      <c r="E11" s="292">
        <f>'Reporte Componentes R1'!G425</f>
        <v>0</v>
      </c>
      <c r="F11" s="292">
        <f>'Reporte Componentes R1'!H425</f>
        <v>0</v>
      </c>
      <c r="G11" s="292">
        <f>'Reporte Componentes R1'!I425</f>
        <v>0</v>
      </c>
      <c r="H11" s="292">
        <f>'Reporte Componentes R1'!J425</f>
        <v>0</v>
      </c>
      <c r="I11" s="292">
        <f>'Reporte Componentes R1'!K425</f>
        <v>0</v>
      </c>
      <c r="J11" s="292">
        <f>'CONSOLIDADO_TOTAL RECAUDO'!J11</f>
        <v>0</v>
      </c>
      <c r="K11" s="295">
        <f t="shared" ref="K11:K13" si="3">D11-E11-F11-G11-H11-I11-J11</f>
        <v>0</v>
      </c>
      <c r="L11" s="294">
        <f>'CONSOLIDADO_TOTAL RECAUDO'!L11</f>
        <v>154788536</v>
      </c>
      <c r="M11" s="295">
        <f>K11-L11</f>
        <v>-154788536</v>
      </c>
      <c r="N11" s="294">
        <f>'Reporte Componentes R1'!L425</f>
        <v>0</v>
      </c>
      <c r="O11" s="295">
        <f t="shared" si="0"/>
        <v>-154788536</v>
      </c>
      <c r="Q11" s="306"/>
      <c r="S11" s="314">
        <v>3</v>
      </c>
      <c r="T11" s="315" t="s">
        <v>12</v>
      </c>
      <c r="U11" s="316">
        <f>'Reporte Componentes R1'!M425</f>
        <v>0</v>
      </c>
      <c r="V11" s="317">
        <f>'Reporte Componentes R1'!N425</f>
        <v>0</v>
      </c>
      <c r="W11" s="317">
        <f>'Reporte Componentes R1'!O425</f>
        <v>0</v>
      </c>
      <c r="X11" s="317">
        <f>'Reporte Componentes R1'!P425</f>
        <v>0</v>
      </c>
      <c r="Y11" s="318">
        <f>'Reporte Componentes R1'!Q425</f>
        <v>0</v>
      </c>
      <c r="Z11" s="319">
        <f>L11*-1</f>
        <v>-154788536</v>
      </c>
      <c r="AA11" s="320">
        <f>'Reporte Componentes R1'!R425+'Reporte Componentes R1'!V425+'Reporte Componentes R1'!U425</f>
        <v>0</v>
      </c>
      <c r="AB11" s="294">
        <f>N11</f>
        <v>0</v>
      </c>
      <c r="AC11" s="320">
        <f>'Reporte Componentes R1'!T425+'Reporte Componentes R1'!W425+'Reporte Componentes R1'!X425+'Reporte Componentes R1'!Y425+'Reporte Componentes R1'!Z425+'Reporte Componentes R1'!S425</f>
        <v>0</v>
      </c>
      <c r="AD11" s="291">
        <f t="shared" si="1"/>
        <v>0</v>
      </c>
      <c r="AE11" s="291">
        <f>'Reporte Componentes R1'!F426</f>
        <v>0</v>
      </c>
      <c r="AF11" s="322">
        <f t="shared" ref="AF11:AF13" si="4">SUM(U11:AD11)</f>
        <v>-154788536</v>
      </c>
      <c r="AG11" s="323">
        <f>(AF11-O11)</f>
        <v>0</v>
      </c>
      <c r="AH11" s="1" t="b">
        <f t="shared" si="2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R1'!F578</f>
        <v>0</v>
      </c>
      <c r="E12" s="292">
        <f>'Reporte Componentes R1'!G578</f>
        <v>0</v>
      </c>
      <c r="F12" s="292">
        <f>'Reporte Componentes R1'!H578</f>
        <v>0</v>
      </c>
      <c r="G12" s="292">
        <f>'Reporte Componentes R1'!I578</f>
        <v>0</v>
      </c>
      <c r="H12" s="292">
        <f>'Reporte Componentes R1'!J578</f>
        <v>0</v>
      </c>
      <c r="I12" s="292">
        <f>'Reporte Componentes R1'!K578</f>
        <v>0</v>
      </c>
      <c r="J12" s="292">
        <f>'CONSOLIDADO_TOTAL RECAUDO'!J12</f>
        <v>0</v>
      </c>
      <c r="K12" s="295">
        <f>D12-E12-F12-G12-H12-I12-J12</f>
        <v>0</v>
      </c>
      <c r="L12" s="294">
        <f>'CONSOLIDADO_TOTAL RECAUDO'!L12</f>
        <v>120391083</v>
      </c>
      <c r="M12" s="295">
        <f>K12-L12</f>
        <v>-120391083</v>
      </c>
      <c r="N12" s="294">
        <f>'Reporte Componentes R1'!L578</f>
        <v>0</v>
      </c>
      <c r="O12" s="295">
        <f t="shared" si="0"/>
        <v>-120391083</v>
      </c>
      <c r="Q12" s="306"/>
      <c r="S12" s="314">
        <v>4</v>
      </c>
      <c r="T12" s="315" t="s">
        <v>13</v>
      </c>
      <c r="U12" s="316">
        <f>'Reporte Componentes R1'!M578</f>
        <v>0</v>
      </c>
      <c r="V12" s="317">
        <f>'Reporte Componentes R1'!N578</f>
        <v>0</v>
      </c>
      <c r="W12" s="317">
        <f>'Reporte Componentes R1'!O578</f>
        <v>0</v>
      </c>
      <c r="X12" s="317">
        <f>'Reporte Componentes R1'!P578</f>
        <v>0</v>
      </c>
      <c r="Y12" s="318">
        <f>'Reporte Componentes R1'!Q578</f>
        <v>0</v>
      </c>
      <c r="Z12" s="319">
        <f>L12*-1</f>
        <v>-120391083</v>
      </c>
      <c r="AA12" s="320">
        <f>'Reporte Componentes R1'!R578+'Reporte Componentes R1'!V578+'Reporte Componentes R1'!U578</f>
        <v>0</v>
      </c>
      <c r="AB12" s="294">
        <f>N12</f>
        <v>0</v>
      </c>
      <c r="AC12" s="320">
        <f>'Reporte Componentes R1'!T578+'Reporte Componentes R1'!W578+'Reporte Componentes R1'!X578+'Reporte Componentes R1'!Y578+'Reporte Componentes R1'!Z578+'Reporte Componentes R1'!S578</f>
        <v>0</v>
      </c>
      <c r="AD12" s="291">
        <f t="shared" si="1"/>
        <v>0</v>
      </c>
      <c r="AE12" s="291">
        <f>'Reporte Componentes R1'!F579</f>
        <v>0</v>
      </c>
      <c r="AF12" s="322">
        <f t="shared" si="4"/>
        <v>-120391083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R1'!F690</f>
        <v>0</v>
      </c>
      <c r="E13" s="297">
        <f>'Reporte Componentes R1'!G690</f>
        <v>0</v>
      </c>
      <c r="F13" s="297">
        <f>'Reporte Componentes R1'!H690</f>
        <v>0</v>
      </c>
      <c r="G13" s="297">
        <f>'Reporte Componentes R1'!I690</f>
        <v>0</v>
      </c>
      <c r="H13" s="297">
        <f>'Reporte Componentes R1'!J690</f>
        <v>0</v>
      </c>
      <c r="I13" s="297">
        <f>'Reporte Componentes R1'!K690</f>
        <v>0</v>
      </c>
      <c r="J13" s="292">
        <f>'CONSOLIDADO_TOTAL RECAUDO'!J13</f>
        <v>0</v>
      </c>
      <c r="K13" s="295">
        <f t="shared" si="3"/>
        <v>0</v>
      </c>
      <c r="L13" s="294">
        <f>'CONSOLIDADO_TOTAL RECAUDO'!L13</f>
        <v>128990446</v>
      </c>
      <c r="M13" s="298">
        <f>K13-L13</f>
        <v>-128990446</v>
      </c>
      <c r="N13" s="299">
        <f>'Reporte Componentes R1'!L690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R1'!M690</f>
        <v>0</v>
      </c>
      <c r="V13" s="297">
        <f>'Reporte Componentes R1'!N690</f>
        <v>0</v>
      </c>
      <c r="W13" s="297">
        <f>'Reporte Componentes R1'!O690</f>
        <v>0</v>
      </c>
      <c r="X13" s="297">
        <f>'Reporte Componentes R1'!P690</f>
        <v>0</v>
      </c>
      <c r="Y13" s="289">
        <f>'Reporte Componentes R1'!Q690</f>
        <v>0</v>
      </c>
      <c r="Z13" s="319">
        <f>L13*-1</f>
        <v>-128990446</v>
      </c>
      <c r="AA13" s="320">
        <f>'Reporte Componentes R1'!R690+'Reporte Componentes R1'!V690+'Reporte Componentes R1'!U690</f>
        <v>0</v>
      </c>
      <c r="AB13" s="294">
        <f>N13</f>
        <v>0</v>
      </c>
      <c r="AC13" s="320">
        <f>'Reporte Componentes R1'!T690+'Reporte Componentes R1'!W690+'Reporte Componentes R1'!X690+'Reporte Componentes R1'!Y690+'Reporte Componentes R1'!Z690+'Reporte Componentes R1'!S690</f>
        <v>0</v>
      </c>
      <c r="AD13" s="291">
        <f t="shared" si="1"/>
        <v>0</v>
      </c>
      <c r="AE13" s="291">
        <f>'Reporte Componentes R1'!F691</f>
        <v>0</v>
      </c>
      <c r="AF13" s="322">
        <f t="shared" si="4"/>
        <v>-128990446</v>
      </c>
      <c r="AG13" s="326">
        <f>(AF13-O13)</f>
        <v>0</v>
      </c>
      <c r="AH13" s="1" t="b">
        <f t="shared" si="2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859936309</v>
      </c>
      <c r="M14" s="302">
        <f t="shared" si="5"/>
        <v>-859936309</v>
      </c>
      <c r="N14" s="301">
        <f t="shared" si="5"/>
        <v>0</v>
      </c>
      <c r="O14" s="302">
        <f t="shared" si="5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-859936309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-859936309</v>
      </c>
      <c r="AG14" s="332">
        <f>SUM(AG9:AG13)</f>
        <v>0</v>
      </c>
      <c r="AH14" s="1" t="b">
        <f t="shared" si="2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R2'!E53</f>
        <v>0</v>
      </c>
      <c r="E28" s="292">
        <f>'Rem. Anticipos R2'!F53</f>
        <v>0</v>
      </c>
      <c r="F28" s="292">
        <f>'Rem. Anticipos R2'!G53</f>
        <v>0</v>
      </c>
      <c r="G28" s="292">
        <f>'Rem. Anticipos R2'!H53</f>
        <v>0</v>
      </c>
      <c r="H28" s="292">
        <f>'Rem. Anticipos R2'!I53</f>
        <v>0</v>
      </c>
      <c r="I28" s="292">
        <f>'Rem. Anticipos R2'!J53</f>
        <v>0</v>
      </c>
      <c r="J28" s="289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R2'!K53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R2'!L53</f>
        <v>0</v>
      </c>
      <c r="V28" s="308">
        <f>'Rem. Anticipos R2'!M53</f>
        <v>0</v>
      </c>
      <c r="W28" s="308">
        <f>'Rem. Anticipos R2'!N53</f>
        <v>0</v>
      </c>
      <c r="X28" s="308">
        <f>'Rem. Anticipos R2'!O53</f>
        <v>0</v>
      </c>
      <c r="Y28" s="309">
        <f>'Rem. Anticipos R2'!P53</f>
        <v>0</v>
      </c>
      <c r="Z28" s="310">
        <f>L28*-1</f>
        <v>0</v>
      </c>
      <c r="AA28" s="311">
        <f>'Rem. Anticipos R2'!Q53</f>
        <v>0</v>
      </c>
      <c r="AB28" s="294">
        <f>N28</f>
        <v>0</v>
      </c>
      <c r="AC28" s="311">
        <f>'Rem. Anticipos R2'!R53</f>
        <v>0</v>
      </c>
      <c r="AD28" s="291">
        <f>-J28+AE28</f>
        <v>0</v>
      </c>
      <c r="AE28" s="291">
        <f>'Rem. Anticipos R2'!E54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R2'!E150</f>
        <v>0</v>
      </c>
      <c r="E29" s="292">
        <f>'Rem. Anticipos R2'!F150</f>
        <v>0</v>
      </c>
      <c r="F29" s="292">
        <f>'Rem. Anticipos R2'!G150</f>
        <v>0</v>
      </c>
      <c r="G29" s="292">
        <f>'Rem. Anticipos R2'!H150</f>
        <v>0</v>
      </c>
      <c r="H29" s="292">
        <f>'Rem. Anticipos R2'!I150</f>
        <v>0</v>
      </c>
      <c r="I29" s="292">
        <f>'Rem. Anticipos R2'!J150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R2'!L150</f>
        <v>0</v>
      </c>
      <c r="V29" s="317">
        <f>'Rem. Anticipos R2'!M150</f>
        <v>0</v>
      </c>
      <c r="W29" s="317">
        <f>'Rem. Anticipos R2'!N150</f>
        <v>0</v>
      </c>
      <c r="X29" s="317">
        <f>'Rem. Anticipos R2'!O150</f>
        <v>0</v>
      </c>
      <c r="Y29" s="318">
        <f>'Rem. Anticipos R2'!P150</f>
        <v>0</v>
      </c>
      <c r="Z29" s="319">
        <f>L29*-1</f>
        <v>0</v>
      </c>
      <c r="AA29" s="320">
        <f>'Rem. Anticipos R2'!Q150</f>
        <v>0</v>
      </c>
      <c r="AB29" s="294">
        <f>N29</f>
        <v>0</v>
      </c>
      <c r="AC29" s="320">
        <f>'Rem. Anticipos R2'!R150</f>
        <v>0</v>
      </c>
      <c r="AD29" s="291">
        <f>-J29+AE29</f>
        <v>0</v>
      </c>
      <c r="AE29" s="291">
        <f>'Rem. Anticipos R2'!E151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R2'!E268</f>
        <v>0</v>
      </c>
      <c r="E30" s="292">
        <f>'Rem. Anticipos R2'!F268</f>
        <v>0</v>
      </c>
      <c r="F30" s="292">
        <f>'Rem. Anticipos R2'!G268</f>
        <v>0</v>
      </c>
      <c r="G30" s="292">
        <f>'Rem. Anticipos R2'!H268</f>
        <v>0</v>
      </c>
      <c r="H30" s="292">
        <f>'Rem. Anticipos R2'!I268</f>
        <v>0</v>
      </c>
      <c r="I30" s="292">
        <f>'Rem. Anticipos R2'!J268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R2'!K268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R2'!L268</f>
        <v>0</v>
      </c>
      <c r="V30" s="317">
        <f>'Rem. Anticipos R2'!M268</f>
        <v>0</v>
      </c>
      <c r="W30" s="317">
        <f>'Rem. Anticipos R2'!N268</f>
        <v>0</v>
      </c>
      <c r="X30" s="317">
        <f>'Rem. Anticipos R2'!O268</f>
        <v>0</v>
      </c>
      <c r="Y30" s="318">
        <f>'Rem. Anticipos R2'!P268</f>
        <v>0</v>
      </c>
      <c r="Z30" s="319">
        <f>L30*-1</f>
        <v>0</v>
      </c>
      <c r="AA30" s="320">
        <f>'Rem. Anticipos R2'!Q268</f>
        <v>0</v>
      </c>
      <c r="AB30" s="294">
        <f>N30</f>
        <v>0</v>
      </c>
      <c r="AC30" s="320">
        <f>'Rem. Anticipos R2'!R268</f>
        <v>0</v>
      </c>
      <c r="AD30" s="291">
        <f t="shared" ref="AD30:AD32" si="10">-J30+AE30</f>
        <v>0</v>
      </c>
      <c r="AE30" s="291">
        <f>'Rem. Anticipos R2'!E269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R2'!E368</f>
        <v>0</v>
      </c>
      <c r="E31" s="292">
        <f>'Rem. Anticipos R2'!F368</f>
        <v>0</v>
      </c>
      <c r="F31" s="292">
        <f>'Rem. Anticipos R2'!G368</f>
        <v>0</v>
      </c>
      <c r="G31" s="292">
        <f>'Rem. Anticipos R2'!H368</f>
        <v>0</v>
      </c>
      <c r="H31" s="292">
        <f>'Rem. Anticipos R2'!I368</f>
        <v>0</v>
      </c>
      <c r="I31" s="292">
        <f>'Rem. Anticipos R2'!J368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R2'!L368</f>
        <v>0</v>
      </c>
      <c r="V31" s="317">
        <f>'Rem. Anticipos R2'!M368</f>
        <v>0</v>
      </c>
      <c r="W31" s="317">
        <f>'Rem. Anticipos R2'!N368</f>
        <v>0</v>
      </c>
      <c r="X31" s="317">
        <f>'Rem. Anticipos R2'!O368</f>
        <v>0</v>
      </c>
      <c r="Y31" s="318">
        <f>'Rem. Anticipos R2'!P368</f>
        <v>0</v>
      </c>
      <c r="Z31" s="319">
        <f>L31*-1</f>
        <v>0</v>
      </c>
      <c r="AA31" s="320">
        <f>'Rem. Anticipos R2'!Q368</f>
        <v>0</v>
      </c>
      <c r="AB31" s="294">
        <f>N31</f>
        <v>0</v>
      </c>
      <c r="AC31" s="320">
        <f>'Rem. Anticipos R2'!R368</f>
        <v>0</v>
      </c>
      <c r="AD31" s="291">
        <f t="shared" si="10"/>
        <v>0</v>
      </c>
      <c r="AE31" s="291">
        <f>'Rem. Anticipos R2'!E369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R2'!E452</f>
        <v>0</v>
      </c>
      <c r="E32" s="297">
        <f>'Rem. Anticipos R2'!F452</f>
        <v>0</v>
      </c>
      <c r="F32" s="297">
        <f>'Rem. Anticipos R2'!G452</f>
        <v>0</v>
      </c>
      <c r="G32" s="297">
        <f>'Rem. Anticipos R2'!H452</f>
        <v>0</v>
      </c>
      <c r="H32" s="297">
        <f>'Rem. Anticipos R2'!I452</f>
        <v>0</v>
      </c>
      <c r="I32" s="297">
        <f>'Rem. Anticipos R2'!J452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R2'!K452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R2'!L452</f>
        <v>0</v>
      </c>
      <c r="V32" s="297">
        <f>'Rem. Anticipos R2'!M452</f>
        <v>0</v>
      </c>
      <c r="W32" s="297">
        <f>'Rem. Anticipos R2'!N452</f>
        <v>0</v>
      </c>
      <c r="X32" s="297">
        <f>'Rem. Anticipos R2'!O452</f>
        <v>0</v>
      </c>
      <c r="Y32" s="289">
        <f>'Rem. Anticipos R2'!P452</f>
        <v>0</v>
      </c>
      <c r="Z32" s="319">
        <f>L32*-1</f>
        <v>0</v>
      </c>
      <c r="AA32" s="320">
        <f>'Rem. Anticipos R2'!Q452</f>
        <v>0</v>
      </c>
      <c r="AB32" s="294">
        <f>N32</f>
        <v>0</v>
      </c>
      <c r="AC32" s="320">
        <f>'Rem. Anticipos R2'!R452</f>
        <v>0</v>
      </c>
      <c r="AD32" s="291">
        <f t="shared" si="10"/>
        <v>0</v>
      </c>
      <c r="AE32" s="291">
        <f>'Rem. Anticipos R2'!E453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R1'!F87</f>
        <v>0</v>
      </c>
      <c r="E47" s="292">
        <f>'Reporte Componentes R1'!G87</f>
        <v>0</v>
      </c>
      <c r="F47" s="292">
        <f>'Reporte Componentes R1'!H87</f>
        <v>0</v>
      </c>
      <c r="G47" s="292">
        <f>'Reporte Componentes R1'!I87</f>
        <v>0</v>
      </c>
      <c r="H47" s="292">
        <f>'Reporte Componentes R1'!J87</f>
        <v>0</v>
      </c>
      <c r="I47" s="292">
        <f>'Reporte Componentes R1'!K87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R1'!M87</f>
        <v>0</v>
      </c>
      <c r="V47" s="308">
        <f>'Reporte Componentes R1'!N87</f>
        <v>0</v>
      </c>
      <c r="W47" s="308">
        <f>'Reporte Componentes R1'!O87</f>
        <v>0</v>
      </c>
      <c r="X47" s="308">
        <f>'Reporte Componentes R1'!P87</f>
        <v>0</v>
      </c>
      <c r="Y47" s="309">
        <f>'Reporte Componentes R1'!Q87</f>
        <v>0</v>
      </c>
      <c r="Z47" s="310">
        <f>-L47</f>
        <v>0</v>
      </c>
      <c r="AA47" s="320">
        <f>'Reporte Componentes R1'!R87+'Reporte Componentes R1'!V87+'Reporte Componentes R1'!U87</f>
        <v>0</v>
      </c>
      <c r="AB47" s="294">
        <f>N47</f>
        <v>0</v>
      </c>
      <c r="AC47" s="311">
        <f>'Reporte Componentes R1'!T87+'Reporte Componentes R1'!W87+'Reporte Componentes R1'!X87+'Reporte Componentes R1'!Y87+'Reporte Componentes R1'!Z87+'Reporte Componentes R1'!S87</f>
        <v>0</v>
      </c>
      <c r="AD47" s="291">
        <f>-J47+AE47</f>
        <v>0</v>
      </c>
      <c r="AE47" s="291">
        <f>'Reporte Componentes R1'!F88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R1'!F266</f>
        <v>0</v>
      </c>
      <c r="E48" s="292">
        <f>'Reporte Componentes R1'!G266</f>
        <v>0</v>
      </c>
      <c r="F48" s="292">
        <f>'Reporte Componentes R1'!H266</f>
        <v>0</v>
      </c>
      <c r="G48" s="292">
        <f>'Reporte Componentes R1'!I266</f>
        <v>0</v>
      </c>
      <c r="H48" s="292">
        <f>'Reporte Componentes R1'!J266</f>
        <v>0</v>
      </c>
      <c r="I48" s="292">
        <f>'Reporte Componentes R1'!K266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R1'!L266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R1'!M266</f>
        <v>0</v>
      </c>
      <c r="V48" s="317">
        <f>'Reporte Componentes R1'!N266</f>
        <v>0</v>
      </c>
      <c r="W48" s="317">
        <f>'Reporte Componentes R1'!O266</f>
        <v>0</v>
      </c>
      <c r="X48" s="317">
        <f>'Reporte Componentes R1'!P266</f>
        <v>0</v>
      </c>
      <c r="Y48" s="318">
        <f>'Reporte Componentes R1'!Q266</f>
        <v>0</v>
      </c>
      <c r="Z48" s="319">
        <f>-L48</f>
        <v>0</v>
      </c>
      <c r="AA48" s="320">
        <f>'Reporte Componentes R1'!R266+'Reporte Componentes R1'!V266+'Reporte Componentes R1'!U266</f>
        <v>0</v>
      </c>
      <c r="AB48" s="294">
        <f>N48</f>
        <v>0</v>
      </c>
      <c r="AC48" s="320">
        <f>'Reporte Componentes R1'!T266+'Reporte Componentes R1'!W266+'Reporte Componentes R1'!X266+'Reporte Componentes R1'!Y266+'Reporte Componentes R1'!Z266+'Reporte Componentes R1'!S266</f>
        <v>0</v>
      </c>
      <c r="AD48" s="291">
        <f t="shared" ref="AD48:AD51" si="17">-J48+AE48</f>
        <v>0</v>
      </c>
      <c r="AE48" s="291">
        <f>'Reporte Componentes R1'!F267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R1'!F427</f>
        <v>0</v>
      </c>
      <c r="E49" s="292">
        <f>'Reporte Componentes R1'!G427</f>
        <v>0</v>
      </c>
      <c r="F49" s="292">
        <f>'Reporte Componentes R1'!H427</f>
        <v>0</v>
      </c>
      <c r="G49" s="292">
        <f>'Reporte Componentes R1'!I427</f>
        <v>0</v>
      </c>
      <c r="H49" s="292">
        <f>'Reporte Componentes R1'!J427</f>
        <v>0</v>
      </c>
      <c r="I49" s="292">
        <f>'Reporte Componentes R1'!K427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R1'!L427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R1'!M427</f>
        <v>0</v>
      </c>
      <c r="V49" s="317">
        <f>'Reporte Componentes R1'!N427</f>
        <v>0</v>
      </c>
      <c r="W49" s="317">
        <f>'Reporte Componentes R1'!O427</f>
        <v>0</v>
      </c>
      <c r="X49" s="317">
        <f>'Reporte Componentes R1'!P427</f>
        <v>0</v>
      </c>
      <c r="Y49" s="318">
        <f>'Reporte Componentes R1'!Q427</f>
        <v>0</v>
      </c>
      <c r="Z49" s="319">
        <f>-L49</f>
        <v>0</v>
      </c>
      <c r="AA49" s="320">
        <f>'Reporte Componentes R1'!R427+'Reporte Componentes R1'!V427+'Reporte Componentes R1'!U427</f>
        <v>0</v>
      </c>
      <c r="AB49" s="294">
        <f>N49</f>
        <v>0</v>
      </c>
      <c r="AC49" s="320">
        <f>'Reporte Componentes R1'!T427+'Reporte Componentes R1'!W427+'Reporte Componentes R1'!X427+'Reporte Componentes R1'!Y427+'Reporte Componentes R1'!Z427+'Reporte Componentes R1'!S427</f>
        <v>0</v>
      </c>
      <c r="AD49" s="291">
        <f t="shared" si="17"/>
        <v>0</v>
      </c>
      <c r="AE49" s="291">
        <f>'Reporte Componentes R1'!F428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R1'!F580</f>
        <v>0</v>
      </c>
      <c r="E50" s="292">
        <f>'Reporte Componentes R1'!G580</f>
        <v>0</v>
      </c>
      <c r="F50" s="292">
        <f>'Reporte Componentes R1'!H580</f>
        <v>0</v>
      </c>
      <c r="G50" s="292">
        <f>'Reporte Componentes R1'!I580</f>
        <v>0</v>
      </c>
      <c r="H50" s="292">
        <f>'Reporte Componentes R1'!J580</f>
        <v>0</v>
      </c>
      <c r="I50" s="292">
        <f>'Reporte Componentes R1'!K580</f>
        <v>0</v>
      </c>
      <c r="J50" s="288">
        <v>0</v>
      </c>
      <c r="K50" s="295">
        <f t="shared" si="15"/>
        <v>0</v>
      </c>
      <c r="L50" s="294">
        <v>0</v>
      </c>
      <c r="M50" s="295">
        <f>K50-L50</f>
        <v>0</v>
      </c>
      <c r="N50" s="294">
        <f>'Reporte Componentes R1'!L580</f>
        <v>0</v>
      </c>
      <c r="O50" s="295">
        <f t="shared" si="16"/>
        <v>0</v>
      </c>
      <c r="Q50" s="306"/>
      <c r="S50" s="314">
        <v>4</v>
      </c>
      <c r="T50" s="315" t="s">
        <v>13</v>
      </c>
      <c r="U50" s="316">
        <f>'Reporte Componentes R1'!M580</f>
        <v>0</v>
      </c>
      <c r="V50" s="317">
        <f>'Reporte Componentes R1'!N580</f>
        <v>0</v>
      </c>
      <c r="W50" s="317">
        <f>'Reporte Componentes R1'!O580</f>
        <v>0</v>
      </c>
      <c r="X50" s="317">
        <f>'Reporte Componentes R1'!P580</f>
        <v>0</v>
      </c>
      <c r="Y50" s="318">
        <f>'Reporte Componentes R1'!Q580</f>
        <v>0</v>
      </c>
      <c r="Z50" s="319">
        <f>-L50</f>
        <v>0</v>
      </c>
      <c r="AA50" s="320">
        <f>'Reporte Componentes R1'!R580+'Reporte Componentes R1'!V580+'Reporte Componentes R1'!U580</f>
        <v>0</v>
      </c>
      <c r="AB50" s="294">
        <f>N50</f>
        <v>0</v>
      </c>
      <c r="AC50" s="320">
        <f>'Reporte Componentes R1'!T580+'Reporte Componentes R1'!W580+'Reporte Componentes R1'!X580+'Reporte Componentes R1'!Y580+'Reporte Componentes R1'!Z580+'Reporte Componentes R1'!S580</f>
        <v>0</v>
      </c>
      <c r="AD50" s="291">
        <f t="shared" si="17"/>
        <v>0</v>
      </c>
      <c r="AE50" s="291">
        <f>'Reporte Componentes R1'!F581</f>
        <v>0</v>
      </c>
      <c r="AF50" s="322">
        <f t="shared" si="19"/>
        <v>0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R1'!F692</f>
        <v>0</v>
      </c>
      <c r="E51" s="297">
        <f>'Reporte Componentes R1'!G692</f>
        <v>0</v>
      </c>
      <c r="F51" s="297">
        <f>'Reporte Componentes R1'!H692</f>
        <v>0</v>
      </c>
      <c r="G51" s="297">
        <f>'Reporte Componentes R1'!I692</f>
        <v>0</v>
      </c>
      <c r="H51" s="297">
        <f>'Reporte Componentes R1'!J692</f>
        <v>0</v>
      </c>
      <c r="I51" s="297">
        <f>'Reporte Componentes R1'!K692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R1'!L692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R1'!M692</f>
        <v>0</v>
      </c>
      <c r="V51" s="297">
        <f>'Reporte Componentes R1'!N692</f>
        <v>0</v>
      </c>
      <c r="W51" s="297">
        <f>'Reporte Componentes R1'!O692</f>
        <v>0</v>
      </c>
      <c r="X51" s="297">
        <f>'Reporte Componentes R1'!P692</f>
        <v>0</v>
      </c>
      <c r="Y51" s="289">
        <f>'Reporte Componentes R1'!Q692</f>
        <v>0</v>
      </c>
      <c r="Z51" s="319">
        <f>-L51</f>
        <v>0</v>
      </c>
      <c r="AA51" s="320">
        <f>'Reporte Componentes R1'!R692+'Reporte Componentes R1'!V692+'Reporte Componentes R1'!U692</f>
        <v>0</v>
      </c>
      <c r="AB51" s="294">
        <f>N51</f>
        <v>0</v>
      </c>
      <c r="AC51" s="320">
        <f>'Reporte Componentes R1'!T692+'Reporte Componentes R1'!W692+'Reporte Componentes R1'!X692+'Reporte Componentes R1'!Y692+'Reporte Componentes R1'!Z692+'Reporte Componentes R1'!S692</f>
        <v>0</v>
      </c>
      <c r="AD51" s="291">
        <f t="shared" si="17"/>
        <v>0</v>
      </c>
      <c r="AE51" s="291">
        <f>'Reporte Componentes R1'!F693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332">
        <f t="shared" si="23"/>
        <v>0</v>
      </c>
      <c r="AH52" s="1" t="b">
        <f t="shared" si="18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9">
        <f>'Reversion Pagos R4'!N79</f>
        <v>0</v>
      </c>
      <c r="Z66" s="310">
        <f>-L66</f>
        <v>0</v>
      </c>
      <c r="AA66" s="311">
        <f>+'Reversion Pagos R4'!O79</f>
        <v>0</v>
      </c>
      <c r="AB66" s="294">
        <f>N66</f>
        <v>0</v>
      </c>
      <c r="AC66" s="311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0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R4'!P180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6">-L67</f>
        <v>0</v>
      </c>
      <c r="AA67" s="320">
        <f>'Reversion Pagos R4'!O180</f>
        <v>0</v>
      </c>
      <c r="AB67" s="294">
        <f t="shared" ref="AB67:AB70" si="27">N67</f>
        <v>0</v>
      </c>
      <c r="AC67" s="320">
        <f>'Reversion Pagos R4'!Q180+'Reversion Pagos R4'!R180</f>
        <v>0</v>
      </c>
      <c r="AD67" s="291">
        <f t="shared" ref="AD67:AD70" si="28">-J67+AE67</f>
        <v>0</v>
      </c>
      <c r="AE67" s="291">
        <f>'Reversion Pagos R4'!D181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0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R4'!P217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6"/>
        <v>0</v>
      </c>
      <c r="AA68" s="320">
        <f>'Reversion Pagos R4'!O217</f>
        <v>0</v>
      </c>
      <c r="AB68" s="294">
        <f t="shared" si="27"/>
        <v>0</v>
      </c>
      <c r="AC68" s="320">
        <f>'Reversion Pagos R4'!Q217+'Reversion Pagos R4'!R217</f>
        <v>0</v>
      </c>
      <c r="AD68" s="291">
        <f t="shared" si="28"/>
        <v>0</v>
      </c>
      <c r="AE68" s="291">
        <f>'Reversion Pagos R4'!D218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0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R4'!P332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6"/>
        <v>0</v>
      </c>
      <c r="AA69" s="320">
        <f>'Reversion Pagos R4'!O332</f>
        <v>0</v>
      </c>
      <c r="AB69" s="294">
        <f t="shared" si="27"/>
        <v>0</v>
      </c>
      <c r="AC69" s="320">
        <f>'Reversion Pagos R4'!Q332+'Reversion Pagos R4'!R332</f>
        <v>0</v>
      </c>
      <c r="AD69" s="291">
        <f t="shared" si="28"/>
        <v>0</v>
      </c>
      <c r="AE69" s="291">
        <f>'Reversion Pagos R4'!D333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R4'!D367</f>
        <v>0</v>
      </c>
      <c r="E70" s="297">
        <f>'Reversion Pagos R4'!E367</f>
        <v>0</v>
      </c>
      <c r="F70" s="297">
        <f>'Reversion Pagos R4'!F367</f>
        <v>0</v>
      </c>
      <c r="G70" s="297">
        <f>'Reversion Pagos R4'!G367</f>
        <v>0</v>
      </c>
      <c r="H70" s="297">
        <f>'Reversion Pagos R4'!H367</f>
        <v>0</v>
      </c>
      <c r="I70" s="297">
        <f>'Reversion Pagos R4'!I367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R4'!P367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R4'!J367</f>
        <v>0</v>
      </c>
      <c r="V70" s="297">
        <f>'Reversion Pagos R4'!K367</f>
        <v>0</v>
      </c>
      <c r="W70" s="297">
        <f>'Reversion Pagos R4'!L367</f>
        <v>0</v>
      </c>
      <c r="X70" s="297">
        <f>'Reversion Pagos R4'!M367</f>
        <v>0</v>
      </c>
      <c r="Y70" s="289">
        <f>'Reversion Pagos R4'!N367</f>
        <v>0</v>
      </c>
      <c r="Z70" s="319">
        <f t="shared" si="26"/>
        <v>0</v>
      </c>
      <c r="AA70" s="320">
        <f>'Reversion Pagos R4'!O367</f>
        <v>0</v>
      </c>
      <c r="AB70" s="294">
        <f t="shared" si="27"/>
        <v>0</v>
      </c>
      <c r="AC70" s="320">
        <f>'Reversion Pagos R4'!Q367+'Reversion Pagos R4'!R367</f>
        <v>0</v>
      </c>
      <c r="AD70" s="291">
        <f t="shared" si="28"/>
        <v>0</v>
      </c>
      <c r="AE70" s="291">
        <f>'Reversion Pagos R4'!D368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92">
        <f t="shared" si="43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-189185988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92">
        <f t="shared" si="43"/>
        <v>0</v>
      </c>
      <c r="K105" s="295">
        <f t="shared" ref="K105:K108" si="45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46">M105+N105</f>
        <v>-266580256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-266580256</v>
      </c>
      <c r="AA105" s="320">
        <f t="shared" si="44"/>
        <v>0</v>
      </c>
      <c r="AB105" s="294">
        <f t="shared" si="44"/>
        <v>0</v>
      </c>
      <c r="AC105" s="320">
        <f t="shared" ref="AC105" si="47">AC10+AC29+AC48+AC67+AC86</f>
        <v>0</v>
      </c>
      <c r="AD105" s="291">
        <f t="shared" ref="AD105:AD106" si="48">-J105+AE105</f>
        <v>0</v>
      </c>
      <c r="AE105" s="291">
        <f>AE10+AE29+AE48+AE67+AE86</f>
        <v>0</v>
      </c>
      <c r="AF105" s="322">
        <f>SUM(U105:AD105)</f>
        <v>-266580256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92">
        <f t="shared" si="43"/>
        <v>0</v>
      </c>
      <c r="K106" s="295">
        <f t="shared" si="45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46"/>
        <v>-154788536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-154788536</v>
      </c>
      <c r="AA106" s="320">
        <f t="shared" si="44"/>
        <v>0</v>
      </c>
      <c r="AB106" s="294">
        <f t="shared" si="44"/>
        <v>0</v>
      </c>
      <c r="AC106" s="320">
        <f t="shared" ref="AC106" si="50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-154788536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92">
        <f t="shared" si="43"/>
        <v>0</v>
      </c>
      <c r="K107" s="295">
        <f t="shared" si="45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-120391083</v>
      </c>
      <c r="AA107" s="320">
        <f>AA12+AA31+AA50+AA69+AA88</f>
        <v>0</v>
      </c>
      <c r="AB107" s="294">
        <f t="shared" si="44"/>
        <v>0</v>
      </c>
      <c r="AC107" s="320">
        <f t="shared" ref="AC107" si="51">AC12+AC31+AC50+AC69+AC88</f>
        <v>0</v>
      </c>
      <c r="AD107" s="291">
        <f t="shared" ref="AD107" si="52">-J107+AE107</f>
        <v>0</v>
      </c>
      <c r="AE107" s="291">
        <f>AE12+AE31+AE50+AE69+AE88</f>
        <v>0</v>
      </c>
      <c r="AF107" s="322">
        <f t="shared" ref="AF107:AF108" si="53">SUM(U107:AD107)</f>
        <v>-120391083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97">
        <f t="shared" si="43"/>
        <v>0</v>
      </c>
      <c r="K108" s="295">
        <f t="shared" si="45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46"/>
        <v>-128990446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-128990446</v>
      </c>
      <c r="AA108" s="320">
        <f t="shared" si="44"/>
        <v>0</v>
      </c>
      <c r="AB108" s="294">
        <f t="shared" si="44"/>
        <v>0</v>
      </c>
      <c r="AC108" s="320">
        <f t="shared" ref="AC108" si="54">AC13+AC32+AC51+AC70+AC89</f>
        <v>0</v>
      </c>
      <c r="AD108" s="291">
        <f>-J108+AE108</f>
        <v>0</v>
      </c>
      <c r="AE108" s="291">
        <f>AE13+AE32+AE51+AE70+AE89</f>
        <v>0</v>
      </c>
      <c r="AF108" s="322">
        <f t="shared" si="53"/>
        <v>-128990446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0</v>
      </c>
      <c r="E109" s="290">
        <f t="shared" ref="E109:O109" si="55">SUM(E104:E108)</f>
        <v>0</v>
      </c>
      <c r="F109" s="290">
        <f t="shared" si="55"/>
        <v>0</v>
      </c>
      <c r="G109" s="290">
        <f t="shared" si="55"/>
        <v>0</v>
      </c>
      <c r="H109" s="290">
        <f t="shared" si="55"/>
        <v>0</v>
      </c>
      <c r="I109" s="290">
        <f t="shared" si="55"/>
        <v>0</v>
      </c>
      <c r="J109" s="290">
        <f t="shared" si="55"/>
        <v>0</v>
      </c>
      <c r="K109" s="300">
        <f t="shared" si="55"/>
        <v>0</v>
      </c>
      <c r="L109" s="301">
        <f t="shared" si="55"/>
        <v>859936309</v>
      </c>
      <c r="M109" s="302">
        <f t="shared" si="55"/>
        <v>-859936309</v>
      </c>
      <c r="N109" s="301">
        <f>SUM(N104:N108)</f>
        <v>0</v>
      </c>
      <c r="O109" s="302">
        <f t="shared" si="55"/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6">SUM(V104:V108)</f>
        <v>0</v>
      </c>
      <c r="W109" s="330">
        <f t="shared" si="56"/>
        <v>0</v>
      </c>
      <c r="X109" s="330">
        <f t="shared" si="56"/>
        <v>0</v>
      </c>
      <c r="Y109" s="330">
        <f t="shared" si="56"/>
        <v>0</v>
      </c>
      <c r="Z109" s="290">
        <f t="shared" si="56"/>
        <v>-859936309</v>
      </c>
      <c r="AA109" s="290">
        <f t="shared" si="56"/>
        <v>0</v>
      </c>
      <c r="AB109" s="290">
        <f t="shared" si="56"/>
        <v>0</v>
      </c>
      <c r="AC109" s="290">
        <f t="shared" si="56"/>
        <v>0</v>
      </c>
      <c r="AD109" s="290">
        <f t="shared" si="56"/>
        <v>0</v>
      </c>
      <c r="AE109" s="290">
        <f>SUM(AE104:AE108)</f>
        <v>0</v>
      </c>
      <c r="AF109" s="331">
        <f t="shared" si="56"/>
        <v>-859936309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7">D67+N67</f>
        <v>0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7"/>
        <v>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7"/>
        <v>0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7"/>
        <v>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8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ENEL'!F21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525">
        <f>D143-E143-F143-G143-J143-H143-I143</f>
        <v>0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525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525">
        <f>D145-E145-F145-G145-J145-H145-I145</f>
        <v>0</v>
      </c>
      <c r="M145" s="1" t="b">
        <f t="shared" si="60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ENEL'!F25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BANCO'!E72)</f>
        <v>0</v>
      </c>
      <c r="J146" s="134">
        <f t="shared" si="59"/>
        <v>0</v>
      </c>
      <c r="K146" s="136">
        <f t="shared" si="59"/>
        <v>0</v>
      </c>
      <c r="L146" s="525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525">
        <f>SUM(L142:L146)</f>
        <v>0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0</v>
      </c>
      <c r="D3" s="292">
        <f>REMUNERACION_ENEL!G125</f>
        <v>0</v>
      </c>
      <c r="E3" s="292">
        <f>REMUNERACION_ENEL!D28+REMUNERACION_ENEL!N28</f>
        <v>0</v>
      </c>
      <c r="F3" s="292">
        <f>REMUNERACION_ENEL!I142</f>
        <v>0</v>
      </c>
      <c r="G3" s="292">
        <f>REMUNERACION_ENEL!H142</f>
        <v>0</v>
      </c>
      <c r="H3" s="340">
        <f>SUM(C3:G3)</f>
        <v>0</v>
      </c>
      <c r="I3" s="291">
        <f>REMUNERACION_ENEL!D104</f>
        <v>0</v>
      </c>
      <c r="J3" s="292">
        <f>REMUNERACION_ENEL!N104</f>
        <v>0</v>
      </c>
      <c r="K3" s="292">
        <f>REMUNERACION_ENEL!D125</f>
        <v>0</v>
      </c>
      <c r="L3" s="353">
        <f>REMUNERACION_ENEL!E125</f>
        <v>0</v>
      </c>
      <c r="M3" s="292">
        <f>-REMUNERACION_ENEL!D66-REMUNERACION_ENEL!N66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0</v>
      </c>
      <c r="D4" s="292">
        <f>REMUNERACION_ENEL!G126</f>
        <v>0</v>
      </c>
      <c r="E4" s="292">
        <f>REMUNERACION_ENEL!D29+REMUNERACION_ENEL!N29</f>
        <v>0</v>
      </c>
      <c r="F4" s="292">
        <f>REMUNERACION_ENEL!I143</f>
        <v>0</v>
      </c>
      <c r="G4" s="292">
        <f>REMUNERACION_ENEL!H143</f>
        <v>0</v>
      </c>
      <c r="H4" s="340">
        <f t="shared" ref="H4:H8" si="1">SUM(C4:G4)</f>
        <v>0</v>
      </c>
      <c r="I4" s="291">
        <f>REMUNERACION_ENEL!D105</f>
        <v>0</v>
      </c>
      <c r="J4" s="292">
        <f>REMUNERACION_ENEL!N105</f>
        <v>0</v>
      </c>
      <c r="K4" s="292">
        <f>REMUNERACION_ENEL!D126</f>
        <v>0</v>
      </c>
      <c r="L4" s="353">
        <f>REMUNERACION_ENEL!E126</f>
        <v>0</v>
      </c>
      <c r="M4" s="292">
        <f>-REMUNERACION_ENEL!D67-REMUNERACION_ENEL!N67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0</v>
      </c>
      <c r="D5" s="292">
        <f>REMUNERACION_ENEL!G127</f>
        <v>0</v>
      </c>
      <c r="E5" s="292">
        <f>REMUNERACION_ENEL!D30+REMUNERACION_ENEL!N30</f>
        <v>0</v>
      </c>
      <c r="F5" s="292">
        <f>REMUNERACION_ENEL!I144</f>
        <v>0</v>
      </c>
      <c r="G5" s="292">
        <f>REMUNERACION_ENEL!H144</f>
        <v>0</v>
      </c>
      <c r="H5" s="340">
        <f t="shared" si="1"/>
        <v>0</v>
      </c>
      <c r="I5" s="291">
        <f>REMUNERACION_ENEL!D106</f>
        <v>0</v>
      </c>
      <c r="J5" s="292">
        <f>REMUNERACION_ENEL!N106</f>
        <v>0</v>
      </c>
      <c r="K5" s="292">
        <f>REMUNERACION_ENEL!D127</f>
        <v>0</v>
      </c>
      <c r="L5" s="353">
        <f>REMUNERACION_ENEL!E127</f>
        <v>0</v>
      </c>
      <c r="M5" s="292">
        <f>-REMUNERACION_ENEL!D68-REMUNERACION_ENEL!N68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0</v>
      </c>
      <c r="D6" s="292">
        <f>REMUNERACION_ENEL!G128</f>
        <v>0</v>
      </c>
      <c r="E6" s="292">
        <f>REMUNERACION_ENEL!D31+REMUNERACION_ENEL!N31</f>
        <v>0</v>
      </c>
      <c r="F6" s="292">
        <f>REMUNERACION_ENEL!I145</f>
        <v>0</v>
      </c>
      <c r="G6" s="292">
        <f>REMUNERACION_ENEL!H145</f>
        <v>0</v>
      </c>
      <c r="H6" s="340">
        <f t="shared" si="1"/>
        <v>0</v>
      </c>
      <c r="I6" s="291">
        <f>REMUNERACION_ENEL!D107</f>
        <v>0</v>
      </c>
      <c r="J6" s="292">
        <f>REMUNERACION_ENEL!N107</f>
        <v>0</v>
      </c>
      <c r="K6" s="292">
        <f>REMUNERACION_ENEL!D128</f>
        <v>0</v>
      </c>
      <c r="L6" s="353">
        <f>REMUNERACION_ENEL!E128</f>
        <v>0</v>
      </c>
      <c r="M6" s="292">
        <f>-REMUNERACION_ENEL!D69-REMUNERACION_ENEL!N69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0</v>
      </c>
      <c r="D7" s="292">
        <f>REMUNERACION_ENEL!G129</f>
        <v>0</v>
      </c>
      <c r="E7" s="292">
        <f>REMUNERACION_ENEL!D32+REMUNERACION_ENEL!N32</f>
        <v>0</v>
      </c>
      <c r="F7" s="292">
        <f>REMUNERACION_ENEL!I146</f>
        <v>0</v>
      </c>
      <c r="G7" s="292">
        <f>REMUNERACION_ENEL!H146</f>
        <v>0</v>
      </c>
      <c r="H7" s="340">
        <f t="shared" si="1"/>
        <v>0</v>
      </c>
      <c r="I7" s="291">
        <f>REMUNERACION_ENEL!D108</f>
        <v>0</v>
      </c>
      <c r="J7" s="292">
        <f>REMUNERACION_ENEL!N108</f>
        <v>0</v>
      </c>
      <c r="K7" s="292">
        <f>REMUNERACION_ENEL!D129</f>
        <v>0</v>
      </c>
      <c r="L7" s="353">
        <f>REMUNERACION_ENEL!E129</f>
        <v>0</v>
      </c>
      <c r="M7" s="292">
        <f>-REMUNERACION_ENEL!D70-REMUNERACION_ENEL!N70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68200068115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46281</v>
      </c>
      <c r="J7" s="2" t="s">
        <v>28</v>
      </c>
      <c r="K7" s="9">
        <f>REMUNERACION_ENEL!K102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46281</v>
      </c>
      <c r="J27" s="2" t="s">
        <v>28</v>
      </c>
      <c r="K27" s="9">
        <f>REMUNERACION_ENEL!K122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0</v>
      </c>
      <c r="E30" s="111">
        <f>REMUNERACION_ENEL!E125</f>
        <v>0</v>
      </c>
      <c r="G30" s="336">
        <f>REMUNERACION_ENEL!G125</f>
        <v>0</v>
      </c>
      <c r="H30" s="310">
        <f>REMUNERACION_ENEL!H125</f>
        <v>0</v>
      </c>
      <c r="I30" s="309">
        <f>REMUNERACION_ENEL!I125</f>
        <v>0</v>
      </c>
      <c r="J30" s="309">
        <f>REMUNERACION_ENEL!J125</f>
        <v>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339">
        <f>REMUNERACION_ENEL!G126</f>
        <v>0</v>
      </c>
      <c r="H31" s="340">
        <f>REMUNERACION_ENEL!H126</f>
        <v>0</v>
      </c>
      <c r="I31" s="288">
        <f>REMUNERACION_ENEL!I126</f>
        <v>0</v>
      </c>
      <c r="J31" s="288">
        <f>REMUNERACION_ENEL!J126</f>
        <v>0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339">
        <f>REMUNERACION_ENEL!G127</f>
        <v>0</v>
      </c>
      <c r="H32" s="340">
        <f>REMUNERACION_ENEL!H127</f>
        <v>0</v>
      </c>
      <c r="I32" s="288">
        <f>REMUNERACION_ENEL!I127</f>
        <v>0</v>
      </c>
      <c r="J32" s="288">
        <f>REMUNERACION_ENEL!J127</f>
        <v>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339">
        <f>REMUNERACION_ENEL!G128</f>
        <v>0</v>
      </c>
      <c r="H33" s="340">
        <f>REMUNERACION_ENEL!H128</f>
        <v>0</v>
      </c>
      <c r="I33" s="288">
        <f>REMUNERACION_ENEL!I128</f>
        <v>0</v>
      </c>
      <c r="J33" s="288">
        <f>REMUNERACION_ENEL!J128</f>
        <v>0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0</v>
      </c>
      <c r="E34" s="139">
        <f>REMUNERACION_ENEL!E129</f>
        <v>0</v>
      </c>
      <c r="G34" s="339">
        <f>REMUNERACION_ENEL!G129</f>
        <v>0</v>
      </c>
      <c r="H34" s="340">
        <f>REMUNERACION_ENEL!H129</f>
        <v>0</v>
      </c>
      <c r="I34" s="288">
        <f>REMUNERACION_ENEL!I129</f>
        <v>0</v>
      </c>
      <c r="J34" s="288">
        <f>REMUNERACION_ENEL!J129</f>
        <v>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0</v>
      </c>
      <c r="E36" s="107">
        <f>REMUNERACION_ENEL!E131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R1'!F90</f>
        <v>0</v>
      </c>
      <c r="E9" s="291">
        <f>'Reporte Componentes R1'!G90</f>
        <v>0</v>
      </c>
      <c r="F9" s="291">
        <f>'Reporte Componentes R1'!H90</f>
        <v>0</v>
      </c>
      <c r="G9" s="291">
        <f>'Reporte Componentes R1'!I90</f>
        <v>0</v>
      </c>
      <c r="H9" s="291">
        <f>'Reporte Componentes R1'!J90</f>
        <v>0</v>
      </c>
      <c r="I9" s="291">
        <f>'Reporte Componentes R1'!K90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R1'!M90</f>
        <v>0</v>
      </c>
      <c r="V9" s="307">
        <f>'Reporte Componentes R1'!N90</f>
        <v>0</v>
      </c>
      <c r="W9" s="307">
        <f>'Reporte Componentes R1'!O90</f>
        <v>0</v>
      </c>
      <c r="X9" s="307">
        <f>'Reporte Componentes R1'!P90</f>
        <v>0</v>
      </c>
      <c r="Y9" s="307">
        <f>'Reporte Componentes R1'!Q90</f>
        <v>0</v>
      </c>
      <c r="Z9" s="319">
        <f>L9*-1</f>
        <v>0</v>
      </c>
      <c r="AA9" s="320">
        <f>'Reporte Componentes R1'!R90+'Reporte Componentes R1'!V235+'Reporte Componentes R1'!U90</f>
        <v>0</v>
      </c>
      <c r="AB9" s="294">
        <f>N9</f>
        <v>0</v>
      </c>
      <c r="AC9" s="320">
        <f>'Reporte Componentes R1'!T90+'Reporte Componentes R1'!W90+'Reporte Componentes R1'!X90+'Reporte Componentes R1'!Y90+'Reporte Componentes R1'!Z90+'Reporte Componentes R1'!S90</f>
        <v>0</v>
      </c>
      <c r="AD9" s="291">
        <f>-J9+AE9</f>
        <v>0</v>
      </c>
      <c r="AE9" s="291">
        <f>'Reporte Componentes R1'!F91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R1'!F269</f>
        <v>0</v>
      </c>
      <c r="E10" s="291">
        <f>'Reporte Componentes R1'!G269</f>
        <v>0</v>
      </c>
      <c r="F10" s="291">
        <f>'Reporte Componentes R1'!H269</f>
        <v>0</v>
      </c>
      <c r="G10" s="291">
        <f>'Reporte Componentes R1'!I269</f>
        <v>0</v>
      </c>
      <c r="H10" s="291">
        <f>'Reporte Componentes R1'!J269</f>
        <v>0</v>
      </c>
      <c r="I10" s="291">
        <f>'Reporte Componentes R1'!K269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R1'!L269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R1'!M269</f>
        <v>0</v>
      </c>
      <c r="V10" s="316">
        <f>'Reporte Componentes R1'!N269</f>
        <v>0</v>
      </c>
      <c r="W10" s="316">
        <f>'Reporte Componentes R1'!O269</f>
        <v>0</v>
      </c>
      <c r="X10" s="316">
        <f>'Reporte Componentes R1'!P269</f>
        <v>0</v>
      </c>
      <c r="Y10" s="316">
        <f>'Reporte Componentes R1'!Q269</f>
        <v>0</v>
      </c>
      <c r="Z10" s="319">
        <f>L10*-1</f>
        <v>0</v>
      </c>
      <c r="AA10" s="320">
        <f>'Reporte Componentes R1'!R269+'Reporte Componentes R1'!V269+'Reporte Componentes R1'!U269</f>
        <v>0</v>
      </c>
      <c r="AB10" s="294">
        <f>N10</f>
        <v>0</v>
      </c>
      <c r="AC10" s="320">
        <f>'Reporte Componentes R1'!T370+'Reporte Componentes R1'!W370+'Reporte Componentes R1'!X370+'Reporte Componentes R1'!Y370+'Reporte Componentes R1'!Z370+'Reporte Componentes R1'!S370</f>
        <v>0</v>
      </c>
      <c r="AD10" s="291">
        <f t="shared" ref="AD10:AD13" si="2">-J10+AE10</f>
        <v>0</v>
      </c>
      <c r="AE10" s="291">
        <f>'Reporte Componentes R1'!F270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R1'!F430</f>
        <v>0</v>
      </c>
      <c r="E11" s="291">
        <f>'Reporte Componentes R1'!G430</f>
        <v>0</v>
      </c>
      <c r="F11" s="291">
        <f>'Reporte Componentes R1'!H430</f>
        <v>0</v>
      </c>
      <c r="G11" s="291">
        <f>'Reporte Componentes R1'!I430</f>
        <v>0</v>
      </c>
      <c r="H11" s="291">
        <f>'Reporte Componentes R1'!J430</f>
        <v>0</v>
      </c>
      <c r="I11" s="291">
        <f>'Reporte Componentes R1'!K430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R1'!M430</f>
        <v>0</v>
      </c>
      <c r="V11" s="316">
        <f>'Reporte Componentes R1'!N430</f>
        <v>0</v>
      </c>
      <c r="W11" s="316">
        <f>'Reporte Componentes R1'!O430</f>
        <v>0</v>
      </c>
      <c r="X11" s="316">
        <f>'Reporte Componentes R1'!P430</f>
        <v>0</v>
      </c>
      <c r="Y11" s="316">
        <f>'Reporte Componentes R1'!Q430</f>
        <v>0</v>
      </c>
      <c r="Z11" s="319">
        <f>L11*-1</f>
        <v>0</v>
      </c>
      <c r="AA11" s="320">
        <f>'Reporte Componentes R1'!R430+'Reporte Componentes R1'!V430+'Reporte Componentes R1'!U430</f>
        <v>0</v>
      </c>
      <c r="AB11" s="294">
        <f>N11</f>
        <v>0</v>
      </c>
      <c r="AC11" s="320">
        <f>'Reporte Componentes R1'!T430+'Reporte Componentes R1'!W430+'Reporte Componentes R1'!X430+'Reporte Componentes R1'!Y430+'Reporte Componentes R1'!Z430+'Reporte Componentes R1'!S430</f>
        <v>0</v>
      </c>
      <c r="AD11" s="291">
        <f t="shared" si="2"/>
        <v>0</v>
      </c>
      <c r="AE11" s="291">
        <f>'Reporte Componentes R1'!F431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R1'!F583</f>
        <v>0</v>
      </c>
      <c r="E12" s="291">
        <f>'Reporte Componentes R1'!G583</f>
        <v>0</v>
      </c>
      <c r="F12" s="291">
        <f>'Reporte Componentes R1'!H583</f>
        <v>0</v>
      </c>
      <c r="G12" s="291">
        <f>'Reporte Componentes R1'!I583</f>
        <v>0</v>
      </c>
      <c r="H12" s="291">
        <f>'Reporte Componentes R1'!J583</f>
        <v>0</v>
      </c>
      <c r="I12" s="291">
        <f>'Reporte Componentes R1'!K583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R1'!M583</f>
        <v>0</v>
      </c>
      <c r="V12" s="316">
        <f>'Reporte Componentes R1'!N583</f>
        <v>0</v>
      </c>
      <c r="W12" s="316">
        <f>'Reporte Componentes R1'!O583</f>
        <v>0</v>
      </c>
      <c r="X12" s="316">
        <f>'Reporte Componentes R1'!P583</f>
        <v>0</v>
      </c>
      <c r="Y12" s="316">
        <f>'Reporte Componentes R1'!Q583</f>
        <v>0</v>
      </c>
      <c r="Z12" s="319">
        <f>L12*-1</f>
        <v>0</v>
      </c>
      <c r="AA12" s="320">
        <f>'Reporte Componentes R1'!R583+'Reporte Componentes R1'!V583+'Reporte Componentes R1'!U583</f>
        <v>0</v>
      </c>
      <c r="AB12" s="294">
        <f>N12</f>
        <v>0</v>
      </c>
      <c r="AC12" s="320">
        <f>'Reporte Componentes R1'!T583+'Reporte Componentes R1'!W583+'Reporte Componentes R1'!X583+'Reporte Componentes R1'!Y583+'Reporte Componentes R1'!Z583+'Reporte Componentes R1'!S583</f>
        <v>0</v>
      </c>
      <c r="AD12" s="291">
        <f t="shared" si="2"/>
        <v>0</v>
      </c>
      <c r="AE12" s="291">
        <f>'Reporte Componentes R1'!F584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R1'!F695</f>
        <v>0</v>
      </c>
      <c r="E13" s="296">
        <f>'Reporte Componentes R1'!G695</f>
        <v>0</v>
      </c>
      <c r="F13" s="296">
        <f>'Reporte Componentes R1'!H695</f>
        <v>0</v>
      </c>
      <c r="G13" s="296">
        <f>'Reporte Componentes R1'!I695</f>
        <v>0</v>
      </c>
      <c r="H13" s="296">
        <f>'Reporte Componentes R1'!J695</f>
        <v>0</v>
      </c>
      <c r="I13" s="296">
        <f>'Reporte Componentes R1'!K695</f>
        <v>0</v>
      </c>
      <c r="J13" s="296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R1'!L695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R1'!M695</f>
        <v>0</v>
      </c>
      <c r="V13" s="296">
        <f>'Reporte Componentes R1'!N695</f>
        <v>0</v>
      </c>
      <c r="W13" s="296">
        <f>'Reporte Componentes R1'!O695</f>
        <v>0</v>
      </c>
      <c r="X13" s="296">
        <f>'Reporte Componentes R1'!P695</f>
        <v>0</v>
      </c>
      <c r="Y13" s="296">
        <f>'Reporte Componentes R1'!Q695</f>
        <v>0</v>
      </c>
      <c r="Z13" s="319">
        <f>L13*-1</f>
        <v>0</v>
      </c>
      <c r="AA13" s="320">
        <f>'Reporte Componentes R1'!R695+'Reporte Componentes R1'!V695+'Reporte Componentes R1'!U695</f>
        <v>0</v>
      </c>
      <c r="AB13" s="294">
        <f>N13</f>
        <v>0</v>
      </c>
      <c r="AC13" s="320">
        <f>'Reporte Componentes R1'!T695+'Reporte Componentes R1'!W695+'Reporte Componentes R1'!X695+'Reporte Componentes R1'!Y695+'Reporte Componentes R1'!Z695+'Reporte Componentes R1'!S695</f>
        <v>0</v>
      </c>
      <c r="AD13" s="291">
        <f t="shared" si="2"/>
        <v>0</v>
      </c>
      <c r="AE13" s="291">
        <f>'Reporte Componentes R1'!F696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R2'!E56</f>
        <v>0</v>
      </c>
      <c r="E28" s="291">
        <f>'Rem. Anticipos R2'!F56</f>
        <v>0</v>
      </c>
      <c r="F28" s="291">
        <f>'Rem. Anticipos R2'!G56</f>
        <v>0</v>
      </c>
      <c r="G28" s="291">
        <f>'Rem. Anticipos R2'!H56</f>
        <v>0</v>
      </c>
      <c r="H28" s="291">
        <f>'Rem. Anticipos R2'!I56</f>
        <v>0</v>
      </c>
      <c r="I28" s="291">
        <f>'Rem. Anticipos R2'!J56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R2'!L56</f>
        <v>0</v>
      </c>
      <c r="V28" s="307">
        <f>'Rem. Anticipos R2'!M56</f>
        <v>0</v>
      </c>
      <c r="W28" s="307">
        <f>'Rem. Anticipos R2'!N56</f>
        <v>0</v>
      </c>
      <c r="X28" s="307">
        <f>'Rem. Anticipos R2'!O56</f>
        <v>0</v>
      </c>
      <c r="Y28" s="307">
        <f>'Rem. Anticipos R2'!P56</f>
        <v>0</v>
      </c>
      <c r="Z28" s="310">
        <f>L28*-1</f>
        <v>0</v>
      </c>
      <c r="AA28" s="311">
        <f>'Rem. Anticipos R2'!Q56</f>
        <v>0</v>
      </c>
      <c r="AB28" s="294">
        <f>N28</f>
        <v>0</v>
      </c>
      <c r="AC28" s="311">
        <f>'Rem. Anticipos R2'!R56</f>
        <v>0</v>
      </c>
      <c r="AD28" s="291">
        <f>-J28+AE28</f>
        <v>0</v>
      </c>
      <c r="AE28" s="291">
        <f>'Rem. Anticipos R2'!E57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R2'!E153</f>
        <v>0</v>
      </c>
      <c r="E29" s="292">
        <f>'Rem. Anticipos R2'!F153</f>
        <v>0</v>
      </c>
      <c r="F29" s="292">
        <f>'Rem. Anticipos R2'!G153</f>
        <v>0</v>
      </c>
      <c r="G29" s="292">
        <f>'Rem. Anticipos R2'!H153</f>
        <v>0</v>
      </c>
      <c r="H29" s="292">
        <f>'Rem. Anticipos R2'!I153</f>
        <v>0</v>
      </c>
      <c r="I29" s="292">
        <f>'Rem. Anticipos R2'!J153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R2'!K153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R2'!L153</f>
        <v>0</v>
      </c>
      <c r="V29" s="317">
        <f>'Rem. Anticipos R2'!M153</f>
        <v>0</v>
      </c>
      <c r="W29" s="317">
        <f>'Rem. Anticipos R2'!N153</f>
        <v>0</v>
      </c>
      <c r="X29" s="317">
        <f>'Rem. Anticipos R2'!O153</f>
        <v>0</v>
      </c>
      <c r="Y29" s="318">
        <f>'Rem. Anticipos R2'!P153</f>
        <v>0</v>
      </c>
      <c r="Z29" s="319">
        <f>L29*-1</f>
        <v>0</v>
      </c>
      <c r="AA29" s="320">
        <f>'Rem. Anticipos R2'!Q153</f>
        <v>0</v>
      </c>
      <c r="AB29" s="294">
        <f>N29</f>
        <v>0</v>
      </c>
      <c r="AC29" s="320">
        <f>'Rem. Anticipos R2'!R153</f>
        <v>0</v>
      </c>
      <c r="AD29" s="291">
        <f>-J29+AE29</f>
        <v>0</v>
      </c>
      <c r="AE29" s="291">
        <f>'Rem. Anticipos R2'!E154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R2'!E271</f>
        <v>0</v>
      </c>
      <c r="E30" s="291">
        <f>'Rem. Anticipos R2'!F271</f>
        <v>0</v>
      </c>
      <c r="F30" s="291">
        <f>'Rem. Anticipos R2'!G271</f>
        <v>0</v>
      </c>
      <c r="G30" s="291">
        <f>'Rem. Anticipos R2'!H271</f>
        <v>0</v>
      </c>
      <c r="H30" s="291">
        <f>'Rem. Anticipos R2'!I271</f>
        <v>0</v>
      </c>
      <c r="I30" s="291">
        <f>'Rem. Anticipos R2'!J271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R2'!K271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R2'!L271</f>
        <v>0</v>
      </c>
      <c r="V30" s="316">
        <f>'Rem. Anticipos R2'!M271</f>
        <v>0</v>
      </c>
      <c r="W30" s="316">
        <f>'Rem. Anticipos R2'!N271</f>
        <v>0</v>
      </c>
      <c r="X30" s="316">
        <f>'Rem. Anticipos R2'!O271</f>
        <v>0</v>
      </c>
      <c r="Y30" s="316">
        <f>'Rem. Anticipos R2'!P271</f>
        <v>0</v>
      </c>
      <c r="Z30" s="319">
        <f>L30*-1</f>
        <v>0</v>
      </c>
      <c r="AA30" s="320">
        <f>'Rem. Anticipos R2'!Q271</f>
        <v>0</v>
      </c>
      <c r="AB30" s="294">
        <f>N30</f>
        <v>0</v>
      </c>
      <c r="AC30" s="320">
        <f>'Rem. Anticipos R2'!R271</f>
        <v>0</v>
      </c>
      <c r="AD30" s="291">
        <f t="shared" ref="AD30:AD32" si="10">-J30+AE30</f>
        <v>0</v>
      </c>
      <c r="AE30" s="291">
        <f>'Rem. Anticipos R2'!E272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R2'!E371</f>
        <v>0</v>
      </c>
      <c r="E31" s="291">
        <f>'Rem. Anticipos R2'!F371</f>
        <v>0</v>
      </c>
      <c r="F31" s="291">
        <f>'Rem. Anticipos R2'!G371</f>
        <v>0</v>
      </c>
      <c r="G31" s="291">
        <f>'Rem. Anticipos R2'!H371</f>
        <v>0</v>
      </c>
      <c r="H31" s="291">
        <f>'Rem. Anticipos R2'!I371</f>
        <v>0</v>
      </c>
      <c r="I31" s="291">
        <f>'Rem. Anticipos R2'!J371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R2'!K371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R2'!L371</f>
        <v>0</v>
      </c>
      <c r="V31" s="316">
        <f>'Rem. Anticipos R2'!M371</f>
        <v>0</v>
      </c>
      <c r="W31" s="316">
        <f>'Rem. Anticipos R2'!N371</f>
        <v>0</v>
      </c>
      <c r="X31" s="316">
        <f>'Rem. Anticipos R2'!O371</f>
        <v>0</v>
      </c>
      <c r="Y31" s="316">
        <f>'Rem. Anticipos R2'!P371</f>
        <v>0</v>
      </c>
      <c r="Z31" s="319">
        <f>L31*-1</f>
        <v>0</v>
      </c>
      <c r="AA31" s="320">
        <f>'Rem. Anticipos R2'!Q371</f>
        <v>0</v>
      </c>
      <c r="AB31" s="294">
        <f>N31</f>
        <v>0</v>
      </c>
      <c r="AC31" s="320">
        <f>'Rem. Anticipos R2'!R371</f>
        <v>0</v>
      </c>
      <c r="AD31" s="291">
        <f t="shared" si="10"/>
        <v>0</v>
      </c>
      <c r="AE31" s="291">
        <f>'Rem. Anticipos R2'!E372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R2'!E455</f>
        <v>0</v>
      </c>
      <c r="E32" s="296">
        <f>'Rem. Anticipos R2'!F455</f>
        <v>0</v>
      </c>
      <c r="F32" s="296">
        <f>'Rem. Anticipos R2'!G455</f>
        <v>0</v>
      </c>
      <c r="G32" s="296">
        <f>'Rem. Anticipos R2'!H455</f>
        <v>0</v>
      </c>
      <c r="H32" s="296">
        <f>'Rem. Anticipos R2'!I455</f>
        <v>0</v>
      </c>
      <c r="I32" s="296">
        <f>'Rem. Anticipos R2'!J455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R2'!K455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R2'!L455</f>
        <v>0</v>
      </c>
      <c r="V32" s="297">
        <f>'Rem. Anticipos R2'!M455</f>
        <v>0</v>
      </c>
      <c r="W32" s="297">
        <f>'Rem. Anticipos R2'!N455</f>
        <v>0</v>
      </c>
      <c r="X32" s="297">
        <f>'Rem. Anticipos R2'!O455</f>
        <v>0</v>
      </c>
      <c r="Y32" s="289">
        <f>'Rem. Anticipos R2'!P455</f>
        <v>0</v>
      </c>
      <c r="Z32" s="319">
        <f>L32*-1</f>
        <v>0</v>
      </c>
      <c r="AA32" s="320">
        <f>'Rem. Anticipos R2'!Q455</f>
        <v>0</v>
      </c>
      <c r="AB32" s="294">
        <f>N32</f>
        <v>0</v>
      </c>
      <c r="AC32" s="320">
        <f>'Rem. Anticipos R2'!R455</f>
        <v>0</v>
      </c>
      <c r="AD32" s="291">
        <f t="shared" si="10"/>
        <v>0</v>
      </c>
      <c r="AE32" s="291">
        <f>'Rem. Anticipos R2'!E456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R1'!F92</f>
        <v>0</v>
      </c>
      <c r="E47" s="291">
        <f>'Reporte Componentes R1'!G92</f>
        <v>0</v>
      </c>
      <c r="F47" s="291">
        <f>'Reporte Componentes R1'!H92</f>
        <v>0</v>
      </c>
      <c r="G47" s="291">
        <f>'Reporte Componentes R1'!I92</f>
        <v>0</v>
      </c>
      <c r="H47" s="291">
        <f>'Reporte Componentes R1'!J92</f>
        <v>0</v>
      </c>
      <c r="I47" s="291">
        <f>'Reporte Componentes R1'!K92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R1'!M92</f>
        <v>0</v>
      </c>
      <c r="V47" s="307">
        <f>'Reporte Componentes R1'!N92</f>
        <v>0</v>
      </c>
      <c r="W47" s="307">
        <f>'Reporte Componentes R1'!O92</f>
        <v>0</v>
      </c>
      <c r="X47" s="307">
        <f>'Reporte Componentes R1'!P92</f>
        <v>0</v>
      </c>
      <c r="Y47" s="307">
        <f>'Reporte Componentes R1'!Q92</f>
        <v>0</v>
      </c>
      <c r="Z47" s="310">
        <f>-L47</f>
        <v>0</v>
      </c>
      <c r="AA47" s="320">
        <f>'Reporte Componentes R1'!R92+'Reporte Componentes R1'!V92+'Reporte Componentes R1'!U92</f>
        <v>0</v>
      </c>
      <c r="AB47" s="294">
        <f>N47</f>
        <v>0</v>
      </c>
      <c r="AC47" s="311">
        <f>'Reporte Componentes R1'!T92+'Reporte Componentes R1'!W92+'Reporte Componentes R1'!X92+'Reporte Componentes R1'!Y92+'Reporte Componentes R1'!Z92+'Reporte Componentes R1'!S92</f>
        <v>0</v>
      </c>
      <c r="AD47" s="291">
        <f>-J47+AE47</f>
        <v>0</v>
      </c>
      <c r="AE47" s="291">
        <f>'Reporte Componentes R1'!F93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R1'!F271</f>
        <v>0</v>
      </c>
      <c r="E48" s="291">
        <f>'Reporte Componentes R1'!G271</f>
        <v>0</v>
      </c>
      <c r="F48" s="291">
        <f>'Reporte Componentes R1'!H271</f>
        <v>0</v>
      </c>
      <c r="G48" s="291">
        <f>'Reporte Componentes R1'!I271</f>
        <v>0</v>
      </c>
      <c r="H48" s="291">
        <f>'Reporte Componentes R1'!J271</f>
        <v>0</v>
      </c>
      <c r="I48" s="291">
        <f>'Reporte Componentes R1'!K271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R1'!M271</f>
        <v>0</v>
      </c>
      <c r="V48" s="316">
        <f>'Reporte Componentes R1'!N271</f>
        <v>0</v>
      </c>
      <c r="W48" s="316">
        <f>'Reporte Componentes R1'!O271</f>
        <v>0</v>
      </c>
      <c r="X48" s="316">
        <f>'Reporte Componentes R1'!P271</f>
        <v>0</v>
      </c>
      <c r="Y48" s="316">
        <f>'Reporte Componentes R1'!Q271</f>
        <v>0</v>
      </c>
      <c r="Z48" s="319">
        <f>-L48</f>
        <v>0</v>
      </c>
      <c r="AA48" s="320">
        <f>'Reporte Componentes R1'!R271+'Reporte Componentes R1'!V271+'Reporte Componentes R1'!U271</f>
        <v>0</v>
      </c>
      <c r="AB48" s="294">
        <f>N48</f>
        <v>0</v>
      </c>
      <c r="AC48" s="320">
        <f>'Reporte Componentes R1'!T271+'Reporte Componentes R1'!W271+'Reporte Componentes R1'!X271+'Reporte Componentes R1'!Y271+'Reporte Componentes R1'!Z271+'Reporte Componentes R1'!S271</f>
        <v>0</v>
      </c>
      <c r="AD48" s="291">
        <f t="shared" ref="AD48:AD51" si="16">-J48+AE48</f>
        <v>0</v>
      </c>
      <c r="AE48" s="291">
        <f>'Reporte Componentes R1'!F272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R1'!F432</f>
        <v>0</v>
      </c>
      <c r="E49" s="291">
        <f>'Reporte Componentes R1'!G432</f>
        <v>0</v>
      </c>
      <c r="F49" s="291">
        <f>'Reporte Componentes R1'!H432</f>
        <v>0</v>
      </c>
      <c r="G49" s="291">
        <f>'Reporte Componentes R1'!I432</f>
        <v>0</v>
      </c>
      <c r="H49" s="291">
        <f>'Reporte Componentes R1'!J432</f>
        <v>0</v>
      </c>
      <c r="I49" s="291">
        <f>'Reporte Componentes R1'!K432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R1'!M432</f>
        <v>0</v>
      </c>
      <c r="V49" s="316">
        <f>'Reporte Componentes R1'!N432</f>
        <v>0</v>
      </c>
      <c r="W49" s="316">
        <f>'Reporte Componentes R1'!O432</f>
        <v>0</v>
      </c>
      <c r="X49" s="316">
        <f>'Reporte Componentes R1'!P432</f>
        <v>0</v>
      </c>
      <c r="Y49" s="316">
        <f>'Reporte Componentes R1'!Q432</f>
        <v>0</v>
      </c>
      <c r="Z49" s="319">
        <f>-L49</f>
        <v>0</v>
      </c>
      <c r="AA49" s="320">
        <f>'Reporte Componentes R1'!R432+'Reporte Componentes R1'!V432+'Reporte Componentes R1'!U432</f>
        <v>0</v>
      </c>
      <c r="AB49" s="294">
        <f>N49</f>
        <v>0</v>
      </c>
      <c r="AC49" s="320">
        <f>'Reporte Componentes R1'!T432+'Reporte Componentes R1'!W432+'Reporte Componentes R1'!X432+'Reporte Componentes R1'!Y432+'Reporte Componentes R1'!Z432+'Reporte Componentes R1'!S432</f>
        <v>0</v>
      </c>
      <c r="AD49" s="291">
        <f t="shared" si="16"/>
        <v>0</v>
      </c>
      <c r="AE49" s="291">
        <f>'Reporte Componentes R1'!F433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R1'!F585</f>
        <v>0</v>
      </c>
      <c r="E50" s="291">
        <f>'Reporte Componentes R1'!G585</f>
        <v>0</v>
      </c>
      <c r="F50" s="291">
        <f>'Reporte Componentes R1'!H585</f>
        <v>0</v>
      </c>
      <c r="G50" s="291">
        <f>'Reporte Componentes R1'!I585</f>
        <v>0</v>
      </c>
      <c r="H50" s="291">
        <f>'Reporte Componentes R1'!J585</f>
        <v>0</v>
      </c>
      <c r="I50" s="291">
        <f>'Reporte Componentes R1'!K585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R1'!L585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R1'!M585</f>
        <v>0</v>
      </c>
      <c r="V50" s="316">
        <f>'Reporte Componentes R1'!N585</f>
        <v>0</v>
      </c>
      <c r="W50" s="316">
        <f>'Reporte Componentes R1'!O585</f>
        <v>0</v>
      </c>
      <c r="X50" s="316">
        <f>'Reporte Componentes R1'!P585</f>
        <v>0</v>
      </c>
      <c r="Y50" s="316">
        <f>'Reporte Componentes R1'!Q585</f>
        <v>0</v>
      </c>
      <c r="Z50" s="319">
        <f>-L50</f>
        <v>0</v>
      </c>
      <c r="AA50" s="320">
        <f>'Reporte Componentes R1'!R585+'Reporte Componentes R1'!V585+'Reporte Componentes R1'!U585</f>
        <v>0</v>
      </c>
      <c r="AB50" s="294">
        <f>N50</f>
        <v>0</v>
      </c>
      <c r="AC50" s="320">
        <f>'Reporte Componentes R1'!T585+'Reporte Componentes R1'!W585+'Reporte Componentes R1'!X585+'Reporte Componentes R1'!Y585+'Reporte Componentes R1'!Z585+'Reporte Componentes R1'!S585</f>
        <v>0</v>
      </c>
      <c r="AD50" s="291">
        <f t="shared" si="16"/>
        <v>0</v>
      </c>
      <c r="AE50" s="291">
        <f>'Reporte Componentes R1'!F586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R1'!F697</f>
        <v>0</v>
      </c>
      <c r="E51" s="296">
        <f>'Reporte Componentes R1'!G697</f>
        <v>0</v>
      </c>
      <c r="F51" s="296">
        <f>'Reporte Componentes R1'!H697</f>
        <v>0</v>
      </c>
      <c r="G51" s="296">
        <f>'Reporte Componentes R1'!I697</f>
        <v>0</v>
      </c>
      <c r="H51" s="296">
        <f>'Reporte Componentes R1'!J697</f>
        <v>0</v>
      </c>
      <c r="I51" s="296">
        <f>'Reporte Componentes R1'!K697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R1'!L697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R1'!M697</f>
        <v>0</v>
      </c>
      <c r="V51" s="296">
        <f>'Reporte Componentes R1'!N697</f>
        <v>0</v>
      </c>
      <c r="W51" s="296">
        <f>'Reporte Componentes R1'!O697</f>
        <v>0</v>
      </c>
      <c r="X51" s="296">
        <f>'Reporte Componentes R1'!P697</f>
        <v>0</v>
      </c>
      <c r="Y51" s="289">
        <f>'Reporte Componentes R1'!Q697</f>
        <v>0</v>
      </c>
      <c r="Z51" s="319">
        <f>-L51</f>
        <v>0</v>
      </c>
      <c r="AA51" s="320">
        <f>'Reporte Componentes R1'!R697+'Reporte Componentes R1'!V697+'Reporte Componentes R1'!U697</f>
        <v>0</v>
      </c>
      <c r="AB51" s="294">
        <f>N51</f>
        <v>0</v>
      </c>
      <c r="AC51" s="320">
        <f>'Reporte Componentes R1'!T697+'Reporte Componentes R1'!W697+'Reporte Componentes R1'!X697+'Reporte Componentes R1'!Y697+'Reporte Componentes R1'!Z697+'Reporte Componentes R1'!S697</f>
        <v>0</v>
      </c>
      <c r="AD51" s="291">
        <f t="shared" si="16"/>
        <v>0</v>
      </c>
      <c r="AE51" s="291">
        <f>'Reporte Componentes R1'!F698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1">
        <f>'Reversion Pagos R4'!E82</f>
        <v>0</v>
      </c>
      <c r="F66" s="291">
        <f>'Reversion Pagos R4'!F82</f>
        <v>0</v>
      </c>
      <c r="G66" s="291">
        <f>'Reversion Pagos R4'!G82</f>
        <v>0</v>
      </c>
      <c r="H66" s="291">
        <f>'Reversion Pagos R4'!H82</f>
        <v>0</v>
      </c>
      <c r="I66" s="291">
        <f>'Reversion Pagos R4'!I82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7">
        <f>'Reversion Pagos R4'!K82</f>
        <v>0</v>
      </c>
      <c r="W66" s="307">
        <f>'Reversion Pagos R4'!L82</f>
        <v>0</v>
      </c>
      <c r="X66" s="307">
        <f>'Reversion Pagos R4'!M82</f>
        <v>0</v>
      </c>
      <c r="Y66" s="307">
        <f>'Reversion Pagos R4'!N82</f>
        <v>0</v>
      </c>
      <c r="Z66" s="310">
        <f>-L66</f>
        <v>0</v>
      </c>
      <c r="AA66" s="311">
        <f>+'Reversion Pagos R4'!O82</f>
        <v>0</v>
      </c>
      <c r="AB66" s="294">
        <f>N66</f>
        <v>0</v>
      </c>
      <c r="AC66" s="311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1">
        <f>'Reversion Pagos R4'!E183</f>
        <v>0</v>
      </c>
      <c r="F67" s="291">
        <f>'Reversion Pagos R4'!F183</f>
        <v>0</v>
      </c>
      <c r="G67" s="291">
        <f>'Reversion Pagos R4'!G183</f>
        <v>0</v>
      </c>
      <c r="H67" s="291">
        <f>'Reversion Pagos R4'!H183</f>
        <v>0</v>
      </c>
      <c r="I67" s="291">
        <f>'Reversion Pagos R4'!I183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6">
        <f>'Reversion Pagos R4'!K183</f>
        <v>0</v>
      </c>
      <c r="W67" s="316">
        <f>'Reversion Pagos R4'!L183</f>
        <v>0</v>
      </c>
      <c r="X67" s="316">
        <f>'Reversion Pagos R4'!M183</f>
        <v>0</v>
      </c>
      <c r="Y67" s="316">
        <f>'Reversion Pagos R4'!N183</f>
        <v>0</v>
      </c>
      <c r="Z67" s="319">
        <f t="shared" ref="Z67:Z70" si="25">-L67</f>
        <v>0</v>
      </c>
      <c r="AA67" s="320">
        <f>'Reversion Pagos R4'!O183</f>
        <v>0</v>
      </c>
      <c r="AB67" s="294">
        <f t="shared" ref="AB67:AB70" si="26">N67</f>
        <v>0</v>
      </c>
      <c r="AC67" s="320">
        <f>'Reversion Pagos R4'!Q183+'Reversion Pagos R4'!R183</f>
        <v>0</v>
      </c>
      <c r="AD67" s="291">
        <f t="shared" ref="AD67:AD70" si="27">-J67+AE67</f>
        <v>0</v>
      </c>
      <c r="AE67" s="291">
        <f>'Reversion Pagos R4'!D184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1">
        <f>'Reversion Pagos R4'!E220</f>
        <v>0</v>
      </c>
      <c r="F68" s="291">
        <f>'Reversion Pagos R4'!F220</f>
        <v>0</v>
      </c>
      <c r="G68" s="291">
        <f>'Reversion Pagos R4'!G220</f>
        <v>0</v>
      </c>
      <c r="H68" s="291">
        <f>'Reversion Pagos R4'!H220</f>
        <v>0</v>
      </c>
      <c r="I68" s="291">
        <f>'Reversion Pagos R4'!I220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6">
        <f>'Reversion Pagos R4'!K220</f>
        <v>0</v>
      </c>
      <c r="W68" s="316">
        <f>'Reversion Pagos R4'!L220</f>
        <v>0</v>
      </c>
      <c r="X68" s="316">
        <f>'Reversion Pagos R4'!M220</f>
        <v>0</v>
      </c>
      <c r="Y68" s="316">
        <f>'Reversion Pagos R4'!N220</f>
        <v>0</v>
      </c>
      <c r="Z68" s="319">
        <f t="shared" si="25"/>
        <v>0</v>
      </c>
      <c r="AA68" s="320">
        <f>'Reversion Pagos R4'!O220</f>
        <v>0</v>
      </c>
      <c r="AB68" s="294">
        <f t="shared" si="26"/>
        <v>0</v>
      </c>
      <c r="AC68" s="320">
        <f>'Reversion Pagos R4'!Q220+'Reversion Pagos R4'!R220</f>
        <v>0</v>
      </c>
      <c r="AD68" s="291">
        <f t="shared" si="27"/>
        <v>0</v>
      </c>
      <c r="AE68" s="291">
        <f>'Reversion Pagos R4'!D221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0</v>
      </c>
      <c r="E69" s="291">
        <f>'Reversion Pagos R4'!E335</f>
        <v>0</v>
      </c>
      <c r="F69" s="291">
        <f>'Reversion Pagos R4'!F335</f>
        <v>0</v>
      </c>
      <c r="G69" s="291">
        <f>'Reversion Pagos R4'!G335</f>
        <v>0</v>
      </c>
      <c r="H69" s="291">
        <f>'Reversion Pagos R4'!H335</f>
        <v>0</v>
      </c>
      <c r="I69" s="291">
        <f>'Reversion Pagos R4'!I335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6">
        <f>'Reversion Pagos R4'!K335</f>
        <v>0</v>
      </c>
      <c r="W69" s="316">
        <f>'Reversion Pagos R4'!L335</f>
        <v>0</v>
      </c>
      <c r="X69" s="316">
        <f>'Reversion Pagos R4'!M335</f>
        <v>0</v>
      </c>
      <c r="Y69" s="316">
        <f>'Reversion Pagos R4'!N335</f>
        <v>0</v>
      </c>
      <c r="Z69" s="319">
        <f t="shared" si="25"/>
        <v>0</v>
      </c>
      <c r="AA69" s="320">
        <f>'Reversion Pagos R4'!O335</f>
        <v>0</v>
      </c>
      <c r="AB69" s="294">
        <f t="shared" si="26"/>
        <v>0</v>
      </c>
      <c r="AC69" s="320">
        <f>'Reversion Pagos R4'!Q335+'Reversion Pagos R4'!R335</f>
        <v>0</v>
      </c>
      <c r="AD69" s="291">
        <f t="shared" si="27"/>
        <v>0</v>
      </c>
      <c r="AE69" s="291">
        <f>'Reversion Pagos R4'!D336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R4'!D370</f>
        <v>0</v>
      </c>
      <c r="E70" s="296">
        <f>'Reversion Pagos R4'!E370</f>
        <v>0</v>
      </c>
      <c r="F70" s="296">
        <f>'Reversion Pagos R4'!F370</f>
        <v>0</v>
      </c>
      <c r="G70" s="296">
        <f>'Reversion Pagos R4'!G370</f>
        <v>0</v>
      </c>
      <c r="H70" s="296">
        <f>'Reversion Pagos R4'!H370</f>
        <v>0</v>
      </c>
      <c r="I70" s="296">
        <f>'Reversion Pagos R4'!I370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R4'!P370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R4'!J370</f>
        <v>0</v>
      </c>
      <c r="V70" s="296">
        <f>'Reversion Pagos R4'!K370</f>
        <v>0</v>
      </c>
      <c r="W70" s="296">
        <f>'Reversion Pagos R4'!L370</f>
        <v>0</v>
      </c>
      <c r="X70" s="296">
        <f>'Reversion Pagos R4'!M370</f>
        <v>0</v>
      </c>
      <c r="Y70" s="296">
        <f>'Reversion Pagos R4'!N370</f>
        <v>0</v>
      </c>
      <c r="Z70" s="319">
        <f t="shared" si="25"/>
        <v>0</v>
      </c>
      <c r="AA70" s="320">
        <f>'Reversion Pagos R4'!O370</f>
        <v>0</v>
      </c>
      <c r="AB70" s="294">
        <f t="shared" si="26"/>
        <v>0</v>
      </c>
      <c r="AC70" s="320">
        <f>'Reversion Pagos R4'!Q370+'Reversion Pagos R4'!R370</f>
        <v>0</v>
      </c>
      <c r="AD70" s="291">
        <f t="shared" si="27"/>
        <v>0</v>
      </c>
      <c r="AE70" s="291">
        <f>'Reversion Pagos R4'!D371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97">
        <f t="shared" si="40"/>
        <v>0</v>
      </c>
      <c r="K108" s="295">
        <f t="shared" si="42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3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0">
        <f t="shared" si="41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0</v>
      </c>
      <c r="E109" s="290">
        <f t="shared" si="46"/>
        <v>0</v>
      </c>
      <c r="F109" s="290">
        <f t="shared" si="46"/>
        <v>0</v>
      </c>
      <c r="G109" s="290">
        <f t="shared" si="46"/>
        <v>0</v>
      </c>
      <c r="H109" s="290">
        <f t="shared" si="46"/>
        <v>0</v>
      </c>
      <c r="I109" s="290">
        <f t="shared" si="46"/>
        <v>0</v>
      </c>
      <c r="J109" s="290">
        <f t="shared" si="46"/>
        <v>0</v>
      </c>
      <c r="K109" s="300">
        <f t="shared" si="46"/>
        <v>0</v>
      </c>
      <c r="L109" s="301">
        <f t="shared" si="46"/>
        <v>0</v>
      </c>
      <c r="M109" s="302">
        <f t="shared" si="46"/>
        <v>0</v>
      </c>
      <c r="N109" s="301">
        <f t="shared" si="46"/>
        <v>0</v>
      </c>
      <c r="O109" s="302">
        <f t="shared" si="46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47">SUM(V104:V108)</f>
        <v>0</v>
      </c>
      <c r="W109" s="330">
        <f t="shared" si="47"/>
        <v>0</v>
      </c>
      <c r="X109" s="330">
        <f t="shared" si="47"/>
        <v>0</v>
      </c>
      <c r="Y109" s="330">
        <f t="shared" si="47"/>
        <v>0</v>
      </c>
      <c r="Z109" s="290">
        <f t="shared" si="47"/>
        <v>0</v>
      </c>
      <c r="AA109" s="290">
        <f t="shared" si="47"/>
        <v>0</v>
      </c>
      <c r="AB109" s="290">
        <f t="shared" si="47"/>
        <v>0</v>
      </c>
      <c r="AC109" s="290">
        <f t="shared" si="47"/>
        <v>0</v>
      </c>
      <c r="AD109" s="290">
        <f t="shared" si="47"/>
        <v>0</v>
      </c>
      <c r="AE109" s="290">
        <f>SUM(AE104:AE108)</f>
        <v>0</v>
      </c>
      <c r="AF109" s="331">
        <f t="shared" si="47"/>
        <v>0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0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0</v>
      </c>
      <c r="I7" s="291">
        <f>REMUNERACION_ENERBIT!D108</f>
        <v>0</v>
      </c>
      <c r="J7" s="292">
        <f>REMUNERACION_ENERBIT!N108</f>
        <v>0</v>
      </c>
      <c r="K7" s="292">
        <f>REMUNERACION_ENERBIT!D129</f>
        <v>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38870386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46281</v>
      </c>
      <c r="J7" s="2" t="s">
        <v>28</v>
      </c>
      <c r="K7" s="9">
        <f>REMUNERACION_ENERBIT!K102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46281</v>
      </c>
      <c r="J27" s="2" t="s">
        <v>28</v>
      </c>
      <c r="K27" s="9">
        <f>REMUNERACION_ENERBIT!K122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R1'!F95</f>
        <v>0</v>
      </c>
      <c r="E9" s="292">
        <f>'Reporte Componentes R1'!G95</f>
        <v>0</v>
      </c>
      <c r="F9" s="292">
        <f>'Reporte Componentes R1'!H95</f>
        <v>0</v>
      </c>
      <c r="G9" s="292">
        <f>'Reporte Componentes R1'!I95</f>
        <v>0</v>
      </c>
      <c r="H9" s="292">
        <f>'Reporte Componentes R1'!J95</f>
        <v>0</v>
      </c>
      <c r="I9" s="292">
        <f>'Reporte Componentes R1'!K95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R1'!M95</f>
        <v>0</v>
      </c>
      <c r="V9" s="308">
        <f>'Reporte Componentes R1'!N95</f>
        <v>0</v>
      </c>
      <c r="W9" s="308">
        <f>'Reporte Componentes R1'!O95</f>
        <v>0</v>
      </c>
      <c r="X9" s="308">
        <f>'Reporte Componentes R1'!P95</f>
        <v>0</v>
      </c>
      <c r="Y9" s="309">
        <f>'Reporte Componentes R1'!Q95</f>
        <v>0</v>
      </c>
      <c r="Z9" s="310">
        <f>L9*-1</f>
        <v>0</v>
      </c>
      <c r="AA9" s="311">
        <f>'Reporte Componentes R1'!R95+'Reporte Componentes R1'!V95+'Reporte Componentes R1'!U95</f>
        <v>0</v>
      </c>
      <c r="AB9" s="294">
        <f>N9</f>
        <v>0</v>
      </c>
      <c r="AC9" s="311">
        <f>'Reporte Componentes R1'!T95+'Reporte Componentes R1'!W95+'Reporte Componentes R1'!X95+'Reporte Componentes R1'!Y95+'Reporte Componentes R1'!Z95+'Reporte Componentes R1'!S95</f>
        <v>0</v>
      </c>
      <c r="AD9" s="291">
        <f>-J9+AE9</f>
        <v>0</v>
      </c>
      <c r="AE9" s="291">
        <f>'Reporte Componentes R1'!F96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R1'!F274</f>
        <v>0</v>
      </c>
      <c r="E10" s="292">
        <f>'Reporte Componentes R1'!G274</f>
        <v>0</v>
      </c>
      <c r="F10" s="292">
        <f>'Reporte Componentes R1'!H274</f>
        <v>0</v>
      </c>
      <c r="G10" s="292">
        <f>'Reporte Componentes R1'!I274</f>
        <v>0</v>
      </c>
      <c r="H10" s="292">
        <f>'Reporte Componentes R1'!J274</f>
        <v>0</v>
      </c>
      <c r="I10" s="292">
        <f>'Reporte Componentes R1'!K274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R1'!L274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R1'!M274</f>
        <v>0</v>
      </c>
      <c r="V10" s="317">
        <f>'Reporte Componentes R1'!N274</f>
        <v>0</v>
      </c>
      <c r="W10" s="317">
        <f>'Reporte Componentes R1'!O274</f>
        <v>0</v>
      </c>
      <c r="X10" s="317">
        <f>'Reporte Componentes R1'!P274</f>
        <v>0</v>
      </c>
      <c r="Y10" s="318">
        <f>'Reporte Componentes R1'!Q274</f>
        <v>0</v>
      </c>
      <c r="Z10" s="319">
        <f>L10*-1</f>
        <v>0</v>
      </c>
      <c r="AA10" s="320">
        <f>'Reporte Componentes R1'!R274+'Reporte Componentes R1'!V274+'Reporte Componentes R1'!U274</f>
        <v>0</v>
      </c>
      <c r="AB10" s="294">
        <f>N10</f>
        <v>0</v>
      </c>
      <c r="AC10" s="320">
        <f>'Reporte Componentes R1'!T274+'Reporte Componentes R1'!W274+'Reporte Componentes R1'!X274+'Reporte Componentes R1'!Y274+'Reporte Componentes R1'!Z274+'Reporte Componentes R1'!S274</f>
        <v>0</v>
      </c>
      <c r="AD10" s="291">
        <f t="shared" ref="AD10:AD13" si="2">-J10+AE10</f>
        <v>0</v>
      </c>
      <c r="AE10" s="291">
        <f>'Reporte Componentes R1'!F275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R1'!F435</f>
        <v>0</v>
      </c>
      <c r="E11" s="292">
        <f>'Reporte Componentes R1'!G435</f>
        <v>0</v>
      </c>
      <c r="F11" s="292">
        <f>'Reporte Componentes R1'!H435</f>
        <v>0</v>
      </c>
      <c r="G11" s="292">
        <f>'Reporte Componentes R1'!I435</f>
        <v>0</v>
      </c>
      <c r="H11" s="292">
        <f>'Reporte Componentes R1'!J435</f>
        <v>0</v>
      </c>
      <c r="I11" s="292">
        <f>'Reporte Componentes R1'!K435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R1'!L435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R1'!M435</f>
        <v>0</v>
      </c>
      <c r="V11" s="317">
        <f>'Reporte Componentes R1'!N435</f>
        <v>0</v>
      </c>
      <c r="W11" s="317">
        <f>'Reporte Componentes R1'!O435</f>
        <v>0</v>
      </c>
      <c r="X11" s="317">
        <f>'Reporte Componentes R1'!P435</f>
        <v>0</v>
      </c>
      <c r="Y11" s="318">
        <f>'Reporte Componentes R1'!Q435</f>
        <v>0</v>
      </c>
      <c r="Z11" s="319">
        <f>L11*-1</f>
        <v>0</v>
      </c>
      <c r="AA11" s="320">
        <f>'Reporte Componentes R1'!R435+'Reporte Componentes R1'!V435+'Reporte Componentes R1'!U435</f>
        <v>0</v>
      </c>
      <c r="AB11" s="294">
        <f>N11</f>
        <v>0</v>
      </c>
      <c r="AC11" s="320">
        <f>'Reporte Componentes R1'!T435+'Reporte Componentes R1'!W435+'Reporte Componentes R1'!X435+'Reporte Componentes R1'!Y435+'Reporte Componentes R1'!Z435+'Reporte Componentes R1'!S435</f>
        <v>0</v>
      </c>
      <c r="AD11" s="291">
        <f t="shared" si="2"/>
        <v>0</v>
      </c>
      <c r="AE11" s="291">
        <f>'Reporte Componentes R1'!F436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R1'!F588</f>
        <v>0</v>
      </c>
      <c r="E12" s="292">
        <f>'Reporte Componentes R1'!G588</f>
        <v>0</v>
      </c>
      <c r="F12" s="292">
        <f>'Reporte Componentes R1'!H588</f>
        <v>0</v>
      </c>
      <c r="G12" s="292">
        <f>'Reporte Componentes R1'!I588</f>
        <v>0</v>
      </c>
      <c r="H12" s="292">
        <f>'Reporte Componentes R1'!J588</f>
        <v>0</v>
      </c>
      <c r="I12" s="292">
        <f>'Reporte Componentes R1'!K588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R1'!L588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R1'!M588</f>
        <v>0</v>
      </c>
      <c r="V12" s="317">
        <f>'Reporte Componentes R1'!N588</f>
        <v>0</v>
      </c>
      <c r="W12" s="317">
        <f>'Reporte Componentes R1'!O588</f>
        <v>0</v>
      </c>
      <c r="X12" s="317">
        <f>'Reporte Componentes R1'!P588</f>
        <v>0</v>
      </c>
      <c r="Y12" s="318">
        <f>'Reporte Componentes R1'!Q588</f>
        <v>0</v>
      </c>
      <c r="Z12" s="319">
        <f>L12*-1</f>
        <v>0</v>
      </c>
      <c r="AA12" s="320">
        <f>'Reporte Componentes R1'!R588+'Reporte Componentes R1'!V588+'Reporte Componentes R1'!U588</f>
        <v>0</v>
      </c>
      <c r="AB12" s="294">
        <f>N12</f>
        <v>0</v>
      </c>
      <c r="AC12" s="320">
        <f>'Reporte Componentes R1'!T588+'Reporte Componentes R1'!W588+'Reporte Componentes R1'!X588+'Reporte Componentes R1'!Y588+'Reporte Componentes R1'!Z588+'Reporte Componentes R1'!S588</f>
        <v>0</v>
      </c>
      <c r="AD12" s="291">
        <f t="shared" si="2"/>
        <v>0</v>
      </c>
      <c r="AE12" s="291">
        <f>'Reporte Componentes R1'!F589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R1'!F700</f>
        <v>0</v>
      </c>
      <c r="E13" s="297">
        <f>'Reporte Componentes R1'!G700</f>
        <v>0</v>
      </c>
      <c r="F13" s="297">
        <f>'Reporte Componentes R1'!H700</f>
        <v>0</v>
      </c>
      <c r="G13" s="297">
        <f>'Reporte Componentes R1'!I700</f>
        <v>0</v>
      </c>
      <c r="H13" s="297">
        <f>'Reporte Componentes R1'!J700</f>
        <v>0</v>
      </c>
      <c r="I13" s="297">
        <f>'Reporte Componentes R1'!K700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R1'!L700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R1'!M700</f>
        <v>0</v>
      </c>
      <c r="V13" s="297">
        <f>'Reporte Componentes R1'!N700</f>
        <v>0</v>
      </c>
      <c r="W13" s="297">
        <f>'Reporte Componentes R1'!O700</f>
        <v>0</v>
      </c>
      <c r="X13" s="297">
        <f>'Reporte Componentes R1'!P700</f>
        <v>0</v>
      </c>
      <c r="Y13" s="289">
        <f>'Reporte Componentes R1'!Q700</f>
        <v>0</v>
      </c>
      <c r="Z13" s="319">
        <f>L13*-1</f>
        <v>0</v>
      </c>
      <c r="AA13" s="320">
        <f>'Reporte Componentes R1'!R700+'Reporte Componentes R1'!V700+'Reporte Componentes R1'!U700</f>
        <v>0</v>
      </c>
      <c r="AB13" s="294">
        <f>N13</f>
        <v>0</v>
      </c>
      <c r="AC13" s="320">
        <f>'Reporte Componentes R1'!T700+'Reporte Componentes R1'!W700+'Reporte Componentes R1'!X700+'Reporte Componentes R1'!Y700+'Reporte Componentes R1'!Z700+'Reporte Componentes R1'!S700</f>
        <v>0</v>
      </c>
      <c r="AD13" s="291">
        <f t="shared" si="2"/>
        <v>0</v>
      </c>
      <c r="AE13" s="291">
        <f>'Reporte Componentes R1'!F701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R2'!E59</f>
        <v>0</v>
      </c>
      <c r="E28" s="292">
        <f>'Rem. Anticipos R2'!F59</f>
        <v>0</v>
      </c>
      <c r="F28" s="292">
        <f>'Rem. Anticipos R2'!G59</f>
        <v>0</v>
      </c>
      <c r="G28" s="292">
        <f>'Rem. Anticipos R2'!H59</f>
        <v>0</v>
      </c>
      <c r="H28" s="292">
        <f>'Rem. Anticipos R2'!I59</f>
        <v>0</v>
      </c>
      <c r="I28" s="292">
        <f>'Rem. Anticipos R2'!J59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R2'!K59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R2'!L59</f>
        <v>0</v>
      </c>
      <c r="V28" s="308">
        <f>'Rem. Anticipos R2'!M59</f>
        <v>0</v>
      </c>
      <c r="W28" s="308">
        <f>'Rem. Anticipos R2'!N59</f>
        <v>0</v>
      </c>
      <c r="X28" s="308">
        <f>'Rem. Anticipos R2'!O59</f>
        <v>0</v>
      </c>
      <c r="Y28" s="308">
        <f>'Rem. Anticipos R2'!P59</f>
        <v>0</v>
      </c>
      <c r="Z28" s="310">
        <f>L28*-1</f>
        <v>0</v>
      </c>
      <c r="AA28" s="311">
        <f>'Rem. Anticipos R2'!Q59</f>
        <v>0</v>
      </c>
      <c r="AB28" s="294">
        <f>N28</f>
        <v>0</v>
      </c>
      <c r="AC28" s="311">
        <f>'Rem. Anticipos R2'!R59</f>
        <v>0</v>
      </c>
      <c r="AD28" s="291">
        <f>-J28+AE28</f>
        <v>0</v>
      </c>
      <c r="AE28" s="291">
        <f>'Rem. Anticipos R2'!E60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R2'!E156</f>
        <v>0</v>
      </c>
      <c r="E29" s="292">
        <f>'Rem. Anticipos R2'!F156</f>
        <v>0</v>
      </c>
      <c r="F29" s="292">
        <f>'Rem. Anticipos R2'!G156</f>
        <v>0</v>
      </c>
      <c r="G29" s="292">
        <f>'Rem. Anticipos R2'!H156</f>
        <v>0</v>
      </c>
      <c r="H29" s="292">
        <f>'Rem. Anticipos R2'!I156</f>
        <v>0</v>
      </c>
      <c r="I29" s="292">
        <f>'Rem. Anticipos R2'!J156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R2'!K156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R2'!L156</f>
        <v>0</v>
      </c>
      <c r="V29" s="317">
        <f>'Rem. Anticipos R2'!M156</f>
        <v>0</v>
      </c>
      <c r="W29" s="317">
        <f>'Rem. Anticipos R2'!N156</f>
        <v>0</v>
      </c>
      <c r="X29" s="317">
        <f>'Rem. Anticipos R2'!O156</f>
        <v>0</v>
      </c>
      <c r="Y29" s="318">
        <f>'Rem. Anticipos R2'!P156</f>
        <v>0</v>
      </c>
      <c r="Z29" s="319">
        <f>L29*-1</f>
        <v>0</v>
      </c>
      <c r="AA29" s="320">
        <f>'Rem. Anticipos R2'!Q156</f>
        <v>0</v>
      </c>
      <c r="AB29" s="294">
        <f>N29</f>
        <v>0</v>
      </c>
      <c r="AC29" s="320">
        <f>'Rem. Anticipos R2'!R156</f>
        <v>0</v>
      </c>
      <c r="AD29" s="291">
        <f>-J29+AE29</f>
        <v>0</v>
      </c>
      <c r="AE29" s="291">
        <f>'Rem. Anticipos R2'!E157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R2'!E274</f>
        <v>0</v>
      </c>
      <c r="E30" s="292">
        <f>'Rem. Anticipos R2'!F274</f>
        <v>0</v>
      </c>
      <c r="F30" s="292">
        <f>'Rem. Anticipos R2'!G274</f>
        <v>0</v>
      </c>
      <c r="G30" s="292">
        <f>'Rem. Anticipos R2'!H274</f>
        <v>0</v>
      </c>
      <c r="H30" s="292">
        <f>'Rem. Anticipos R2'!I274</f>
        <v>0</v>
      </c>
      <c r="I30" s="292">
        <f>'Rem. Anticipos R2'!J274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R2'!L274</f>
        <v>0</v>
      </c>
      <c r="V30" s="317">
        <f>'Rem. Anticipos R2'!M274</f>
        <v>0</v>
      </c>
      <c r="W30" s="317">
        <f>'Rem. Anticipos R2'!N274</f>
        <v>0</v>
      </c>
      <c r="X30" s="317">
        <f>'Rem. Anticipos R2'!O274</f>
        <v>0</v>
      </c>
      <c r="Y30" s="318">
        <f>'Rem. Anticipos R2'!P274</f>
        <v>0</v>
      </c>
      <c r="Z30" s="319">
        <f>L30*-1</f>
        <v>0</v>
      </c>
      <c r="AA30" s="320">
        <f>'Rem. Anticipos R2'!Q274</f>
        <v>0</v>
      </c>
      <c r="AB30" s="294">
        <f>N30</f>
        <v>0</v>
      </c>
      <c r="AC30" s="320">
        <f>'Rem. Anticipos R2'!R274</f>
        <v>0</v>
      </c>
      <c r="AD30" s="291">
        <f t="shared" ref="AD30:AD32" si="10">-J30+AE30</f>
        <v>0</v>
      </c>
      <c r="AE30" s="291">
        <f>'Rem. Anticipos R2'!E275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R2'!E374</f>
        <v>0</v>
      </c>
      <c r="E31" s="292">
        <f>'Rem. Anticipos R2'!F374</f>
        <v>0</v>
      </c>
      <c r="F31" s="292">
        <f>'Rem. Anticipos R2'!G374</f>
        <v>0</v>
      </c>
      <c r="G31" s="292">
        <f>'Rem. Anticipos R2'!H374</f>
        <v>0</v>
      </c>
      <c r="H31" s="292">
        <f>'Rem. Anticipos R2'!I374</f>
        <v>0</v>
      </c>
      <c r="I31" s="292">
        <f>'Rem. Anticipos R2'!J374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R2'!K374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R2'!L374</f>
        <v>0</v>
      </c>
      <c r="V31" s="317">
        <f>'Rem. Anticipos R2'!M374</f>
        <v>0</v>
      </c>
      <c r="W31" s="317">
        <f>'Rem. Anticipos R2'!N374</f>
        <v>0</v>
      </c>
      <c r="X31" s="317">
        <f>'Rem. Anticipos R2'!O374</f>
        <v>0</v>
      </c>
      <c r="Y31" s="318">
        <f>'Rem. Anticipos R2'!P374</f>
        <v>0</v>
      </c>
      <c r="Z31" s="319">
        <f>L31*-1</f>
        <v>0</v>
      </c>
      <c r="AA31" s="320">
        <f>'Rem. Anticipos R2'!Q374</f>
        <v>0</v>
      </c>
      <c r="AB31" s="294">
        <f>N31</f>
        <v>0</v>
      </c>
      <c r="AC31" s="320">
        <f>'Rem. Anticipos R2'!R374</f>
        <v>0</v>
      </c>
      <c r="AD31" s="291">
        <f t="shared" si="10"/>
        <v>0</v>
      </c>
      <c r="AE31" s="291">
        <f>'Rem. Anticipos R2'!E375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R2'!E458</f>
        <v>0</v>
      </c>
      <c r="E32" s="297">
        <f>'Rem. Anticipos R2'!F458</f>
        <v>0</v>
      </c>
      <c r="F32" s="297">
        <f>'Rem. Anticipos R2'!G458</f>
        <v>0</v>
      </c>
      <c r="G32" s="297">
        <f>'Rem. Anticipos R2'!H458</f>
        <v>0</v>
      </c>
      <c r="H32" s="297">
        <f>'Rem. Anticipos R2'!I458</f>
        <v>0</v>
      </c>
      <c r="I32" s="297">
        <f>'Rem. Anticipos R2'!J458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R2'!K458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R2'!L458</f>
        <v>0</v>
      </c>
      <c r="V32" s="297">
        <f>'Rem. Anticipos R2'!M458</f>
        <v>0</v>
      </c>
      <c r="W32" s="297">
        <f>'Rem. Anticipos R2'!N458</f>
        <v>0</v>
      </c>
      <c r="X32" s="297">
        <f>'Rem. Anticipos R2'!O458</f>
        <v>0</v>
      </c>
      <c r="Y32" s="289">
        <f>'Rem. Anticipos R2'!P458</f>
        <v>0</v>
      </c>
      <c r="Z32" s="319">
        <f>L32*-1</f>
        <v>0</v>
      </c>
      <c r="AA32" s="320">
        <f>'Rem. Anticipos R2'!Q458</f>
        <v>0</v>
      </c>
      <c r="AB32" s="294">
        <f>N32</f>
        <v>0</v>
      </c>
      <c r="AC32" s="320">
        <f>'Rem. Anticipos R2'!R458</f>
        <v>0</v>
      </c>
      <c r="AD32" s="291">
        <f t="shared" si="10"/>
        <v>0</v>
      </c>
      <c r="AE32" s="291">
        <f>'Rem. Anticipos R2'!E459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R1'!F97</f>
        <v>0</v>
      </c>
      <c r="E47" s="292">
        <f>'Reporte Componentes R1'!G97</f>
        <v>0</v>
      </c>
      <c r="F47" s="292">
        <f>'Reporte Componentes R1'!H97</f>
        <v>0</v>
      </c>
      <c r="G47" s="292">
        <f>'Reporte Componentes R1'!I97</f>
        <v>0</v>
      </c>
      <c r="H47" s="292">
        <f>'Reporte Componentes R1'!J97</f>
        <v>0</v>
      </c>
      <c r="I47" s="292">
        <f>'Reporte Componentes R1'!K97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R1'!M97</f>
        <v>0</v>
      </c>
      <c r="V47" s="308">
        <f>'Reporte Componentes R1'!N97</f>
        <v>0</v>
      </c>
      <c r="W47" s="308">
        <f>'Reporte Componentes R1'!O97</f>
        <v>0</v>
      </c>
      <c r="X47" s="308">
        <f>'Reporte Componentes R1'!P97</f>
        <v>0</v>
      </c>
      <c r="Y47" s="309">
        <f>'Reporte Componentes R1'!Q97</f>
        <v>0</v>
      </c>
      <c r="Z47" s="310">
        <f>-L47</f>
        <v>0</v>
      </c>
      <c r="AA47" s="311">
        <f>'Reporte Componentes R1'!R97+'Reporte Componentes R1'!V97+'Reporte Componentes R1'!U97</f>
        <v>0</v>
      </c>
      <c r="AB47" s="294">
        <f>N47</f>
        <v>0</v>
      </c>
      <c r="AC47" s="311">
        <f>'Reporte Componentes R1'!T97+'Reporte Componentes R1'!S97+'Reporte Componentes R1'!W97+'Reporte Componentes R1'!X97+'Reporte Componentes R1'!Y97+'Reporte Componentes R1'!Z97</f>
        <v>0</v>
      </c>
      <c r="AD47" s="291">
        <f>-J47+AE47</f>
        <v>0</v>
      </c>
      <c r="AE47" s="291">
        <f>'Reporte Componentes R1'!F98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R1'!F276</f>
        <v>0</v>
      </c>
      <c r="E48" s="292">
        <f>'Reporte Componentes R1'!G276</f>
        <v>0</v>
      </c>
      <c r="F48" s="292">
        <f>'Reporte Componentes R1'!H276</f>
        <v>0</v>
      </c>
      <c r="G48" s="292">
        <f>'Reporte Componentes R1'!I276</f>
        <v>0</v>
      </c>
      <c r="H48" s="292">
        <f>'Reporte Componentes R1'!J276</f>
        <v>0</v>
      </c>
      <c r="I48" s="292">
        <f>'Reporte Componentes R1'!K276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R1'!L276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R1'!M276</f>
        <v>0</v>
      </c>
      <c r="V48" s="317">
        <f>'Reporte Componentes R1'!N276</f>
        <v>0</v>
      </c>
      <c r="W48" s="317">
        <f>'Reporte Componentes R1'!O276</f>
        <v>0</v>
      </c>
      <c r="X48" s="317">
        <f>'Reporte Componentes R1'!P276</f>
        <v>0</v>
      </c>
      <c r="Y48" s="318">
        <f>'Reporte Componentes R1'!Q276</f>
        <v>0</v>
      </c>
      <c r="Z48" s="319">
        <f>-L48</f>
        <v>0</v>
      </c>
      <c r="AA48" s="320">
        <f>'Reporte Componentes R1'!R276+'Reporte Componentes R1'!V276+'Reporte Componentes R1'!U276</f>
        <v>0</v>
      </c>
      <c r="AB48" s="294">
        <f>N48</f>
        <v>0</v>
      </c>
      <c r="AC48" s="320">
        <f>'Reporte Componentes R1'!T276+'Reporte Componentes R1'!S276+'Reporte Componentes R1'!W276+'Reporte Componentes R1'!X276+'Reporte Componentes R1'!Y276+'Reporte Componentes R1'!Z276</f>
        <v>0</v>
      </c>
      <c r="AD48" s="291">
        <f t="shared" ref="AD48:AD51" si="16">-J48+AE48</f>
        <v>0</v>
      </c>
      <c r="AE48" s="291">
        <f>'Reporte Componentes R1'!F277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R1'!F437</f>
        <v>0</v>
      </c>
      <c r="E49" s="292">
        <f>'Reporte Componentes R1'!G437</f>
        <v>0</v>
      </c>
      <c r="F49" s="292">
        <f>'Reporte Componentes R1'!H437</f>
        <v>0</v>
      </c>
      <c r="G49" s="292">
        <f>'Reporte Componentes R1'!I437</f>
        <v>0</v>
      </c>
      <c r="H49" s="292">
        <f>'Reporte Componentes R1'!J437</f>
        <v>0</v>
      </c>
      <c r="I49" s="292">
        <f>'Reporte Componentes R1'!K437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R1'!M437</f>
        <v>0</v>
      </c>
      <c r="V49" s="317">
        <f>'Reporte Componentes R1'!N437</f>
        <v>0</v>
      </c>
      <c r="W49" s="317">
        <f>'Reporte Componentes R1'!O437</f>
        <v>0</v>
      </c>
      <c r="X49" s="317">
        <f>'Reporte Componentes R1'!P437</f>
        <v>0</v>
      </c>
      <c r="Y49" s="318">
        <f>'Reporte Componentes R1'!Q437</f>
        <v>0</v>
      </c>
      <c r="Z49" s="319">
        <f>-L49</f>
        <v>0</v>
      </c>
      <c r="AA49" s="320">
        <f>'Reporte Componentes R1'!R437+'Reporte Componentes R1'!V437+'Reporte Componentes R1'!U437</f>
        <v>0</v>
      </c>
      <c r="AB49" s="294">
        <f>N49</f>
        <v>0</v>
      </c>
      <c r="AC49" s="320">
        <f>'Reporte Componentes R1'!T437+'Reporte Componentes R1'!S437+'Reporte Componentes R1'!W437+'Reporte Componentes R1'!X437+'Reporte Componentes R1'!Y437+'Reporte Componentes R1'!Z437</f>
        <v>0</v>
      </c>
      <c r="AD49" s="291">
        <f t="shared" si="16"/>
        <v>0</v>
      </c>
      <c r="AE49" s="291">
        <f>'Reporte Componentes R1'!F438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R1'!F590</f>
        <v>0</v>
      </c>
      <c r="E50" s="292">
        <f>'Reporte Componentes R1'!G590</f>
        <v>0</v>
      </c>
      <c r="F50" s="292">
        <f>'Reporte Componentes R1'!H590</f>
        <v>0</v>
      </c>
      <c r="G50" s="292">
        <f>'Reporte Componentes R1'!I590</f>
        <v>0</v>
      </c>
      <c r="H50" s="292">
        <f>'Reporte Componentes R1'!J590</f>
        <v>0</v>
      </c>
      <c r="I50" s="292">
        <f>'Reporte Componentes R1'!K590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R1'!L590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R1'!M590</f>
        <v>0</v>
      </c>
      <c r="V50" s="317">
        <f>'Reporte Componentes R1'!N590</f>
        <v>0</v>
      </c>
      <c r="W50" s="317">
        <f>'Reporte Componentes R1'!O590</f>
        <v>0</v>
      </c>
      <c r="X50" s="317">
        <f>'Reporte Componentes R1'!P590</f>
        <v>0</v>
      </c>
      <c r="Y50" s="318">
        <f>'Reporte Componentes R1'!Q590</f>
        <v>0</v>
      </c>
      <c r="Z50" s="319">
        <f>-L50</f>
        <v>0</v>
      </c>
      <c r="AA50" s="320">
        <f>'Reporte Componentes R1'!R590+'Reporte Componentes R1'!V590+'Reporte Componentes R1'!U590</f>
        <v>0</v>
      </c>
      <c r="AB50" s="294">
        <f>N50</f>
        <v>0</v>
      </c>
      <c r="AC50" s="320">
        <f>'Reporte Componentes R1'!T590+'Reporte Componentes R1'!S590+'Reporte Componentes R1'!W590+'Reporte Componentes R1'!X590+'Reporte Componentes R1'!Y590+'Reporte Componentes R1'!Z590</f>
        <v>0</v>
      </c>
      <c r="AD50" s="291">
        <f t="shared" si="16"/>
        <v>0</v>
      </c>
      <c r="AE50" s="291">
        <f>'Reporte Componentes R1'!F591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R1'!F702</f>
        <v>0</v>
      </c>
      <c r="E51" s="297">
        <f>'Reporte Componentes R1'!G702</f>
        <v>0</v>
      </c>
      <c r="F51" s="297">
        <f>'Reporte Componentes R1'!H702</f>
        <v>0</v>
      </c>
      <c r="G51" s="297">
        <f>'Reporte Componentes R1'!I702</f>
        <v>0</v>
      </c>
      <c r="H51" s="297">
        <f>'Reporte Componentes R1'!J702</f>
        <v>0</v>
      </c>
      <c r="I51" s="297">
        <f>'Reporte Componentes R1'!K702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R1'!L702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R1'!M702</f>
        <v>0</v>
      </c>
      <c r="V51" s="297">
        <f>'Reporte Componentes R1'!N702</f>
        <v>0</v>
      </c>
      <c r="W51" s="297">
        <f>'Reporte Componentes R1'!O702</f>
        <v>0</v>
      </c>
      <c r="X51" s="297">
        <f>'Reporte Componentes R1'!P702</f>
        <v>0</v>
      </c>
      <c r="Y51" s="289">
        <f>'Reporte Componentes R1'!Q702</f>
        <v>0</v>
      </c>
      <c r="Z51" s="319">
        <f>-L51</f>
        <v>0</v>
      </c>
      <c r="AA51" s="320">
        <f>'Reporte Componentes R1'!R702+'Reporte Componentes R1'!V702+'Reporte Componentes R1'!U702</f>
        <v>0</v>
      </c>
      <c r="AB51" s="294">
        <f>N51</f>
        <v>0</v>
      </c>
      <c r="AC51" s="320">
        <f>'Reporte Componentes R1'!T702+'Reporte Componentes R1'!S702+'Reporte Componentes R1'!W702+'Reporte Componentes R1'!X702+'Reporte Componentes R1'!Y702+'Reporte Componentes R1'!Z702</f>
        <v>0</v>
      </c>
      <c r="AD51" s="291">
        <f t="shared" si="16"/>
        <v>0</v>
      </c>
      <c r="AE51" s="291">
        <f>'Reporte Componentes R1'!F703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8">
        <f>'Reversion Pagos R4'!N85</f>
        <v>0</v>
      </c>
      <c r="Z66" s="310">
        <f>-L66</f>
        <v>0</v>
      </c>
      <c r="AA66" s="320">
        <f>'Reversion Pagos R4'!O85</f>
        <v>0</v>
      </c>
      <c r="AB66" s="294">
        <f>N66</f>
        <v>0</v>
      </c>
      <c r="AC66" s="320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0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+'Reversion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0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+'Reversion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0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R4'!P338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+'Reversion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0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R4'!P373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6"/>
        <v>0</v>
      </c>
      <c r="AA70" s="320">
        <f>'Reversion Pagos R4'!O373</f>
        <v>0</v>
      </c>
      <c r="AB70" s="294">
        <f t="shared" si="27"/>
        <v>0</v>
      </c>
      <c r="AC70" s="320">
        <f>+'Reversion Pagos R4'!Q373+'Reversion Pagos R4'!R373</f>
        <v>0</v>
      </c>
      <c r="AD70" s="291">
        <f t="shared" si="28"/>
        <v>0</v>
      </c>
      <c r="AE70" s="291">
        <f>'Reversion Pagos R4'!D374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88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 t="shared" si="41"/>
        <v>0</v>
      </c>
      <c r="AB104" s="294">
        <f t="shared" si="41"/>
        <v>0</v>
      </c>
      <c r="AC104" s="312">
        <f t="shared" ref="AC104" si="42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88">
        <f t="shared" si="40"/>
        <v>0</v>
      </c>
      <c r="K105" s="295">
        <f t="shared" ref="K105:K108" si="43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4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1">
        <f t="shared" ref="AC105" si="45">AC10+AC29+AC48+AC67+AC86</f>
        <v>0</v>
      </c>
      <c r="AD105" s="291">
        <f t="shared" ref="AD105:AD107" si="46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88">
        <f t="shared" si="40"/>
        <v>0</v>
      </c>
      <c r="K106" s="295">
        <f t="shared" si="43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4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1">
        <f t="shared" ref="AC106" si="48">AC11+AC30+AC49+AC68+AC87</f>
        <v>0</v>
      </c>
      <c r="AD106" s="291">
        <f t="shared" si="46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88">
        <f t="shared" si="40"/>
        <v>0</v>
      </c>
      <c r="K107" s="295">
        <f t="shared" si="43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4"/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1">
        <f t="shared" ref="AC107" si="49">AC12+AC31+AC50+AC69+AC88</f>
        <v>0</v>
      </c>
      <c r="AD107" s="291">
        <f t="shared" si="46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89">
        <f t="shared" si="40"/>
        <v>0</v>
      </c>
      <c r="K108" s="295">
        <f t="shared" si="43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4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1">
        <f t="shared" ref="AC108" si="50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0</v>
      </c>
      <c r="E109" s="290">
        <f t="shared" ref="E109:O109" si="51">SUM(E104:E108)</f>
        <v>0</v>
      </c>
      <c r="F109" s="290">
        <f t="shared" si="51"/>
        <v>0</v>
      </c>
      <c r="G109" s="290">
        <f t="shared" si="51"/>
        <v>0</v>
      </c>
      <c r="H109" s="290">
        <f t="shared" si="51"/>
        <v>0</v>
      </c>
      <c r="I109" s="290">
        <f t="shared" si="51"/>
        <v>0</v>
      </c>
      <c r="J109" s="290">
        <f t="shared" si="51"/>
        <v>0</v>
      </c>
      <c r="K109" s="300">
        <f t="shared" si="51"/>
        <v>0</v>
      </c>
      <c r="L109" s="301">
        <f t="shared" si="51"/>
        <v>0</v>
      </c>
      <c r="M109" s="302">
        <f t="shared" si="51"/>
        <v>0</v>
      </c>
      <c r="N109" s="301">
        <f>SUM(N104:N108)</f>
        <v>0</v>
      </c>
      <c r="O109" s="302">
        <f t="shared" si="51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2">SUM(V104:V108)</f>
        <v>0</v>
      </c>
      <c r="W109" s="330">
        <f t="shared" si="52"/>
        <v>0</v>
      </c>
      <c r="X109" s="330">
        <f t="shared" si="52"/>
        <v>0</v>
      </c>
      <c r="Y109" s="330">
        <f t="shared" si="52"/>
        <v>0</v>
      </c>
      <c r="Z109" s="290">
        <f t="shared" si="52"/>
        <v>0</v>
      </c>
      <c r="AA109" s="290">
        <f t="shared" si="52"/>
        <v>0</v>
      </c>
      <c r="AB109" s="470">
        <f t="shared" si="52"/>
        <v>0</v>
      </c>
      <c r="AC109" s="290">
        <f t="shared" ref="AC109" si="53">SUM(AC104:AC108)</f>
        <v>0</v>
      </c>
      <c r="AD109" s="290">
        <f t="shared" si="52"/>
        <v>0</v>
      </c>
      <c r="AE109" s="290">
        <f>SUM(AE104:AE108)</f>
        <v>0</v>
      </c>
      <c r="AF109" s="331">
        <f t="shared" si="52"/>
        <v>0</v>
      </c>
      <c r="AG109" s="332">
        <f>SUM(AG104:AG108)</f>
        <v>0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4"/>
        <v>0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Directa Occidente'!F21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525">
        <f>D143-E143-F143-G143-J143-H143-I143</f>
        <v>0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525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525">
        <f>D145-E145-F145-G145-J145-H145-I145</f>
        <v>0</v>
      </c>
      <c r="M145" s="1" t="b">
        <f t="shared" si="5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Directa Occidente'!F25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0</v>
      </c>
      <c r="L146" s="525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525">
        <f>SUM(L142:L146)</f>
        <v>0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0</v>
      </c>
      <c r="D3" s="292">
        <f>'REMUNERACION_OCCIDENTE_ Directa'!G125</f>
        <v>0</v>
      </c>
      <c r="E3" s="292">
        <f>'REMUNERACION_OCCIDENTE_ Directa'!D28+'REMUNERACION_OCCIDENTE_ Directa'!N28</f>
        <v>0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0</v>
      </c>
      <c r="I3" s="291">
        <f>'REMUNERACION_OCCIDENTE_ Directa'!D104</f>
        <v>0</v>
      </c>
      <c r="J3" s="292">
        <f>'REMUNERACION_OCCIDENTE_ Directa'!N104</f>
        <v>0</v>
      </c>
      <c r="K3" s="292">
        <f>'REMUNERACION_OCCIDENTE_ Directa'!D125</f>
        <v>0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0</v>
      </c>
      <c r="D4" s="292">
        <f>'REMUNERACION_OCCIDENTE_ Directa'!G126</f>
        <v>0</v>
      </c>
      <c r="E4" s="292">
        <f>'REMUNERACION_OCCIDENTE_ Directa'!D29+'REMUNERACION_OCCIDENTE_ Directa'!N29</f>
        <v>0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0</v>
      </c>
      <c r="I4" s="291">
        <f>'REMUNERACION_OCCIDENTE_ Directa'!D105</f>
        <v>0</v>
      </c>
      <c r="J4" s="292">
        <f>'REMUNERACION_OCCIDENTE_ Directa'!N105</f>
        <v>0</v>
      </c>
      <c r="K4" s="292">
        <f>'REMUNERACION_OCCIDENTE_ Directa'!D126</f>
        <v>0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0</v>
      </c>
      <c r="D5" s="292">
        <f>'REMUNERACION_OCCIDENTE_ Directa'!G127</f>
        <v>0</v>
      </c>
      <c r="E5" s="292">
        <f>'REMUNERACION_OCCIDENTE_ Directa'!D30+'REMUNERACION_OCCIDENTE_ Directa'!N30</f>
        <v>0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0</v>
      </c>
      <c r="I5" s="291">
        <f>'REMUNERACION_OCCIDENTE_ Directa'!D106</f>
        <v>0</v>
      </c>
      <c r="J5" s="292">
        <f>'REMUNERACION_OCCIDENTE_ Directa'!N106</f>
        <v>0</v>
      </c>
      <c r="K5" s="292">
        <f>'REMUNERACION_OCCIDENTE_ Directa'!D127</f>
        <v>0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0</v>
      </c>
      <c r="D6" s="292">
        <f>'REMUNERACION_OCCIDENTE_ Directa'!G128</f>
        <v>0</v>
      </c>
      <c r="E6" s="292">
        <f>'REMUNERACION_OCCIDENTE_ Directa'!D31+'REMUNERACION_OCCIDENTE_ Directa'!N31</f>
        <v>0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0</v>
      </c>
      <c r="I6" s="291">
        <f>'REMUNERACION_OCCIDENTE_ Directa'!D107</f>
        <v>0</v>
      </c>
      <c r="J6" s="292">
        <f>'REMUNERACION_OCCIDENTE_ Directa'!N107</f>
        <v>0</v>
      </c>
      <c r="K6" s="292">
        <f>'REMUNERACION_OCCIDENTE_ Directa'!D128</f>
        <v>0</v>
      </c>
      <c r="L6" s="353">
        <f>'REMUNERACION_OCCIDENTE_ Directa'!E128</f>
        <v>0</v>
      </c>
      <c r="M6" s="292">
        <f>-'REMUNERACION_OCCIDENTE_ Directa'!D69-'REMUNERACION_OCCIDENTE_ Directa'!N69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0</v>
      </c>
      <c r="D7" s="292">
        <f>'REMUNERACION_OCCIDENTE_ Directa'!G129</f>
        <v>0</v>
      </c>
      <c r="E7" s="292">
        <f>'REMUNERACION_OCCIDENTE_ Directa'!D32+'REMUNERACION_OCCIDENTE_ Directa'!N32</f>
        <v>0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0</v>
      </c>
      <c r="I7" s="291">
        <f>'REMUNERACION_OCCIDENTE_ Directa'!D108</f>
        <v>0</v>
      </c>
      <c r="J7" s="292">
        <f>'REMUNERACION_OCCIDENTE_ Directa'!N108</f>
        <v>0</v>
      </c>
      <c r="K7" s="292">
        <f>'REMUNERACION_OCCIDENTE_ Directa'!D129</f>
        <v>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5736574007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46281</v>
      </c>
      <c r="J7" s="2" t="s">
        <v>28</v>
      </c>
      <c r="K7" s="9">
        <f>'REMUNERACION_OCCIDENTE_ Directa'!K102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46281</v>
      </c>
      <c r="J27" s="2" t="s">
        <v>28</v>
      </c>
      <c r="K27" s="9">
        <f>'REMUNERACION_OCCIDENTE_ Directa'!K122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0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0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0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0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339">
        <f>'REMUNERACION_OCCIDENTE_ Directa'!G128</f>
        <v>0</v>
      </c>
      <c r="H33" s="340">
        <f>'REMUNERACION_OCCIDENTE_ Directa'!H128</f>
        <v>0</v>
      </c>
      <c r="I33" s="288">
        <f>'REMUNERACION_OCCIDENTE_ Directa'!I128</f>
        <v>0</v>
      </c>
      <c r="J33" s="288">
        <f>'REMUNERACION_OCCIDENTE_ Directa'!J128</f>
        <v>0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0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0</v>
      </c>
      <c r="E36" s="107">
        <f>'REMUNERACION_OCCIDENTE_ Directa'!E131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R1'!F100</f>
        <v>0</v>
      </c>
      <c r="E9" s="292">
        <f>'Reporte Componentes R1'!G100</f>
        <v>0</v>
      </c>
      <c r="F9" s="292">
        <f>'Reporte Componentes R1'!H100</f>
        <v>0</v>
      </c>
      <c r="G9" s="292">
        <f>'Reporte Componentes R1'!I100</f>
        <v>0</v>
      </c>
      <c r="H9" s="292">
        <f>'Reporte Componentes R1'!J100</f>
        <v>0</v>
      </c>
      <c r="I9" s="292">
        <f>'Reporte Componentes R1'!K100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R1'!M100</f>
        <v>0</v>
      </c>
      <c r="V9" s="308">
        <f>'Reporte Componentes R1'!N100</f>
        <v>0</v>
      </c>
      <c r="W9" s="308">
        <f>'Reporte Componentes R1'!O100</f>
        <v>0</v>
      </c>
      <c r="X9" s="308">
        <f>'Reporte Componentes R1'!P100</f>
        <v>0</v>
      </c>
      <c r="Y9" s="309">
        <f>'Reporte Componentes R1'!Q100</f>
        <v>0</v>
      </c>
      <c r="Z9" s="310">
        <f>L9*-1</f>
        <v>0</v>
      </c>
      <c r="AA9" s="311">
        <f>'Reporte Componentes R1'!R100+'Reporte Componentes R1'!S100</f>
        <v>0</v>
      </c>
      <c r="AB9" s="294">
        <f>N9</f>
        <v>0</v>
      </c>
      <c r="AC9" s="311">
        <f>'Reporte Componentes R1'!Z100</f>
        <v>0</v>
      </c>
      <c r="AD9" s="291">
        <f>-J9+AE9</f>
        <v>0</v>
      </c>
      <c r="AE9" s="291">
        <f>'Reporte Componentes R1'!F101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R1'!F279</f>
        <v>0</v>
      </c>
      <c r="E10" s="292">
        <f>'Reporte Componentes R1'!G279</f>
        <v>0</v>
      </c>
      <c r="F10" s="292">
        <f>'Reporte Componentes R1'!H279</f>
        <v>0</v>
      </c>
      <c r="G10" s="292">
        <f>'Reporte Componentes R1'!I279</f>
        <v>0</v>
      </c>
      <c r="H10" s="292">
        <f>'Reporte Componentes R1'!J279</f>
        <v>0</v>
      </c>
      <c r="I10" s="292">
        <f>'Reporte Componentes R1'!K279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R1'!M279</f>
        <v>0</v>
      </c>
      <c r="V10" s="317">
        <f>'Reporte Componentes R1'!N279</f>
        <v>0</v>
      </c>
      <c r="W10" s="317">
        <f>'Reporte Componentes R1'!O279</f>
        <v>0</v>
      </c>
      <c r="X10" s="317">
        <f>'Reporte Componentes R1'!P279</f>
        <v>0</v>
      </c>
      <c r="Y10" s="318">
        <f>'Reporte Componentes R1'!Q279</f>
        <v>0</v>
      </c>
      <c r="Z10" s="319">
        <f>L10*-1</f>
        <v>0</v>
      </c>
      <c r="AA10" s="320">
        <f>'Reporte Componentes R1'!R279+'Reporte Componentes R1'!S279+'Reporte Componentes R1'!T279</f>
        <v>0</v>
      </c>
      <c r="AB10" s="294">
        <f>N10</f>
        <v>0</v>
      </c>
      <c r="AC10" s="320">
        <f>'Reporte Componentes R1'!Z279</f>
        <v>0</v>
      </c>
      <c r="AD10" s="291">
        <f t="shared" ref="AD10:AD13" si="2">-J10+AE10</f>
        <v>0</v>
      </c>
      <c r="AE10" s="291">
        <f>'Reporte Componentes R1'!F280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R1'!F440</f>
        <v>0</v>
      </c>
      <c r="E11" s="292">
        <f>'Reporte Componentes R1'!G440</f>
        <v>0</v>
      </c>
      <c r="F11" s="292">
        <f>'Reporte Componentes R1'!H440</f>
        <v>0</v>
      </c>
      <c r="G11" s="292">
        <f>'Reporte Componentes R1'!I440</f>
        <v>0</v>
      </c>
      <c r="H11" s="292">
        <f>'Reporte Componentes R1'!J440</f>
        <v>0</v>
      </c>
      <c r="I11" s="292">
        <f>'Reporte Componentes R1'!K440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R1'!M440</f>
        <v>0</v>
      </c>
      <c r="V11" s="317">
        <f>'Reporte Componentes R1'!N440</f>
        <v>0</v>
      </c>
      <c r="W11" s="317">
        <f>'Reporte Componentes R1'!O440</f>
        <v>0</v>
      </c>
      <c r="X11" s="317">
        <f>'Reporte Componentes R1'!P440</f>
        <v>0</v>
      </c>
      <c r="Y11" s="318">
        <f>'Reporte Componentes R1'!Q440</f>
        <v>0</v>
      </c>
      <c r="Z11" s="319">
        <f>L11*-1</f>
        <v>0</v>
      </c>
      <c r="AA11" s="320">
        <f>'Reporte Componentes R1'!R440+'Reporte Componentes R1'!S440+'Reporte Componentes R1'!T440</f>
        <v>0</v>
      </c>
      <c r="AB11" s="294">
        <f>N11</f>
        <v>0</v>
      </c>
      <c r="AC11" s="320">
        <f>'Reporte Componentes R1'!X440</f>
        <v>0</v>
      </c>
      <c r="AD11" s="291">
        <f t="shared" si="2"/>
        <v>0</v>
      </c>
      <c r="AE11" s="291">
        <f>'Reporte Componentes R1'!F441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R1'!F593</f>
        <v>0</v>
      </c>
      <c r="E12" s="292">
        <f>'Reporte Componentes R1'!G593</f>
        <v>0</v>
      </c>
      <c r="F12" s="292">
        <f>'Reporte Componentes R1'!H593</f>
        <v>0</v>
      </c>
      <c r="G12" s="292">
        <f>'Reporte Componentes R1'!I593</f>
        <v>0</v>
      </c>
      <c r="H12" s="292">
        <f>'Reporte Componentes R1'!J593</f>
        <v>0</v>
      </c>
      <c r="I12" s="292">
        <f>'Reporte Componentes R1'!K593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R1'!L593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R1'!M593</f>
        <v>0</v>
      </c>
      <c r="V12" s="317">
        <f>'Reporte Componentes R1'!N593</f>
        <v>0</v>
      </c>
      <c r="W12" s="317">
        <f>'Reporte Componentes R1'!O593</f>
        <v>0</v>
      </c>
      <c r="X12" s="317">
        <f>'Reporte Componentes R1'!P593</f>
        <v>0</v>
      </c>
      <c r="Y12" s="318">
        <f>'Reporte Componentes R1'!Q593</f>
        <v>0</v>
      </c>
      <c r="Z12" s="319">
        <f>L12*-1</f>
        <v>0</v>
      </c>
      <c r="AA12" s="320">
        <f>'Reporte Componentes R1'!R593+'Reporte Componentes R1'!S593</f>
        <v>0</v>
      </c>
      <c r="AB12" s="294">
        <f>N12</f>
        <v>0</v>
      </c>
      <c r="AC12" s="320">
        <f>'Reporte Componentes R1'!X593</f>
        <v>0</v>
      </c>
      <c r="AD12" s="291">
        <f t="shared" si="2"/>
        <v>0</v>
      </c>
      <c r="AE12" s="291">
        <f>'Reporte Componentes R1'!F594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R1'!F705</f>
        <v>0</v>
      </c>
      <c r="E13" s="297">
        <f>'Reporte Componentes R1'!G705</f>
        <v>0</v>
      </c>
      <c r="F13" s="297">
        <f>'Reporte Componentes R1'!H705</f>
        <v>0</v>
      </c>
      <c r="G13" s="297">
        <f>'Reporte Componentes R1'!I705</f>
        <v>0</v>
      </c>
      <c r="H13" s="297">
        <f>'Reporte Componentes R1'!J705</f>
        <v>0</v>
      </c>
      <c r="I13" s="297">
        <f>'Reporte Componentes R1'!K705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R1'!M705</f>
        <v>0</v>
      </c>
      <c r="V13" s="297">
        <f>'Reporte Componentes R1'!N705</f>
        <v>0</v>
      </c>
      <c r="W13" s="297">
        <f>'Reporte Componentes R1'!O705</f>
        <v>0</v>
      </c>
      <c r="X13" s="297">
        <f>'Reporte Componentes R1'!P705</f>
        <v>0</v>
      </c>
      <c r="Y13" s="289">
        <f>'Reporte Componentes R1'!Q705</f>
        <v>0</v>
      </c>
      <c r="Z13" s="319">
        <f>L13*-1</f>
        <v>0</v>
      </c>
      <c r="AA13" s="320">
        <f>'Reporte Componentes R1'!R705+'Reporte Componentes R1'!S705+'Reporte Componentes R1'!T705</f>
        <v>0</v>
      </c>
      <c r="AB13" s="294">
        <f>N13</f>
        <v>0</v>
      </c>
      <c r="AC13" s="320">
        <f>'Reporte Componentes R1'!X705</f>
        <v>0</v>
      </c>
      <c r="AD13" s="291">
        <f t="shared" si="2"/>
        <v>0</v>
      </c>
      <c r="AE13" s="291">
        <f>'Reporte Componentes R1'!F706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R2'!E62</f>
        <v>0</v>
      </c>
      <c r="E28" s="292">
        <f>'Rem. Anticipos R2'!F62</f>
        <v>0</v>
      </c>
      <c r="F28" s="292">
        <f>'Rem. Anticipos R2'!G62</f>
        <v>0</v>
      </c>
      <c r="G28" s="292">
        <f>'Rem. Anticipos R2'!H62</f>
        <v>0</v>
      </c>
      <c r="H28" s="292">
        <f>'Rem. Anticipos R2'!I62</f>
        <v>0</v>
      </c>
      <c r="I28" s="292">
        <f>'Rem. Anticipos R2'!J62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R2'!L62</f>
        <v>0</v>
      </c>
      <c r="V28" s="308">
        <f>'Rem. Anticipos R2'!M62</f>
        <v>0</v>
      </c>
      <c r="W28" s="308">
        <f>'Rem. Anticipos R2'!N62</f>
        <v>0</v>
      </c>
      <c r="X28" s="308">
        <f>'Rem. Anticipos R2'!O62</f>
        <v>0</v>
      </c>
      <c r="Y28" s="308">
        <f>'Rem. Anticipos R2'!P62</f>
        <v>0</v>
      </c>
      <c r="Z28" s="310">
        <f>L28*-1</f>
        <v>0</v>
      </c>
      <c r="AA28" s="311">
        <f>'Rem. Anticipos R2'!Q62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R2'!E63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R2'!E159</f>
        <v>0</v>
      </c>
      <c r="E29" s="292">
        <f>'Rem. Anticipos R2'!F159</f>
        <v>0</v>
      </c>
      <c r="F29" s="292">
        <f>'Rem. Anticipos R2'!G159</f>
        <v>0</v>
      </c>
      <c r="G29" s="292">
        <f>'Rem. Anticipos R2'!H159</f>
        <v>0</v>
      </c>
      <c r="H29" s="292">
        <f>'Rem. Anticipos R2'!I159</f>
        <v>0</v>
      </c>
      <c r="I29" s="292">
        <f>'Rem. Anticipos R2'!J159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R2'!K159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R2'!L159</f>
        <v>0</v>
      </c>
      <c r="V29" s="317">
        <f>'Rem. Anticipos R2'!M159</f>
        <v>0</v>
      </c>
      <c r="W29" s="317">
        <f>'Rem. Anticipos R2'!N159</f>
        <v>0</v>
      </c>
      <c r="X29" s="317">
        <f>'Rem. Anticipos R2'!O159</f>
        <v>0</v>
      </c>
      <c r="Y29" s="318">
        <f>'Rem. Anticipos R2'!P159</f>
        <v>0</v>
      </c>
      <c r="Z29" s="319">
        <f>L29*-1</f>
        <v>0</v>
      </c>
      <c r="AA29" s="320">
        <f>'Rem. Anticipos R2'!Q159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R2'!E160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R2'!E277</f>
        <v>0</v>
      </c>
      <c r="E30" s="292">
        <f>'Rem. Anticipos R2'!F277</f>
        <v>0</v>
      </c>
      <c r="F30" s="292">
        <f>'Rem. Anticipos R2'!G277</f>
        <v>0</v>
      </c>
      <c r="G30" s="292">
        <f>'Rem. Anticipos R2'!H277</f>
        <v>0</v>
      </c>
      <c r="H30" s="292">
        <f>'Rem. Anticipos R2'!I277</f>
        <v>0</v>
      </c>
      <c r="I30" s="292">
        <f>'Rem. Anticipos R2'!J277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R2'!K277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R2'!L277</f>
        <v>0</v>
      </c>
      <c r="V30" s="317">
        <f>'Rem. Anticipos R2'!M277</f>
        <v>0</v>
      </c>
      <c r="W30" s="317">
        <f>'Rem. Anticipos R2'!N277</f>
        <v>0</v>
      </c>
      <c r="X30" s="317">
        <f>'Rem. Anticipos R2'!O277</f>
        <v>0</v>
      </c>
      <c r="Y30" s="318">
        <f>'Rem. Anticipos R2'!P277</f>
        <v>0</v>
      </c>
      <c r="Z30" s="319">
        <f>L30*-1</f>
        <v>0</v>
      </c>
      <c r="AA30" s="320">
        <f>'Rem. Anticipos R2'!Q277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R2'!E278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R2'!E377</f>
        <v>0</v>
      </c>
      <c r="E31" s="292">
        <f>'Rem. Anticipos R2'!F377</f>
        <v>0</v>
      </c>
      <c r="F31" s="292">
        <f>'Rem. Anticipos R2'!G377</f>
        <v>0</v>
      </c>
      <c r="G31" s="292">
        <f>'Rem. Anticipos R2'!H377</f>
        <v>0</v>
      </c>
      <c r="H31" s="292">
        <f>'Rem. Anticipos R2'!I377</f>
        <v>0</v>
      </c>
      <c r="I31" s="292">
        <f>'Rem. Anticipos R2'!J377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R2'!K377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R2'!L377</f>
        <v>0</v>
      </c>
      <c r="V31" s="317">
        <f>'Rem. Anticipos R2'!M377</f>
        <v>0</v>
      </c>
      <c r="W31" s="317">
        <f>'Rem. Anticipos R2'!N377</f>
        <v>0</v>
      </c>
      <c r="X31" s="317">
        <f>'Rem. Anticipos R2'!O377</f>
        <v>0</v>
      </c>
      <c r="Y31" s="318">
        <f>'Rem. Anticipos R2'!P377</f>
        <v>0</v>
      </c>
      <c r="Z31" s="319">
        <f>L31*-1</f>
        <v>0</v>
      </c>
      <c r="AA31" s="320">
        <f>'Rem. Anticipos R2'!Q377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R2'!E378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R2'!E461</f>
        <v>0</v>
      </c>
      <c r="E32" s="297">
        <f>'Rem. Anticipos R2'!F461</f>
        <v>0</v>
      </c>
      <c r="F32" s="297">
        <f>'Rem. Anticipos R2'!G461</f>
        <v>0</v>
      </c>
      <c r="G32" s="297">
        <f>'Rem. Anticipos R2'!H461</f>
        <v>0</v>
      </c>
      <c r="H32" s="297">
        <f>'Rem. Anticipos R2'!I461</f>
        <v>0</v>
      </c>
      <c r="I32" s="297">
        <f>'Rem. Anticipos R2'!J461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R2'!K461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R2'!L461</f>
        <v>0</v>
      </c>
      <c r="V32" s="297">
        <f>'Rem. Anticipos R2'!M461</f>
        <v>0</v>
      </c>
      <c r="W32" s="297">
        <f>'Rem. Anticipos R2'!N461</f>
        <v>0</v>
      </c>
      <c r="X32" s="297">
        <f>'Rem. Anticipos R2'!O461</f>
        <v>0</v>
      </c>
      <c r="Y32" s="289">
        <f>'Rem. Anticipos R2'!P461</f>
        <v>0</v>
      </c>
      <c r="Z32" s="319">
        <f>L32*-1</f>
        <v>0</v>
      </c>
      <c r="AA32" s="320">
        <f>'Rem. Anticipos R2'!Q461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R2'!E462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R1'!F102</f>
        <v>0</v>
      </c>
      <c r="E47" s="292">
        <f>'Reporte Componentes R1'!G102</f>
        <v>0</v>
      </c>
      <c r="F47" s="292">
        <f>'Reporte Componentes R1'!H102</f>
        <v>0</v>
      </c>
      <c r="G47" s="292">
        <f>'Reporte Componentes R1'!I102</f>
        <v>0</v>
      </c>
      <c r="H47" s="292">
        <f>'Reporte Componentes R1'!J102</f>
        <v>0</v>
      </c>
      <c r="I47" s="292">
        <f>'Reporte Componentes R1'!K102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R1'!M102</f>
        <v>0</v>
      </c>
      <c r="V47" s="308">
        <f>'Reporte Componentes R1'!N102</f>
        <v>0</v>
      </c>
      <c r="W47" s="308">
        <f>'Reporte Componentes R1'!O102</f>
        <v>0</v>
      </c>
      <c r="X47" s="308">
        <f>'Reporte Componentes R1'!P102</f>
        <v>0</v>
      </c>
      <c r="Y47" s="309">
        <f>'Reporte Componentes R1'!Q102</f>
        <v>0</v>
      </c>
      <c r="Z47" s="310">
        <f>-L47</f>
        <v>0</v>
      </c>
      <c r="AA47" s="311">
        <f>'Reporte Componentes R1'!R102+'Reporte Componentes R1'!S102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R1'!F103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R1'!F281</f>
        <v>0</v>
      </c>
      <c r="E48" s="292">
        <f>'Reporte Componentes R1'!G281</f>
        <v>0</v>
      </c>
      <c r="F48" s="292">
        <f>'Reporte Componentes R1'!H281</f>
        <v>0</v>
      </c>
      <c r="G48" s="292">
        <f>'Reporte Componentes R1'!I281</f>
        <v>0</v>
      </c>
      <c r="H48" s="292">
        <f>'Reporte Componentes R1'!J281</f>
        <v>0</v>
      </c>
      <c r="I48" s="292">
        <f>'Reporte Componentes R1'!K281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R1'!L281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R1'!M281</f>
        <v>0</v>
      </c>
      <c r="V48" s="317">
        <f>'Reporte Componentes R1'!N281</f>
        <v>0</v>
      </c>
      <c r="W48" s="317">
        <f>'Reporte Componentes R1'!O281</f>
        <v>0</v>
      </c>
      <c r="X48" s="317">
        <f>'Reporte Componentes R1'!P281</f>
        <v>0</v>
      </c>
      <c r="Y48" s="318">
        <f>'Reporte Componentes R1'!Q281</f>
        <v>0</v>
      </c>
      <c r="Z48" s="319">
        <f>-L48</f>
        <v>0</v>
      </c>
      <c r="AA48" s="320">
        <f>'Reporte Componentes R1'!R281+'Reporte Componentes R1'!S281+'Reporte Componentes R1'!T281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R1'!F282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R1'!F442</f>
        <v>0</v>
      </c>
      <c r="E49" s="292">
        <f>'Reporte Componentes R1'!G442</f>
        <v>0</v>
      </c>
      <c r="F49" s="292">
        <f>'Reporte Componentes R1'!H442</f>
        <v>0</v>
      </c>
      <c r="G49" s="292">
        <f>'Reporte Componentes R1'!I442</f>
        <v>0</v>
      </c>
      <c r="H49" s="292">
        <f>'Reporte Componentes R1'!J442</f>
        <v>0</v>
      </c>
      <c r="I49" s="292">
        <f>'Reporte Componentes R1'!K442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R1'!M442</f>
        <v>0</v>
      </c>
      <c r="V49" s="317">
        <f>'Reporte Componentes R1'!N442</f>
        <v>0</v>
      </c>
      <c r="W49" s="317">
        <f>'Reporte Componentes R1'!O442</f>
        <v>0</v>
      </c>
      <c r="X49" s="317">
        <f>'Reporte Componentes R1'!P442</f>
        <v>0</v>
      </c>
      <c r="Y49" s="318">
        <f>'Reporte Componentes R1'!Q442</f>
        <v>0</v>
      </c>
      <c r="Z49" s="319">
        <f>-L49</f>
        <v>0</v>
      </c>
      <c r="AA49" s="320">
        <f>'Reporte Componentes R1'!R442+'Reporte Componentes R1'!S442+'Reporte Componentes R1'!T442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R1'!F443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R1'!F595</f>
        <v>0</v>
      </c>
      <c r="E50" s="292">
        <f>'Reporte Componentes R1'!G595</f>
        <v>0</v>
      </c>
      <c r="F50" s="292">
        <f>'Reporte Componentes R1'!H595</f>
        <v>0</v>
      </c>
      <c r="G50" s="292">
        <f>'Reporte Componentes R1'!I595</f>
        <v>0</v>
      </c>
      <c r="H50" s="292">
        <f>'Reporte Componentes R1'!J595</f>
        <v>0</v>
      </c>
      <c r="I50" s="292">
        <f>'Reporte Componentes R1'!K595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R1'!M595</f>
        <v>0</v>
      </c>
      <c r="V50" s="317">
        <f>'Reporte Componentes R1'!N595</f>
        <v>0</v>
      </c>
      <c r="W50" s="317">
        <f>'Reporte Componentes R1'!O595</f>
        <v>0</v>
      </c>
      <c r="X50" s="317">
        <f>'Reporte Componentes R1'!P595</f>
        <v>0</v>
      </c>
      <c r="Y50" s="318">
        <f>'Reporte Componentes R1'!Q595</f>
        <v>0</v>
      </c>
      <c r="Z50" s="319">
        <f>-L50</f>
        <v>0</v>
      </c>
      <c r="AA50" s="320">
        <f>'Reporte Componentes R1'!R595+'Reporte Componentes R1'!S595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R1'!F596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R1'!F707</f>
        <v>0</v>
      </c>
      <c r="E51" s="297">
        <f>'Reporte Componentes R1'!G707</f>
        <v>0</v>
      </c>
      <c r="F51" s="297">
        <f>'Reporte Componentes R1'!H707</f>
        <v>0</v>
      </c>
      <c r="G51" s="297">
        <f>'Reporte Componentes R1'!I707</f>
        <v>0</v>
      </c>
      <c r="H51" s="297">
        <f>'Reporte Componentes R1'!J707</f>
        <v>0</v>
      </c>
      <c r="I51" s="297">
        <f>'Reporte Componentes R1'!K707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R1'!M707</f>
        <v>0</v>
      </c>
      <c r="V51" s="297">
        <f>'Reporte Componentes R1'!N707</f>
        <v>0</v>
      </c>
      <c r="W51" s="297">
        <f>'Reporte Componentes R1'!O707</f>
        <v>0</v>
      </c>
      <c r="X51" s="297">
        <f>'Reporte Componentes R1'!P707</f>
        <v>0</v>
      </c>
      <c r="Y51" s="289">
        <f>'Reporte Componentes R1'!Q707</f>
        <v>0</v>
      </c>
      <c r="Z51" s="319">
        <f>-L51</f>
        <v>0</v>
      </c>
      <c r="AA51" s="320">
        <f>'Reporte Componentes R1'!R707+'Reporte Componentes R1'!S707+'Reporte Componentes R1'!T707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R1'!F708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2">
        <f>'Reversion Pagos R4'!E88</f>
        <v>0</v>
      </c>
      <c r="F66" s="292">
        <f>'Reversion Pagos R4'!F88</f>
        <v>0</v>
      </c>
      <c r="G66" s="292">
        <f>'Reversion Pagos R4'!G88</f>
        <v>0</v>
      </c>
      <c r="H66" s="292">
        <f>'Reversion Pagos R4'!H88</f>
        <v>0</v>
      </c>
      <c r="I66" s="292">
        <f>'Reversion Pagos R4'!I88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8">
        <f>'Reversion Pagos R4'!K88</f>
        <v>0</v>
      </c>
      <c r="W66" s="308">
        <f>'Reversion Pagos R4'!L88</f>
        <v>0</v>
      </c>
      <c r="X66" s="308">
        <f>'Reversion Pagos R4'!M88</f>
        <v>0</v>
      </c>
      <c r="Y66" s="308">
        <f>'Reversion Pagos R4'!N88</f>
        <v>0</v>
      </c>
      <c r="Z66" s="310">
        <f>-L66</f>
        <v>0</v>
      </c>
      <c r="AA66" s="311">
        <f>'Reversion Pagos R4'!O88+'Reversion Pagos R4'!Q88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2">
        <f>'Reversion Pagos R4'!E189</f>
        <v>0</v>
      </c>
      <c r="F67" s="292">
        <f>'Reversion Pagos R4'!F189</f>
        <v>0</v>
      </c>
      <c r="G67" s="292">
        <f>'Reversion Pagos R4'!G189</f>
        <v>0</v>
      </c>
      <c r="H67" s="292">
        <f>'Reversion Pagos R4'!H189</f>
        <v>0</v>
      </c>
      <c r="I67" s="292">
        <f>'Reversion Pagos R4'!I189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7">
        <f>'Reversion Pagos R4'!K189</f>
        <v>0</v>
      </c>
      <c r="W67" s="317">
        <f>'Reversion Pagos R4'!L189</f>
        <v>0</v>
      </c>
      <c r="X67" s="317">
        <f>'Reversion Pagos R4'!M189</f>
        <v>0</v>
      </c>
      <c r="Y67" s="318">
        <f>'Reversion Pagos R4'!N189</f>
        <v>0</v>
      </c>
      <c r="Z67" s="319">
        <f t="shared" ref="Z67:Z70" si="26">-L67</f>
        <v>0</v>
      </c>
      <c r="AA67" s="320">
        <f>'Reversion Pagos R4'!O189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2">
        <f>'Reversion Pagos R4'!E226</f>
        <v>0</v>
      </c>
      <c r="F68" s="292">
        <f>'Reversion Pagos R4'!F226</f>
        <v>0</v>
      </c>
      <c r="G68" s="292">
        <f>'Reversion Pagos R4'!G226</f>
        <v>0</v>
      </c>
      <c r="H68" s="292">
        <f>'Reversion Pagos R4'!H226</f>
        <v>0</v>
      </c>
      <c r="I68" s="292">
        <f>'Reversion Pagos R4'!I226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7">
        <f>'Reversion Pagos R4'!K226</f>
        <v>0</v>
      </c>
      <c r="W68" s="317">
        <f>'Reversion Pagos R4'!L226</f>
        <v>0</v>
      </c>
      <c r="X68" s="317">
        <f>'Reversion Pagos R4'!M226</f>
        <v>0</v>
      </c>
      <c r="Y68" s="318">
        <f>'Reversion Pagos R4'!N226</f>
        <v>0</v>
      </c>
      <c r="Z68" s="319">
        <f t="shared" si="26"/>
        <v>0</v>
      </c>
      <c r="AA68" s="320">
        <f>'Reversion Pagos R4'!O226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R4'!D227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2">
        <f>'Reversion Pagos R4'!E341</f>
        <v>0</v>
      </c>
      <c r="F69" s="292">
        <f>'Reversion Pagos R4'!F341</f>
        <v>0</v>
      </c>
      <c r="G69" s="292">
        <f>'Reversion Pagos R4'!G341</f>
        <v>0</v>
      </c>
      <c r="H69" s="292">
        <f>'Reversion Pagos R4'!H341</f>
        <v>0</v>
      </c>
      <c r="I69" s="292">
        <f>'Reversion Pagos R4'!I341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7">
        <f>'Reversion Pagos R4'!K341</f>
        <v>0</v>
      </c>
      <c r="W69" s="317">
        <f>'Reversion Pagos R4'!L341</f>
        <v>0</v>
      </c>
      <c r="X69" s="317">
        <f>'Reversion Pagos R4'!M341</f>
        <v>0</v>
      </c>
      <c r="Y69" s="318">
        <f>'Reversion Pagos R4'!N341</f>
        <v>0</v>
      </c>
      <c r="Z69" s="319">
        <f t="shared" si="26"/>
        <v>0</v>
      </c>
      <c r="AA69" s="320">
        <f>'Reversion Pagos R4'!O341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6"/>
        <v>0</v>
      </c>
      <c r="AA70" s="320">
        <f>'Reversion Pagos R4'!O376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R4'!D377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46281</v>
      </c>
      <c r="J7" s="2" t="s">
        <v>28</v>
      </c>
      <c r="K7" s="9">
        <f>'CONSOLIDADO_TOTAL RECAUDO'!K102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341</v>
      </c>
      <c r="F6" s="660" t="s">
        <v>230</v>
      </c>
    </row>
    <row r="7" spans="2:20" customFormat="1" x14ac:dyDescent="0.25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</v>
      </c>
      <c r="E23" s="648">
        <f>E9-'CONSOLIDADO_TOTAL RECAUDO'!E104</f>
        <v>0</v>
      </c>
      <c r="F23" s="648">
        <f>F9-'CONSOLIDADO_TOTAL RECAUDO'!F104</f>
        <v>0</v>
      </c>
      <c r="G23" s="648">
        <f>G9-'CONSOLIDADO_TOTAL RECAUDO'!G104</f>
        <v>0</v>
      </c>
      <c r="H23" s="648">
        <f>H9-'CONSOLIDADO_TOTAL RECAUDO'!H104</f>
        <v>0</v>
      </c>
      <c r="I23" s="648">
        <f>I9-'CONSOLIDADO_TOTAL RECAUDO'!I104</f>
        <v>0</v>
      </c>
      <c r="J23" s="648">
        <f>J9-'CONSOLIDADO_TOTAL RECAUDO'!J104</f>
        <v>0</v>
      </c>
      <c r="K23" s="648">
        <f>K9-'CONSOLIDADO_TOTAL RECAUDO'!K104</f>
        <v>0</v>
      </c>
      <c r="L23" s="648">
        <f>L9-'CONSOLIDADO_TOTAL RECAUDO'!L104</f>
        <v>-189185988</v>
      </c>
      <c r="M23" s="648">
        <f>M9-'CONSOLIDADO_TOTAL RECAUDO'!M104</f>
        <v>189185988</v>
      </c>
      <c r="N23" s="648">
        <f>N9-'CONSOLIDADO_TOTAL RECAUDO'!N104</f>
        <v>0</v>
      </c>
      <c r="O23" s="648">
        <f>O9-'CONSOLIDADO_TOTAL RECAUDO'!O104</f>
        <v>189185988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0</v>
      </c>
      <c r="E24" s="648">
        <f>E10-'CONSOLIDADO_TOTAL RECAUDO'!E105</f>
        <v>0</v>
      </c>
      <c r="F24" s="648">
        <f>F10-'CONSOLIDADO_TOTAL RECAUDO'!F105</f>
        <v>0</v>
      </c>
      <c r="G24" s="648">
        <f>G10-'CONSOLIDADO_TOTAL RECAUDO'!G105</f>
        <v>0</v>
      </c>
      <c r="H24" s="648">
        <f>H10-'CONSOLIDADO_TOTAL RECAUDO'!H105</f>
        <v>0</v>
      </c>
      <c r="I24" s="648">
        <f>I10-'CONSOLIDADO_TOTAL RECAUDO'!I105</f>
        <v>0</v>
      </c>
      <c r="J24" s="648">
        <f>J10-'CONSOLIDADO_TOTAL RECAUDO'!J105</f>
        <v>0</v>
      </c>
      <c r="K24" s="648">
        <f>K10-'CONSOLIDADO_TOTAL RECAUDO'!K105</f>
        <v>0</v>
      </c>
      <c r="L24" s="648">
        <f>L10-'CONSOLIDADO_TOTAL RECAUDO'!L105</f>
        <v>-266580256</v>
      </c>
      <c r="M24" s="648">
        <f>M10-'CONSOLIDADO_TOTAL RECAUDO'!M105</f>
        <v>266580256</v>
      </c>
      <c r="N24" s="648">
        <f>N10-'CONSOLIDADO_TOTAL RECAUDO'!N105</f>
        <v>0</v>
      </c>
      <c r="O24" s="648">
        <f>O10-'CONSOLIDADO_TOTAL RECAUDO'!O105</f>
        <v>266580256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0</v>
      </c>
      <c r="E25" s="648">
        <f>E11-'CONSOLIDADO_TOTAL RECAUDO'!E106</f>
        <v>0</v>
      </c>
      <c r="F25" s="648">
        <f>F11-'CONSOLIDADO_TOTAL RECAUDO'!F106</f>
        <v>0</v>
      </c>
      <c r="G25" s="648">
        <f>G11-'CONSOLIDADO_TOTAL RECAUDO'!G106</f>
        <v>0</v>
      </c>
      <c r="H25" s="648">
        <f>H11-'CONSOLIDADO_TOTAL RECAUDO'!H106</f>
        <v>0</v>
      </c>
      <c r="I25" s="648">
        <f>I11-'CONSOLIDADO_TOTAL RECAUDO'!I106</f>
        <v>0</v>
      </c>
      <c r="J25" s="648">
        <f>J11-'CONSOLIDADO_TOTAL RECAUDO'!J106</f>
        <v>0</v>
      </c>
      <c r="K25" s="648">
        <f>K11-'CONSOLIDADO_TOTAL RECAUDO'!K106</f>
        <v>0</v>
      </c>
      <c r="L25" s="648">
        <f>L11-'CONSOLIDADO_TOTAL RECAUDO'!L106</f>
        <v>-154788536</v>
      </c>
      <c r="M25" s="648">
        <f>M11-'CONSOLIDADO_TOTAL RECAUDO'!M106</f>
        <v>154788536</v>
      </c>
      <c r="N25" s="648">
        <f>N11-'CONSOLIDADO_TOTAL RECAUDO'!N106</f>
        <v>0</v>
      </c>
      <c r="O25" s="648">
        <f>O11-'CONSOLIDADO_TOTAL RECAUDO'!O106</f>
        <v>154788536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</v>
      </c>
      <c r="E26" s="648">
        <f>E12-'CONSOLIDADO_TOTAL RECAUDO'!E107</f>
        <v>0</v>
      </c>
      <c r="F26" s="648">
        <f>F12-'CONSOLIDADO_TOTAL RECAUDO'!F107</f>
        <v>0</v>
      </c>
      <c r="G26" s="648">
        <f>G12-'CONSOLIDADO_TOTAL RECAUDO'!G107</f>
        <v>0</v>
      </c>
      <c r="H26" s="648">
        <f>H12-'CONSOLIDADO_TOTAL RECAUDO'!H107</f>
        <v>0</v>
      </c>
      <c r="I26" s="648">
        <f>I12-'CONSOLIDADO_TOTAL RECAUDO'!I107</f>
        <v>0</v>
      </c>
      <c r="J26" s="648">
        <f>J12-'CONSOLIDADO_TOTAL RECAUDO'!J107</f>
        <v>0</v>
      </c>
      <c r="K26" s="648">
        <f>K12-'CONSOLIDADO_TOTAL RECAUDO'!K107</f>
        <v>0</v>
      </c>
      <c r="L26" s="648">
        <f>L12-'CONSOLIDADO_TOTAL RECAUDO'!L107</f>
        <v>-120391083</v>
      </c>
      <c r="M26" s="648">
        <f>M12-'CONSOLIDADO_TOTAL RECAUDO'!M107</f>
        <v>120391083</v>
      </c>
      <c r="N26" s="648">
        <f>N12-'CONSOLIDADO_TOTAL RECAUDO'!N107</f>
        <v>0</v>
      </c>
      <c r="O26" s="648">
        <f>O12-'CONSOLIDADO_TOTAL RECAUDO'!O107</f>
        <v>120391083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0</v>
      </c>
      <c r="E27" s="648">
        <f>E13-'CONSOLIDADO_TOTAL RECAUDO'!E108</f>
        <v>0</v>
      </c>
      <c r="F27" s="648">
        <f>F13-'CONSOLIDADO_TOTAL RECAUDO'!F108</f>
        <v>0</v>
      </c>
      <c r="G27" s="648">
        <f>G13-'CONSOLIDADO_TOTAL RECAUDO'!G108</f>
        <v>0</v>
      </c>
      <c r="H27" s="648">
        <f>H13-'CONSOLIDADO_TOTAL RECAUDO'!H108</f>
        <v>0</v>
      </c>
      <c r="I27" s="648">
        <f>I13-'CONSOLIDADO_TOTAL RECAUDO'!I108</f>
        <v>0</v>
      </c>
      <c r="J27" s="648">
        <f>J13-'CONSOLIDADO_TOTAL RECAUDO'!J108</f>
        <v>0</v>
      </c>
      <c r="K27" s="648">
        <f>K13-'CONSOLIDADO_TOTAL RECAUDO'!K108</f>
        <v>0</v>
      </c>
      <c r="L27" s="648">
        <f>L13-'CONSOLIDADO_TOTAL RECAUDO'!L108</f>
        <v>-128990446</v>
      </c>
      <c r="M27" s="648">
        <f>M13-'CONSOLIDADO_TOTAL RECAUDO'!M108</f>
        <v>128990446</v>
      </c>
      <c r="N27" s="648">
        <f>N13-'CONSOLIDADO_TOTAL RECAUDO'!N108</f>
        <v>0</v>
      </c>
      <c r="O27" s="648">
        <f>O13-'CONSOLIDADO_TOTAL RECAUDO'!O108</f>
        <v>128990446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0</v>
      </c>
      <c r="E28" s="648">
        <f>E14-'CONSOLIDADO_TOTAL RECAUDO'!E109</f>
        <v>0</v>
      </c>
      <c r="F28" s="648">
        <f>F14-'CONSOLIDADO_TOTAL RECAUDO'!F109</f>
        <v>0</v>
      </c>
      <c r="G28" s="648">
        <f>G14-'CONSOLIDADO_TOTAL RECAUDO'!G109</f>
        <v>0</v>
      </c>
      <c r="H28" s="648">
        <f>H14-'CONSOLIDADO_TOTAL RECAUDO'!H109</f>
        <v>0</v>
      </c>
      <c r="I28" s="648">
        <f>I14-'CONSOLIDADO_TOTAL RECAUDO'!I109</f>
        <v>0</v>
      </c>
      <c r="J28" s="648">
        <f>J14-'CONSOLIDADO_TOTAL RECAUDO'!J109</f>
        <v>0</v>
      </c>
      <c r="K28" s="648">
        <f>K14-'CONSOLIDADO_TOTAL RECAUDO'!K109</f>
        <v>0</v>
      </c>
      <c r="L28" s="648">
        <f>L14-'CONSOLIDADO_TOTAL RECAUDO'!L109</f>
        <v>-859936309</v>
      </c>
      <c r="M28" s="648">
        <f>M14-'CONSOLIDADO_TOTAL RECAUDO'!M109</f>
        <v>859936309</v>
      </c>
      <c r="N28" s="648">
        <f>N14-'CONSOLIDADO_TOTAL RECAUDO'!N109</f>
        <v>0</v>
      </c>
      <c r="O28" s="648">
        <f>O14-'CONSOLIDADO_TOTAL RECAUDO'!O109</f>
        <v>859936309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R1'!F75+'Rem. Anticipos R2'!E47+'Reversion Pagos R4'!D73+'Reporte Componentes R1'!F77+'AJUSTES - SF-T'!D47=D9</f>
        <v>1</v>
      </c>
      <c r="E32" s="651" t="b">
        <f>+E23+'Reporte Componentes R1'!G75+'Rem. Anticipos R2'!F47+'Reversion Pagos R4'!E73+'Reporte Componentes R1'!G77+'AJUSTES - SF-T'!E47=E9</f>
        <v>1</v>
      </c>
      <c r="F32" s="651" t="b">
        <f>+F23+'Reporte Componentes R1'!H75+'Rem. Anticipos R2'!G47+'Reversion Pagos R4'!F73+'Reporte Componentes R1'!H77+'AJUSTES - SF-T'!F47=F9</f>
        <v>1</v>
      </c>
      <c r="G32" s="651" t="b">
        <f>+G23+'Reporte Componentes R1'!I75+'Rem. Anticipos R2'!H47+'Reversion Pagos R4'!G73+'Reporte Componentes R1'!I77+'AJUSTES - SF-T'!G47=G9</f>
        <v>1</v>
      </c>
      <c r="H32" s="651" t="b">
        <f>+H23+'Reporte Componentes R1'!J75+'Rem. Anticipos R2'!I47+'Reversion Pagos R4'!H73+'Reporte Componentes R1'!J77+'AJUSTES - SF-T'!H47=H9</f>
        <v>1</v>
      </c>
      <c r="I32" s="651" t="b">
        <f>+I23+'Reporte Componentes R1'!K75+'Rem. Anticipos R2'!J47+'Reversion Pagos R4'!I73+'Reporte Componentes R1'!K77+'AJUSTES - SF-T'!I47=I9</f>
        <v>1</v>
      </c>
      <c r="J32" s="651" t="b">
        <f>+'BCE SC POR FACT.'!F3+J23=J9</f>
        <v>1</v>
      </c>
      <c r="K32" s="651" t="b">
        <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f>
        <v>1</v>
      </c>
      <c r="L32" s="698" t="b">
        <f>INTERVENTORIA!M26+L23=L9</f>
        <v>1</v>
      </c>
      <c r="M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f>
        <v>1</v>
      </c>
      <c r="N32" s="648" t="b">
        <f>'Reporte Componentes R1'!L75+'Rem. Anticipos R2'!K47+'Reversion Pagos R4'!P73+'Reporte Componentes R1'!L77+N23=N9</f>
        <v>1</v>
      </c>
      <c r="O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R1'!F254+'Rem. Anticipos R2'!E144+'Reversion Pagos R4'!D174+'Reporte Componentes R1'!F256+'AJUSTES - SF-T'!D48=D10</f>
        <v>1</v>
      </c>
      <c r="E33" s="651" t="b">
        <f>+E24+'Reporte Componentes R1'!G254+'Rem. Anticipos R2'!F144+'Reversion Pagos R4'!E174+'Reporte Componentes R1'!G256+'AJUSTES - SF-T'!E48=E10</f>
        <v>1</v>
      </c>
      <c r="F33" s="651" t="b">
        <f>+F24+'Reporte Componentes R1'!H254+'Rem. Anticipos R2'!G144+'Reversion Pagos R4'!F174+'Reporte Componentes R1'!H256+'AJUSTES - SF-T'!F48=F10</f>
        <v>1</v>
      </c>
      <c r="G33" s="651" t="b">
        <f>+G24+'Reporte Componentes R1'!I254+'Rem. Anticipos R2'!H144+'Reversion Pagos R4'!G174+'Reporte Componentes R1'!I256+'AJUSTES - SF-T'!G48=G10</f>
        <v>1</v>
      </c>
      <c r="H33" s="651" t="b">
        <f>+H24+'Reporte Componentes R1'!J254+'Rem. Anticipos R2'!I144+'Reversion Pagos R4'!H174+'Reporte Componentes R1'!J256+'AJUSTES - SF-T'!H48=H10</f>
        <v>1</v>
      </c>
      <c r="I33" s="651" t="b">
        <f>+I24+'Reporte Componentes R1'!K254+'Rem. Anticipos R2'!J144+'Reversion Pagos R4'!I174+'Reporte Componentes R1'!K256+'AJUSTES - SF-T'!I48=I10</f>
        <v>1</v>
      </c>
      <c r="J33" s="651" t="b">
        <f>+'BCE SC POR FACT.'!F4+J24=J10</f>
        <v>1</v>
      </c>
      <c r="K33" s="648" t="b">
        <f>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FACT.'!F4)+K24)+'AJUSTES - SF-T'!K48=K10</f>
        <v>1</v>
      </c>
      <c r="L33" s="698" t="b">
        <f>INTERVENTORIA!M27+L24=L10</f>
        <v>1</v>
      </c>
      <c r="M33" s="648" t="b">
        <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FACT.'!F4))+M24)-INTERVENTORIA!F16)+'AJUSTES - SF-T'!M48=M10</f>
        <v>1</v>
      </c>
      <c r="N33" s="648" t="b">
        <f>+'Reporte Componentes R1'!L254+'Rem. Anticipos R2'!K144+'Reversion Pagos R4'!P174+'Reporte Componentes R1'!L256+N24=N10</f>
        <v>1</v>
      </c>
      <c r="O33" s="648" t="b">
        <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FACT.'!F4)))-INTERVENTORIA!M27)+O24+'Reporte Componentes R1'!L254+'Rem. Anticipos R2'!K144+'Reversion Pagos R4'!P174+'Reporte Componentes R1'!L256+'AJUSTES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R1'!F415+'Reporte Componentes R1'!F417+'Rem. Anticipos R2'!E262+'Reversion Pagos R4'!D211+D25+'AJUSTES - SF-T'!D49=D11</f>
        <v>1</v>
      </c>
      <c r="E34" s="651" t="b">
        <f>+'Reporte Componentes R1'!G415+'Reporte Componentes R1'!G417+'Rem. Anticipos R2'!F262+'Reversion Pagos R4'!E211+E25+'AJUSTES - SF-T'!E49=E11</f>
        <v>1</v>
      </c>
      <c r="F34" s="651" t="b">
        <f>+'Reporte Componentes R1'!H415+'Reporte Componentes R1'!H417+'Rem. Anticipos R2'!G262+'Reversion Pagos R4'!F211+F25+'AJUSTES - SF-T'!F49=F11</f>
        <v>1</v>
      </c>
      <c r="G34" s="651" t="b">
        <f>+'Reporte Componentes R1'!I415+'Reporte Componentes R1'!I417+'Rem. Anticipos R2'!H262+'Reversion Pagos R4'!G211+G25+'AJUSTES - SF-T'!G49=G11</f>
        <v>1</v>
      </c>
      <c r="H34" s="651" t="b">
        <f>+'Reporte Componentes R1'!J415+'Reporte Componentes R1'!J417+'Rem. Anticipos R2'!I262+'Reversion Pagos R4'!H211+H25+'AJUSTES - SF-T'!H49=H11</f>
        <v>1</v>
      </c>
      <c r="I34" s="651" t="b">
        <f>+'Reporte Componentes R1'!K415+'Reporte Componentes R1'!K417+'Rem. Anticipos R2'!J262+'Reversion Pagos R4'!I211+I25+'AJUSTES - SF-T'!I49=I11</f>
        <v>1</v>
      </c>
      <c r="J34" s="651" t="b">
        <f>+'BCE SC POR FACT.'!F5+J25=J11</f>
        <v>1</v>
      </c>
      <c r="K34" s="648" t="b">
        <f>+'Reporte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FACT.'!F5)+K25+'AJUSTES - SF-T'!K49=K11</f>
        <v>1</v>
      </c>
      <c r="L34" s="698" t="b">
        <f>INTERVENTORIA!M28+L25=L11</f>
        <v>1</v>
      </c>
      <c r="M34" s="648" t="b">
        <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FACT.'!F5))+M25)-INTERVENTORIA!F17)+'AJUSTES - SF-T'!M49=M11</f>
        <v>1</v>
      </c>
      <c r="N34" s="648" t="b">
        <f>+'Reporte Componentes R1'!L415+'Reporte Componentes R1'!L417+'Rem. Anticipos R2'!K262+'Reversion Pagos R4'!P211+N25=N11</f>
        <v>1</v>
      </c>
      <c r="O34" s="648" t="b">
        <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FACT.'!F5)))-INTERVENTORIA!M28)++'Reporte Componentes R1'!L415+'Reporte Componentes R1'!L417+'Rem. Anticipos R2'!K262+'Reversion Pagos R4'!P211+O25+'AJUSTES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R1'!F568+'Reporte Componentes R1'!F570+'Rem. Anticipos R2'!E362+'Reversion Pagos R4'!D326+D26+'AJUSTES - SF-T'!D50=D12</f>
        <v>1</v>
      </c>
      <c r="E35" s="651" t="b">
        <f>+'Reporte Componentes R1'!G568+'Reporte Componentes R1'!G570+'Rem. Anticipos R2'!F362+'Reversion Pagos R4'!E326+E26+'AJUSTES - SF-T'!E50=E12</f>
        <v>1</v>
      </c>
      <c r="F35" s="651" t="b">
        <f>+'Reporte Componentes R1'!H568+'Reporte Componentes R1'!H570+'Rem. Anticipos R2'!G362+'Reversion Pagos R4'!F326+F26+'AJUSTES - SF-T'!F50=F12</f>
        <v>1</v>
      </c>
      <c r="G35" s="651" t="b">
        <f>+'Reporte Componentes R1'!I568+'Reporte Componentes R1'!I570+'Rem. Anticipos R2'!H362+'Reversion Pagos R4'!G326+G26+'AJUSTES - SF-T'!G50=G12</f>
        <v>1</v>
      </c>
      <c r="H35" s="651" t="b">
        <f>+'Reporte Componentes R1'!J568+'Reporte Componentes R1'!J570+'Rem. Anticipos R2'!I362+'Reversion Pagos R4'!H326+H26+'AJUSTES - SF-T'!H50=H12</f>
        <v>1</v>
      </c>
      <c r="I35" s="651" t="b">
        <f>+'Reporte Componentes R1'!K568+'Reporte Componentes R1'!K570+'Rem. Anticipos R2'!J362+'Reversion Pagos R4'!I326+I26+'AJUSTES - SF-T'!I50=I12</f>
        <v>1</v>
      </c>
      <c r="J35" s="651" t="b">
        <f>+J26+'BCE SC POR FACT.'!F6=J12</f>
        <v>1</v>
      </c>
      <c r="K35" s="648" t="b">
        <f>+'Reporte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FACT.'!F6)+K26+'AJUSTES - SF-T'!K50=K12</f>
        <v>1</v>
      </c>
      <c r="L35" s="698" t="b">
        <f>INTERVENTORIA!M29+L26=L12</f>
        <v>1</v>
      </c>
      <c r="M35" s="648" t="b">
        <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FACT.'!F6))+M26)-INTERVENTORIA!F18)+'AJUSTES - SF-T'!M50=M12</f>
        <v>1</v>
      </c>
      <c r="N35" s="648" t="b">
        <f>+'Reporte Componentes R1'!L568+'Reporte Componentes R1'!L570+'Rem. Anticipos R2'!K362+'Reversion Pagos R4'!P326+N26=N12</f>
        <v>1</v>
      </c>
      <c r="O35" s="648" t="b">
        <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FACT.'!F6)))-INTERVENTORIA!M29)+'Reporte Componentes R1'!L568+'Reporte Componentes R1'!L570+'Rem. Anticipos R2'!K362+'Reversion Pagos R4'!P326+O26+'AJUSTES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R1'!F680+'Reporte Componentes R1'!F682+'Rem. Anticipos R2'!E446+'Reversion Pagos R4'!D361+'AJUSTES - SF-T'!D51=D13</f>
        <v>1</v>
      </c>
      <c r="E36" s="651" t="b">
        <f>+E27+'Reporte Componentes R1'!G680+'Reporte Componentes R1'!G682+'Rem. Anticipos R2'!F446+'Reversion Pagos R4'!E361+'AJUSTES - SF-T'!E51=E13</f>
        <v>1</v>
      </c>
      <c r="F36" s="651" t="b">
        <f>+F27+'Reporte Componentes R1'!H680+'Reporte Componentes R1'!H682+'Rem. Anticipos R2'!G446+'Reversion Pagos R4'!F361+'AJUSTES - SF-T'!F51=F13</f>
        <v>1</v>
      </c>
      <c r="G36" s="651" t="b">
        <f>+G27+'Reporte Componentes R1'!I680+'Reporte Componentes R1'!I682+'Rem. Anticipos R2'!H446+'Reversion Pagos R4'!G361+'AJUSTES - SF-T'!G51=G13</f>
        <v>1</v>
      </c>
      <c r="H36" s="651" t="b">
        <f>+H27+'Reporte Componentes R1'!J680+'Reporte Componentes R1'!J682+'Rem. Anticipos R2'!I446+'Reversion Pagos R4'!H361+'AJUSTES - SF-T'!H51=H13</f>
        <v>1</v>
      </c>
      <c r="I36" s="651" t="b">
        <f>+I27+'Reporte Componentes R1'!K680+'Reporte Componentes R1'!K682+'Rem. Anticipos R2'!J446+'Reversion Pagos R4'!I361+'AJUSTES - SF-T'!I51=I13</f>
        <v>1</v>
      </c>
      <c r="J36" s="651" t="b">
        <f>+'BCE SC POR FACT.'!F7+J27=J13</f>
        <v>1</v>
      </c>
      <c r="K36" s="648" t="b">
        <f>+'Reporte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FACT.'!F7)+K27+'AJUSTES - SF-T'!K51=K13</f>
        <v>1</v>
      </c>
      <c r="L36" s="698" t="b">
        <f>INTERVENTORIA!M30+L27=L13</f>
        <v>1</v>
      </c>
      <c r="M36" s="648" t="b">
        <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FACT.'!F7))+M27)-INTERVENTORIA!F19)+'AJUSTES - SF-T'!M51=M13</f>
        <v>1</v>
      </c>
      <c r="N36" s="648" t="b">
        <f>+'Reporte Componentes R1'!L680+'Reporte Componentes R1'!L682+'Rem. Anticipos R2'!K446+'Reversion Pagos R4'!P361+N27=N13</f>
        <v>1</v>
      </c>
      <c r="O36" s="648" t="b">
        <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FACT.'!F7)))-INTERVENTORIA!M30)+'Reporte Componentes R1'!L680+'Reporte Componentes R1'!L682+'Rem. Anticipos R2'!K446+'Reversion Pagos R4'!P361+O27+'AJUSTES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K13" workbookViewId="0">
      <selection activeCell="R28" sqref="R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341</v>
      </c>
      <c r="F6" s="660" t="s">
        <v>230</v>
      </c>
    </row>
    <row r="7" spans="2:15" customFormat="1" x14ac:dyDescent="0.25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0</v>
      </c>
      <c r="E16" s="648">
        <f>E9-'CONSOLIDADO_TOTAL RECAUDO'!V104</f>
        <v>0</v>
      </c>
      <c r="F16" s="648">
        <f>F9-'CONSOLIDADO_TOTAL RECAUDO'!W104</f>
        <v>0</v>
      </c>
      <c r="G16" s="648">
        <f>G9-'CONSOLIDADO_TOTAL RECAUDO'!X104</f>
        <v>0</v>
      </c>
      <c r="H16" s="648">
        <f>H9-'CONSOLIDADO_TOTAL RECAUDO'!Y104</f>
        <v>0</v>
      </c>
      <c r="I16" s="648">
        <f>I9-'CONSOLIDADO_TOTAL RECAUDO'!Z104</f>
        <v>189185988</v>
      </c>
      <c r="J16" s="648">
        <f>J9-'CONSOLIDADO_TOTAL RECAUDO'!AA104-'CONSOLIDADO_TOTAL RECAUDO'!AC104</f>
        <v>0</v>
      </c>
      <c r="K16" s="648">
        <f>K9-'CONSOLIDADO_TOTAL RECAUDO'!AB104</f>
        <v>0</v>
      </c>
      <c r="L16" s="648">
        <f>L9-'CONSOLIDADO_TOTAL RECAUDO'!AE104</f>
        <v>0</v>
      </c>
      <c r="M16" s="648">
        <f>M9-'CONSOLIDADO_TOTAL RECAUDO'!AD104</f>
        <v>0</v>
      </c>
      <c r="N16" s="648">
        <f>N9-'CONSOLIDADO_TOTAL RECAUDO'!AF104</f>
        <v>189185988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</v>
      </c>
      <c r="E17" s="648">
        <f>E10-'CONSOLIDADO_TOTAL RECAUDO'!V105</f>
        <v>0</v>
      </c>
      <c r="F17" s="648">
        <f>F10-'CONSOLIDADO_TOTAL RECAUDO'!W105</f>
        <v>0</v>
      </c>
      <c r="G17" s="648">
        <f>G10-'CONSOLIDADO_TOTAL RECAUDO'!X105</f>
        <v>0</v>
      </c>
      <c r="H17" s="648">
        <f>H10-'CONSOLIDADO_TOTAL RECAUDO'!Y105</f>
        <v>0</v>
      </c>
      <c r="I17" s="648">
        <f>I10-'CONSOLIDADO_TOTAL RECAUDO'!Z105</f>
        <v>266580256</v>
      </c>
      <c r="J17" s="648">
        <f>J10-'CONSOLIDADO_TOTAL RECAUDO'!AA105-'CONSOLIDADO_TOTAL RECAUDO'!AC105</f>
        <v>0</v>
      </c>
      <c r="K17" s="648">
        <f>K10-'CONSOLIDADO_TOTAL RECAUDO'!AB105</f>
        <v>0</v>
      </c>
      <c r="L17" s="648">
        <f>L10-'CONSOLIDADO_TOTAL RECAUDO'!AE105</f>
        <v>0</v>
      </c>
      <c r="M17" s="648">
        <f>M10-'CONSOLIDADO_TOTAL RECAUDO'!AD105</f>
        <v>0</v>
      </c>
      <c r="N17" s="648">
        <f>N10-'CONSOLIDADO_TOTAL RECAUDO'!AF105</f>
        <v>266580256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0</v>
      </c>
      <c r="E18" s="648">
        <f>E11-'CONSOLIDADO_TOTAL RECAUDO'!V106</f>
        <v>0</v>
      </c>
      <c r="F18" s="648">
        <f>F11-'CONSOLIDADO_TOTAL RECAUDO'!W106</f>
        <v>0</v>
      </c>
      <c r="G18" s="648">
        <f>G11-'CONSOLIDADO_TOTAL RECAUDO'!X106</f>
        <v>0</v>
      </c>
      <c r="H18" s="648">
        <f>H11-'CONSOLIDADO_TOTAL RECAUDO'!Y106</f>
        <v>0</v>
      </c>
      <c r="I18" s="648">
        <f>I11-'CONSOLIDADO_TOTAL RECAUDO'!Z106</f>
        <v>154788536</v>
      </c>
      <c r="J18" s="648">
        <f>J11-'CONSOLIDADO_TOTAL RECAUDO'!AA106-'CONSOLIDADO_TOTAL RECAUDO'!AC106</f>
        <v>0</v>
      </c>
      <c r="K18" s="648">
        <f>K11-'CONSOLIDADO_TOTAL RECAUDO'!AB106</f>
        <v>0</v>
      </c>
      <c r="L18" s="648">
        <f>L11-'CONSOLIDADO_TOTAL RECAUDO'!AE106</f>
        <v>0</v>
      </c>
      <c r="M18" s="648">
        <f>M11-'CONSOLIDADO_TOTAL RECAUDO'!AD106</f>
        <v>0</v>
      </c>
      <c r="N18" s="648">
        <f>N11-'CONSOLIDADO_TOTAL RECAUDO'!AF106</f>
        <v>154788536</v>
      </c>
      <c r="O18" s="648">
        <f>O11-'CONSOLIDADO_TOTAL RECAUDO'!AG106</f>
        <v>0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0</v>
      </c>
      <c r="E19" s="648">
        <f>E12-'CONSOLIDADO_TOTAL RECAUDO'!V107</f>
        <v>0</v>
      </c>
      <c r="F19" s="648">
        <f>F12-'CONSOLIDADO_TOTAL RECAUDO'!W107</f>
        <v>0</v>
      </c>
      <c r="G19" s="648">
        <f>G12-'CONSOLIDADO_TOTAL RECAUDO'!X107</f>
        <v>0</v>
      </c>
      <c r="H19" s="648">
        <f>H12-'CONSOLIDADO_TOTAL RECAUDO'!Y107</f>
        <v>0</v>
      </c>
      <c r="I19" s="648">
        <f>I12-'CONSOLIDADO_TOTAL RECAUDO'!Z107</f>
        <v>120391083</v>
      </c>
      <c r="J19" s="648">
        <f>J12-'CONSOLIDADO_TOTAL RECAUDO'!AA107-'CONSOLIDADO_TOTAL RECAUDO'!AC107</f>
        <v>0</v>
      </c>
      <c r="K19" s="648">
        <f>K12-'CONSOLIDADO_TOTAL RECAUDO'!AB107</f>
        <v>0</v>
      </c>
      <c r="L19" s="648">
        <f>L12-'CONSOLIDADO_TOTAL RECAUDO'!AE107</f>
        <v>0</v>
      </c>
      <c r="M19" s="648">
        <f>M12-'CONSOLIDADO_TOTAL RECAUDO'!AD107</f>
        <v>0</v>
      </c>
      <c r="N19" s="648">
        <f>N12-'CONSOLIDADO_TOTAL RECAUDO'!AF107</f>
        <v>120391083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</v>
      </c>
      <c r="E20" s="648">
        <f>E13-'CONSOLIDADO_TOTAL RECAUDO'!V108</f>
        <v>0</v>
      </c>
      <c r="F20" s="648">
        <f>F13-'CONSOLIDADO_TOTAL RECAUDO'!W108</f>
        <v>0</v>
      </c>
      <c r="G20" s="648">
        <f>G13-'CONSOLIDADO_TOTAL RECAUDO'!X108</f>
        <v>0</v>
      </c>
      <c r="H20" s="648">
        <f>H13-'CONSOLIDADO_TOTAL RECAUDO'!Y108</f>
        <v>0</v>
      </c>
      <c r="I20" s="648">
        <f>I13-'CONSOLIDADO_TOTAL RECAUDO'!Z108</f>
        <v>128990446</v>
      </c>
      <c r="J20" s="648">
        <f>J13-'CONSOLIDADO_TOTAL RECAUDO'!AA108-'CONSOLIDADO_TOTAL RECAUDO'!AC108</f>
        <v>0</v>
      </c>
      <c r="K20" s="648">
        <f>K13-'CONSOLIDADO_TOTAL RECAUDO'!AB108</f>
        <v>0</v>
      </c>
      <c r="L20" s="648">
        <f>L13-'CONSOLIDADO_TOTAL RECAUDO'!AE108</f>
        <v>0</v>
      </c>
      <c r="M20" s="648">
        <f>M13-'CONSOLIDADO_TOTAL RECAUDO'!AD108</f>
        <v>0</v>
      </c>
      <c r="N20" s="648">
        <f>N13-'CONSOLIDADO_TOTAL RECAUDO'!AF108</f>
        <v>128990446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0</v>
      </c>
      <c r="E21" s="648">
        <f>E14-'CONSOLIDADO_TOTAL RECAUDO'!V109</f>
        <v>0</v>
      </c>
      <c r="F21" s="648">
        <f>F14-'CONSOLIDADO_TOTAL RECAUDO'!W109</f>
        <v>0</v>
      </c>
      <c r="G21" s="648">
        <f>G14-'CONSOLIDADO_TOTAL RECAUDO'!X109</f>
        <v>0</v>
      </c>
      <c r="H21" s="648">
        <f>H14-'CONSOLIDADO_TOTAL RECAUDO'!Y109</f>
        <v>0</v>
      </c>
      <c r="I21" s="648">
        <f>I14-'CONSOLIDADO_TOTAL RECAUDO'!Z109</f>
        <v>859936309</v>
      </c>
      <c r="J21" s="648">
        <f>J14-'CONSOLIDADO_TOTAL RECAUDO'!AA109-'CONSOLIDADO_TOTAL RECAUDO'!AC109</f>
        <v>0</v>
      </c>
      <c r="K21" s="648">
        <f>K14-'CONSOLIDADO_TOTAL RECAUDO'!AB109</f>
        <v>0</v>
      </c>
      <c r="L21" s="648">
        <f>L14-'CONSOLIDADO_TOTAL RECAUDO'!AE109</f>
        <v>0</v>
      </c>
      <c r="M21" s="648">
        <f>M14-'CONSOLIDADO_TOTAL RECAUDO'!AD109</f>
        <v>0</v>
      </c>
      <c r="N21" s="648">
        <f>N14-'CONSOLIDADO_TOTAL RECAUDO'!AF109</f>
        <v>859936309</v>
      </c>
      <c r="O21" s="648">
        <f>O14-'CONSOLIDADO_TOTAL RECAUDO'!AG109</f>
        <v>0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R1'!M75+'Reporte Componentes R1'!M77+'Rem. Anticipos R2'!L47+'Reversion Pagos R4'!J73+D16+'AJUSTES - SF-T'!U47=D9</f>
        <v>1</v>
      </c>
      <c r="E24" s="648" t="b">
        <f>+'Reporte Componentes R1'!N75+'Reporte Componentes R1'!N77+'Rem. Anticipos R2'!M47+'Reversion Pagos R4'!K73+E16+'AJUSTES - SF-T'!V47=E9</f>
        <v>1</v>
      </c>
      <c r="F24" s="648" t="b">
        <f>+'Reporte Componentes R1'!O75+'Reporte Componentes R1'!O77+'Rem. Anticipos R2'!N47+'Reversion Pagos R4'!L73+F16+'AJUSTES - SF-T'!W47=F9</f>
        <v>1</v>
      </c>
      <c r="G24" s="648" t="b">
        <f>+'Reporte Componentes R1'!P75+'Reporte Componentes R1'!P77+'Rem. Anticipos R2'!O47+'Reversion Pagos R4'!M73+G16+'AJUSTES - SF-T'!X47=G9</f>
        <v>1</v>
      </c>
      <c r="H24" s="648" t="b">
        <f>+'Reporte Componentes R1'!Q75+'Reporte Componentes R1'!Q77+'Rem. Anticipos R2'!P47+'Reversion Pagos R4'!N73+H16+'AJUSTES - SF-T'!Y47=H9</f>
        <v>1</v>
      </c>
      <c r="I24" s="698" t="b">
        <f>-INTERVENTORIA!M26+I16=I9</f>
        <v>1</v>
      </c>
      <c r="J24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f>
        <v>1</v>
      </c>
      <c r="K24" s="648" t="b">
        <f>+DetRetri2026072!N32</f>
        <v>1</v>
      </c>
      <c r="L24" s="648" t="b">
        <f>'Reporte Componentes R1'!F76+'Rem. Anticipos R2'!E48+'Reporte Componentes R1'!F78+'Reversion Pagos R4'!D74+'AJUSTES - SF-T'!AD47+L16=L9</f>
        <v>1</v>
      </c>
      <c r="M24" s="648" t="b">
        <f>-'BCE SC POR FACT.'!F3+'Reporte Componentes R1'!F76+'Rem. Anticipos R2'!E48+'Reporte Componentes R1'!F78+'Reversion Pagos R4'!D74+'AJUSTES - SF-T'!AD47+M16=M9</f>
        <v>1</v>
      </c>
      <c r="N24" s="648" t="b">
        <f>'Reporte Componentes R1'!F76+'Rem. Anticipos R2'!E48+'Reporte Componentes R1'!F78+'Reversion Pagos R4'!D74+'AJUSTES - SF-T'!AD47+L16=L9</f>
        <v>1</v>
      </c>
      <c r="O24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f>
        <v>1</v>
      </c>
    </row>
    <row r="25" spans="2:16" x14ac:dyDescent="0.3">
      <c r="B25" s="610" t="s">
        <v>116</v>
      </c>
      <c r="C25" s="338" t="s">
        <v>11</v>
      </c>
      <c r="D25" s="654" t="b">
        <f>+'Reporte Componentes R1'!M254+'Rem. Anticipos R2'!L144+'Reversion Pagos R4'!J174+'Reporte Componentes R1'!M256+D17+'AJUSTES - SF-T'!U48=D10</f>
        <v>1</v>
      </c>
      <c r="E25" s="654" t="b">
        <f>+'Reporte Componentes R1'!N254+'Rem. Anticipos R2'!M144+'Reversion Pagos R4'!K174+'Reporte Componentes R1'!N256+E17+'AJUSTES - SF-T'!V48=E10</f>
        <v>1</v>
      </c>
      <c r="F25" s="654" t="b">
        <f>+'Reporte Componentes R1'!O254+'Rem. Anticipos R2'!N144+'Reversion Pagos R4'!L174+'Reporte Componentes R1'!O256+F17+'AJUSTES - SF-T'!W48=F10</f>
        <v>1</v>
      </c>
      <c r="G25" s="654" t="b">
        <f>+'Reporte Componentes R1'!P254+'Rem. Anticipos R2'!O144+'Reversion Pagos R4'!M174+'Reporte Componentes R1'!P256+G17+'AJUSTES - SF-T'!X48=G10</f>
        <v>1</v>
      </c>
      <c r="H25" s="654" t="b">
        <f>+'Reporte Componentes R1'!Q254+'Rem. Anticipos R2'!P144+'Reversion Pagos R4'!N174+'Reporte Componentes R1'!Q256+H17+'AJUSTES - SF-T'!Y48=H10</f>
        <v>1</v>
      </c>
      <c r="I25" s="698" t="b">
        <f>-INTERVENTORIA!M27+I17=I10</f>
        <v>1</v>
      </c>
      <c r="J25" s="654" t="b">
        <f>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f>
        <v>1</v>
      </c>
      <c r="K25" s="654" t="b">
        <f>+DetRetri2026072!N33</f>
        <v>1</v>
      </c>
      <c r="L25" s="648" t="b">
        <f>+'Reporte Componentes R1'!F255+'Rem. Anticipos R2'!E145+'Reporte Componentes R1'!F257+'Reversion Pagos R4'!D175+'AJUSTES - SF-T'!AD48+L17=L10</f>
        <v>1</v>
      </c>
      <c r="M25" s="715">
        <f>-'BCE SC POR FACT.'!F4+'Reporte Componentes R1'!F255+'Rem. Anticipos R2'!E145+'Reporte Componentes R1'!F257+'Reversion Pagos R4'!D175+'AJUSTES - SF-T'!AD48+M17-M10</f>
        <v>0</v>
      </c>
      <c r="N25" s="648" t="b">
        <f>'Reporte Componentes R1'!F255+'Rem. Anticipos R2'!E145+'Reporte Componentes R1'!F257+'Reversion Pagos R4'!D175+'AJUSTES - SF-T'!AD48+L17=L10</f>
        <v>1</v>
      </c>
      <c r="O25" s="648" t="b">
        <f>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R1'!Q256-INTERVENTORIA!I5+'Reporte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R1'!M415+'Reporte Componentes R1'!M417+'Rem. Anticipos R2'!L262+'Reversion Pagos R4'!J211+D18+'AJUSTES - SF-T'!U49=D11</f>
        <v>1</v>
      </c>
      <c r="E26" s="648" t="b">
        <f>+'Reporte Componentes R1'!N415+'Reporte Componentes R1'!N417+'Rem. Anticipos R2'!M262+'Reversion Pagos R4'!K211+E18+'AJUSTES - SF-T'!V49=E11</f>
        <v>1</v>
      </c>
      <c r="F26" s="648" t="b">
        <f>+'Reporte Componentes R1'!O415+'Reporte Componentes R1'!O417+'Rem. Anticipos R2'!N262+'Reversion Pagos R4'!L211+F18+'AJUSTES - SF-T'!W49=F11</f>
        <v>1</v>
      </c>
      <c r="G26" s="648" t="b">
        <f>+'Reporte Componentes R1'!P415+'Reporte Componentes R1'!P417+'Rem. Anticipos R2'!O262+'Reversion Pagos R4'!M211+G18+'AJUSTES - SF-T'!X49=G11</f>
        <v>1</v>
      </c>
      <c r="H26" s="648" t="b">
        <f>+'Reporte Componentes R1'!Q415+'Reporte Componentes R1'!Q417+'Rem. Anticipos R2'!P262+'Reversion Pagos R4'!N211+H18+'AJUSTES - SF-T'!Y49=H11</f>
        <v>1</v>
      </c>
      <c r="I26" s="698" t="b">
        <f>-INTERVENTORIA!M28+I18=I11</f>
        <v>1</v>
      </c>
      <c r="J26" s="648" t="b">
        <f>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f>
        <v>1</v>
      </c>
      <c r="K26" s="648" t="b">
        <f>+DetRetri2026072!N34</f>
        <v>1</v>
      </c>
      <c r="L26" s="648" t="b">
        <f>+'Reporte Componentes R1'!F416+'Rem. Anticipos R2'!E263+'Reporte Componentes R1'!F418+'Reversion Pagos R4'!D212+'AJUSTES - SF-T'!AD49+L18=L11</f>
        <v>1</v>
      </c>
      <c r="M26" s="715">
        <f>-'BCE SC POR FACT.'!F5+'Reporte Componentes R1'!F416+'Rem. Anticipos R2'!E263+'Reporte Componentes R1'!F418+'Reversion Pagos R4'!D212+'AJUSTES - SF-T'!AD49+M18-M11</f>
        <v>0</v>
      </c>
      <c r="N26" s="648" t="b">
        <f>'Reporte Componentes R1'!F416+'Rem. Anticipos R2'!E263+'Reporte Componentes R1'!F418+'Reversion Pagos R4'!D212+'AJUSTES - SF-T'!AD49+L18=L11</f>
        <v>1</v>
      </c>
      <c r="O26" s="712" t="b">
        <f>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R4'!N211-INTERVENTORIA!I6+'Reporte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R1'!M568+'Reporte Componentes R1'!M570+'Rem. Anticipos R2'!L362+'Reversion Pagos R4'!J326+D19+'AJUSTES - SF-T'!U50=D12</f>
        <v>1</v>
      </c>
      <c r="E27" s="648" t="b">
        <f>+'Reporte Componentes R1'!N568+'Reporte Componentes R1'!N570+'Rem. Anticipos R2'!M362+'Reversion Pagos R4'!K326+E19+'AJUSTES - SF-T'!V50=E12</f>
        <v>1</v>
      </c>
      <c r="F27" s="648" t="b">
        <f>+'Reporte Componentes R1'!O568+'Reporte Componentes R1'!O570+'Rem. Anticipos R2'!N362+'Reversion Pagos R4'!L326+F19+'AJUSTES - SF-T'!W50=F12</f>
        <v>1</v>
      </c>
      <c r="G27" s="648" t="b">
        <f>+'Reporte Componentes R1'!P568+'Reporte Componentes R1'!P570+'Rem. Anticipos R2'!O362+'Reversion Pagos R4'!M326+G19+'AJUSTES - SF-T'!X50=G12</f>
        <v>1</v>
      </c>
      <c r="H27" s="648" t="b">
        <f>+'Reporte Componentes R1'!Q568+'Reporte Componentes R1'!Q570+'Rem. Anticipos R2'!P362+'Reversion Pagos R4'!N326+H19+'AJUSTES - SF-T'!Y50=H12</f>
        <v>1</v>
      </c>
      <c r="I27" s="698" t="b">
        <f>-INTERVENTORIA!M29+I19=I12</f>
        <v>1</v>
      </c>
      <c r="J27" s="648" t="b">
        <f>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f>
        <v>1</v>
      </c>
      <c r="K27" s="648" t="b">
        <f>+DetRetri2026072!N35</f>
        <v>1</v>
      </c>
      <c r="L27" s="648" t="b">
        <f>+'Reporte Componentes R1'!F569+'Rem. Anticipos R2'!E363+'Reporte Componentes R1'!F571+'Reversion Pagos R4'!D327+'AJUSTES - SF-T'!AD50+L19=L12</f>
        <v>1</v>
      </c>
      <c r="M27" s="715">
        <f>-'BCE SC POR FACT.'!F6+'Reporte Componentes R1'!F569+'Rem. Anticipos R2'!E363+'Reporte Componentes R1'!F571+'Reversion Pagos R4'!D327+'AJUSTES - SF-T'!AD50+M19-M12</f>
        <v>0</v>
      </c>
      <c r="N27" s="648" t="b">
        <f>'Reporte Componentes R1'!F569+'Rem. Anticipos R2'!E363+'Reporte Componentes R1'!F571+'Reversion Pagos R4'!D327+'AJUSTES - SF-T'!AD50+L19=L12</f>
        <v>1</v>
      </c>
      <c r="O27" s="712" t="b">
        <f>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R4'!N326-INTERVENTORIA!I7+'Reporte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R1'!M680+'Reporte Componentes R1'!M682+'Rem. Anticipos R2'!L446+'Reversion Pagos R4'!J361+D20+'AJUSTES - SF-T'!U51=D13</f>
        <v>1</v>
      </c>
      <c r="E28" s="648" t="b">
        <f>+'Reporte Componentes R1'!N680+'Reporte Componentes R1'!N682+'Rem. Anticipos R2'!M446+'Reversion Pagos R4'!K361+E20+'AJUSTES - SF-T'!V51=E13</f>
        <v>1</v>
      </c>
      <c r="F28" s="648" t="b">
        <f>+'Reporte Componentes R1'!O680+'Reporte Componentes R1'!O682+'Rem. Anticipos R2'!N446+'Reversion Pagos R4'!L361+F20+'AJUSTES - SF-T'!W51=F13</f>
        <v>1</v>
      </c>
      <c r="G28" s="648" t="b">
        <f>+'Reporte Componentes R1'!P680+'Reporte Componentes R1'!P682+'Rem. Anticipos R2'!O446+'Reversion Pagos R4'!M361+G20+'AJUSTES - SF-T'!X51=G13</f>
        <v>1</v>
      </c>
      <c r="H28" s="648" t="b">
        <f>+'Reporte Componentes R1'!Q680+'Reporte Componentes R1'!Q682+'Rem. Anticipos R2'!P446+'Reversion Pagos R4'!N361+H20+'AJUSTES - SF-T'!Y51=H13</f>
        <v>1</v>
      </c>
      <c r="I28" s="698" t="b">
        <f>-INTERVENTORIA!M30+I20=I13</f>
        <v>1</v>
      </c>
      <c r="J28" s="650" t="b">
        <f>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f>
        <v>1</v>
      </c>
      <c r="K28" s="648" t="b">
        <f>+DetRetri2026072!N36</f>
        <v>1</v>
      </c>
      <c r="L28" s="648" t="b">
        <f>+'Reporte Componentes R1'!F681+'Rem. Anticipos R2'!E447+'Reporte Componentes R1'!F683+'Reversion Pagos R4'!D362+'AJUSTES - SF-T'!AD51+L20=L13</f>
        <v>1</v>
      </c>
      <c r="M28" s="648" t="b">
        <f>-'BCE SC POR FACT.'!F7+'Reporte Componentes R1'!F681+'Rem. Anticipos R2'!E447+'Reporte Componentes R1'!F683+'Reversion Pagos R4'!D362+'AJUSTES - SF-T'!AD51+M20=M13</f>
        <v>1</v>
      </c>
      <c r="N28" s="648" t="b">
        <f>'Reporte Componentes R1'!F681+'Rem. Anticipos R2'!E447+'Reporte Componentes R1'!F683+'Reversion Pagos R4'!D362+'AJUSTES - SF-T'!AD51+L20=L13</f>
        <v>1</v>
      </c>
      <c r="O28" s="648" t="b">
        <f>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R4'!N361-INTERVENTORIA!I8+'Reporte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SF-T'!AD51+N20=N13</f>
        <v>0</v>
      </c>
    </row>
    <row r="29" spans="2:16" x14ac:dyDescent="0.3">
      <c r="C29" s="649" t="s">
        <v>2</v>
      </c>
      <c r="D29" s="648" t="b">
        <f>'Reporte Componentes R1'!M75+'Reporte Componentes R1'!M77+'Rem. Anticipos R2'!L47+'Reversion Pagos R4'!J73+'Reporte Componentes R1'!M254+'Rem. Anticipos R2'!L144+'Reversion Pagos R4'!J174+'Reporte Componentes R1'!M256+'Reporte Componentes R1'!M415+'Reporte Componentes R1'!M417+'Rem. Anticipos R2'!L262+'Reversion Pagos R4'!J211+'Reporte Componentes R1'!M568+'Reporte Componentes R1'!M570+'Rem. Anticipos R2'!L362+'Reversion Pagos R4'!J326+'Reporte Componentes R1'!M680+'Reporte Componentes R1'!M682+'Rem. Anticipos R2'!L446+'Reversion Pagos R4'!J361+D21+'AJUSTES - SF-T'!U52=D14</f>
        <v>1</v>
      </c>
      <c r="E29" s="648" t="b">
        <f>'Reporte Componentes R1'!N75+'Reporte Componentes R1'!N77+'Rem. Anticipos R2'!M47+'Reversion Pagos R4'!K73+'Reporte Componentes R1'!N254+'Rem. Anticipos R2'!M144+'Reversion Pagos R4'!K174+'Reporte Componentes R1'!N256+'Reporte Componentes R1'!N415+'Reporte Componentes R1'!N417+'Rem. Anticipos R2'!M262+'Reversion Pagos R4'!K211+'Reporte Componentes R1'!N568+'Reporte Componentes R1'!N570+'Rem. Anticipos R2'!M362+'Reversion Pagos R4'!K326+'Reporte Componentes R1'!N680+'Reporte Componentes R1'!N682+'Rem. Anticipos R2'!M446+'Reversion Pagos R4'!K361+E21+'AJUSTES - SF-T'!V52=E14</f>
        <v>1</v>
      </c>
      <c r="F29" s="648" t="b">
        <f>'Reporte Componentes R1'!O75+'Reporte Componentes R1'!O77+'Rem. Anticipos R2'!N47+'Reversion Pagos R4'!L73+'Reporte Componentes R1'!O254+'Rem. Anticipos R2'!N144+'Reversion Pagos R4'!L174+'Reporte Componentes R1'!O256+'Reporte Componentes R1'!O415+'Reporte Componentes R1'!O417+'Rem. Anticipos R2'!N262+'Reversion Pagos R4'!L211+'Reporte Componentes R1'!O568+'Reporte Componentes R1'!O570+'Rem. Anticipos R2'!N362+'Reversion Pagos R4'!L326+'Reporte Componentes R1'!O680+'Reporte Componentes R1'!O682+'Rem. Anticipos R2'!N446+'Reversion Pagos R4'!L361+F21+'AJUSTES - SF-T'!W52=F14</f>
        <v>1</v>
      </c>
      <c r="G29" s="648" t="b">
        <f>'Reporte Componentes R1'!P75+'Reporte Componentes R1'!P77+'Rem. Anticipos R2'!O47+'Reversion Pagos R4'!M73+'Reporte Componentes R1'!P254+'Rem. Anticipos R2'!O144+'Reversion Pagos R4'!M174+'Reporte Componentes R1'!P256+'Reporte Componentes R1'!P415+'Reporte Componentes R1'!P417+'Rem. Anticipos R2'!O262+'Reversion Pagos R4'!M211+'Reporte Componentes R1'!P568+'Reporte Componentes R1'!P570+'Rem. Anticipos R2'!O362+'Reversion Pagos R4'!M326+'Reporte Componentes R1'!P680+'Reporte Componentes R1'!P682+'Rem. Anticipos R2'!O446+'Reversion Pagos R4'!M361+G21+'AJUSTES - SF-T'!X52=G14</f>
        <v>1</v>
      </c>
      <c r="H29" s="648" t="b">
        <f>'Reporte Componentes R1'!Q75+'Reporte Componentes R1'!Q77+'Rem. Anticipos R2'!P47+'Reversion Pagos R4'!N73+'Reporte Componentes R1'!Q254+'Rem. Anticipos R2'!P144+'Reversion Pagos R4'!N174+'Reporte Componentes R1'!Q256+'Reporte Componentes R1'!Q415+'Reporte Componentes R1'!Q417+'Rem. Anticipos R2'!P262+'Reversion Pagos R4'!N211+'Reporte Componentes R1'!Q568+'Reporte Componentes R1'!Q570+'Rem. Anticipos R2'!P362+'Reversion Pagos R4'!N326+'Reporte Componentes R1'!Q680+'Reporte Componentes R1'!Q682+'Rem. Anticipos R2'!P446+'Reversion Pagos R4'!N361+H21+'AJUSTES - SF-T'!Y52=H14</f>
        <v>1</v>
      </c>
      <c r="I29" s="698" t="b">
        <f>-INTERVENTORIA!M31+I21=I14</f>
        <v>1</v>
      </c>
      <c r="J29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f>
        <v>1</v>
      </c>
      <c r="K29" s="648" t="b">
        <f>'Reporte Componentes R1'!L75+'Rem. Anticipos R2'!K47+'Reversion Pagos R4'!P73+'Reporte Componentes R1'!L77+'Reporte Componentes R1'!L254+'Rem. Anticipos R2'!K144+'Reversion Pagos R4'!P174+'Reporte Componentes R1'!L256+'Reporte Componentes R1'!L415+'Reporte Componentes R1'!L417+'Rem. Anticipos R2'!K262+'Reversion Pagos R4'!P211+'Reporte Componentes R1'!L568+'Reporte Componentes R1'!L570+'Rem. Anticipos R2'!K362+'Reversion Pagos R4'!P326+'Reporte Componentes R1'!L680+'Reporte Componentes R1'!L682+'Rem. Anticipos R2'!K446+'Reversion Pagos R4'!P361+K21=K14</f>
        <v>1</v>
      </c>
      <c r="L29" s="711" t="b">
        <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f>
        <v>1</v>
      </c>
      <c r="M29" s="648" t="b">
        <f>-'BCE SC POR FACT.'!F3+'Reporte Componentes R1'!F76+'Rem. Anticipos R2'!E48+'Reporte Componentes R1'!F78+'Reversion Pagos R4'!D74+'AJUSTES - SF-T'!AD47-'BCE SC POR FACT.'!F4+'Reporte Componentes R1'!F255+'Rem. Anticipos R2'!E145+'Reporte Componentes R1'!F257+'Reversion Pagos R4'!D175+'AJUSTES - SF-T'!AD48-'BCE SC POR FACT.'!F5+'Reporte Componentes R1'!F416+'Rem. Anticipos R2'!E263+'Reporte Componentes R1'!F418+'Reversion Pagos R4'!D212+'AJUSTES - SF-T'!AD49-'BCE SC POR FACT.'!F6+'Reporte Componentes R1'!F569+'Rem. Anticipos R2'!E363+'Reporte Componentes R1'!F571+'Reversion Pagos R4'!D327+'AJUSTES - SF-T'!AD50-'BCE SC POR FACT.'!F7+'Reporte Componentes R1'!F681+'Rem. Anticipos R2'!E447+'Reporte Componentes R1'!F683+'Reversion Pagos R4'!D362+'AJUSTES - SF-T'!AD51+M21=M14</f>
        <v>1</v>
      </c>
      <c r="N29" s="648" t="b">
        <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f>
        <v>1</v>
      </c>
      <c r="O29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R1'!Q256-INTERVENTORIA!K16+'Reporte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R4'!N211-INTERVENTORIA!K17+'Reporte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R4'!N326-INTERVENTORIA!K18+'Reporte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R4'!N361-INTERVENTORIA!Q19+'Reporte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0</v>
      </c>
      <c r="E9" s="292">
        <f>'CONSOLIDADO_TOTAL RECAUDO'!E104</f>
        <v>0</v>
      </c>
      <c r="F9" s="292">
        <f>'CONSOLIDADO_TOTAL RECAUDO'!F104</f>
        <v>0</v>
      </c>
      <c r="G9" s="292">
        <f>'CONSOLIDADO_TOTAL RECAUDO'!G104</f>
        <v>0</v>
      </c>
      <c r="H9" s="292">
        <f>'CONSOLIDADO_TOTAL RECAUDO'!H104</f>
        <v>0</v>
      </c>
      <c r="I9" s="292">
        <f>'CONSOLIDADO_TOTAL RECAUDO'!I104</f>
        <v>0</v>
      </c>
      <c r="J9" s="288">
        <f>'CONSOLIDADO_TOTAL RECAUDO'!J104</f>
        <v>0</v>
      </c>
      <c r="K9" s="293">
        <f>'CONSOLIDADO_TOTAL RECAUDO'!K104</f>
        <v>0</v>
      </c>
      <c r="L9" s="294">
        <f>'CONSOLIDADO_TOTAL RECAUDO'!L104</f>
        <v>189185988</v>
      </c>
      <c r="M9" s="293">
        <f>'CONSOLIDADO_TOTAL RECAUDO'!M104</f>
        <v>-189185988</v>
      </c>
      <c r="N9" s="294">
        <f>'CONSOLIDADO_TOTAL RECAUDO'!N104</f>
        <v>0</v>
      </c>
      <c r="O9" s="293">
        <f>'CONSOLIDADO_TOTAL RECAUDO'!O104</f>
        <v>-189185988</v>
      </c>
      <c r="Q9" s="306"/>
      <c r="S9" s="303">
        <v>1</v>
      </c>
      <c r="T9" s="304" t="s">
        <v>10</v>
      </c>
      <c r="U9" s="307">
        <f>'CONSOLIDADO_TOTAL RECAUDO'!U104</f>
        <v>0</v>
      </c>
      <c r="V9" s="308">
        <f>'CONSOLIDADO_TOTAL RECAUDO'!V104</f>
        <v>0</v>
      </c>
      <c r="W9" s="308">
        <f>'CONSOLIDADO_TOTAL RECAUDO'!W104</f>
        <v>0</v>
      </c>
      <c r="X9" s="308">
        <f>'CONSOLIDADO_TOTAL RECAUDO'!X104</f>
        <v>0</v>
      </c>
      <c r="Y9" s="309">
        <f>'CONSOLIDADO_TOTAL RECAUDO'!Y104</f>
        <v>0</v>
      </c>
      <c r="Z9" s="310">
        <f>'CONSOLIDADO_TOTAL RECAUDO'!Z104</f>
        <v>-189185988</v>
      </c>
      <c r="AA9" s="311">
        <f>'CONSOLIDADO_TOTAL RECAUDO'!AA104</f>
        <v>0</v>
      </c>
      <c r="AB9" s="294">
        <f>'CONSOLIDADO_TOTAL RECAUDO'!AB104</f>
        <v>0</v>
      </c>
      <c r="AC9" s="311">
        <f>'CONSOLIDADO_TOTAL RECAUDO'!AC104</f>
        <v>0</v>
      </c>
      <c r="AD9" s="291">
        <f>'CONSOLIDADO_TOTAL RECAUDO'!AD104</f>
        <v>0</v>
      </c>
      <c r="AE9" s="291">
        <f>'CONSOLIDADO_TOTAL RECAUDO'!AE104</f>
        <v>0</v>
      </c>
      <c r="AF9" s="313">
        <f>'CONSOLIDADO_TOTAL RECAUDO'!AF104</f>
        <v>-189185988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0</v>
      </c>
      <c r="E10" s="292">
        <f>'CONSOLIDADO_TOTAL RECAUDO'!E105</f>
        <v>0</v>
      </c>
      <c r="F10" s="292">
        <f>'CONSOLIDADO_TOTAL RECAUDO'!F105</f>
        <v>0</v>
      </c>
      <c r="G10" s="292">
        <f>'CONSOLIDADO_TOTAL RECAUDO'!G105</f>
        <v>0</v>
      </c>
      <c r="H10" s="292">
        <f>'CONSOLIDADO_TOTAL RECAUDO'!H105</f>
        <v>0</v>
      </c>
      <c r="I10" s="292">
        <f>'CONSOLIDADO_TOTAL RECAUDO'!I105</f>
        <v>0</v>
      </c>
      <c r="J10" s="288">
        <f>'CONSOLIDADO_TOTAL RECAUDO'!J105</f>
        <v>0</v>
      </c>
      <c r="K10" s="295">
        <f>'CONSOLIDADO_TOTAL RECAUDO'!K105</f>
        <v>0</v>
      </c>
      <c r="L10" s="294">
        <f>'CONSOLIDADO_TOTAL RECAUDO'!L105</f>
        <v>266580256</v>
      </c>
      <c r="M10" s="295">
        <f>'CONSOLIDADO_TOTAL RECAUDO'!M105</f>
        <v>-266580256</v>
      </c>
      <c r="N10" s="294">
        <f>'CONSOLIDADO_TOTAL RECAUDO'!N105</f>
        <v>0</v>
      </c>
      <c r="O10" s="295">
        <f>'CONSOLIDADO_TOTAL RECAUDO'!O105</f>
        <v>-266580256</v>
      </c>
      <c r="Q10" s="306"/>
      <c r="S10" s="314">
        <v>2</v>
      </c>
      <c r="T10" s="315" t="s">
        <v>11</v>
      </c>
      <c r="U10" s="316">
        <f>'CONSOLIDADO_TOTAL RECAUDO'!U105</f>
        <v>0</v>
      </c>
      <c r="V10" s="317">
        <f>'CONSOLIDADO_TOTAL RECAUDO'!V105</f>
        <v>0</v>
      </c>
      <c r="W10" s="317">
        <f>'CONSOLIDADO_TOTAL RECAUDO'!W105</f>
        <v>0</v>
      </c>
      <c r="X10" s="317">
        <f>'CONSOLIDADO_TOTAL RECAUDO'!X105</f>
        <v>0</v>
      </c>
      <c r="Y10" s="318">
        <f>'CONSOLIDADO_TOTAL RECAUDO'!Y105</f>
        <v>0</v>
      </c>
      <c r="Z10" s="319">
        <f>'CONSOLIDADO_TOTAL RECAUDO'!Z105</f>
        <v>-266580256</v>
      </c>
      <c r="AA10" s="320">
        <f>'CONSOLIDADO_TOTAL RECAUDO'!AA105</f>
        <v>0</v>
      </c>
      <c r="AB10" s="294">
        <f>'CONSOLIDADO_TOTAL RECAUDO'!AB105</f>
        <v>0</v>
      </c>
      <c r="AC10" s="320">
        <f>'CONSOLIDADO_TOTAL RECAUDO'!AC105</f>
        <v>0</v>
      </c>
      <c r="AD10" s="291">
        <f>'CONSOLIDADO_TOTAL RECAUDO'!AD105</f>
        <v>0</v>
      </c>
      <c r="AE10" s="291">
        <f>'CONSOLIDADO_TOTAL RECAUDO'!AE105</f>
        <v>0</v>
      </c>
      <c r="AF10" s="322">
        <f>'CONSOLIDADO_TOTAL RECAUDO'!AF105</f>
        <v>-266580256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0</v>
      </c>
      <c r="E11" s="292">
        <f>'CONSOLIDADO_TOTAL RECAUDO'!E106</f>
        <v>0</v>
      </c>
      <c r="F11" s="292">
        <f>'CONSOLIDADO_TOTAL RECAUDO'!F106</f>
        <v>0</v>
      </c>
      <c r="G11" s="292">
        <f>'CONSOLIDADO_TOTAL RECAUDO'!G106</f>
        <v>0</v>
      </c>
      <c r="H11" s="292">
        <f>'CONSOLIDADO_TOTAL RECAUDO'!H106</f>
        <v>0</v>
      </c>
      <c r="I11" s="292">
        <f>'CONSOLIDADO_TOTAL RECAUDO'!I106</f>
        <v>0</v>
      </c>
      <c r="J11" s="288">
        <f>'CONSOLIDADO_TOTAL RECAUDO'!J106</f>
        <v>0</v>
      </c>
      <c r="K11" s="295">
        <f>'CONSOLIDADO_TOTAL RECAUDO'!K106</f>
        <v>0</v>
      </c>
      <c r="L11" s="294">
        <f>'CONSOLIDADO_TOTAL RECAUDO'!L106</f>
        <v>154788536</v>
      </c>
      <c r="M11" s="295">
        <f>'CONSOLIDADO_TOTAL RECAUDO'!M106</f>
        <v>-154788536</v>
      </c>
      <c r="N11" s="294">
        <f>'CONSOLIDADO_TOTAL RECAUDO'!N106</f>
        <v>0</v>
      </c>
      <c r="O11" s="295">
        <f>'CONSOLIDADO_TOTAL RECAUDO'!O106</f>
        <v>-154788536</v>
      </c>
      <c r="Q11" s="306"/>
      <c r="S11" s="314">
        <v>3</v>
      </c>
      <c r="T11" s="315" t="s">
        <v>12</v>
      </c>
      <c r="U11" s="316">
        <f>'CONSOLIDADO_TOTAL RECAUDO'!U106</f>
        <v>0</v>
      </c>
      <c r="V11" s="317">
        <f>'CONSOLIDADO_TOTAL RECAUDO'!V106</f>
        <v>0</v>
      </c>
      <c r="W11" s="317">
        <f>'CONSOLIDADO_TOTAL RECAUDO'!W106</f>
        <v>0</v>
      </c>
      <c r="X11" s="317">
        <f>'CONSOLIDADO_TOTAL RECAUDO'!X106</f>
        <v>0</v>
      </c>
      <c r="Y11" s="318">
        <f>'CONSOLIDADO_TOTAL RECAUDO'!Y106</f>
        <v>0</v>
      </c>
      <c r="Z11" s="319">
        <f>'CONSOLIDADO_TOTAL RECAUDO'!Z106</f>
        <v>-154788536</v>
      </c>
      <c r="AA11" s="320">
        <f>'CONSOLIDADO_TOTAL RECAUDO'!AA106</f>
        <v>0</v>
      </c>
      <c r="AB11" s="294">
        <f>'CONSOLIDADO_TOTAL RECAUDO'!AB106</f>
        <v>0</v>
      </c>
      <c r="AC11" s="320">
        <f>'CONSOLIDADO_TOTAL RECAUDO'!AC106</f>
        <v>0</v>
      </c>
      <c r="AD11" s="291">
        <f>'CONSOLIDADO_TOTAL RECAUDO'!AD106</f>
        <v>0</v>
      </c>
      <c r="AE11" s="291">
        <f>'CONSOLIDADO_TOTAL RECAUDO'!AE106</f>
        <v>0</v>
      </c>
      <c r="AF11" s="322">
        <f>'CONSOLIDADO_TOTAL RECAUDO'!AF106</f>
        <v>-154788536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0</v>
      </c>
      <c r="E12" s="292">
        <f>'CONSOLIDADO_TOTAL RECAUDO'!E107</f>
        <v>0</v>
      </c>
      <c r="F12" s="292">
        <f>'CONSOLIDADO_TOTAL RECAUDO'!F107</f>
        <v>0</v>
      </c>
      <c r="G12" s="292">
        <f>'CONSOLIDADO_TOTAL RECAUDO'!G107</f>
        <v>0</v>
      </c>
      <c r="H12" s="292">
        <f>'CONSOLIDADO_TOTAL RECAUDO'!H107</f>
        <v>0</v>
      </c>
      <c r="I12" s="292">
        <f>'CONSOLIDADO_TOTAL RECAUDO'!I107</f>
        <v>0</v>
      </c>
      <c r="J12" s="288">
        <f>'CONSOLIDADO_TOTAL RECAUDO'!J107</f>
        <v>0</v>
      </c>
      <c r="K12" s="295">
        <f>'CONSOLIDADO_TOTAL RECAUDO'!K107</f>
        <v>0</v>
      </c>
      <c r="L12" s="294">
        <f>'CONSOLIDADO_TOTAL RECAUDO'!L107</f>
        <v>120391083</v>
      </c>
      <c r="M12" s="295">
        <f>'CONSOLIDADO_TOTAL RECAUDO'!M107</f>
        <v>-120391083</v>
      </c>
      <c r="N12" s="294">
        <f>'CONSOLIDADO_TOTAL RECAUDO'!N107</f>
        <v>0</v>
      </c>
      <c r="O12" s="295">
        <f>'CONSOLIDADO_TOTAL RECAUDO'!O107</f>
        <v>-120391083</v>
      </c>
      <c r="Q12" s="306"/>
      <c r="S12" s="314">
        <v>4</v>
      </c>
      <c r="T12" s="315" t="s">
        <v>13</v>
      </c>
      <c r="U12" s="316">
        <f>'CONSOLIDADO_TOTAL RECAUDO'!U107</f>
        <v>0</v>
      </c>
      <c r="V12" s="317">
        <f>'CONSOLIDADO_TOTAL RECAUDO'!V107</f>
        <v>0</v>
      </c>
      <c r="W12" s="317">
        <f>'CONSOLIDADO_TOTAL RECAUDO'!W107</f>
        <v>0</v>
      </c>
      <c r="X12" s="317">
        <f>'CONSOLIDADO_TOTAL RECAUDO'!X107</f>
        <v>0</v>
      </c>
      <c r="Y12" s="318">
        <f>'CONSOLIDADO_TOTAL RECAUDO'!Y107</f>
        <v>0</v>
      </c>
      <c r="Z12" s="319">
        <f>'CONSOLIDADO_TOTAL RECAUDO'!Z107</f>
        <v>-120391083</v>
      </c>
      <c r="AA12" s="320">
        <f>'CONSOLIDADO_TOTAL RECAUDO'!AA107</f>
        <v>0</v>
      </c>
      <c r="AB12" s="294">
        <f>'CONSOLIDADO_TOTAL RECAUDO'!AB107</f>
        <v>0</v>
      </c>
      <c r="AC12" s="320">
        <f>'CONSOLIDADO_TOTAL RECAUDO'!AC107</f>
        <v>0</v>
      </c>
      <c r="AD12" s="291">
        <f>'CONSOLIDADO_TOTAL RECAUDO'!AD107</f>
        <v>0</v>
      </c>
      <c r="AE12" s="291">
        <f>'CONSOLIDADO_TOTAL RECAUDO'!AE107</f>
        <v>0</v>
      </c>
      <c r="AF12" s="322">
        <f>'CONSOLIDADO_TOTAL RECAUDO'!AF107</f>
        <v>-120391083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0</v>
      </c>
      <c r="E13" s="297">
        <f>'CONSOLIDADO_TOTAL RECAUDO'!E108</f>
        <v>0</v>
      </c>
      <c r="F13" s="297">
        <f>'CONSOLIDADO_TOTAL RECAUDO'!F108</f>
        <v>0</v>
      </c>
      <c r="G13" s="297">
        <f>'CONSOLIDADO_TOTAL RECAUDO'!G108</f>
        <v>0</v>
      </c>
      <c r="H13" s="297">
        <f>'CONSOLIDADO_TOTAL RECAUDO'!H108</f>
        <v>0</v>
      </c>
      <c r="I13" s="297">
        <f>'CONSOLIDADO_TOTAL RECAUDO'!I108</f>
        <v>0</v>
      </c>
      <c r="J13" s="289">
        <f>'CONSOLIDADO_TOTAL RECAUDO'!J108</f>
        <v>0</v>
      </c>
      <c r="K13" s="295">
        <f>'CONSOLIDADO_TOTAL RECAUDO'!K108</f>
        <v>0</v>
      </c>
      <c r="L13" s="294">
        <f>'CONSOLIDADO_TOTAL RECAUDO'!L108</f>
        <v>128990446</v>
      </c>
      <c r="M13" s="298">
        <f>'CONSOLIDADO_TOTAL RECAUDO'!M108</f>
        <v>-128990446</v>
      </c>
      <c r="N13" s="299">
        <f>'CONSOLIDADO_TOTAL RECAUDO'!N108</f>
        <v>0</v>
      </c>
      <c r="O13" s="298">
        <f>'CONSOLIDADO_TOTAL RECAUDO'!O108</f>
        <v>-128990446</v>
      </c>
      <c r="Q13" s="306"/>
      <c r="S13" s="324">
        <v>5</v>
      </c>
      <c r="T13" s="325" t="s">
        <v>14</v>
      </c>
      <c r="U13" s="296">
        <f>'CONSOLIDADO_TOTAL RECAUDO'!U108</f>
        <v>0</v>
      </c>
      <c r="V13" s="297">
        <f>'CONSOLIDADO_TOTAL RECAUDO'!V108</f>
        <v>0</v>
      </c>
      <c r="W13" s="297">
        <f>'CONSOLIDADO_TOTAL RECAUDO'!W108</f>
        <v>0</v>
      </c>
      <c r="X13" s="297">
        <f>'CONSOLIDADO_TOTAL RECAUDO'!X108</f>
        <v>0</v>
      </c>
      <c r="Y13" s="289">
        <f>'CONSOLIDADO_TOTAL RECAUDO'!Y108</f>
        <v>0</v>
      </c>
      <c r="Z13" s="319">
        <f>'CONSOLIDADO_TOTAL RECAUDO'!Z108</f>
        <v>-128990446</v>
      </c>
      <c r="AA13" s="320">
        <f>'CONSOLIDADO_TOTAL RECAUDO'!AA108</f>
        <v>0</v>
      </c>
      <c r="AB13" s="294">
        <f>'CONSOLIDADO_TOTAL RECAUDO'!AB108</f>
        <v>0</v>
      </c>
      <c r="AC13" s="320">
        <f>'CONSOLIDADO_TOTAL RECAUDO'!AC108</f>
        <v>0</v>
      </c>
      <c r="AD13" s="291">
        <f>'CONSOLIDADO_TOTAL RECAUDO'!AD108</f>
        <v>0</v>
      </c>
      <c r="AE13" s="291">
        <f>'CONSOLIDADO_TOTAL RECAUDO'!AE108</f>
        <v>0</v>
      </c>
      <c r="AF13" s="322">
        <f>'CONSOLIDADO_TOTAL RECAUDO'!AF108</f>
        <v>-128990446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0</v>
      </c>
      <c r="E14" s="290">
        <f>'CONSOLIDADO_TOTAL RECAUDO'!E109</f>
        <v>0</v>
      </c>
      <c r="F14" s="290">
        <f>'CONSOLIDADO_TOTAL RECAUDO'!F109</f>
        <v>0</v>
      </c>
      <c r="G14" s="290">
        <f>'CONSOLIDADO_TOTAL RECAUDO'!G109</f>
        <v>0</v>
      </c>
      <c r="H14" s="290">
        <f>'CONSOLIDADO_TOTAL RECAUDO'!H109</f>
        <v>0</v>
      </c>
      <c r="I14" s="290">
        <f>'CONSOLIDADO_TOTAL RECAUDO'!I109</f>
        <v>0</v>
      </c>
      <c r="J14" s="290">
        <f>'CONSOLIDADO_TOTAL RECAUDO'!J109</f>
        <v>0</v>
      </c>
      <c r="K14" s="300">
        <f>'CONSOLIDADO_TOTAL RECAUDO'!K109</f>
        <v>0</v>
      </c>
      <c r="L14" s="301">
        <f>'CONSOLIDADO_TOTAL RECAUDO'!L109</f>
        <v>859936309</v>
      </c>
      <c r="M14" s="302">
        <f>'CONSOLIDADO_TOTAL RECAUDO'!M109</f>
        <v>-859936309</v>
      </c>
      <c r="N14" s="301">
        <f>'CONSOLIDADO_TOTAL RECAUDO'!N109</f>
        <v>0</v>
      </c>
      <c r="O14" s="302">
        <f>'CONSOLIDADO_TOTAL RECAUDO'!O109</f>
        <v>-859936309</v>
      </c>
      <c r="P14" s="329"/>
      <c r="Q14" s="306"/>
      <c r="S14" s="327"/>
      <c r="T14" s="328" t="s">
        <v>2</v>
      </c>
      <c r="U14" s="330">
        <f>'CONSOLIDADO_TOTAL RECAUDO'!U109</f>
        <v>0</v>
      </c>
      <c r="V14" s="330">
        <f>'CONSOLIDADO_TOTAL RECAUDO'!V109</f>
        <v>0</v>
      </c>
      <c r="W14" s="330">
        <f>'CONSOLIDADO_TOTAL RECAUDO'!W109</f>
        <v>0</v>
      </c>
      <c r="X14" s="330">
        <f>'CONSOLIDADO_TOTAL RECAUDO'!X109</f>
        <v>0</v>
      </c>
      <c r="Y14" s="330">
        <f>'CONSOLIDADO_TOTAL RECAUDO'!Y109</f>
        <v>0</v>
      </c>
      <c r="Z14" s="290">
        <f>'CONSOLIDADO_TOTAL RECAUDO'!Z109</f>
        <v>-859936309</v>
      </c>
      <c r="AA14" s="290">
        <f>'CONSOLIDADO_TOTAL RECAUDO'!AA109</f>
        <v>0</v>
      </c>
      <c r="AB14" s="290">
        <f>'CONSOLIDADO_TOTAL RECAUDO'!AB109</f>
        <v>0</v>
      </c>
      <c r="AC14" s="290">
        <f>'CONSOLIDADO_TOTAL RECAUDO'!AC109</f>
        <v>0</v>
      </c>
      <c r="AD14" s="290">
        <f>'CONSOLIDADO_TOTAL RECAUDO'!AD109</f>
        <v>0</v>
      </c>
      <c r="AE14" s="290">
        <f>'CONSOLIDADO_TOTAL RECAUDO'!AE109</f>
        <v>0</v>
      </c>
      <c r="AF14" s="331">
        <f>'CONSOLIDADO_TOTAL RECAUDO'!AF109</f>
        <v>-859936309</v>
      </c>
      <c r="AG14" s="524">
        <f>'CONSOLIDADO_TOTAL RECAUDO'!AG109</f>
        <v>0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0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0</v>
      </c>
      <c r="L27" s="294">
        <f>'REMUNERACION Reciprocidad EAAB'!L105</f>
        <v>0</v>
      </c>
      <c r="M27" s="295">
        <f>'REMUNERACION Reciprocidad EAAB'!M105</f>
        <v>0</v>
      </c>
      <c r="N27" s="294">
        <f>'REMUNERACION Reciprocidad EAAB'!N105</f>
        <v>0</v>
      </c>
      <c r="O27" s="295">
        <f>'REMUNERACION Reciprocidad EAAB'!O105</f>
        <v>0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0</v>
      </c>
      <c r="AE27" s="291">
        <f>'REMUNERACION Reciprocidad EAAB'!AE105</f>
        <v>0</v>
      </c>
      <c r="AF27" s="322">
        <f>'REMUNERACION Reciprocidad EAAB'!AF105</f>
        <v>0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0</v>
      </c>
      <c r="E29" s="292">
        <f>'REMUNERACION Reciprocidad EAAB'!E107</f>
        <v>0</v>
      </c>
      <c r="F29" s="292">
        <f>'REMUNERACION Reciprocidad EAAB'!F107</f>
        <v>0</v>
      </c>
      <c r="G29" s="292">
        <f>'REMUNERACION Reciprocidad EAAB'!G107</f>
        <v>0</v>
      </c>
      <c r="H29" s="292">
        <f>'REMUNERACION Reciprocidad EAAB'!H107</f>
        <v>0</v>
      </c>
      <c r="I29" s="292">
        <f>'REMUNERACION Reciprocidad EAAB'!I107</f>
        <v>0</v>
      </c>
      <c r="J29" s="288">
        <f>'REMUNERACION Reciprocidad EAAB'!J107</f>
        <v>0</v>
      </c>
      <c r="K29" s="295">
        <f>'REMUNERACION Reciprocidad EAAB'!K107</f>
        <v>0</v>
      </c>
      <c r="L29" s="294">
        <f>'REMUNERACION Reciprocidad EAAB'!L107</f>
        <v>0</v>
      </c>
      <c r="M29" s="295">
        <f>'REMUNERACION Reciprocidad EAAB'!M107</f>
        <v>0</v>
      </c>
      <c r="N29" s="294">
        <f>'REMUNERACION Reciprocidad EAAB'!N107</f>
        <v>0</v>
      </c>
      <c r="O29" s="295">
        <f>'REMUNERACION Reciprocidad EAAB'!O107</f>
        <v>0</v>
      </c>
      <c r="Q29" s="306"/>
      <c r="S29" s="314">
        <v>4</v>
      </c>
      <c r="T29" s="315" t="s">
        <v>13</v>
      </c>
      <c r="U29" s="316">
        <f>'REMUNERACION Reciprocidad EAAB'!U107</f>
        <v>0</v>
      </c>
      <c r="V29" s="317">
        <f>'REMUNERACION Reciprocidad EAAB'!V107</f>
        <v>0</v>
      </c>
      <c r="W29" s="317">
        <f>'REMUNERACION Reciprocidad EAAB'!W107</f>
        <v>0</v>
      </c>
      <c r="X29" s="317">
        <f>'REMUNERACION Reciprocidad EAAB'!X107</f>
        <v>0</v>
      </c>
      <c r="Y29" s="318">
        <f>'REMUNERACION Reciprocidad EAAB'!Y107</f>
        <v>0</v>
      </c>
      <c r="Z29" s="319">
        <f>'REMUNERACION Reciprocidad EAAB'!Z107</f>
        <v>0</v>
      </c>
      <c r="AA29" s="320">
        <f>'REMUNERACION Reciprocidad EAAB'!AA107</f>
        <v>0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0</v>
      </c>
      <c r="AE29" s="291">
        <f>'REMUNERACION Reciprocidad EAAB'!AE107</f>
        <v>0</v>
      </c>
      <c r="AF29" s="322">
        <f>'REMUNERACION Reciprocidad EAAB'!AF107</f>
        <v>0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0</v>
      </c>
      <c r="E31" s="290">
        <f>'REMUNERACION Reciprocidad EAAB'!E109</f>
        <v>0</v>
      </c>
      <c r="F31" s="290">
        <f>'REMUNERACION Reciprocidad EAAB'!F109</f>
        <v>0</v>
      </c>
      <c r="G31" s="290">
        <f>'REMUNERACION Reciprocidad EAAB'!G109</f>
        <v>0</v>
      </c>
      <c r="H31" s="290">
        <f>'REMUNERACION Reciprocidad EAAB'!H109</f>
        <v>0</v>
      </c>
      <c r="I31" s="290">
        <f>'REMUNERACION Reciprocidad EAAB'!I109</f>
        <v>0</v>
      </c>
      <c r="J31" s="290">
        <f>'REMUNERACION Reciprocidad EAAB'!J109</f>
        <v>0</v>
      </c>
      <c r="K31" s="300">
        <f>'REMUNERACION Reciprocidad EAAB'!K109</f>
        <v>0</v>
      </c>
      <c r="L31" s="301">
        <f>'REMUNERACION Reciprocidad EAAB'!L109</f>
        <v>0</v>
      </c>
      <c r="M31" s="302">
        <f>'REMUNERACION Reciprocidad EAAB'!M109</f>
        <v>0</v>
      </c>
      <c r="N31" s="301">
        <f>'REMUNERACION Reciprocidad EAAB'!N109</f>
        <v>0</v>
      </c>
      <c r="O31" s="302">
        <f>'REMUNERACION Reciprocidad EAAB'!O109</f>
        <v>0</v>
      </c>
      <c r="P31" s="329"/>
      <c r="Q31" s="306"/>
      <c r="S31" s="327"/>
      <c r="T31" s="328" t="s">
        <v>2</v>
      </c>
      <c r="U31" s="330">
        <f>'REMUNERACION Reciprocidad EAAB'!U109</f>
        <v>0</v>
      </c>
      <c r="V31" s="330">
        <f>'REMUNERACION Reciprocidad EAAB'!V109</f>
        <v>0</v>
      </c>
      <c r="W31" s="330">
        <f>'REMUNERACION Reciprocidad EAAB'!W109</f>
        <v>0</v>
      </c>
      <c r="X31" s="330">
        <f>'REMUNERACION Reciprocidad EAAB'!X109</f>
        <v>0</v>
      </c>
      <c r="Y31" s="330">
        <f>'REMUNERACION Reciprocidad EAAB'!Y109</f>
        <v>0</v>
      </c>
      <c r="Z31" s="290">
        <f>'REMUNERACION Reciprocidad EAAB'!Z109</f>
        <v>0</v>
      </c>
      <c r="AA31" s="290">
        <f>'REMUNERACION Reciprocidad EAAB'!AA109</f>
        <v>0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0</v>
      </c>
      <c r="AE31" s="290">
        <f>'REMUNERACION Reciprocidad EAAB'!AE109</f>
        <v>0</v>
      </c>
      <c r="AF31" s="331">
        <f>'REMUNERACION Reciprocidad EAAB'!AF109</f>
        <v>0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0</v>
      </c>
      <c r="E43" s="292">
        <f>REMUNERACION_ENEL!E104</f>
        <v>0</v>
      </c>
      <c r="F43" s="292">
        <f>REMUNERACION_ENEL!F104</f>
        <v>0</v>
      </c>
      <c r="G43" s="292">
        <f>REMUNERACION_ENEL!G104</f>
        <v>0</v>
      </c>
      <c r="H43" s="292">
        <f>REMUNERACION_ENEL!H104</f>
        <v>0</v>
      </c>
      <c r="I43" s="292">
        <f>REMUNERACION_ENEL!I104</f>
        <v>0</v>
      </c>
      <c r="J43" s="288">
        <f>REMUNERACION_ENEL!J104</f>
        <v>0</v>
      </c>
      <c r="K43" s="293">
        <f>REMUNERACION_ENEL!K104</f>
        <v>0</v>
      </c>
      <c r="L43" s="294">
        <f>REMUNERACION_ENEL!L104</f>
        <v>189185988</v>
      </c>
      <c r="M43" s="293">
        <f>REMUNERACION_ENEL!M104</f>
        <v>-189185988</v>
      </c>
      <c r="N43" s="294">
        <f>REMUNERACION_ENEL!N104</f>
        <v>0</v>
      </c>
      <c r="O43" s="293">
        <f>REMUNERACION_ENEL!O104</f>
        <v>-189185988</v>
      </c>
      <c r="Q43" s="306"/>
      <c r="S43" s="303">
        <v>1</v>
      </c>
      <c r="T43" s="304" t="s">
        <v>10</v>
      </c>
      <c r="U43" s="307">
        <f>REMUNERACION_ENEL!U104</f>
        <v>0</v>
      </c>
      <c r="V43" s="308">
        <f>REMUNERACION_ENEL!V104</f>
        <v>0</v>
      </c>
      <c r="W43" s="308">
        <f>REMUNERACION_ENEL!W104</f>
        <v>0</v>
      </c>
      <c r="X43" s="308">
        <f>REMUNERACION_ENEL!X104</f>
        <v>0</v>
      </c>
      <c r="Y43" s="309">
        <f>REMUNERACION_ENEL!Y104</f>
        <v>0</v>
      </c>
      <c r="Z43" s="310">
        <f>REMUNERACION_ENEL!Z104</f>
        <v>-189185988</v>
      </c>
      <c r="AA43" s="311">
        <f>REMUNERACION_ENEL!AA104</f>
        <v>0</v>
      </c>
      <c r="AB43" s="294">
        <f>REMUNERACION_ENEL!AB104</f>
        <v>0</v>
      </c>
      <c r="AC43" s="311">
        <f>REMUNERACION_ENEL!AC104</f>
        <v>0</v>
      </c>
      <c r="AD43" s="291">
        <f>REMUNERACION_ENEL!AD104</f>
        <v>0</v>
      </c>
      <c r="AE43" s="291">
        <f>REMUNERACION_ENEL!AE104</f>
        <v>0</v>
      </c>
      <c r="AF43" s="313">
        <f>REMUNERACION_ENEL!AF104</f>
        <v>-189185988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0</v>
      </c>
      <c r="E44" s="292">
        <f>REMUNERACION_ENEL!E105</f>
        <v>0</v>
      </c>
      <c r="F44" s="292">
        <f>REMUNERACION_ENEL!F105</f>
        <v>0</v>
      </c>
      <c r="G44" s="292">
        <f>REMUNERACION_ENEL!G105</f>
        <v>0</v>
      </c>
      <c r="H44" s="292">
        <f>REMUNERACION_ENEL!H105</f>
        <v>0</v>
      </c>
      <c r="I44" s="292">
        <f>REMUNERACION_ENEL!I105</f>
        <v>0</v>
      </c>
      <c r="J44" s="288">
        <f>REMUNERACION_ENEL!J105</f>
        <v>0</v>
      </c>
      <c r="K44" s="295">
        <f>REMUNERACION_ENEL!K105</f>
        <v>0</v>
      </c>
      <c r="L44" s="294">
        <f>REMUNERACION_ENEL!L105</f>
        <v>266580256</v>
      </c>
      <c r="M44" s="295">
        <f>REMUNERACION_ENEL!M105</f>
        <v>-266580256</v>
      </c>
      <c r="N44" s="294">
        <f>REMUNERACION_ENEL!N105</f>
        <v>0</v>
      </c>
      <c r="O44" s="295">
        <f>REMUNERACION_ENEL!O105</f>
        <v>-266580256</v>
      </c>
      <c r="Q44" s="306"/>
      <c r="S44" s="314">
        <v>2</v>
      </c>
      <c r="T44" s="315" t="s">
        <v>11</v>
      </c>
      <c r="U44" s="316">
        <f>REMUNERACION_ENEL!U105</f>
        <v>0</v>
      </c>
      <c r="V44" s="317">
        <f>REMUNERACION_ENEL!V105</f>
        <v>0</v>
      </c>
      <c r="W44" s="317">
        <f>REMUNERACION_ENEL!W105</f>
        <v>0</v>
      </c>
      <c r="X44" s="317">
        <f>REMUNERACION_ENEL!X105</f>
        <v>0</v>
      </c>
      <c r="Y44" s="318">
        <f>REMUNERACION_ENEL!Y105</f>
        <v>0</v>
      </c>
      <c r="Z44" s="319">
        <f>REMUNERACION_ENEL!Z105</f>
        <v>-266580256</v>
      </c>
      <c r="AA44" s="320">
        <f>REMUNERACION_ENEL!AA105</f>
        <v>0</v>
      </c>
      <c r="AB44" s="294">
        <f>REMUNERACION_ENEL!AB105</f>
        <v>0</v>
      </c>
      <c r="AC44" s="320">
        <f>REMUNERACION_ENEL!AC105</f>
        <v>0</v>
      </c>
      <c r="AD44" s="291">
        <f>REMUNERACION_ENEL!AD105</f>
        <v>0</v>
      </c>
      <c r="AE44" s="291">
        <f>REMUNERACION_ENEL!AE105</f>
        <v>0</v>
      </c>
      <c r="AF44" s="322">
        <f>REMUNERACION_ENEL!AF105</f>
        <v>-266580256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0</v>
      </c>
      <c r="E45" s="292">
        <f>REMUNERACION_ENEL!E106</f>
        <v>0</v>
      </c>
      <c r="F45" s="292">
        <f>REMUNERACION_ENEL!F106</f>
        <v>0</v>
      </c>
      <c r="G45" s="292">
        <f>REMUNERACION_ENEL!G106</f>
        <v>0</v>
      </c>
      <c r="H45" s="292">
        <f>REMUNERACION_ENEL!H106</f>
        <v>0</v>
      </c>
      <c r="I45" s="292">
        <f>REMUNERACION_ENEL!I106</f>
        <v>0</v>
      </c>
      <c r="J45" s="288">
        <f>REMUNERACION_ENEL!J106</f>
        <v>0</v>
      </c>
      <c r="K45" s="295">
        <f>REMUNERACION_ENEL!K106</f>
        <v>0</v>
      </c>
      <c r="L45" s="294">
        <f>REMUNERACION_ENEL!L106</f>
        <v>154788536</v>
      </c>
      <c r="M45" s="295">
        <f>REMUNERACION_ENEL!M106</f>
        <v>-154788536</v>
      </c>
      <c r="N45" s="294">
        <f>REMUNERACION_ENEL!N106</f>
        <v>0</v>
      </c>
      <c r="O45" s="295">
        <f>REMUNERACION_ENEL!O106</f>
        <v>-154788536</v>
      </c>
      <c r="Q45" s="306"/>
      <c r="S45" s="314">
        <v>3</v>
      </c>
      <c r="T45" s="315" t="s">
        <v>12</v>
      </c>
      <c r="U45" s="316">
        <f>REMUNERACION_ENEL!U106</f>
        <v>0</v>
      </c>
      <c r="V45" s="317">
        <f>REMUNERACION_ENEL!V106</f>
        <v>0</v>
      </c>
      <c r="W45" s="317">
        <f>REMUNERACION_ENEL!W106</f>
        <v>0</v>
      </c>
      <c r="X45" s="317">
        <f>REMUNERACION_ENEL!X106</f>
        <v>0</v>
      </c>
      <c r="Y45" s="318">
        <f>REMUNERACION_ENEL!Y106</f>
        <v>0</v>
      </c>
      <c r="Z45" s="319">
        <f>REMUNERACION_ENEL!Z106</f>
        <v>-154788536</v>
      </c>
      <c r="AA45" s="320">
        <f>REMUNERACION_ENEL!AA106</f>
        <v>0</v>
      </c>
      <c r="AB45" s="294">
        <f>REMUNERACION_ENEL!AB106</f>
        <v>0</v>
      </c>
      <c r="AC45" s="320">
        <f>REMUNERACION_ENEL!AC106</f>
        <v>0</v>
      </c>
      <c r="AD45" s="291">
        <f>REMUNERACION_ENEL!AD106</f>
        <v>0</v>
      </c>
      <c r="AE45" s="291">
        <f>REMUNERACION_ENEL!AE106</f>
        <v>0</v>
      </c>
      <c r="AF45" s="322">
        <f>REMUNERACION_ENEL!AF106</f>
        <v>-154788536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0</v>
      </c>
      <c r="E46" s="292">
        <f>REMUNERACION_ENEL!E107</f>
        <v>0</v>
      </c>
      <c r="F46" s="292">
        <f>REMUNERACION_ENEL!F107</f>
        <v>0</v>
      </c>
      <c r="G46" s="292">
        <f>REMUNERACION_ENEL!G107</f>
        <v>0</v>
      </c>
      <c r="H46" s="292">
        <f>REMUNERACION_ENEL!H107</f>
        <v>0</v>
      </c>
      <c r="I46" s="292">
        <f>REMUNERACION_ENEL!I107</f>
        <v>0</v>
      </c>
      <c r="J46" s="288">
        <f>REMUNERACION_ENEL!J107</f>
        <v>0</v>
      </c>
      <c r="K46" s="295">
        <f>REMUNERACION_ENEL!K107</f>
        <v>0</v>
      </c>
      <c r="L46" s="294">
        <f>REMUNERACION_ENEL!L107</f>
        <v>120391083</v>
      </c>
      <c r="M46" s="295">
        <f>REMUNERACION_ENEL!M107</f>
        <v>-120391083</v>
      </c>
      <c r="N46" s="294">
        <f>REMUNERACION_ENEL!N107</f>
        <v>0</v>
      </c>
      <c r="O46" s="295">
        <f>REMUNERACION_ENEL!O107</f>
        <v>-120391083</v>
      </c>
      <c r="Q46" s="306"/>
      <c r="S46" s="314">
        <v>4</v>
      </c>
      <c r="T46" s="315" t="s">
        <v>13</v>
      </c>
      <c r="U46" s="316">
        <f>REMUNERACION_ENEL!U107</f>
        <v>0</v>
      </c>
      <c r="V46" s="317">
        <f>REMUNERACION_ENEL!V107</f>
        <v>0</v>
      </c>
      <c r="W46" s="317">
        <f>REMUNERACION_ENEL!W107</f>
        <v>0</v>
      </c>
      <c r="X46" s="317">
        <f>REMUNERACION_ENEL!X107</f>
        <v>0</v>
      </c>
      <c r="Y46" s="318">
        <f>REMUNERACION_ENEL!Y107</f>
        <v>0</v>
      </c>
      <c r="Z46" s="319">
        <f>REMUNERACION_ENEL!Z107</f>
        <v>-120391083</v>
      </c>
      <c r="AA46" s="320">
        <f>REMUNERACION_ENEL!AA107</f>
        <v>0</v>
      </c>
      <c r="AB46" s="294">
        <f>REMUNERACION_ENEL!AB107</f>
        <v>0</v>
      </c>
      <c r="AC46" s="320">
        <f>REMUNERACION_ENEL!AC107</f>
        <v>0</v>
      </c>
      <c r="AD46" s="291">
        <f>REMUNERACION_ENEL!AD107</f>
        <v>0</v>
      </c>
      <c r="AE46" s="291">
        <f>REMUNERACION_ENEL!AE107</f>
        <v>0</v>
      </c>
      <c r="AF46" s="322">
        <f>REMUNERACION_ENEL!AF107</f>
        <v>-120391083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0</v>
      </c>
      <c r="E47" s="297">
        <f>REMUNERACION_ENEL!E108</f>
        <v>0</v>
      </c>
      <c r="F47" s="297">
        <f>REMUNERACION_ENEL!F108</f>
        <v>0</v>
      </c>
      <c r="G47" s="297">
        <f>REMUNERACION_ENEL!G108</f>
        <v>0</v>
      </c>
      <c r="H47" s="297">
        <f>REMUNERACION_ENEL!H108</f>
        <v>0</v>
      </c>
      <c r="I47" s="297">
        <f>REMUNERACION_ENEL!I108</f>
        <v>0</v>
      </c>
      <c r="J47" s="289">
        <f>REMUNERACION_ENEL!J108</f>
        <v>0</v>
      </c>
      <c r="K47" s="295">
        <f>REMUNERACION_ENEL!K108</f>
        <v>0</v>
      </c>
      <c r="L47" s="294">
        <f>REMUNERACION_ENEL!L108</f>
        <v>128990446</v>
      </c>
      <c r="M47" s="298">
        <f>REMUNERACION_ENEL!M108</f>
        <v>-128990446</v>
      </c>
      <c r="N47" s="299">
        <f>REMUNERACION_ENEL!N108</f>
        <v>0</v>
      </c>
      <c r="O47" s="298">
        <f>REMUNERACION_ENEL!O108</f>
        <v>-128990446</v>
      </c>
      <c r="Q47" s="306"/>
      <c r="S47" s="324">
        <v>5</v>
      </c>
      <c r="T47" s="325" t="s">
        <v>14</v>
      </c>
      <c r="U47" s="296">
        <f>REMUNERACION_ENEL!U108</f>
        <v>0</v>
      </c>
      <c r="V47" s="297">
        <f>REMUNERACION_ENEL!V108</f>
        <v>0</v>
      </c>
      <c r="W47" s="297">
        <f>REMUNERACION_ENEL!W108</f>
        <v>0</v>
      </c>
      <c r="X47" s="297">
        <f>REMUNERACION_ENEL!X108</f>
        <v>0</v>
      </c>
      <c r="Y47" s="289">
        <f>REMUNERACION_ENEL!Y108</f>
        <v>0</v>
      </c>
      <c r="Z47" s="319">
        <f>REMUNERACION_ENEL!Z108</f>
        <v>-128990446</v>
      </c>
      <c r="AA47" s="320">
        <f>REMUNERACION_ENEL!AA108</f>
        <v>0</v>
      </c>
      <c r="AB47" s="294">
        <f>REMUNERACION_ENEL!AB108</f>
        <v>0</v>
      </c>
      <c r="AC47" s="320">
        <f>REMUNERACION_ENEL!AC108</f>
        <v>0</v>
      </c>
      <c r="AD47" s="291">
        <f>REMUNERACION_ENEL!AD108</f>
        <v>0</v>
      </c>
      <c r="AE47" s="291">
        <f>REMUNERACION_ENEL!AE108</f>
        <v>0</v>
      </c>
      <c r="AF47" s="322">
        <f>REMUNERACION_ENEL!AF108</f>
        <v>-128990446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0</v>
      </c>
      <c r="E48" s="290">
        <f>REMUNERACION_ENEL!E109</f>
        <v>0</v>
      </c>
      <c r="F48" s="290">
        <f>REMUNERACION_ENEL!F109</f>
        <v>0</v>
      </c>
      <c r="G48" s="290">
        <f>REMUNERACION_ENEL!G109</f>
        <v>0</v>
      </c>
      <c r="H48" s="290">
        <f>REMUNERACION_ENEL!H109</f>
        <v>0</v>
      </c>
      <c r="I48" s="290">
        <f>REMUNERACION_ENEL!I109</f>
        <v>0</v>
      </c>
      <c r="J48" s="290">
        <f>REMUNERACION_ENEL!J109</f>
        <v>0</v>
      </c>
      <c r="K48" s="300">
        <f>REMUNERACION_ENEL!K109</f>
        <v>0</v>
      </c>
      <c r="L48" s="301">
        <f>REMUNERACION_ENEL!L109</f>
        <v>859936309</v>
      </c>
      <c r="M48" s="302">
        <f>REMUNERACION_ENEL!M109</f>
        <v>-859936309</v>
      </c>
      <c r="N48" s="301">
        <f>REMUNERACION_ENEL!N109</f>
        <v>0</v>
      </c>
      <c r="O48" s="302">
        <f>REMUNERACION_ENEL!O109</f>
        <v>-859936309</v>
      </c>
      <c r="P48" s="329"/>
      <c r="Q48" s="306"/>
      <c r="S48" s="327"/>
      <c r="T48" s="328" t="s">
        <v>2</v>
      </c>
      <c r="U48" s="330">
        <f>REMUNERACION_ENEL!U109</f>
        <v>0</v>
      </c>
      <c r="V48" s="330">
        <f>REMUNERACION_ENEL!V109</f>
        <v>0</v>
      </c>
      <c r="W48" s="330">
        <f>REMUNERACION_ENEL!W109</f>
        <v>0</v>
      </c>
      <c r="X48" s="330">
        <f>REMUNERACION_ENEL!X109</f>
        <v>0</v>
      </c>
      <c r="Y48" s="330">
        <f>REMUNERACION_ENEL!Y109</f>
        <v>0</v>
      </c>
      <c r="Z48" s="290">
        <f>REMUNERACION_ENEL!Z109</f>
        <v>-859936309</v>
      </c>
      <c r="AA48" s="290">
        <f>REMUNERACION_ENEL!AA109</f>
        <v>0</v>
      </c>
      <c r="AB48" s="290">
        <f>REMUNERACION_ENEL!AB109</f>
        <v>0</v>
      </c>
      <c r="AC48" s="290">
        <f>REMUNERACION_ENEL!AC109</f>
        <v>0</v>
      </c>
      <c r="AD48" s="290">
        <f>REMUNERACION_ENEL!AD109</f>
        <v>0</v>
      </c>
      <c r="AE48" s="290">
        <f>REMUNERACION_ENEL!AE109</f>
        <v>0</v>
      </c>
      <c r="AF48" s="331">
        <f>REMUNERACION_ENEL!AF109</f>
        <v>-859936309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0</v>
      </c>
      <c r="E64" s="291">
        <f>REMUNERACION_ENERBIT!E108</f>
        <v>0</v>
      </c>
      <c r="F64" s="291">
        <f>REMUNERACION_ENERBIT!F108</f>
        <v>0</v>
      </c>
      <c r="G64" s="291">
        <f>REMUNERACION_ENERBIT!G108</f>
        <v>0</v>
      </c>
      <c r="H64" s="291">
        <f>REMUNERACION_ENERBIT!H108</f>
        <v>0</v>
      </c>
      <c r="I64" s="291">
        <f>REMUNERACION_ENERBIT!I108</f>
        <v>0</v>
      </c>
      <c r="J64" s="291">
        <f>REMUNERACION_ENERBIT!J108</f>
        <v>0</v>
      </c>
      <c r="K64" s="295">
        <f>REMUNERACION_ENERBIT!K108</f>
        <v>0</v>
      </c>
      <c r="L64" s="294">
        <f>REMUNERACION_ENERBIT!L108</f>
        <v>0</v>
      </c>
      <c r="M64" s="298">
        <f>REMUNERACION_ENERBIT!M108</f>
        <v>0</v>
      </c>
      <c r="N64" s="299">
        <f>REMUNERACION_ENERBIT!N108</f>
        <v>0</v>
      </c>
      <c r="O64" s="298">
        <f>REMUNERACION_ENERBIT!O108</f>
        <v>0</v>
      </c>
      <c r="Q64" s="306"/>
      <c r="S64" s="324">
        <v>5</v>
      </c>
      <c r="T64" s="325" t="s">
        <v>14</v>
      </c>
      <c r="U64" s="296">
        <f>REMUNERACION_ENERBIT!U108</f>
        <v>0</v>
      </c>
      <c r="V64" s="297">
        <f>REMUNERACION_ENERBIT!V108</f>
        <v>0</v>
      </c>
      <c r="W64" s="297">
        <f>REMUNERACION_ENERBIT!W108</f>
        <v>0</v>
      </c>
      <c r="X64" s="297">
        <f>REMUNERACION_ENERBIT!X108</f>
        <v>0</v>
      </c>
      <c r="Y64" s="289">
        <f>REMUNERACION_ENERBIT!Y108</f>
        <v>0</v>
      </c>
      <c r="Z64" s="289">
        <f>REMUNERACION_ENERBIT!Z108</f>
        <v>0</v>
      </c>
      <c r="AA64" s="289">
        <f>REMUNERACION_ENERBIT!AA108</f>
        <v>0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0</v>
      </c>
      <c r="AE64" s="289">
        <f>REMUNERACION_ENERBIT!AE108</f>
        <v>0</v>
      </c>
      <c r="AF64" s="322">
        <f>REMUNERACION_ENERBIT!AF108</f>
        <v>0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0</v>
      </c>
      <c r="E65" s="290">
        <f>REMUNERACION_ENERBIT!E109</f>
        <v>0</v>
      </c>
      <c r="F65" s="290">
        <f>REMUNERACION_ENERBIT!F109</f>
        <v>0</v>
      </c>
      <c r="G65" s="290">
        <f>REMUNERACION_ENERBIT!G109</f>
        <v>0</v>
      </c>
      <c r="H65" s="290">
        <f>REMUNERACION_ENERBIT!H109</f>
        <v>0</v>
      </c>
      <c r="I65" s="290">
        <f>REMUNERACION_ENERBIT!I109</f>
        <v>0</v>
      </c>
      <c r="J65" s="290">
        <f>REMUNERACION_ENERBIT!J109</f>
        <v>0</v>
      </c>
      <c r="K65" s="300">
        <f>REMUNERACION_ENERBIT!K109</f>
        <v>0</v>
      </c>
      <c r="L65" s="301">
        <f>REMUNERACION_ENERBIT!L109</f>
        <v>0</v>
      </c>
      <c r="M65" s="302">
        <f>REMUNERACION_ENERBIT!M109</f>
        <v>0</v>
      </c>
      <c r="N65" s="301">
        <f>REMUNERACION_ENERBIT!N109</f>
        <v>0</v>
      </c>
      <c r="O65" s="302">
        <f>REMUNERACION_ENERBIT!O109</f>
        <v>0</v>
      </c>
      <c r="P65" s="329"/>
      <c r="Q65" s="306"/>
      <c r="S65" s="327"/>
      <c r="T65" s="328" t="s">
        <v>2</v>
      </c>
      <c r="U65" s="330">
        <f>REMUNERACION_ENERBIT!U109</f>
        <v>0</v>
      </c>
      <c r="V65" s="330">
        <f>REMUNERACION_ENERBIT!V109</f>
        <v>0</v>
      </c>
      <c r="W65" s="330">
        <f>REMUNERACION_ENERBIT!W109</f>
        <v>0</v>
      </c>
      <c r="X65" s="330">
        <f>REMUNERACION_ENERBIT!X109</f>
        <v>0</v>
      </c>
      <c r="Y65" s="330">
        <f>REMUNERACION_ENERBIT!Y109</f>
        <v>0</v>
      </c>
      <c r="Z65" s="330">
        <f>REMUNERACION_ENERBIT!Z109</f>
        <v>0</v>
      </c>
      <c r="AA65" s="330">
        <f>REMUNERACION_ENERBIT!AA109</f>
        <v>0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0</v>
      </c>
      <c r="AE65" s="330">
        <f>REMUNERACION_ENERBIT!AE109</f>
        <v>0</v>
      </c>
      <c r="AF65" s="331">
        <f>REMUNERACION_ENERBIT!AF109</f>
        <v>0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0</v>
      </c>
      <c r="E76" s="292">
        <f>'REMUNERACION_OCCIDENTE_ Directa'!E104</f>
        <v>0</v>
      </c>
      <c r="F76" s="292">
        <f>'REMUNERACION_OCCIDENTE_ Directa'!F104</f>
        <v>0</v>
      </c>
      <c r="G76" s="292">
        <f>'REMUNERACION_OCCIDENTE_ Directa'!G104</f>
        <v>0</v>
      </c>
      <c r="H76" s="292">
        <f>'REMUNERACION_OCCIDENTE_ Directa'!H104</f>
        <v>0</v>
      </c>
      <c r="I76" s="292">
        <f>'REMUNERACION_OCCIDENTE_ Directa'!I104</f>
        <v>0</v>
      </c>
      <c r="J76" s="288">
        <f>'REMUNERACION_OCCIDENTE_ Directa'!J104</f>
        <v>0</v>
      </c>
      <c r="K76" s="293">
        <f>'REMUNERACION_OCCIDENTE_ Directa'!K104</f>
        <v>0</v>
      </c>
      <c r="L76" s="294">
        <f>'REMUNERACION_OCCIDENTE_ Directa'!L104</f>
        <v>0</v>
      </c>
      <c r="M76" s="293">
        <f>'REMUNERACION_OCCIDENTE_ Directa'!M104</f>
        <v>0</v>
      </c>
      <c r="N76" s="294">
        <f>'REMUNERACION_OCCIDENTE_ Directa'!N104</f>
        <v>0</v>
      </c>
      <c r="O76" s="293">
        <f>'REMUNERACION_OCCIDENTE_ Directa'!O104</f>
        <v>0</v>
      </c>
      <c r="Q76" s="306"/>
      <c r="S76" s="303">
        <v>1</v>
      </c>
      <c r="T76" s="304" t="s">
        <v>10</v>
      </c>
      <c r="U76" s="307">
        <f>'REMUNERACION_OCCIDENTE_ Directa'!U104</f>
        <v>0</v>
      </c>
      <c r="V76" s="308">
        <f>'REMUNERACION_OCCIDENTE_ Directa'!V104</f>
        <v>0</v>
      </c>
      <c r="W76" s="308">
        <f>'REMUNERACION_OCCIDENTE_ Directa'!W104</f>
        <v>0</v>
      </c>
      <c r="X76" s="308">
        <f>'REMUNERACION_OCCIDENTE_ Directa'!X104</f>
        <v>0</v>
      </c>
      <c r="Y76" s="309">
        <f>'REMUNERACION_OCCIDENTE_ Directa'!Y104</f>
        <v>0</v>
      </c>
      <c r="Z76" s="310">
        <f>'REMUNERACION_OCCIDENTE_ Directa'!Z104</f>
        <v>0</v>
      </c>
      <c r="AA76" s="311">
        <f>'REMUNERACION_OCCIDENTE_ Directa'!AA104</f>
        <v>0</v>
      </c>
      <c r="AB76" s="294">
        <f>'REMUNERACION_OCCIDENTE_ Directa'!AB104</f>
        <v>0</v>
      </c>
      <c r="AC76" s="311">
        <f>'REMUNERACION_OCCIDENTE_ Directa'!AC104</f>
        <v>0</v>
      </c>
      <c r="AD76" s="291">
        <f>'REMUNERACION_OCCIDENTE_ Directa'!AD104</f>
        <v>0</v>
      </c>
      <c r="AE76" s="291">
        <f>'REMUNERACION_OCCIDENTE_ Directa'!AE104</f>
        <v>0</v>
      </c>
      <c r="AF76" s="313">
        <f>'REMUNERACION_OCCIDENTE_ Directa'!AF104</f>
        <v>0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0</v>
      </c>
      <c r="E77" s="292">
        <f>'REMUNERACION_OCCIDENTE_ Directa'!E105</f>
        <v>0</v>
      </c>
      <c r="F77" s="292">
        <f>'REMUNERACION_OCCIDENTE_ Directa'!F105</f>
        <v>0</v>
      </c>
      <c r="G77" s="292">
        <f>'REMUNERACION_OCCIDENTE_ Directa'!G105</f>
        <v>0</v>
      </c>
      <c r="H77" s="292">
        <f>'REMUNERACION_OCCIDENTE_ Directa'!H105</f>
        <v>0</v>
      </c>
      <c r="I77" s="292">
        <f>'REMUNERACION_OCCIDENTE_ Directa'!I105</f>
        <v>0</v>
      </c>
      <c r="J77" s="288">
        <f>'REMUNERACION_OCCIDENTE_ Directa'!J105</f>
        <v>0</v>
      </c>
      <c r="K77" s="295">
        <f>'REMUNERACION_OCCIDENTE_ Directa'!K105</f>
        <v>0</v>
      </c>
      <c r="L77" s="294">
        <f>'REMUNERACION_OCCIDENTE_ Directa'!L105</f>
        <v>0</v>
      </c>
      <c r="M77" s="295">
        <f>'REMUNERACION_OCCIDENTE_ Directa'!M105</f>
        <v>0</v>
      </c>
      <c r="N77" s="294">
        <f>'REMUNERACION_OCCIDENTE_ Directa'!N105</f>
        <v>0</v>
      </c>
      <c r="O77" s="295">
        <f>'REMUNERACION_OCCIDENTE_ Directa'!O105</f>
        <v>0</v>
      </c>
      <c r="Q77" s="306"/>
      <c r="S77" s="314">
        <v>2</v>
      </c>
      <c r="T77" s="315" t="s">
        <v>11</v>
      </c>
      <c r="U77" s="316">
        <f>'REMUNERACION_OCCIDENTE_ Directa'!U105</f>
        <v>0</v>
      </c>
      <c r="V77" s="317">
        <f>'REMUNERACION_OCCIDENTE_ Directa'!V105</f>
        <v>0</v>
      </c>
      <c r="W77" s="317">
        <f>'REMUNERACION_OCCIDENTE_ Directa'!W105</f>
        <v>0</v>
      </c>
      <c r="X77" s="317">
        <f>'REMUNERACION_OCCIDENTE_ Directa'!X105</f>
        <v>0</v>
      </c>
      <c r="Y77" s="318">
        <f>'REMUNERACION_OCCIDENTE_ Directa'!Y105</f>
        <v>0</v>
      </c>
      <c r="Z77" s="319">
        <f>'REMUNERACION_OCCIDENTE_ Directa'!Z105</f>
        <v>0</v>
      </c>
      <c r="AA77" s="320">
        <f>'REMUNERACION_OCCIDENTE_ Directa'!AA105</f>
        <v>0</v>
      </c>
      <c r="AB77" s="294">
        <f>'REMUNERACION_OCCIDENTE_ Directa'!AB105</f>
        <v>0</v>
      </c>
      <c r="AC77" s="320">
        <f>'REMUNERACION_OCCIDENTE_ Directa'!AC105</f>
        <v>0</v>
      </c>
      <c r="AD77" s="291">
        <f>'REMUNERACION_OCCIDENTE_ Directa'!AD105</f>
        <v>0</v>
      </c>
      <c r="AE77" s="291">
        <f>'REMUNERACION_OCCIDENTE_ Directa'!AE105</f>
        <v>0</v>
      </c>
      <c r="AF77" s="322">
        <f>'REMUNERACION_OCCIDENTE_ Directa'!AF105</f>
        <v>0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0</v>
      </c>
      <c r="E78" s="292">
        <f>'REMUNERACION_OCCIDENTE_ Directa'!E106</f>
        <v>0</v>
      </c>
      <c r="F78" s="292">
        <f>'REMUNERACION_OCCIDENTE_ Directa'!F106</f>
        <v>0</v>
      </c>
      <c r="G78" s="292">
        <f>'REMUNERACION_OCCIDENTE_ Directa'!G106</f>
        <v>0</v>
      </c>
      <c r="H78" s="292">
        <f>'REMUNERACION_OCCIDENTE_ Directa'!H106</f>
        <v>0</v>
      </c>
      <c r="I78" s="292">
        <f>'REMUNERACION_OCCIDENTE_ Directa'!I106</f>
        <v>0</v>
      </c>
      <c r="J78" s="288">
        <f>'REMUNERACION_OCCIDENTE_ Directa'!J106</f>
        <v>0</v>
      </c>
      <c r="K78" s="295">
        <f>'REMUNERACION_OCCIDENTE_ Directa'!K106</f>
        <v>0</v>
      </c>
      <c r="L78" s="294">
        <f>'REMUNERACION_OCCIDENTE_ Directa'!L106</f>
        <v>0</v>
      </c>
      <c r="M78" s="295">
        <f>'REMUNERACION_OCCIDENTE_ Directa'!M106</f>
        <v>0</v>
      </c>
      <c r="N78" s="294">
        <f>'REMUNERACION_OCCIDENTE_ Directa'!N106</f>
        <v>0</v>
      </c>
      <c r="O78" s="295">
        <f>'REMUNERACION_OCCIDENTE_ Directa'!O106</f>
        <v>0</v>
      </c>
      <c r="Q78" s="306"/>
      <c r="S78" s="314">
        <v>3</v>
      </c>
      <c r="T78" s="315" t="s">
        <v>12</v>
      </c>
      <c r="U78" s="316">
        <f>'REMUNERACION_OCCIDENTE_ Directa'!U106</f>
        <v>0</v>
      </c>
      <c r="V78" s="317">
        <f>'REMUNERACION_OCCIDENTE_ Directa'!V106</f>
        <v>0</v>
      </c>
      <c r="W78" s="317">
        <f>'REMUNERACION_OCCIDENTE_ Directa'!W106</f>
        <v>0</v>
      </c>
      <c r="X78" s="317">
        <f>'REMUNERACION_OCCIDENTE_ Directa'!X106</f>
        <v>0</v>
      </c>
      <c r="Y78" s="318">
        <f>'REMUNERACION_OCCIDENTE_ Directa'!Y106</f>
        <v>0</v>
      </c>
      <c r="Z78" s="319">
        <f>'REMUNERACION_OCCIDENTE_ Directa'!Z106</f>
        <v>0</v>
      </c>
      <c r="AA78" s="320">
        <f>'REMUNERACION_OCCIDENTE_ Directa'!AA106</f>
        <v>0</v>
      </c>
      <c r="AB78" s="294">
        <f>'REMUNERACION_OCCIDENTE_ Directa'!AB106</f>
        <v>0</v>
      </c>
      <c r="AC78" s="320">
        <f>'REMUNERACION_OCCIDENTE_ Directa'!AC106</f>
        <v>0</v>
      </c>
      <c r="AD78" s="291">
        <f>'REMUNERACION_OCCIDENTE_ Directa'!AD106</f>
        <v>0</v>
      </c>
      <c r="AE78" s="291">
        <f>'REMUNERACION_OCCIDENTE_ Directa'!AE106</f>
        <v>0</v>
      </c>
      <c r="AF78" s="322">
        <f>'REMUNERACION_OCCIDENTE_ Directa'!AF106</f>
        <v>0</v>
      </c>
      <c r="AG78" s="522">
        <f>'REMUNERACION_OCCIDENTE_ Directa'!AG106</f>
        <v>0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0</v>
      </c>
      <c r="E79" s="292">
        <f>'REMUNERACION_OCCIDENTE_ Directa'!E107</f>
        <v>0</v>
      </c>
      <c r="F79" s="292">
        <f>'REMUNERACION_OCCIDENTE_ Directa'!F107</f>
        <v>0</v>
      </c>
      <c r="G79" s="292">
        <f>'REMUNERACION_OCCIDENTE_ Directa'!G107</f>
        <v>0</v>
      </c>
      <c r="H79" s="292">
        <f>'REMUNERACION_OCCIDENTE_ Directa'!H107</f>
        <v>0</v>
      </c>
      <c r="I79" s="292">
        <f>'REMUNERACION_OCCIDENTE_ Directa'!I107</f>
        <v>0</v>
      </c>
      <c r="J79" s="288">
        <f>'REMUNERACION_OCCIDENTE_ Directa'!J107</f>
        <v>0</v>
      </c>
      <c r="K79" s="295">
        <f>'REMUNERACION_OCCIDENTE_ Directa'!K107</f>
        <v>0</v>
      </c>
      <c r="L79" s="294">
        <f>'REMUNERACION_OCCIDENTE_ Directa'!L107</f>
        <v>0</v>
      </c>
      <c r="M79" s="295">
        <f>'REMUNERACION_OCCIDENTE_ Directa'!M107</f>
        <v>0</v>
      </c>
      <c r="N79" s="294">
        <f>'REMUNERACION_OCCIDENTE_ Directa'!N107</f>
        <v>0</v>
      </c>
      <c r="O79" s="295">
        <f>'REMUNERACION_OCCIDENTE_ Directa'!O107</f>
        <v>0</v>
      </c>
      <c r="Q79" s="306"/>
      <c r="S79" s="314">
        <v>4</v>
      </c>
      <c r="T79" s="315" t="s">
        <v>13</v>
      </c>
      <c r="U79" s="316">
        <f>'REMUNERACION_OCCIDENTE_ Directa'!U107</f>
        <v>0</v>
      </c>
      <c r="V79" s="317">
        <f>'REMUNERACION_OCCIDENTE_ Directa'!V107</f>
        <v>0</v>
      </c>
      <c r="W79" s="317">
        <f>'REMUNERACION_OCCIDENTE_ Directa'!W107</f>
        <v>0</v>
      </c>
      <c r="X79" s="317">
        <f>'REMUNERACION_OCCIDENTE_ Directa'!X107</f>
        <v>0</v>
      </c>
      <c r="Y79" s="318">
        <f>'REMUNERACION_OCCIDENTE_ Directa'!Y107</f>
        <v>0</v>
      </c>
      <c r="Z79" s="319">
        <f>'REMUNERACION_OCCIDENTE_ Directa'!Z107</f>
        <v>0</v>
      </c>
      <c r="AA79" s="320">
        <f>'REMUNERACION_OCCIDENTE_ Directa'!AA107</f>
        <v>0</v>
      </c>
      <c r="AB79" s="294">
        <f>'REMUNERACION_OCCIDENTE_ Directa'!AB107</f>
        <v>0</v>
      </c>
      <c r="AC79" s="320">
        <f>'REMUNERACION_OCCIDENTE_ Directa'!AC107</f>
        <v>0</v>
      </c>
      <c r="AD79" s="291">
        <f>'REMUNERACION_OCCIDENTE_ Directa'!AD107</f>
        <v>0</v>
      </c>
      <c r="AE79" s="291">
        <f>'REMUNERACION_OCCIDENTE_ Directa'!AE107</f>
        <v>0</v>
      </c>
      <c r="AF79" s="322">
        <f>'REMUNERACION_OCCIDENTE_ Directa'!AF107</f>
        <v>0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0</v>
      </c>
      <c r="E80" s="297">
        <f>'REMUNERACION_OCCIDENTE_ Directa'!E108</f>
        <v>0</v>
      </c>
      <c r="F80" s="297">
        <f>'REMUNERACION_OCCIDENTE_ Directa'!F108</f>
        <v>0</v>
      </c>
      <c r="G80" s="297">
        <f>'REMUNERACION_OCCIDENTE_ Directa'!G108</f>
        <v>0</v>
      </c>
      <c r="H80" s="297">
        <f>'REMUNERACION_OCCIDENTE_ Directa'!H108</f>
        <v>0</v>
      </c>
      <c r="I80" s="297">
        <f>'REMUNERACION_OCCIDENTE_ Directa'!I108</f>
        <v>0</v>
      </c>
      <c r="J80" s="289">
        <f>'REMUNERACION_OCCIDENTE_ Directa'!J108</f>
        <v>0</v>
      </c>
      <c r="K80" s="295">
        <f>'REMUNERACION_OCCIDENTE_ Directa'!K108</f>
        <v>0</v>
      </c>
      <c r="L80" s="294">
        <f>'REMUNERACION_OCCIDENTE_ Directa'!L108</f>
        <v>0</v>
      </c>
      <c r="M80" s="298">
        <f>'REMUNERACION_OCCIDENTE_ Directa'!M108</f>
        <v>0</v>
      </c>
      <c r="N80" s="299">
        <f>'REMUNERACION_OCCIDENTE_ Directa'!N108</f>
        <v>0</v>
      </c>
      <c r="O80" s="298">
        <f>'REMUNERACION_OCCIDENTE_ Directa'!O108</f>
        <v>0</v>
      </c>
      <c r="Q80" s="306"/>
      <c r="S80" s="324">
        <v>5</v>
      </c>
      <c r="T80" s="325" t="s">
        <v>14</v>
      </c>
      <c r="U80" s="296">
        <f>'REMUNERACION_OCCIDENTE_ Directa'!U108</f>
        <v>0</v>
      </c>
      <c r="V80" s="297">
        <f>'REMUNERACION_OCCIDENTE_ Directa'!V108</f>
        <v>0</v>
      </c>
      <c r="W80" s="297">
        <f>'REMUNERACION_OCCIDENTE_ Directa'!W108</f>
        <v>0</v>
      </c>
      <c r="X80" s="297">
        <f>'REMUNERACION_OCCIDENTE_ Directa'!X108</f>
        <v>0</v>
      </c>
      <c r="Y80" s="289">
        <f>'REMUNERACION_OCCIDENTE_ Directa'!Y108</f>
        <v>0</v>
      </c>
      <c r="Z80" s="319">
        <f>'REMUNERACION_OCCIDENTE_ Directa'!Z108</f>
        <v>0</v>
      </c>
      <c r="AA80" s="320">
        <f>'REMUNERACION_OCCIDENTE_ Directa'!AA108</f>
        <v>0</v>
      </c>
      <c r="AB80" s="294">
        <f>'REMUNERACION_OCCIDENTE_ Directa'!AB108</f>
        <v>0</v>
      </c>
      <c r="AC80" s="320">
        <f>'REMUNERACION_OCCIDENTE_ Directa'!AC108</f>
        <v>0</v>
      </c>
      <c r="AD80" s="291">
        <f>'REMUNERACION_OCCIDENTE_ Directa'!AD108</f>
        <v>0</v>
      </c>
      <c r="AE80" s="291">
        <f>'REMUNERACION_OCCIDENTE_ Directa'!AE108</f>
        <v>0</v>
      </c>
      <c r="AF80" s="322">
        <f>'REMUNERACION_OCCIDENTE_ Directa'!AF108</f>
        <v>0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0</v>
      </c>
      <c r="E81" s="290">
        <f>'REMUNERACION_OCCIDENTE_ Directa'!E109</f>
        <v>0</v>
      </c>
      <c r="F81" s="290">
        <f>'REMUNERACION_OCCIDENTE_ Directa'!F109</f>
        <v>0</v>
      </c>
      <c r="G81" s="290">
        <f>'REMUNERACION_OCCIDENTE_ Directa'!G109</f>
        <v>0</v>
      </c>
      <c r="H81" s="290">
        <f>'REMUNERACION_OCCIDENTE_ Directa'!H109</f>
        <v>0</v>
      </c>
      <c r="I81" s="290">
        <f>'REMUNERACION_OCCIDENTE_ Directa'!I109</f>
        <v>0</v>
      </c>
      <c r="J81" s="290">
        <f>'REMUNERACION_OCCIDENTE_ Directa'!J109</f>
        <v>0</v>
      </c>
      <c r="K81" s="300">
        <f>'REMUNERACION_OCCIDENTE_ Directa'!K109</f>
        <v>0</v>
      </c>
      <c r="L81" s="301">
        <f>'REMUNERACION_OCCIDENTE_ Directa'!L109</f>
        <v>0</v>
      </c>
      <c r="M81" s="302">
        <f>'REMUNERACION_OCCIDENTE_ Directa'!M109</f>
        <v>0</v>
      </c>
      <c r="N81" s="301">
        <f>'REMUNERACION_OCCIDENTE_ Directa'!N109</f>
        <v>0</v>
      </c>
      <c r="O81" s="302">
        <f>'REMUNERACION_OCCIDENTE_ Directa'!O109</f>
        <v>0</v>
      </c>
      <c r="P81" s="329"/>
      <c r="Q81" s="306"/>
      <c r="S81" s="327"/>
      <c r="T81" s="328" t="s">
        <v>2</v>
      </c>
      <c r="U81" s="330">
        <f>'REMUNERACION_OCCIDENTE_ Directa'!U109</f>
        <v>0</v>
      </c>
      <c r="V81" s="330">
        <f>'REMUNERACION_OCCIDENTE_ Directa'!V109</f>
        <v>0</v>
      </c>
      <c r="W81" s="330">
        <f>'REMUNERACION_OCCIDENTE_ Directa'!W109</f>
        <v>0</v>
      </c>
      <c r="X81" s="330">
        <f>'REMUNERACION_OCCIDENTE_ Directa'!X109</f>
        <v>0</v>
      </c>
      <c r="Y81" s="330">
        <f>'REMUNERACION_OCCIDENTE_ Directa'!Y109</f>
        <v>0</v>
      </c>
      <c r="Z81" s="290">
        <f>'REMUNERACION_OCCIDENTE_ Directa'!Z109</f>
        <v>0</v>
      </c>
      <c r="AA81" s="290">
        <f>'REMUNERACION_OCCIDENTE_ Directa'!AA109</f>
        <v>0</v>
      </c>
      <c r="AB81" s="290">
        <f>'REMUNERACION_OCCIDENTE_ Directa'!AB109</f>
        <v>0</v>
      </c>
      <c r="AC81" s="290">
        <f>'REMUNERACION_OCCIDENTE_ Directa'!AC109</f>
        <v>0</v>
      </c>
      <c r="AD81" s="290">
        <f>'REMUNERACION_OCCIDENTE_ Directa'!AD109</f>
        <v>0</v>
      </c>
      <c r="AE81" s="290">
        <f>'REMUNERACION_OCCIDENTE_ Directa'!AE109</f>
        <v>0</v>
      </c>
      <c r="AF81" s="331">
        <f>'REMUNERACION_OCCIDENTE_ Directa'!AF109</f>
        <v>0</v>
      </c>
      <c r="AG81" s="524">
        <f>'REMUNERACION_OCCIDENTE_ Directa'!AG109</f>
        <v>0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46281</v>
      </c>
      <c r="H125" s="45"/>
      <c r="I125" s="45"/>
      <c r="J125" s="555" t="s">
        <v>28</v>
      </c>
      <c r="K125" s="557">
        <f>'REMUNERACION_EAAB-CL'!K102</f>
        <v>46295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46281</v>
      </c>
      <c r="W125" s="45" t="s">
        <v>1</v>
      </c>
      <c r="X125" s="45" t="str">
        <f>J125</f>
        <v>Feha Hasta:</v>
      </c>
      <c r="Y125" s="557">
        <f>'REMUNERACION_EAAB-CL'!Y102</f>
        <v>46295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0</v>
      </c>
      <c r="E6" s="309">
        <f>'CONSOLIDADO_TOTAL RECAUDO'!E125</f>
        <v>0</v>
      </c>
      <c r="G6" s="336">
        <f>'CONSOLIDADO_TOTAL RECAUDO'!G125</f>
        <v>0</v>
      </c>
      <c r="H6" s="310">
        <f>'CONSOLIDADO_TOTAL RECAUDO'!H125</f>
        <v>0</v>
      </c>
      <c r="I6" s="309">
        <f>'CONSOLIDADO_TOTAL RECAUDO'!I125</f>
        <v>0</v>
      </c>
      <c r="J6" s="309">
        <f>'CONSOLIDADO_TOTAL RECAUDO'!J125</f>
        <v>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0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0</v>
      </c>
      <c r="I7" s="288">
        <f>'CONSOLIDADO_TOTAL RECAUDO'!I126</f>
        <v>0</v>
      </c>
      <c r="J7" s="288">
        <f>'CONSOLIDADO_TOTAL RECAUDO'!J126</f>
        <v>0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0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0</v>
      </c>
      <c r="I8" s="288">
        <f>'CONSOLIDADO_TOTAL RECAUDO'!I127</f>
        <v>0</v>
      </c>
      <c r="J8" s="288">
        <f>'CONSOLIDADO_TOTAL RECAUDO'!J127</f>
        <v>0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0</v>
      </c>
      <c r="E9" s="288">
        <f>'CONSOLIDADO_TOTAL RECAUDO'!E128</f>
        <v>0</v>
      </c>
      <c r="G9" s="339">
        <f>'CONSOLIDADO_TOTAL RECAUDO'!G128</f>
        <v>0</v>
      </c>
      <c r="H9" s="340">
        <f>'CONSOLIDADO_TOTAL RECAUDO'!H128</f>
        <v>0</v>
      </c>
      <c r="I9" s="288">
        <f>'CONSOLIDADO_TOTAL RECAUDO'!I128</f>
        <v>0</v>
      </c>
      <c r="J9" s="288">
        <f>'CONSOLIDADO_TOTAL RECAUDO'!J128</f>
        <v>0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0</v>
      </c>
      <c r="I10" s="288">
        <f>'CONSOLIDADO_TOTAL RECAUDO'!I129</f>
        <v>0</v>
      </c>
      <c r="J10" s="288">
        <f>'CONSOLIDADO_TOTAL RECAUDO'!J129</f>
        <v>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0</v>
      </c>
      <c r="E12" s="350">
        <f>'CONSOLIDADO_TOTAL RECAUDO'!E131</f>
        <v>0</v>
      </c>
      <c r="F12" s="351"/>
      <c r="G12" s="350">
        <f>'CONSOLIDADO_TOTAL RECAUDO'!G131</f>
        <v>0</v>
      </c>
      <c r="H12" s="350">
        <f>'CONSOLIDADO_TOTAL RECAUDO'!H131</f>
        <v>0</v>
      </c>
      <c r="I12" s="350">
        <f>'CONSOLIDADO_TOTAL RECAUDO'!I131</f>
        <v>0</v>
      </c>
      <c r="J12" s="350">
        <f>'CONSOLIDADO_TOTAL RECAUDO'!J131</f>
        <v>0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0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0</v>
      </c>
      <c r="H24" s="340">
        <f>'REMUNERACION Reciprocidad EAAB'!H128</f>
        <v>0</v>
      </c>
      <c r="I24" s="288">
        <f>'REMUNERACION Reciprocidad EAAB'!I128</f>
        <v>0</v>
      </c>
      <c r="J24" s="288">
        <f>'REMUNERACION Reciprocidad EAAB'!J128</f>
        <v>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0</v>
      </c>
      <c r="H27" s="350">
        <f>'REMUNERACION Reciprocidad EAAB'!H131</f>
        <v>0</v>
      </c>
      <c r="I27" s="350">
        <f>'REMUNERACION Reciprocidad EAAB'!I131</f>
        <v>0</v>
      </c>
      <c r="J27" s="350">
        <f>'REMUNERACION Reciprocidad EAAB'!J131</f>
        <v>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0</v>
      </c>
      <c r="E35" s="309">
        <f>REMUNERACION_ENEL!E125</f>
        <v>0</v>
      </c>
      <c r="G35" s="336">
        <f>REMUNERACION_ENEL!G125</f>
        <v>0</v>
      </c>
      <c r="H35" s="310">
        <f>REMUNERACION_ENEL!H125</f>
        <v>0</v>
      </c>
      <c r="I35" s="309">
        <f>REMUNERACION_ENEL!I125</f>
        <v>0</v>
      </c>
      <c r="J35" s="309">
        <f>REMUNERACION_ENEL!J125</f>
        <v>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0</v>
      </c>
      <c r="E36" s="288">
        <f>REMUNERACION_ENEL!E126</f>
        <v>0</v>
      </c>
      <c r="G36" s="339">
        <f>REMUNERACION_ENEL!G126</f>
        <v>0</v>
      </c>
      <c r="H36" s="340">
        <f>REMUNERACION_ENEL!H126</f>
        <v>0</v>
      </c>
      <c r="I36" s="288">
        <f>REMUNERACION_ENEL!I126</f>
        <v>0</v>
      </c>
      <c r="J36" s="288">
        <f>REMUNERACION_ENEL!J126</f>
        <v>0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0</v>
      </c>
      <c r="E37" s="288">
        <f>REMUNERACION_ENEL!E127</f>
        <v>0</v>
      </c>
      <c r="G37" s="339">
        <f>REMUNERACION_ENEL!G127</f>
        <v>0</v>
      </c>
      <c r="H37" s="340">
        <f>REMUNERACION_ENEL!H127</f>
        <v>0</v>
      </c>
      <c r="I37" s="288">
        <f>REMUNERACION_ENEL!I127</f>
        <v>0</v>
      </c>
      <c r="J37" s="288">
        <f>REMUNERACION_ENEL!J127</f>
        <v>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0</v>
      </c>
      <c r="E38" s="288">
        <f>REMUNERACION_ENEL!E128</f>
        <v>0</v>
      </c>
      <c r="G38" s="339">
        <f>REMUNERACION_ENEL!G128</f>
        <v>0</v>
      </c>
      <c r="H38" s="340">
        <f>REMUNERACION_ENEL!H128</f>
        <v>0</v>
      </c>
      <c r="I38" s="288">
        <f>REMUNERACION_ENEL!I128</f>
        <v>0</v>
      </c>
      <c r="J38" s="288">
        <f>REMUNERACION_ENEL!J128</f>
        <v>0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0</v>
      </c>
      <c r="E39" s="344">
        <f>REMUNERACION_ENEL!E129</f>
        <v>0</v>
      </c>
      <c r="G39" s="339">
        <f>REMUNERACION_ENEL!G129</f>
        <v>0</v>
      </c>
      <c r="H39" s="340">
        <f>REMUNERACION_ENEL!H129</f>
        <v>0</v>
      </c>
      <c r="I39" s="288">
        <f>REMUNERACION_ENEL!I129</f>
        <v>0</v>
      </c>
      <c r="J39" s="288">
        <f>REMUNERACION_ENEL!J129</f>
        <v>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0</v>
      </c>
      <c r="E41" s="350">
        <f>REMUNERACION_ENEL!E131</f>
        <v>0</v>
      </c>
      <c r="F41" s="351"/>
      <c r="G41" s="350">
        <f>REMUNERACION_ENEL!G131</f>
        <v>0</v>
      </c>
      <c r="H41" s="350">
        <f>REMUNERACION_ENEL!H131</f>
        <v>0</v>
      </c>
      <c r="I41" s="350">
        <f>REMUNERACION_ENEL!I131</f>
        <v>0</v>
      </c>
      <c r="J41" s="350">
        <f>REMUNERACION_ENEL!J131</f>
        <v>0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0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0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0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0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0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0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0</v>
      </c>
      <c r="E66" s="288">
        <f>'REMUNERACION_OCCIDENTE_ Directa'!E128</f>
        <v>0</v>
      </c>
      <c r="G66" s="339">
        <f>'REMUNERACION_OCCIDENTE_ Directa'!G128</f>
        <v>0</v>
      </c>
      <c r="H66" s="340">
        <f>'REMUNERACION_OCCIDENTE_ Directa'!H128</f>
        <v>0</v>
      </c>
      <c r="I66" s="288">
        <f>'REMUNERACION_OCCIDENTE_ Directa'!I128</f>
        <v>0</v>
      </c>
      <c r="J66" s="288">
        <f>'REMUNERACION_OCCIDENTE_ Directa'!J128</f>
        <v>0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0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0</v>
      </c>
      <c r="E69" s="350">
        <f>'REMUNERACION_OCCIDENTE_ Directa'!E131</f>
        <v>0</v>
      </c>
      <c r="F69" s="351"/>
      <c r="G69" s="350">
        <f>'REMUNERACION_OCCIDENTE_ Directa'!G131</f>
        <v>0</v>
      </c>
      <c r="H69" s="350">
        <f>'REMUNERACION_OCCIDENTE_ Directa'!H131</f>
        <v>0</v>
      </c>
      <c r="I69" s="350">
        <f>'REMUNERACION_OCCIDENTE_ Directa'!I131</f>
        <v>0</v>
      </c>
      <c r="J69" s="350">
        <f>'REMUNERACION_OCCIDENTE_ Directa'!J131</f>
        <v>0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G11" sqref="G11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2026072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68200068115</v>
      </c>
      <c r="E7" s="533">
        <v>68245142592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38870386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6204091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5736574007</v>
      </c>
      <c r="E10" s="535">
        <v>5736574007</v>
      </c>
      <c r="F10" s="536">
        <v>73981716599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2026-10-13T16:41:42Z</dcterms:modified>
</cp:coreProperties>
</file>